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 unica\"/>
    </mc:Choice>
  </mc:AlternateContent>
  <xr:revisionPtr revIDLastSave="0" documentId="13_ncr:1_{A074E9AC-FC5A-4AD8-AA4D-86D3C3561826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2455" i="1" l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467" i="1"/>
  <c r="W2467" i="1"/>
  <c r="X2467" i="1"/>
  <c r="V2468" i="1"/>
  <c r="W2468" i="1"/>
  <c r="X2468" i="1"/>
  <c r="V2469" i="1"/>
  <c r="W2469" i="1"/>
  <c r="X246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2500" i="1"/>
  <c r="W2500" i="1"/>
  <c r="X2500" i="1"/>
  <c r="V2501" i="1"/>
  <c r="W2501" i="1"/>
  <c r="X2501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2528" i="1"/>
  <c r="W2528" i="1"/>
  <c r="X2528" i="1"/>
  <c r="V2529" i="1"/>
  <c r="W2529" i="1"/>
  <c r="X2529" i="1"/>
  <c r="V2530" i="1"/>
  <c r="W2530" i="1"/>
  <c r="X2530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2545" i="1"/>
  <c r="W2545" i="1"/>
  <c r="X2545" i="1"/>
  <c r="V2546" i="1"/>
  <c r="W2546" i="1"/>
  <c r="X2546" i="1"/>
  <c r="V2547" i="1"/>
  <c r="W2547" i="1"/>
  <c r="X2547" i="1"/>
  <c r="V2548" i="1"/>
  <c r="W2548" i="1"/>
  <c r="X2548" i="1"/>
  <c r="V2549" i="1"/>
  <c r="W2549" i="1"/>
  <c r="X254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2562" i="1"/>
  <c r="W2562" i="1"/>
  <c r="X2562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584" i="1"/>
  <c r="W2584" i="1"/>
  <c r="X2584" i="1"/>
  <c r="V2585" i="1"/>
  <c r="W2585" i="1"/>
  <c r="X2585" i="1"/>
  <c r="V2586" i="1"/>
  <c r="W2586" i="1"/>
  <c r="X2586" i="1"/>
  <c r="V2587" i="1"/>
  <c r="W2587" i="1"/>
  <c r="X2587" i="1"/>
  <c r="V2588" i="1"/>
  <c r="W2588" i="1"/>
  <c r="X2588" i="1"/>
  <c r="V2589" i="1"/>
  <c r="W2589" i="1"/>
  <c r="X2589" i="1"/>
  <c r="V2590" i="1"/>
  <c r="W2590" i="1"/>
  <c r="X2590" i="1"/>
  <c r="V2591" i="1"/>
  <c r="W2591" i="1"/>
  <c r="X2591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2609" i="1"/>
  <c r="W2609" i="1"/>
  <c r="X2609" i="1"/>
  <c r="V2610" i="1"/>
  <c r="W2610" i="1"/>
  <c r="X2610" i="1"/>
  <c r="V2611" i="1"/>
  <c r="W2611" i="1"/>
  <c r="X2611" i="1"/>
  <c r="V2612" i="1"/>
  <c r="W2612" i="1"/>
  <c r="X2612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2624" i="1"/>
  <c r="W2624" i="1"/>
  <c r="X2624" i="1"/>
  <c r="V2625" i="1"/>
  <c r="W2625" i="1"/>
  <c r="X2625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2677" i="1"/>
  <c r="W2677" i="1"/>
  <c r="X2677" i="1"/>
  <c r="V2678" i="1"/>
  <c r="W2678" i="1"/>
  <c r="X2678" i="1"/>
  <c r="V2679" i="1"/>
  <c r="W2679" i="1"/>
  <c r="X2679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2690" i="1"/>
  <c r="W2690" i="1"/>
  <c r="X2690" i="1"/>
  <c r="V2691" i="1"/>
  <c r="W2691" i="1"/>
  <c r="X2691" i="1"/>
  <c r="V2692" i="1"/>
  <c r="W2692" i="1"/>
  <c r="X2692" i="1"/>
  <c r="V2693" i="1"/>
  <c r="W2693" i="1"/>
  <c r="X269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2704" i="1"/>
  <c r="W2704" i="1"/>
  <c r="X2704" i="1"/>
  <c r="V2705" i="1"/>
  <c r="W2705" i="1"/>
  <c r="X2705" i="1"/>
  <c r="V2706" i="1"/>
  <c r="W2706" i="1"/>
  <c r="X2706" i="1"/>
  <c r="V2707" i="1"/>
  <c r="W2707" i="1"/>
  <c r="X2707" i="1"/>
  <c r="V2708" i="1"/>
  <c r="W2708" i="1"/>
  <c r="X2708" i="1"/>
  <c r="V2709" i="1"/>
  <c r="W2709" i="1"/>
  <c r="X2709" i="1"/>
  <c r="V2710" i="1"/>
  <c r="W2710" i="1"/>
  <c r="X2710" i="1"/>
  <c r="V2711" i="1"/>
  <c r="W2711" i="1"/>
  <c r="X2711" i="1"/>
  <c r="V2712" i="1"/>
  <c r="W2712" i="1"/>
  <c r="X2712" i="1"/>
  <c r="V2713" i="1"/>
  <c r="W2713" i="1"/>
  <c r="X2713" i="1"/>
  <c r="V2714" i="1"/>
  <c r="W2714" i="1"/>
  <c r="X2714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2730" i="1"/>
  <c r="W2730" i="1"/>
  <c r="X2730" i="1"/>
  <c r="V2731" i="1"/>
  <c r="W2731" i="1"/>
  <c r="X2731" i="1"/>
  <c r="V2732" i="1"/>
  <c r="W2732" i="1"/>
  <c r="X2732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737" i="1"/>
  <c r="W2737" i="1"/>
  <c r="X2737" i="1"/>
  <c r="V2738" i="1"/>
  <c r="W2738" i="1"/>
  <c r="X2738" i="1"/>
  <c r="V2739" i="1"/>
  <c r="W2739" i="1"/>
  <c r="X2739" i="1"/>
  <c r="V2740" i="1"/>
  <c r="W2740" i="1"/>
  <c r="X2740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745" i="1"/>
  <c r="W2745" i="1"/>
  <c r="X2745" i="1"/>
  <c r="V2746" i="1"/>
  <c r="W2746" i="1"/>
  <c r="X2746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V2756" i="1"/>
  <c r="W2756" i="1"/>
  <c r="X2756" i="1"/>
  <c r="V2757" i="1"/>
  <c r="W2757" i="1"/>
  <c r="X2757" i="1"/>
  <c r="V2758" i="1"/>
  <c r="W2758" i="1"/>
  <c r="X2758" i="1"/>
  <c r="V2759" i="1"/>
  <c r="W2759" i="1"/>
  <c r="X2759" i="1"/>
  <c r="V2760" i="1"/>
  <c r="W2760" i="1"/>
  <c r="X2760" i="1"/>
  <c r="V2761" i="1"/>
  <c r="W2761" i="1"/>
  <c r="X2761" i="1"/>
  <c r="V2762" i="1"/>
  <c r="W2762" i="1"/>
  <c r="X2762" i="1"/>
  <c r="V2763" i="1"/>
  <c r="W2763" i="1"/>
  <c r="X2763" i="1"/>
  <c r="V2764" i="1"/>
  <c r="W2764" i="1"/>
  <c r="X2764" i="1"/>
  <c r="V2765" i="1"/>
  <c r="W2765" i="1"/>
  <c r="X2765" i="1"/>
  <c r="V2766" i="1"/>
  <c r="W2766" i="1"/>
  <c r="X2766" i="1"/>
  <c r="V2767" i="1"/>
  <c r="W2767" i="1"/>
  <c r="X2767" i="1"/>
  <c r="V2768" i="1"/>
  <c r="W2768" i="1"/>
  <c r="X2768" i="1"/>
  <c r="V2769" i="1"/>
  <c r="W2769" i="1"/>
  <c r="X2769" i="1"/>
  <c r="V2770" i="1"/>
  <c r="W2770" i="1"/>
  <c r="X2770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2784" i="1"/>
  <c r="W2784" i="1"/>
  <c r="X2784" i="1"/>
  <c r="V2785" i="1"/>
  <c r="W2785" i="1"/>
  <c r="X2785" i="1"/>
  <c r="V2786" i="1"/>
  <c r="W2786" i="1"/>
  <c r="X2786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2792" i="1"/>
  <c r="W2792" i="1"/>
  <c r="X2792" i="1"/>
  <c r="V2793" i="1"/>
  <c r="W2793" i="1"/>
  <c r="X2793" i="1"/>
  <c r="V2794" i="1"/>
  <c r="W2794" i="1"/>
  <c r="X2794" i="1"/>
  <c r="V2795" i="1"/>
  <c r="W2795" i="1"/>
  <c r="X2795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2810" i="1"/>
  <c r="W2810" i="1"/>
  <c r="X2810" i="1"/>
  <c r="V2811" i="1"/>
  <c r="W2811" i="1"/>
  <c r="X2811" i="1"/>
  <c r="V2812" i="1"/>
  <c r="W2812" i="1"/>
  <c r="X2812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2833" i="1"/>
  <c r="W2833" i="1"/>
  <c r="X2833" i="1"/>
  <c r="V2834" i="1"/>
  <c r="W2834" i="1"/>
  <c r="X2834" i="1"/>
  <c r="V2835" i="1"/>
  <c r="W2835" i="1"/>
  <c r="X2835" i="1"/>
  <c r="V2836" i="1"/>
  <c r="W2836" i="1"/>
  <c r="X2836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844" i="1"/>
  <c r="W2844" i="1"/>
  <c r="X2844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2863" i="1"/>
  <c r="W2863" i="1"/>
  <c r="X2863" i="1"/>
  <c r="V2864" i="1"/>
  <c r="W2864" i="1"/>
  <c r="X2864" i="1"/>
  <c r="V2865" i="1"/>
  <c r="W2865" i="1"/>
  <c r="X2865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2880" i="1"/>
  <c r="W2880" i="1"/>
  <c r="X2880" i="1"/>
  <c r="V2881" i="1"/>
  <c r="W2881" i="1"/>
  <c r="X2881" i="1"/>
  <c r="V2882" i="1"/>
  <c r="W2882" i="1"/>
  <c r="X2882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2923" i="1"/>
  <c r="W2923" i="1"/>
  <c r="X2923" i="1"/>
  <c r="V2924" i="1"/>
  <c r="W2924" i="1"/>
  <c r="X2924" i="1"/>
  <c r="V2925" i="1"/>
  <c r="W2925" i="1"/>
  <c r="X2925" i="1"/>
  <c r="V2926" i="1"/>
  <c r="W2926" i="1"/>
  <c r="X2926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001" i="1"/>
  <c r="W3001" i="1"/>
  <c r="X3001" i="1"/>
  <c r="V3002" i="1"/>
  <c r="W3002" i="1"/>
  <c r="X3002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3016" i="1"/>
  <c r="W3016" i="1"/>
  <c r="X3016" i="1"/>
  <c r="V3017" i="1"/>
  <c r="W3017" i="1"/>
  <c r="X3017" i="1"/>
  <c r="V3018" i="1"/>
  <c r="W3018" i="1"/>
  <c r="X3018" i="1"/>
  <c r="V3019" i="1"/>
  <c r="W3019" i="1"/>
  <c r="X3019" i="1"/>
  <c r="V3020" i="1"/>
  <c r="W3020" i="1"/>
  <c r="X3020" i="1"/>
  <c r="V3021" i="1"/>
  <c r="W3021" i="1"/>
  <c r="X3021" i="1"/>
  <c r="V3022" i="1"/>
  <c r="W3022" i="1"/>
  <c r="X3022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038" i="1"/>
  <c r="W3038" i="1"/>
  <c r="X3038" i="1"/>
  <c r="V3039" i="1"/>
  <c r="W3039" i="1"/>
  <c r="X3039" i="1"/>
  <c r="V3040" i="1"/>
  <c r="W3040" i="1"/>
  <c r="X3040" i="1"/>
  <c r="V3041" i="1"/>
  <c r="W3041" i="1"/>
  <c r="X3041" i="1"/>
  <c r="V3042" i="1"/>
  <c r="W3042" i="1"/>
  <c r="X3042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3049" i="1"/>
  <c r="W3049" i="1"/>
  <c r="X3049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054" i="1"/>
  <c r="W3054" i="1"/>
  <c r="X3054" i="1"/>
  <c r="V3055" i="1"/>
  <c r="W3055" i="1"/>
  <c r="X3055" i="1"/>
  <c r="V3056" i="1"/>
  <c r="W3056" i="1"/>
  <c r="X3056" i="1"/>
  <c r="V3057" i="1"/>
  <c r="W3057" i="1"/>
  <c r="X3057" i="1"/>
  <c r="V3058" i="1"/>
  <c r="W3058" i="1"/>
  <c r="X3058" i="1"/>
  <c r="V3059" i="1"/>
  <c r="W3059" i="1"/>
  <c r="X3059" i="1"/>
  <c r="V3060" i="1"/>
  <c r="W3060" i="1"/>
  <c r="X3060" i="1"/>
  <c r="V3061" i="1"/>
  <c r="W3061" i="1"/>
  <c r="X3061" i="1"/>
  <c r="V3062" i="1"/>
  <c r="W3062" i="1"/>
  <c r="X3062" i="1"/>
  <c r="V3063" i="1"/>
  <c r="W3063" i="1"/>
  <c r="X3063" i="1"/>
  <c r="V3064" i="1"/>
  <c r="W3064" i="1"/>
  <c r="X3064" i="1"/>
  <c r="V3065" i="1"/>
  <c r="W3065" i="1"/>
  <c r="X3065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076" i="1"/>
  <c r="W3076" i="1"/>
  <c r="X3076" i="1"/>
  <c r="V3077" i="1"/>
  <c r="W3077" i="1"/>
  <c r="X3077" i="1"/>
  <c r="V3078" i="1"/>
  <c r="W3078" i="1"/>
  <c r="X3078" i="1"/>
  <c r="V3079" i="1"/>
  <c r="W3079" i="1"/>
  <c r="X3079" i="1"/>
  <c r="V3080" i="1"/>
  <c r="W3080" i="1"/>
  <c r="X3080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097" i="1"/>
  <c r="W3097" i="1"/>
  <c r="X3097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105" i="1"/>
  <c r="W3105" i="1"/>
  <c r="X3105" i="1"/>
  <c r="V3106" i="1"/>
  <c r="W3106" i="1"/>
  <c r="X3106" i="1"/>
  <c r="V3107" i="1"/>
  <c r="W3107" i="1"/>
  <c r="X310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113" i="1"/>
  <c r="W3113" i="1"/>
  <c r="X3113" i="1"/>
  <c r="V3114" i="1"/>
  <c r="W3114" i="1"/>
  <c r="X3114" i="1"/>
  <c r="V3115" i="1"/>
  <c r="W3115" i="1"/>
  <c r="X3115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140" i="1"/>
  <c r="W3140" i="1"/>
  <c r="X3140" i="1"/>
  <c r="V3141" i="1"/>
  <c r="W3141" i="1"/>
  <c r="X3141" i="1"/>
  <c r="V3142" i="1"/>
  <c r="W3142" i="1"/>
  <c r="X3142" i="1"/>
  <c r="V3143" i="1"/>
  <c r="W3143" i="1"/>
  <c r="X3143" i="1"/>
  <c r="V3144" i="1"/>
  <c r="W3144" i="1"/>
  <c r="X3144" i="1"/>
  <c r="V3145" i="1"/>
  <c r="W3145" i="1"/>
  <c r="X3145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3157" i="1"/>
  <c r="W3157" i="1"/>
  <c r="X3157" i="1"/>
  <c r="V3158" i="1"/>
  <c r="W3158" i="1"/>
  <c r="X3158" i="1"/>
  <c r="V3159" i="1"/>
  <c r="W3159" i="1"/>
  <c r="X3159" i="1"/>
  <c r="V3160" i="1"/>
  <c r="W3160" i="1"/>
  <c r="X3160" i="1"/>
  <c r="V3161" i="1"/>
  <c r="W3161" i="1"/>
  <c r="X3161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217" i="1"/>
  <c r="W3217" i="1"/>
  <c r="X3217" i="1"/>
  <c r="V3218" i="1"/>
  <c r="W3218" i="1"/>
  <c r="X3218" i="1"/>
  <c r="V3219" i="1"/>
  <c r="W3219" i="1"/>
  <c r="X3219" i="1"/>
  <c r="V3220" i="1"/>
  <c r="W3220" i="1"/>
  <c r="X3220" i="1"/>
  <c r="V3221" i="1"/>
  <c r="W3221" i="1"/>
  <c r="X3221" i="1"/>
  <c r="V3222" i="1"/>
  <c r="W3222" i="1"/>
  <c r="X3222" i="1"/>
  <c r="V3223" i="1"/>
  <c r="W3223" i="1"/>
  <c r="X3223" i="1"/>
  <c r="V3224" i="1"/>
  <c r="W3224" i="1"/>
  <c r="X3224" i="1"/>
  <c r="V3225" i="1"/>
  <c r="W3225" i="1"/>
  <c r="X3225" i="1"/>
  <c r="V3226" i="1"/>
  <c r="W3226" i="1"/>
  <c r="X3226" i="1"/>
  <c r="V3227" i="1"/>
  <c r="W3227" i="1"/>
  <c r="X3227" i="1"/>
  <c r="V3228" i="1"/>
  <c r="W3228" i="1"/>
  <c r="X3228" i="1"/>
  <c r="V3229" i="1"/>
  <c r="W3229" i="1"/>
  <c r="X3229" i="1"/>
  <c r="V3230" i="1"/>
  <c r="W3230" i="1"/>
  <c r="X3230" i="1"/>
  <c r="V3231" i="1"/>
  <c r="W3231" i="1"/>
  <c r="X3231" i="1"/>
  <c r="V3232" i="1"/>
  <c r="W3232" i="1"/>
  <c r="X3232" i="1"/>
  <c r="V3233" i="1"/>
  <c r="W3233" i="1"/>
  <c r="X323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3238" i="1"/>
  <c r="W3238" i="1"/>
  <c r="X3238" i="1"/>
  <c r="V3239" i="1"/>
  <c r="W3239" i="1"/>
  <c r="X3239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246" i="1"/>
  <c r="W3246" i="1"/>
  <c r="X3246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253" i="1"/>
  <c r="W3253" i="1"/>
  <c r="X3253" i="1"/>
  <c r="V3254" i="1"/>
  <c r="W3254" i="1"/>
  <c r="X3254" i="1"/>
  <c r="V3255" i="1"/>
  <c r="W3255" i="1"/>
  <c r="X3255" i="1"/>
  <c r="V3256" i="1"/>
  <c r="W3256" i="1"/>
  <c r="X3256" i="1"/>
  <c r="V3257" i="1"/>
  <c r="W3257" i="1"/>
  <c r="X3257" i="1"/>
  <c r="V3258" i="1"/>
  <c r="W3258" i="1"/>
  <c r="X3258" i="1"/>
  <c r="V3259" i="1"/>
  <c r="W3259" i="1"/>
  <c r="X3259" i="1"/>
  <c r="V3260" i="1"/>
  <c r="W3260" i="1"/>
  <c r="X3260" i="1"/>
  <c r="V3261" i="1"/>
  <c r="W3261" i="1"/>
  <c r="X326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285" i="1"/>
  <c r="W3285" i="1"/>
  <c r="X3285" i="1"/>
  <c r="V3286" i="1"/>
  <c r="W3286" i="1"/>
  <c r="X3286" i="1"/>
  <c r="V3287" i="1"/>
  <c r="W3287" i="1"/>
  <c r="X3287" i="1"/>
  <c r="V3288" i="1"/>
  <c r="W3288" i="1"/>
  <c r="X3288" i="1"/>
  <c r="V3289" i="1"/>
  <c r="W3289" i="1"/>
  <c r="X3289" i="1"/>
  <c r="V3290" i="1"/>
  <c r="W3290" i="1"/>
  <c r="X3290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3298" i="1"/>
  <c r="W3298" i="1"/>
  <c r="X3298" i="1"/>
  <c r="V3299" i="1"/>
  <c r="W3299" i="1"/>
  <c r="X3299" i="1"/>
  <c r="V3300" i="1"/>
  <c r="W3300" i="1"/>
  <c r="X3300" i="1"/>
  <c r="V3301" i="1"/>
  <c r="W3301" i="1"/>
  <c r="X3301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308" i="1"/>
  <c r="W3308" i="1"/>
  <c r="X3308" i="1"/>
  <c r="V3309" i="1"/>
  <c r="W3309" i="1"/>
  <c r="X3309" i="1"/>
  <c r="V3310" i="1"/>
  <c r="W3310" i="1"/>
  <c r="X3310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320" i="1"/>
  <c r="W3320" i="1"/>
  <c r="X3320" i="1"/>
  <c r="V3321" i="1"/>
  <c r="W3321" i="1"/>
  <c r="X3321" i="1"/>
  <c r="V3322" i="1"/>
  <c r="W3322" i="1"/>
  <c r="X3322" i="1"/>
  <c r="V3323" i="1"/>
  <c r="W3323" i="1"/>
  <c r="X3323" i="1"/>
  <c r="V3324" i="1"/>
  <c r="W3324" i="1"/>
  <c r="X3324" i="1"/>
  <c r="V3325" i="1"/>
  <c r="W3325" i="1"/>
  <c r="X3325" i="1"/>
  <c r="V3326" i="1"/>
  <c r="W3326" i="1"/>
  <c r="X3326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333" i="1"/>
  <c r="W3333" i="1"/>
  <c r="X3333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364" i="1"/>
  <c r="W3364" i="1"/>
  <c r="X3364" i="1"/>
  <c r="V3365" i="1"/>
  <c r="W3365" i="1"/>
  <c r="X3365" i="1"/>
  <c r="V3366" i="1"/>
  <c r="W3366" i="1"/>
  <c r="X3366" i="1"/>
  <c r="V3367" i="1"/>
  <c r="W3367" i="1"/>
  <c r="X3367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3372" i="1"/>
  <c r="W3372" i="1"/>
  <c r="X3372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3384" i="1"/>
  <c r="W3384" i="1"/>
  <c r="X3384" i="1"/>
  <c r="V3385" i="1"/>
  <c r="W3385" i="1"/>
  <c r="X3385" i="1"/>
  <c r="V3386" i="1"/>
  <c r="W3386" i="1"/>
  <c r="X3386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394" i="1"/>
  <c r="W3394" i="1"/>
  <c r="X3394" i="1"/>
  <c r="V3395" i="1"/>
  <c r="W3395" i="1"/>
  <c r="X3395" i="1"/>
  <c r="V3396" i="1"/>
  <c r="W3396" i="1"/>
  <c r="X3396" i="1"/>
  <c r="V3397" i="1"/>
  <c r="W3397" i="1"/>
  <c r="X3397" i="1"/>
  <c r="V3398" i="1"/>
  <c r="W3398" i="1"/>
  <c r="X3398" i="1"/>
  <c r="V3399" i="1"/>
  <c r="W3399" i="1"/>
  <c r="X3399" i="1"/>
  <c r="V3400" i="1"/>
  <c r="W3400" i="1"/>
  <c r="X3400" i="1"/>
  <c r="V3401" i="1"/>
  <c r="W3401" i="1"/>
  <c r="X3401" i="1"/>
  <c r="V3402" i="1"/>
  <c r="W3402" i="1"/>
  <c r="X3402" i="1"/>
  <c r="V3403" i="1"/>
  <c r="W3403" i="1"/>
  <c r="X3403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3409" i="1"/>
  <c r="W3409" i="1"/>
  <c r="X3409" i="1"/>
  <c r="V3410" i="1"/>
  <c r="W3410" i="1"/>
  <c r="X3410" i="1"/>
  <c r="V3411" i="1"/>
  <c r="W3411" i="1"/>
  <c r="X3411" i="1"/>
  <c r="V3412" i="1"/>
  <c r="W3412" i="1"/>
  <c r="X3412" i="1"/>
  <c r="V3413" i="1"/>
  <c r="W3413" i="1"/>
  <c r="X3413" i="1"/>
  <c r="V3414" i="1"/>
  <c r="W3414" i="1"/>
  <c r="X3414" i="1"/>
  <c r="V3415" i="1"/>
  <c r="W3415" i="1"/>
  <c r="X3415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3422" i="1"/>
  <c r="W3422" i="1"/>
  <c r="X342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3452" i="1"/>
  <c r="W3452" i="1"/>
  <c r="X3452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461" i="1"/>
  <c r="W3461" i="1"/>
  <c r="X3461" i="1"/>
  <c r="V3462" i="1"/>
  <c r="W3462" i="1"/>
  <c r="X3462" i="1"/>
  <c r="V3463" i="1"/>
  <c r="W3463" i="1"/>
  <c r="X3463" i="1"/>
  <c r="V3464" i="1"/>
  <c r="W3464" i="1"/>
  <c r="X3464" i="1"/>
  <c r="V3465" i="1"/>
  <c r="W3465" i="1"/>
  <c r="X3465" i="1"/>
  <c r="V3466" i="1"/>
  <c r="W3466" i="1"/>
  <c r="X3466" i="1"/>
  <c r="V3467" i="1"/>
  <c r="W3467" i="1"/>
  <c r="X3467" i="1"/>
  <c r="V3468" i="1"/>
  <c r="W3468" i="1"/>
  <c r="X3468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3477" i="1"/>
  <c r="W3477" i="1"/>
  <c r="X3477" i="1"/>
  <c r="V3478" i="1"/>
  <c r="W3478" i="1"/>
  <c r="X3478" i="1"/>
  <c r="V3479" i="1"/>
  <c r="W3479" i="1"/>
  <c r="X3479" i="1"/>
  <c r="V3480" i="1"/>
  <c r="W3480" i="1"/>
  <c r="X3480" i="1"/>
  <c r="V3481" i="1"/>
  <c r="W3481" i="1"/>
  <c r="X3481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498" i="1"/>
  <c r="W3498" i="1"/>
  <c r="X3498" i="1"/>
  <c r="V3499" i="1"/>
  <c r="W3499" i="1"/>
  <c r="X3499" i="1"/>
  <c r="V3500" i="1"/>
  <c r="W3500" i="1"/>
  <c r="X3500" i="1"/>
  <c r="V3501" i="1"/>
  <c r="W3501" i="1"/>
  <c r="X3501" i="1"/>
  <c r="V3502" i="1"/>
  <c r="W3502" i="1"/>
  <c r="X3502" i="1"/>
  <c r="V3503" i="1"/>
  <c r="W3503" i="1"/>
  <c r="X3503" i="1"/>
  <c r="V3504" i="1"/>
  <c r="W3504" i="1"/>
  <c r="X3504" i="1"/>
  <c r="V3505" i="1"/>
  <c r="W3505" i="1"/>
  <c r="X3505" i="1"/>
  <c r="V3506" i="1"/>
  <c r="W3506" i="1"/>
  <c r="X3506" i="1"/>
  <c r="V3507" i="1"/>
  <c r="W3507" i="1"/>
  <c r="X3507" i="1"/>
  <c r="V3508" i="1"/>
  <c r="W3508" i="1"/>
  <c r="X3508" i="1"/>
  <c r="V3509" i="1"/>
  <c r="W3509" i="1"/>
  <c r="X3509" i="1"/>
  <c r="V3510" i="1"/>
  <c r="W3510" i="1"/>
  <c r="X3510" i="1"/>
  <c r="V3511" i="1"/>
  <c r="W3511" i="1"/>
  <c r="X3511" i="1"/>
  <c r="V3512" i="1"/>
  <c r="W3512" i="1"/>
  <c r="X3512" i="1"/>
  <c r="V3513" i="1"/>
  <c r="W3513" i="1"/>
  <c r="X3513" i="1"/>
  <c r="V3514" i="1"/>
  <c r="W3514" i="1"/>
  <c r="X3514" i="1"/>
  <c r="V3515" i="1"/>
  <c r="W3515" i="1"/>
  <c r="X3515" i="1"/>
  <c r="V3516" i="1"/>
  <c r="W3516" i="1"/>
  <c r="X3516" i="1"/>
  <c r="V3517" i="1"/>
  <c r="W3517" i="1"/>
  <c r="X3517" i="1"/>
  <c r="V3518" i="1"/>
  <c r="W3518" i="1"/>
  <c r="X3518" i="1"/>
  <c r="V3519" i="1"/>
  <c r="W3519" i="1"/>
  <c r="X3519" i="1"/>
  <c r="V3520" i="1"/>
  <c r="W3520" i="1"/>
  <c r="X3520" i="1"/>
  <c r="V3521" i="1"/>
  <c r="W3521" i="1"/>
  <c r="X3521" i="1"/>
  <c r="V3522" i="1"/>
  <c r="W3522" i="1"/>
  <c r="X3522" i="1"/>
  <c r="V3523" i="1"/>
  <c r="W3523" i="1"/>
  <c r="X3523" i="1"/>
  <c r="V3524" i="1"/>
  <c r="W3524" i="1"/>
  <c r="X3524" i="1"/>
  <c r="V3525" i="1"/>
  <c r="W3525" i="1"/>
  <c r="X3525" i="1"/>
  <c r="V3526" i="1"/>
  <c r="W3526" i="1"/>
  <c r="X3526" i="1"/>
  <c r="V3527" i="1"/>
  <c r="W3527" i="1"/>
  <c r="X3527" i="1"/>
  <c r="V3528" i="1"/>
  <c r="W3528" i="1"/>
  <c r="X3528" i="1"/>
  <c r="V3529" i="1"/>
  <c r="W3529" i="1"/>
  <c r="X3529" i="1"/>
  <c r="V3530" i="1"/>
  <c r="W3530" i="1"/>
  <c r="X3530" i="1"/>
  <c r="V3531" i="1"/>
  <c r="W3531" i="1"/>
  <c r="X3531" i="1"/>
  <c r="V3532" i="1"/>
  <c r="W3532" i="1"/>
  <c r="X3532" i="1"/>
  <c r="V3533" i="1"/>
  <c r="W3533" i="1"/>
  <c r="X3533" i="1"/>
  <c r="V3534" i="1"/>
  <c r="W3534" i="1"/>
  <c r="X3534" i="1"/>
  <c r="V3535" i="1"/>
  <c r="W3535" i="1"/>
  <c r="X3535" i="1"/>
  <c r="V3536" i="1"/>
  <c r="W3536" i="1"/>
  <c r="X3536" i="1"/>
  <c r="V3537" i="1"/>
  <c r="W3537" i="1"/>
  <c r="X3537" i="1"/>
  <c r="V3538" i="1"/>
  <c r="W3538" i="1"/>
  <c r="X3538" i="1"/>
  <c r="V3539" i="1"/>
  <c r="W3539" i="1"/>
  <c r="X3539" i="1"/>
  <c r="V3540" i="1"/>
  <c r="W3540" i="1"/>
  <c r="X3540" i="1"/>
  <c r="V3541" i="1"/>
  <c r="W3541" i="1"/>
  <c r="X3541" i="1"/>
  <c r="V3542" i="1"/>
  <c r="W3542" i="1"/>
  <c r="X3542" i="1"/>
  <c r="V3543" i="1"/>
  <c r="W3543" i="1"/>
  <c r="X3543" i="1"/>
  <c r="V3544" i="1"/>
  <c r="W3544" i="1"/>
  <c r="X3544" i="1"/>
  <c r="V3545" i="1"/>
  <c r="W3545" i="1"/>
  <c r="X354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550" i="1"/>
  <c r="W3550" i="1"/>
  <c r="X3550" i="1"/>
  <c r="V3551" i="1"/>
  <c r="W3551" i="1"/>
  <c r="X3551" i="1"/>
  <c r="V3552" i="1"/>
  <c r="W3552" i="1"/>
  <c r="X3552" i="1"/>
  <c r="V3553" i="1"/>
  <c r="W3553" i="1"/>
  <c r="X3553" i="1"/>
  <c r="V3554" i="1"/>
  <c r="W3554" i="1"/>
  <c r="X3554" i="1"/>
  <c r="V3555" i="1"/>
  <c r="W3555" i="1"/>
  <c r="X3555" i="1"/>
  <c r="V3556" i="1"/>
  <c r="W3556" i="1"/>
  <c r="X3556" i="1"/>
  <c r="V3557" i="1"/>
  <c r="W3557" i="1"/>
  <c r="X3557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596" i="1"/>
  <c r="W3596" i="1"/>
  <c r="X3596" i="1"/>
  <c r="V3597" i="1"/>
  <c r="W3597" i="1"/>
  <c r="X3597" i="1"/>
  <c r="V3598" i="1"/>
  <c r="W3598" i="1"/>
  <c r="X3598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3625" i="1"/>
  <c r="W3625" i="1"/>
  <c r="X3625" i="1"/>
  <c r="V3626" i="1"/>
  <c r="W3626" i="1"/>
  <c r="X3626" i="1"/>
  <c r="V3627" i="1"/>
  <c r="W3627" i="1"/>
  <c r="X3627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3662" i="1"/>
  <c r="W3662" i="1"/>
  <c r="X3662" i="1"/>
  <c r="V3663" i="1"/>
  <c r="W3663" i="1"/>
  <c r="X3663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678" i="1"/>
  <c r="W3678" i="1"/>
  <c r="X3678" i="1"/>
  <c r="V3679" i="1"/>
  <c r="W3679" i="1"/>
  <c r="X3679" i="1"/>
  <c r="V3680" i="1"/>
  <c r="W3680" i="1"/>
  <c r="X3680" i="1"/>
  <c r="V3681" i="1"/>
  <c r="W3681" i="1"/>
  <c r="X3681" i="1"/>
  <c r="V3682" i="1"/>
  <c r="W3682" i="1"/>
  <c r="X3682" i="1"/>
  <c r="V3683" i="1"/>
  <c r="W3683" i="1"/>
  <c r="X3683" i="1"/>
  <c r="V3684" i="1"/>
  <c r="W3684" i="1"/>
  <c r="X3684" i="1"/>
  <c r="V3685" i="1"/>
  <c r="W3685" i="1"/>
  <c r="X3685" i="1"/>
  <c r="V3686" i="1"/>
  <c r="W3686" i="1"/>
  <c r="X3686" i="1"/>
  <c r="V3687" i="1"/>
  <c r="W3687" i="1"/>
  <c r="X3687" i="1"/>
  <c r="V3688" i="1"/>
  <c r="W3688" i="1"/>
  <c r="X3688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704" i="1"/>
  <c r="W3704" i="1"/>
  <c r="X3704" i="1"/>
  <c r="V3705" i="1"/>
  <c r="W3705" i="1"/>
  <c r="X3705" i="1"/>
  <c r="V3706" i="1"/>
  <c r="W3706" i="1"/>
  <c r="X3706" i="1"/>
  <c r="V3707" i="1"/>
  <c r="W3707" i="1"/>
  <c r="X3707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3714" i="1"/>
  <c r="W3714" i="1"/>
  <c r="X3714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720" i="1"/>
  <c r="W3720" i="1"/>
  <c r="X3720" i="1"/>
  <c r="V3721" i="1"/>
  <c r="W3721" i="1"/>
  <c r="X3721" i="1"/>
  <c r="V3722" i="1"/>
  <c r="W3722" i="1"/>
  <c r="X3722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3730" i="1"/>
  <c r="W3730" i="1"/>
  <c r="X3730" i="1"/>
  <c r="V3731" i="1"/>
  <c r="W3731" i="1"/>
  <c r="X3731" i="1"/>
  <c r="V3732" i="1"/>
  <c r="W3732" i="1"/>
  <c r="X3732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739" i="1"/>
  <c r="W3739" i="1"/>
  <c r="X3739" i="1"/>
  <c r="V3740" i="1"/>
  <c r="W3740" i="1"/>
  <c r="X3740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746" i="1"/>
  <c r="W3746" i="1"/>
  <c r="X3746" i="1"/>
  <c r="V3747" i="1"/>
  <c r="W3747" i="1"/>
  <c r="X3747" i="1"/>
  <c r="V3748" i="1"/>
  <c r="W3748" i="1"/>
  <c r="X3748" i="1"/>
  <c r="V3749" i="1"/>
  <c r="W3749" i="1"/>
  <c r="X3749" i="1"/>
  <c r="V3750" i="1"/>
  <c r="W3750" i="1"/>
  <c r="X3750" i="1"/>
  <c r="V3751" i="1"/>
  <c r="W3751" i="1"/>
  <c r="X3751" i="1"/>
  <c r="V3752" i="1"/>
  <c r="W3752" i="1"/>
  <c r="X3752" i="1"/>
  <c r="V3753" i="1"/>
  <c r="W3753" i="1"/>
  <c r="X3753" i="1"/>
  <c r="V3754" i="1"/>
  <c r="W3754" i="1"/>
  <c r="X3754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3775" i="1"/>
  <c r="W3775" i="1"/>
  <c r="X3775" i="1"/>
  <c r="V3776" i="1"/>
  <c r="W3776" i="1"/>
  <c r="X3776" i="1"/>
  <c r="V3777" i="1"/>
  <c r="W3777" i="1"/>
  <c r="X3777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3783" i="1"/>
  <c r="W3783" i="1"/>
  <c r="X3783" i="1"/>
  <c r="V3784" i="1"/>
  <c r="W3784" i="1"/>
  <c r="X3784" i="1"/>
  <c r="V3785" i="1"/>
  <c r="W3785" i="1"/>
  <c r="X3785" i="1"/>
  <c r="V3786" i="1"/>
  <c r="W3786" i="1"/>
  <c r="X3786" i="1"/>
  <c r="V3787" i="1"/>
  <c r="W3787" i="1"/>
  <c r="X3787" i="1"/>
  <c r="V3788" i="1"/>
  <c r="W3788" i="1"/>
  <c r="X37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<sst xmlns="http://schemas.openxmlformats.org/spreadsheetml/2006/main" count="31095" uniqueCount="3337">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</sst>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3788" totalsRowShown="0">
  <autoFilter ref="A1:X378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3788"/>
  <sheetViews>
    <sheetView tabSelected="1" topLeftCell="N2433" zoomScale="90" zoomScaleNormal="90" workbookViewId="0">
      <selection activeCell="V2440" sqref="V2440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18</v>
      </c>
      <c r="C2457" t="s">
        <v>3012</v>
      </c>
      <c r="D2457" s="1">
        <v>46066</v>
      </c>
      <c r="E2457" t="s">
        <v>3013</v>
      </c>
      <c r="F2457">
        <v>9</v>
      </c>
      <c r="G2457">
        <v>236</v>
      </c>
      <c r="H2457" t="str">
        <f>VLOOKUP(G2457,[1]OPERADORES!$A:$B,2,0)</f>
        <v>DANIEL</v>
      </c>
      <c r="I2457" t="s">
        <v>21</v>
      </c>
      <c r="J2457" t="s">
        <v>22</v>
      </c>
      <c r="K2457" t="s">
        <v>23</v>
      </c>
      <c r="L2457">
        <v>86230</v>
      </c>
      <c r="M2457" t="s">
        <v>375</v>
      </c>
      <c r="O2457" t="s">
        <v>11</v>
      </c>
      <c r="P2457">
        <v>5403</v>
      </c>
      <c r="Q2457">
        <v>1</v>
      </c>
      <c r="R2457">
        <v>280.61</v>
      </c>
      <c r="S2457">
        <v>280.61</v>
      </c>
      <c r="T2457">
        <v>220.78</v>
      </c>
      <c r="U2457">
        <v>21.32</v>
      </c>
      <c r="V2457" t="str">
        <f>VLOOKUP(L2457,'[2]tabela de preços'!$A:$D,4,0)</f>
        <v>CORAL</v>
      </c>
      <c r="W2457" t="str">
        <f>VLOOKUP(L2457,'[2]tabela de preços'!$A:$F,6,0)</f>
        <v>TINTA PAREDE</v>
      </c>
      <c r="X2457" t="str">
        <f>VLOOKUP(L2457,'[2]tabela de preços'!$A:$G,7,0)</f>
        <v>IMOBILIÁRIO</v>
      </c>
    </row>
    <row r="2458" spans="1:24" x14ac:dyDescent="0.3">
      <c r="A2458" t="s">
        <v>18</v>
      </c>
      <c r="C2458" t="s">
        <v>3012</v>
      </c>
      <c r="D2458" s="1">
        <v>46066</v>
      </c>
      <c r="E2458" t="s">
        <v>3013</v>
      </c>
      <c r="F2458">
        <v>9</v>
      </c>
      <c r="G2458">
        <v>236</v>
      </c>
      <c r="H2458" t="str">
        <f>VLOOKUP(G2458,[1]OPERADORES!$A:$B,2,0)</f>
        <v>DANIEL</v>
      </c>
      <c r="I2458" t="s">
        <v>21</v>
      </c>
      <c r="J2458" t="s">
        <v>22</v>
      </c>
      <c r="K2458" t="s">
        <v>23</v>
      </c>
      <c r="L2458">
        <v>84366</v>
      </c>
      <c r="M2458" t="s">
        <v>3014</v>
      </c>
      <c r="O2458" t="s">
        <v>11</v>
      </c>
      <c r="P2458">
        <v>5403</v>
      </c>
      <c r="Q2458">
        <v>1</v>
      </c>
      <c r="R2458">
        <v>88.29</v>
      </c>
      <c r="S2458">
        <v>88.29</v>
      </c>
      <c r="T2458">
        <v>64.73</v>
      </c>
      <c r="U2458">
        <v>26.68</v>
      </c>
      <c r="V2458" t="str">
        <f>VLOOKUP(L2458,'[2]tabela de preços'!$A:$D,4,0)</f>
        <v>BRASILUX</v>
      </c>
      <c r="W2458" t="str">
        <f>VLOOKUP(L2458,'[2]tabela de preços'!$A:$F,6,0)</f>
        <v>TINTA EMBORRACHADA</v>
      </c>
      <c r="X2458" t="str">
        <f>VLOOKUP(L2458,'[2]tabela de preços'!$A:$G,7,0)</f>
        <v>IMOBILIÁRIO</v>
      </c>
    </row>
    <row r="2459" spans="1:24" x14ac:dyDescent="0.3">
      <c r="A2459" t="s">
        <v>18</v>
      </c>
      <c r="C2459" t="s">
        <v>3012</v>
      </c>
      <c r="D2459" s="1">
        <v>46066</v>
      </c>
      <c r="E2459" t="s">
        <v>3013</v>
      </c>
      <c r="F2459">
        <v>9</v>
      </c>
      <c r="G2459">
        <v>236</v>
      </c>
      <c r="H2459" t="str">
        <f>VLOOKUP(G2459,[1]OPERADORES!$A:$B,2,0)</f>
        <v>DANIEL</v>
      </c>
      <c r="I2459" t="s">
        <v>21</v>
      </c>
      <c r="J2459" t="s">
        <v>22</v>
      </c>
      <c r="K2459" t="s">
        <v>23</v>
      </c>
      <c r="L2459">
        <v>24241</v>
      </c>
      <c r="M2459" t="s">
        <v>233</v>
      </c>
      <c r="O2459" t="s">
        <v>11</v>
      </c>
      <c r="P2459">
        <v>5102</v>
      </c>
      <c r="Q2459">
        <v>4</v>
      </c>
      <c r="R2459">
        <v>12.2</v>
      </c>
      <c r="S2459">
        <v>48.8</v>
      </c>
      <c r="T2459">
        <v>37.04</v>
      </c>
      <c r="U2459">
        <v>24.1</v>
      </c>
      <c r="V2459" t="str">
        <f>VLOOKUP(L2459,'[2]tabela de preços'!$A:$D,4,0)</f>
        <v>ADERE</v>
      </c>
      <c r="W2459" t="str">
        <f>VLOOKUP(L2459,'[2]tabela de preços'!$A:$F,6,0)</f>
        <v>FITA AUTOMOTIVA</v>
      </c>
      <c r="X2459" t="str">
        <f>VLOOKUP(L2459,'[2]tabela de preços'!$A:$G,7,0)</f>
        <v>AUTOMOTIVO</v>
      </c>
    </row>
    <row r="2460" spans="1:24" x14ac:dyDescent="0.3">
      <c r="A2460" t="s">
        <v>18</v>
      </c>
      <c r="C2460" t="s">
        <v>3012</v>
      </c>
      <c r="D2460" s="1">
        <v>46066</v>
      </c>
      <c r="E2460" t="s">
        <v>3013</v>
      </c>
      <c r="F2460">
        <v>9</v>
      </c>
      <c r="G2460">
        <v>236</v>
      </c>
      <c r="H2460" t="str">
        <f>VLOOKUP(G2460,[1]OPERADORES!$A:$B,2,0)</f>
        <v>DANIEL</v>
      </c>
      <c r="I2460" t="s">
        <v>21</v>
      </c>
      <c r="J2460" t="s">
        <v>22</v>
      </c>
      <c r="K2460" t="s">
        <v>23</v>
      </c>
      <c r="L2460">
        <v>84036</v>
      </c>
      <c r="M2460" t="s">
        <v>289</v>
      </c>
      <c r="O2460" t="s">
        <v>11</v>
      </c>
      <c r="P2460">
        <v>5102</v>
      </c>
      <c r="Q2460">
        <v>1</v>
      </c>
      <c r="R2460">
        <v>47.9</v>
      </c>
      <c r="S2460">
        <v>47.9</v>
      </c>
      <c r="T2460">
        <v>41.63</v>
      </c>
      <c r="U2460">
        <v>13.09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18</v>
      </c>
      <c r="C2461" t="s">
        <v>3015</v>
      </c>
      <c r="D2461" s="1">
        <v>46066</v>
      </c>
      <c r="E2461" t="s">
        <v>3016</v>
      </c>
      <c r="F2461">
        <v>9</v>
      </c>
      <c r="G2461">
        <v>236</v>
      </c>
      <c r="H2461" t="str">
        <f>VLOOKUP(G2461,[1]OPERADORES!$A:$B,2,0)</f>
        <v>DANIEL</v>
      </c>
      <c r="I2461" t="s">
        <v>21</v>
      </c>
      <c r="J2461" t="s">
        <v>22</v>
      </c>
      <c r="K2461" t="s">
        <v>23</v>
      </c>
      <c r="L2461">
        <v>85056</v>
      </c>
      <c r="M2461" t="s">
        <v>3017</v>
      </c>
      <c r="O2461" t="s">
        <v>11</v>
      </c>
      <c r="P2461">
        <v>5102</v>
      </c>
      <c r="Q2461">
        <v>1</v>
      </c>
      <c r="R2461">
        <v>15.06</v>
      </c>
      <c r="S2461">
        <v>15.06</v>
      </c>
      <c r="T2461">
        <v>11.43</v>
      </c>
      <c r="U2461">
        <v>24.1</v>
      </c>
      <c r="V2461" t="str">
        <f>VLOOKUP(L2461,'[2]tabela de preços'!$A:$D,4,0)</f>
        <v>ATLAS</v>
      </c>
      <c r="W2461" t="str">
        <f>VLOOKUP(L2461,'[2]tabela de preços'!$A:$F,6,0)</f>
        <v>ROLOS / TRINCHAS / PINCÉIS / ESPÁTULAS</v>
      </c>
      <c r="X2461" t="str">
        <f>VLOOKUP(L2461,'[2]tabela de preços'!$A:$G,7,0)</f>
        <v>IMOBILIÁRIO</v>
      </c>
    </row>
    <row r="2462" spans="1:24" x14ac:dyDescent="0.3">
      <c r="A2462" t="s">
        <v>18</v>
      </c>
      <c r="C2462" t="s">
        <v>3015</v>
      </c>
      <c r="D2462" s="1">
        <v>46066</v>
      </c>
      <c r="E2462" t="s">
        <v>3016</v>
      </c>
      <c r="F2462">
        <v>9</v>
      </c>
      <c r="G2462">
        <v>236</v>
      </c>
      <c r="H2462" t="str">
        <f>VLOOKUP(G2462,[1]OPERADORES!$A:$B,2,0)</f>
        <v>DANIEL</v>
      </c>
      <c r="I2462" t="s">
        <v>21</v>
      </c>
      <c r="J2462" t="s">
        <v>22</v>
      </c>
      <c r="K2462" t="s">
        <v>23</v>
      </c>
      <c r="L2462">
        <v>85057</v>
      </c>
      <c r="M2462" t="s">
        <v>2931</v>
      </c>
      <c r="O2462" t="s">
        <v>11</v>
      </c>
      <c r="P2462">
        <v>5102</v>
      </c>
      <c r="Q2462">
        <v>2</v>
      </c>
      <c r="R2462">
        <v>10.5</v>
      </c>
      <c r="S2462">
        <v>21</v>
      </c>
      <c r="T2462">
        <v>15.94</v>
      </c>
      <c r="U2462">
        <v>24.1</v>
      </c>
      <c r="V2462" t="str">
        <f>VLOOKUP(L2462,'[2]tabela de preços'!$A:$D,4,0)</f>
        <v>ATLAS</v>
      </c>
      <c r="W2462" t="str">
        <f>VLOOKUP(L2462,'[2]tabela de preços'!$A:$F,6,0)</f>
        <v>ROLOS / TRINCHAS / PINCÉIS / ESPÁTULAS</v>
      </c>
      <c r="X2462" t="str">
        <f>VLOOKUP(L2462,'[2]tabela de preços'!$A:$G,7,0)</f>
        <v>IMOBILIÁRIO</v>
      </c>
    </row>
    <row r="2463" spans="1:24" x14ac:dyDescent="0.3">
      <c r="A2463" t="s">
        <v>2739</v>
      </c>
      <c r="C2463" t="s">
        <v>2740</v>
      </c>
      <c r="D2463" s="1">
        <v>46059</v>
      </c>
      <c r="E2463" t="s">
        <v>2741</v>
      </c>
      <c r="F2463">
        <v>9</v>
      </c>
      <c r="G2463">
        <v>231</v>
      </c>
      <c r="H2463" t="str">
        <f>VLOOKUP(G2463,[1]OPERADORES!$A:$B,2,0)</f>
        <v>EDIJANE</v>
      </c>
      <c r="I2463" t="s">
        <v>317</v>
      </c>
      <c r="J2463" t="s">
        <v>2742</v>
      </c>
      <c r="K2463" t="s">
        <v>2743</v>
      </c>
      <c r="L2463">
        <v>85401</v>
      </c>
      <c r="M2463" t="s">
        <v>261</v>
      </c>
      <c r="O2463" t="s">
        <v>11</v>
      </c>
      <c r="P2463">
        <v>6102</v>
      </c>
      <c r="Q2463">
        <v>1</v>
      </c>
      <c r="R2463">
        <v>633.42999999999995</v>
      </c>
      <c r="S2463">
        <v>633.42999999999995</v>
      </c>
      <c r="T2463">
        <v>451.64</v>
      </c>
      <c r="U2463">
        <v>28.7</v>
      </c>
      <c r="V2463" t="str">
        <f>VLOOKUP(L2463,'[2]tabela de preços'!$A:$D,4,0)</f>
        <v>BRASILUX</v>
      </c>
      <c r="W2463" t="str">
        <f>VLOOKUP(L2463,'[2]tabela de preços'!$A:$F,6,0)</f>
        <v>TINTA EM PÓ</v>
      </c>
      <c r="X2463" t="str">
        <f>VLOOKUP(L2463,'[2]tabela de preços'!$A:$G,7,0)</f>
        <v>INDUSTRIAL</v>
      </c>
    </row>
    <row r="2464" spans="1:24" x14ac:dyDescent="0.3">
      <c r="A2464" t="s">
        <v>2739</v>
      </c>
      <c r="C2464" t="s">
        <v>3018</v>
      </c>
      <c r="D2464" s="1">
        <v>46072</v>
      </c>
      <c r="E2464" t="s">
        <v>3019</v>
      </c>
      <c r="F2464">
        <v>9</v>
      </c>
      <c r="G2464">
        <v>231</v>
      </c>
      <c r="H2464" t="str">
        <f>VLOOKUP(G2464,[1]OPERADORES!$A:$B,2,0)</f>
        <v>EDIJANE</v>
      </c>
      <c r="I2464" t="s">
        <v>317</v>
      </c>
      <c r="J2464" t="s">
        <v>2742</v>
      </c>
      <c r="K2464" t="s">
        <v>2743</v>
      </c>
      <c r="L2464">
        <v>85336</v>
      </c>
      <c r="M2464" t="s">
        <v>2154</v>
      </c>
      <c r="O2464" t="s">
        <v>11</v>
      </c>
      <c r="P2464">
        <v>6102</v>
      </c>
      <c r="Q2464">
        <v>5</v>
      </c>
      <c r="R2464">
        <v>513.32000000000005</v>
      </c>
      <c r="S2464" s="2">
        <v>2566.6</v>
      </c>
      <c r="T2464" s="2">
        <v>1830</v>
      </c>
      <c r="U2464">
        <v>28.7</v>
      </c>
      <c r="V2464" t="str">
        <f>VLOOKUP(L2464,'[2]tabela de preços'!$A:$D,4,0)</f>
        <v>BRASILUX</v>
      </c>
      <c r="W2464" t="str">
        <f>VLOOKUP(L2464,'[2]tabela de preços'!$A:$F,6,0)</f>
        <v>TINTA EM PÓ</v>
      </c>
      <c r="X2464" t="str">
        <f>VLOOKUP(L2464,'[2]tabela de preços'!$A:$G,7,0)</f>
        <v>INDUSTRIAL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20099</v>
      </c>
      <c r="M2465" t="s">
        <v>1308</v>
      </c>
      <c r="O2465" t="s">
        <v>11</v>
      </c>
      <c r="P2465">
        <v>6403</v>
      </c>
      <c r="Q2465">
        <v>1</v>
      </c>
      <c r="R2465">
        <v>15.9</v>
      </c>
      <c r="S2465">
        <v>15.9</v>
      </c>
      <c r="T2465">
        <v>12.07</v>
      </c>
      <c r="U2465">
        <v>24.09</v>
      </c>
      <c r="V2465" t="str">
        <f>VLOOKUP(L2465,'[2]tabela de preços'!$A:$D,4,0)</f>
        <v>MAXI RUBBER</v>
      </c>
      <c r="W2465" t="str">
        <f>VLOOKUP(L2465,'[2]tabela de preços'!$A:$F,6,0)</f>
        <v>BATIDA DE PEDRA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84564</v>
      </c>
      <c r="M2466" t="s">
        <v>2176</v>
      </c>
      <c r="O2466" t="s">
        <v>11</v>
      </c>
      <c r="P2466">
        <v>6403</v>
      </c>
      <c r="Q2466">
        <v>3</v>
      </c>
      <c r="R2466">
        <v>24.07</v>
      </c>
      <c r="S2466">
        <v>72.209999999999994</v>
      </c>
      <c r="T2466">
        <v>54.81</v>
      </c>
      <c r="U2466">
        <v>24.1</v>
      </c>
      <c r="V2466" t="str">
        <f>VLOOKUP(L2466,'[2]tabela de preços'!$A:$D,4,0)</f>
        <v>BRASILUX</v>
      </c>
      <c r="W2466" t="str">
        <f>VLOOKUP(L2466,'[2]tabela de preços'!$A:$F,6,0)</f>
        <v>PRETO FOSCO VINÍLICO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84565</v>
      </c>
      <c r="M2467" t="s">
        <v>236</v>
      </c>
      <c r="O2467" t="s">
        <v>11</v>
      </c>
      <c r="P2467">
        <v>6102</v>
      </c>
      <c r="Q2467">
        <v>3</v>
      </c>
      <c r="R2467">
        <v>9.24</v>
      </c>
      <c r="S2467">
        <v>27.72</v>
      </c>
      <c r="T2467">
        <v>21.03</v>
      </c>
      <c r="U2467">
        <v>24.13</v>
      </c>
      <c r="V2467" t="str">
        <f>VLOOKUP(L2467,'[2]tabela de preços'!$A:$D,4,0)</f>
        <v>BRASILUX</v>
      </c>
      <c r="W2467" t="str">
        <f>VLOOKUP(L2467,'[2]tabela de preços'!$A:$F,6,0)</f>
        <v>PRETO FOSCO VINÍLICO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84557</v>
      </c>
      <c r="M2468" t="s">
        <v>116</v>
      </c>
      <c r="O2468" t="s">
        <v>11</v>
      </c>
      <c r="P2468">
        <v>6102</v>
      </c>
      <c r="Q2468">
        <v>6</v>
      </c>
      <c r="R2468">
        <v>17.489999999999998</v>
      </c>
      <c r="S2468">
        <v>104.94</v>
      </c>
      <c r="T2468">
        <v>83.76</v>
      </c>
      <c r="U2468">
        <v>20.18</v>
      </c>
      <c r="V2468" t="str">
        <f>VLOOKUP(L2468,'[2]tabela de preços'!$A:$D,4,0)</f>
        <v>BRASILUX</v>
      </c>
      <c r="W2468" t="str">
        <f>VLOOKUP(L2468,'[2]tabela de preços'!$A:$F,6,0)</f>
        <v>DILUENTE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24248</v>
      </c>
      <c r="M2469" t="s">
        <v>107</v>
      </c>
      <c r="O2469" t="s">
        <v>11</v>
      </c>
      <c r="P2469">
        <v>6102</v>
      </c>
      <c r="Q2469">
        <v>6</v>
      </c>
      <c r="R2469">
        <v>8</v>
      </c>
      <c r="S2469">
        <v>48</v>
      </c>
      <c r="T2469">
        <v>39</v>
      </c>
      <c r="U2469">
        <v>18.75</v>
      </c>
      <c r="V2469" t="str">
        <f>VLOOKUP(L2469,'[2]tabela de preços'!$A:$D,4,0)</f>
        <v>SHERWIN WILLIAMS</v>
      </c>
      <c r="W2469" t="str">
        <f>VLOOKUP(L2469,'[2]tabela de preços'!$A:$F,6,0)</f>
        <v>PRIMER AUTOMOTIVO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2418</v>
      </c>
      <c r="D2470" s="1">
        <v>46055</v>
      </c>
      <c r="E2470" t="s">
        <v>2419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15</v>
      </c>
      <c r="M2470" t="s">
        <v>205</v>
      </c>
      <c r="O2470" t="s">
        <v>11</v>
      </c>
      <c r="P2470">
        <v>6102</v>
      </c>
      <c r="Q2470">
        <v>15</v>
      </c>
      <c r="R2470">
        <v>6.45</v>
      </c>
      <c r="S2470">
        <v>96.75</v>
      </c>
      <c r="T2470">
        <v>62.4</v>
      </c>
      <c r="U2470">
        <v>35.5</v>
      </c>
      <c r="V2470" t="str">
        <f>VLOOKUP(L2470,'[2]tabela de preços'!$A:$D,4,0)</f>
        <v>3M</v>
      </c>
      <c r="W2470" t="str">
        <f>VLOOKUP(L2470,'[2]tabela de preços'!$A:$F,6,0)</f>
        <v>LIXA DÁGUA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2418</v>
      </c>
      <c r="D2471" s="1">
        <v>46055</v>
      </c>
      <c r="E2471" t="s">
        <v>2419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16</v>
      </c>
      <c r="M2471" t="s">
        <v>122</v>
      </c>
      <c r="O2471" t="s">
        <v>11</v>
      </c>
      <c r="P2471">
        <v>6102</v>
      </c>
      <c r="Q2471">
        <v>15</v>
      </c>
      <c r="R2471">
        <v>3.41</v>
      </c>
      <c r="S2471">
        <v>51.15</v>
      </c>
      <c r="T2471">
        <v>33</v>
      </c>
      <c r="U2471">
        <v>35.479999999999997</v>
      </c>
      <c r="V2471" t="str">
        <f>VLOOKUP(L2471,'[2]tabela de preços'!$A:$D,4,0)</f>
        <v>3M</v>
      </c>
      <c r="W2471" t="str">
        <f>VLOOKUP(L2471,'[2]tabela de preços'!$A:$F,6,0)</f>
        <v>LIXA DÁGUA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2418</v>
      </c>
      <c r="D2472" s="1">
        <v>46055</v>
      </c>
      <c r="E2472" t="s">
        <v>2419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10242</v>
      </c>
      <c r="M2472" t="s">
        <v>82</v>
      </c>
      <c r="O2472" t="s">
        <v>11</v>
      </c>
      <c r="P2472">
        <v>6102</v>
      </c>
      <c r="Q2472">
        <v>25</v>
      </c>
      <c r="R2472">
        <v>2.79</v>
      </c>
      <c r="S2472">
        <v>69.75</v>
      </c>
      <c r="T2472">
        <v>56</v>
      </c>
      <c r="U2472">
        <v>19.71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2418</v>
      </c>
      <c r="D2473" s="1">
        <v>46055</v>
      </c>
      <c r="E2473" t="s">
        <v>2419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10243</v>
      </c>
      <c r="M2473" t="s">
        <v>83</v>
      </c>
      <c r="O2473" t="s">
        <v>11</v>
      </c>
      <c r="P2473">
        <v>6102</v>
      </c>
      <c r="Q2473">
        <v>25</v>
      </c>
      <c r="R2473">
        <v>2.79</v>
      </c>
      <c r="S2473">
        <v>69.75</v>
      </c>
      <c r="T2473">
        <v>48.25</v>
      </c>
      <c r="U2473">
        <v>30.82</v>
      </c>
      <c r="V2473" t="str">
        <f>VLOOKUP(L2473,'[2]tabela de preços'!$A:$D,4,0)</f>
        <v>NORTON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2418</v>
      </c>
      <c r="D2474" s="1">
        <v>46055</v>
      </c>
      <c r="E2474" t="s">
        <v>2419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10244</v>
      </c>
      <c r="M2474" t="s">
        <v>84</v>
      </c>
      <c r="O2474" t="s">
        <v>11</v>
      </c>
      <c r="P2474">
        <v>6102</v>
      </c>
      <c r="Q2474">
        <v>25</v>
      </c>
      <c r="R2474">
        <v>2.79</v>
      </c>
      <c r="S2474">
        <v>69.75</v>
      </c>
      <c r="T2474">
        <v>48.25</v>
      </c>
      <c r="U2474">
        <v>30.82</v>
      </c>
      <c r="V2474" t="str">
        <f>VLOOKUP(L2474,'[2]tabela de preços'!$A:$D,4,0)</f>
        <v>NORTON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2418</v>
      </c>
      <c r="D2475" s="1">
        <v>46055</v>
      </c>
      <c r="E2475" t="s">
        <v>2419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21078</v>
      </c>
      <c r="M2475" t="s">
        <v>141</v>
      </c>
      <c r="O2475" t="s">
        <v>11</v>
      </c>
      <c r="P2475">
        <v>6102</v>
      </c>
      <c r="Q2475">
        <v>6</v>
      </c>
      <c r="R2475">
        <v>22.89</v>
      </c>
      <c r="S2475">
        <v>137.34</v>
      </c>
      <c r="T2475">
        <v>111.96</v>
      </c>
      <c r="U2475">
        <v>18.48</v>
      </c>
      <c r="V2475" t="str">
        <f>VLOOKUP(L2475,'[2]tabela de preços'!$A:$D,4,0)</f>
        <v>SHERWIN WILLIAMS</v>
      </c>
      <c r="W2475" t="str">
        <f>VLOOKUP(L2475,'[2]tabela de preços'!$A:$F,6,0)</f>
        <v>MASSA POLIÉSTER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2418</v>
      </c>
      <c r="D2476" s="1">
        <v>46055</v>
      </c>
      <c r="E2476" t="s">
        <v>2419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24247</v>
      </c>
      <c r="M2476" t="s">
        <v>160</v>
      </c>
      <c r="O2476" t="s">
        <v>11</v>
      </c>
      <c r="P2476">
        <v>6403</v>
      </c>
      <c r="Q2476">
        <v>6</v>
      </c>
      <c r="R2476">
        <v>21</v>
      </c>
      <c r="S2476">
        <v>126</v>
      </c>
      <c r="T2476">
        <v>101.22</v>
      </c>
      <c r="U2476">
        <v>19.670000000000002</v>
      </c>
      <c r="V2476" t="str">
        <f>VLOOKUP(L2476,'[2]tabela de preços'!$A:$D,4,0)</f>
        <v>SHERWIN WILLIAMS</v>
      </c>
      <c r="W2476" t="str">
        <f>VLOOKUP(L2476,'[2]tabela de preços'!$A:$F,6,0)</f>
        <v>PRIMER AUTOMOTIVO</v>
      </c>
      <c r="X2476" t="str">
        <f>VLOOKUP(L2476,'[2]tabela de preços'!$A:$G,7,0)</f>
        <v>AUTOMOTIVO</v>
      </c>
    </row>
    <row r="2477" spans="1:24" x14ac:dyDescent="0.3">
      <c r="A2477" t="s">
        <v>123</v>
      </c>
      <c r="C2477" t="s">
        <v>2567</v>
      </c>
      <c r="D2477" s="1">
        <v>46058</v>
      </c>
      <c r="E2477" t="s">
        <v>2568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23580</v>
      </c>
      <c r="M2477" t="s">
        <v>115</v>
      </c>
      <c r="O2477" t="s">
        <v>11</v>
      </c>
      <c r="P2477">
        <v>6102</v>
      </c>
      <c r="Q2477">
        <v>20</v>
      </c>
      <c r="R2477">
        <v>0.56000000000000005</v>
      </c>
      <c r="S2477">
        <v>11.2</v>
      </c>
      <c r="T2477">
        <v>7.2</v>
      </c>
      <c r="U2477">
        <v>35.71</v>
      </c>
      <c r="V2477" t="str">
        <f>VLOOKUP(L2477,'[2]tabela de preços'!$A:$D,4,0)</f>
        <v>RENOVA COADORES</v>
      </c>
      <c r="W2477" t="str">
        <f>VLOOKUP(L2477,'[2]tabela de preços'!$A:$F,6,0)</f>
        <v>COADORES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2567</v>
      </c>
      <c r="D2478" s="1">
        <v>46058</v>
      </c>
      <c r="E2478" t="s">
        <v>2568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84557</v>
      </c>
      <c r="M2478" t="s">
        <v>116</v>
      </c>
      <c r="O2478" t="s">
        <v>11</v>
      </c>
      <c r="P2478">
        <v>6102</v>
      </c>
      <c r="Q2478">
        <v>10</v>
      </c>
      <c r="R2478">
        <v>17.489999999999998</v>
      </c>
      <c r="S2478">
        <v>174.9</v>
      </c>
      <c r="T2478">
        <v>139.6</v>
      </c>
      <c r="U2478">
        <v>20.18</v>
      </c>
      <c r="V2478" t="str">
        <f>VLOOKUP(L2478,'[2]tabela de preços'!$A:$D,4,0)</f>
        <v>BRASILUX</v>
      </c>
      <c r="W2478" t="str">
        <f>VLOOKUP(L2478,'[2]tabela de preços'!$A:$F,6,0)</f>
        <v>DILUENTE</v>
      </c>
      <c r="X2478" t="str">
        <f>VLOOKUP(L2478,'[2]tabela de preços'!$A:$G,7,0)</f>
        <v>AUTOMOTIVO</v>
      </c>
    </row>
    <row r="2479" spans="1:24" x14ac:dyDescent="0.3">
      <c r="A2479" t="s">
        <v>123</v>
      </c>
      <c r="C2479" t="s">
        <v>2567</v>
      </c>
      <c r="D2479" s="1">
        <v>46058</v>
      </c>
      <c r="E2479" t="s">
        <v>2568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126</v>
      </c>
      <c r="J2479" t="s">
        <v>127</v>
      </c>
      <c r="K2479" t="s">
        <v>128</v>
      </c>
      <c r="L2479">
        <v>10230</v>
      </c>
      <c r="M2479" t="s">
        <v>193</v>
      </c>
      <c r="O2479" t="s">
        <v>11</v>
      </c>
      <c r="P2479">
        <v>6102</v>
      </c>
      <c r="Q2479">
        <v>20</v>
      </c>
      <c r="R2479">
        <v>2.79</v>
      </c>
      <c r="S2479">
        <v>55.8</v>
      </c>
      <c r="T2479">
        <v>46.4</v>
      </c>
      <c r="U2479">
        <v>16.850000000000001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123</v>
      </c>
      <c r="C2480" t="s">
        <v>2567</v>
      </c>
      <c r="D2480" s="1">
        <v>46058</v>
      </c>
      <c r="E2480" t="s">
        <v>2569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126</v>
      </c>
      <c r="J2480" t="s">
        <v>127</v>
      </c>
      <c r="K2480" t="s">
        <v>128</v>
      </c>
      <c r="L2480">
        <v>10232</v>
      </c>
      <c r="M2480" t="s">
        <v>134</v>
      </c>
      <c r="O2480" t="s">
        <v>11</v>
      </c>
      <c r="P2480">
        <v>6102</v>
      </c>
      <c r="Q2480">
        <v>15</v>
      </c>
      <c r="R2480">
        <v>2.79</v>
      </c>
      <c r="S2480">
        <v>41.85</v>
      </c>
      <c r="T2480">
        <v>33.75</v>
      </c>
      <c r="U2480">
        <v>19.350000000000001</v>
      </c>
      <c r="V2480" t="str">
        <f>VLOOKUP(L2480,'[2]tabela de preços'!$A:$D,4,0)</f>
        <v>NORTON</v>
      </c>
      <c r="W2480" t="str">
        <f>VLOOKUP(L2480,'[2]tabela de preços'!$A:$F,6,0)</f>
        <v xml:space="preserve">DISCOS / LIXAS / ABRASIVOS </v>
      </c>
      <c r="X2480" t="str">
        <f>VLOOKUP(L2480,'[2]tabela de preços'!$A:$G,7,0)</f>
        <v>AUTOMOTIVO</v>
      </c>
    </row>
    <row r="2481" spans="1:24" x14ac:dyDescent="0.3">
      <c r="A2481" t="s">
        <v>123</v>
      </c>
      <c r="C2481" t="s">
        <v>2567</v>
      </c>
      <c r="D2481" s="1">
        <v>46058</v>
      </c>
      <c r="E2481" t="s">
        <v>2568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126</v>
      </c>
      <c r="J2481" t="s">
        <v>127</v>
      </c>
      <c r="K2481" t="s">
        <v>128</v>
      </c>
      <c r="L2481">
        <v>20525</v>
      </c>
      <c r="M2481" t="s">
        <v>137</v>
      </c>
      <c r="O2481" t="s">
        <v>11</v>
      </c>
      <c r="P2481">
        <v>6102</v>
      </c>
      <c r="Q2481">
        <v>3</v>
      </c>
      <c r="R2481">
        <v>13.65</v>
      </c>
      <c r="S2481">
        <v>40.950000000000003</v>
      </c>
      <c r="T2481">
        <v>31.08</v>
      </c>
      <c r="U2481">
        <v>24.1</v>
      </c>
      <c r="V2481" t="str">
        <f>VLOOKUP(L2481,'[2]tabela de preços'!$A:$D,4,0)</f>
        <v>SHERWIN WILLIAMS</v>
      </c>
      <c r="W2481" t="str">
        <f>VLOOKUP(L2481,'[2]tabela de preços'!$A:$F,6,0)</f>
        <v>MASSA DE PEQUENOS REPAROS</v>
      </c>
      <c r="X2481" t="str">
        <f>VLOOKUP(L2481,'[2]tabela de preços'!$A:$G,7,0)</f>
        <v>AUTOMOTIVO</v>
      </c>
    </row>
    <row r="2482" spans="1:24" x14ac:dyDescent="0.3">
      <c r="A2482" t="s">
        <v>123</v>
      </c>
      <c r="C2482" t="s">
        <v>2567</v>
      </c>
      <c r="D2482" s="1">
        <v>46058</v>
      </c>
      <c r="E2482" t="s">
        <v>2568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126</v>
      </c>
      <c r="J2482" t="s">
        <v>127</v>
      </c>
      <c r="K2482" t="s">
        <v>128</v>
      </c>
      <c r="L2482">
        <v>21078</v>
      </c>
      <c r="M2482" t="s">
        <v>141</v>
      </c>
      <c r="O2482" t="s">
        <v>11</v>
      </c>
      <c r="P2482">
        <v>6102</v>
      </c>
      <c r="Q2482">
        <v>4</v>
      </c>
      <c r="R2482">
        <v>22.89</v>
      </c>
      <c r="S2482">
        <v>91.56</v>
      </c>
      <c r="T2482">
        <v>74.64</v>
      </c>
      <c r="U2482">
        <v>18.48</v>
      </c>
      <c r="V2482" t="str">
        <f>VLOOKUP(L2482,'[2]tabela de preços'!$A:$D,4,0)</f>
        <v>SHERWIN WILLIAMS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123</v>
      </c>
      <c r="C2483" t="s">
        <v>2567</v>
      </c>
      <c r="D2483" s="1">
        <v>46058</v>
      </c>
      <c r="E2483" t="s">
        <v>2568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126</v>
      </c>
      <c r="J2483" t="s">
        <v>127</v>
      </c>
      <c r="K2483" t="s">
        <v>128</v>
      </c>
      <c r="L2483">
        <v>10297</v>
      </c>
      <c r="M2483" t="s">
        <v>41</v>
      </c>
      <c r="O2483" t="s">
        <v>11</v>
      </c>
      <c r="P2483">
        <v>6102</v>
      </c>
      <c r="Q2483">
        <v>6</v>
      </c>
      <c r="R2483">
        <v>10.89</v>
      </c>
      <c r="S2483">
        <v>65.34</v>
      </c>
      <c r="T2483">
        <v>55.02</v>
      </c>
      <c r="U2483">
        <v>15.79</v>
      </c>
      <c r="V2483" t="str">
        <f>VLOOKUP(L2483,'[2]tabela de preços'!$A:$D,4,0)</f>
        <v>ANJO</v>
      </c>
      <c r="W2483" t="str">
        <f>VLOOKUP(L2483,'[2]tabela de preços'!$A:$F,6,0)</f>
        <v>THINNER DE LIMPEZA</v>
      </c>
      <c r="X2483" t="str">
        <f>VLOOKUP(L2483,'[2]tabela de preços'!$A:$G,7,0)</f>
        <v>THINNER</v>
      </c>
    </row>
    <row r="2484" spans="1:24" x14ac:dyDescent="0.3">
      <c r="A2484" t="s">
        <v>123</v>
      </c>
      <c r="C2484" t="s">
        <v>2567</v>
      </c>
      <c r="D2484" s="1">
        <v>46058</v>
      </c>
      <c r="E2484" t="s">
        <v>2568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126</v>
      </c>
      <c r="J2484" t="s">
        <v>127</v>
      </c>
      <c r="K2484" t="s">
        <v>128</v>
      </c>
      <c r="L2484">
        <v>10404</v>
      </c>
      <c r="M2484" t="s">
        <v>130</v>
      </c>
      <c r="O2484" t="s">
        <v>11</v>
      </c>
      <c r="P2484">
        <v>6102</v>
      </c>
      <c r="Q2484">
        <v>4</v>
      </c>
      <c r="R2484">
        <v>16.29</v>
      </c>
      <c r="S2484">
        <v>65.16</v>
      </c>
      <c r="T2484">
        <v>50.04</v>
      </c>
      <c r="U2484">
        <v>23.2</v>
      </c>
      <c r="V2484" t="str">
        <f>VLOOKUP(L2484,'[2]tabela de preços'!$A:$D,4,0)</f>
        <v>MAXI RUBBER</v>
      </c>
      <c r="W2484" t="str">
        <f>VLOOKUP(L2484,'[2]tabela de preços'!$A:$F,6,0)</f>
        <v>VEDADORES / SELANTES</v>
      </c>
      <c r="X2484" t="str">
        <f>VLOOKUP(L2484,'[2]tabela de preços'!$A:$G,7,0)</f>
        <v>AUTOMOTIVO</v>
      </c>
    </row>
    <row r="2485" spans="1:24" x14ac:dyDescent="0.3">
      <c r="A2485" t="s">
        <v>123</v>
      </c>
      <c r="C2485" t="s">
        <v>2744</v>
      </c>
      <c r="D2485" s="1">
        <v>46059</v>
      </c>
      <c r="E2485" t="s">
        <v>2745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126</v>
      </c>
      <c r="J2485" t="s">
        <v>127</v>
      </c>
      <c r="K2485" t="s">
        <v>128</v>
      </c>
      <c r="L2485">
        <v>20431</v>
      </c>
      <c r="M2485" t="s">
        <v>202</v>
      </c>
      <c r="O2485" t="s">
        <v>11</v>
      </c>
      <c r="P2485">
        <v>6403</v>
      </c>
      <c r="Q2485">
        <v>7</v>
      </c>
      <c r="R2485">
        <v>36.89</v>
      </c>
      <c r="S2485">
        <v>258.23</v>
      </c>
      <c r="T2485">
        <v>211.82</v>
      </c>
      <c r="U2485">
        <v>17.97</v>
      </c>
      <c r="V2485" t="str">
        <f>VLOOKUP(L2485,'[2]tabela de preços'!$A:$D,4,0)</f>
        <v>SHERWIN WILLIAMS</v>
      </c>
      <c r="W2485" t="str">
        <f>VLOOKUP(L2485,'[2]tabela de preços'!$A:$F,6,0)</f>
        <v>VERNIZ AUTOMOTIVO</v>
      </c>
      <c r="X2485" t="str">
        <f>VLOOKUP(L2485,'[2]tabela de preços'!$A:$G,7,0)</f>
        <v>AUTOMOTIVO</v>
      </c>
    </row>
    <row r="2486" spans="1:24" x14ac:dyDescent="0.3">
      <c r="A2486" t="s">
        <v>123</v>
      </c>
      <c r="C2486" t="s">
        <v>3020</v>
      </c>
      <c r="D2486" s="1">
        <v>46065</v>
      </c>
      <c r="E2486" t="s">
        <v>3021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126</v>
      </c>
      <c r="J2486" t="s">
        <v>127</v>
      </c>
      <c r="K2486" t="s">
        <v>128</v>
      </c>
      <c r="L2486">
        <v>24248</v>
      </c>
      <c r="M2486" t="s">
        <v>107</v>
      </c>
      <c r="O2486" t="s">
        <v>11</v>
      </c>
      <c r="P2486">
        <v>6102</v>
      </c>
      <c r="Q2486">
        <v>5</v>
      </c>
      <c r="R2486">
        <v>8</v>
      </c>
      <c r="S2486">
        <v>40</v>
      </c>
      <c r="T2486">
        <v>32.5</v>
      </c>
      <c r="U2486">
        <v>18.75</v>
      </c>
      <c r="V2486" t="str">
        <f>VLOOKUP(L2486,'[2]tabela de preços'!$A:$D,4,0)</f>
        <v>SHERWIN WILLIAMS</v>
      </c>
      <c r="W2486" t="str">
        <f>VLOOKUP(L2486,'[2]tabela de preços'!$A:$F,6,0)</f>
        <v>PRIMER AUTOMOTIVO</v>
      </c>
      <c r="X2486" t="str">
        <f>VLOOKUP(L2486,'[2]tabela de preços'!$A:$G,7,0)</f>
        <v>AUTOMOTIVO</v>
      </c>
    </row>
    <row r="2487" spans="1:24" x14ac:dyDescent="0.3">
      <c r="A2487" t="s">
        <v>123</v>
      </c>
      <c r="C2487" t="s">
        <v>3020</v>
      </c>
      <c r="D2487" s="1">
        <v>46065</v>
      </c>
      <c r="E2487" t="s">
        <v>3021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126</v>
      </c>
      <c r="J2487" t="s">
        <v>127</v>
      </c>
      <c r="K2487" t="s">
        <v>128</v>
      </c>
      <c r="L2487">
        <v>20383</v>
      </c>
      <c r="M2487" t="s">
        <v>129</v>
      </c>
      <c r="O2487" t="s">
        <v>11</v>
      </c>
      <c r="P2487">
        <v>6403</v>
      </c>
      <c r="Q2487">
        <v>1</v>
      </c>
      <c r="R2487">
        <v>33.590000000000003</v>
      </c>
      <c r="S2487">
        <v>33.590000000000003</v>
      </c>
      <c r="T2487">
        <v>24.09</v>
      </c>
      <c r="U2487">
        <v>28.28</v>
      </c>
      <c r="V2487" t="str">
        <f>VLOOKUP(L2487,'[2]tabela de preços'!$A:$D,4,0)</f>
        <v>SHERWIN WILLIAMS</v>
      </c>
      <c r="W2487" t="str">
        <f>VLOOKUP(L2487,'[2]tabela de preços'!$A:$F,6,0)</f>
        <v>TINTAS POLIÉSTER</v>
      </c>
      <c r="X2487" t="str">
        <f>VLOOKUP(L2487,'[2]tabela de preços'!$A:$G,7,0)</f>
        <v>AUTOMOTIVO</v>
      </c>
    </row>
    <row r="2488" spans="1:24" x14ac:dyDescent="0.3">
      <c r="A2488" t="s">
        <v>123</v>
      </c>
      <c r="C2488" t="s">
        <v>3020</v>
      </c>
      <c r="D2488" s="1">
        <v>46065</v>
      </c>
      <c r="E2488" t="s">
        <v>3021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126</v>
      </c>
      <c r="J2488" t="s">
        <v>127</v>
      </c>
      <c r="K2488" t="s">
        <v>128</v>
      </c>
      <c r="L2488">
        <v>20846</v>
      </c>
      <c r="M2488" t="s">
        <v>163</v>
      </c>
      <c r="O2488" t="s">
        <v>11</v>
      </c>
      <c r="P2488">
        <v>6102</v>
      </c>
      <c r="Q2488">
        <v>1</v>
      </c>
      <c r="R2488">
        <v>32.44</v>
      </c>
      <c r="S2488">
        <v>32.44</v>
      </c>
      <c r="T2488">
        <v>24.62</v>
      </c>
      <c r="U2488">
        <v>24.11</v>
      </c>
      <c r="V2488" t="str">
        <f>VLOOKUP(L2488,'[2]tabela de preços'!$A:$D,4,0)</f>
        <v>SHERWIN WILLIAMS</v>
      </c>
      <c r="W2488" t="str">
        <f>VLOOKUP(L2488,'[2]tabela de preços'!$A:$F,6,0)</f>
        <v>TINTAS POLIÉSTER</v>
      </c>
      <c r="X2488" t="str">
        <f>VLOOKUP(L2488,'[2]tabela de preços'!$A:$G,7,0)</f>
        <v>AUTOMOTIVO</v>
      </c>
    </row>
    <row r="2489" spans="1:24" x14ac:dyDescent="0.3">
      <c r="A2489" t="s">
        <v>123</v>
      </c>
      <c r="C2489" t="s">
        <v>3020</v>
      </c>
      <c r="D2489" s="1">
        <v>46065</v>
      </c>
      <c r="E2489" t="s">
        <v>3021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126</v>
      </c>
      <c r="J2489" t="s">
        <v>127</v>
      </c>
      <c r="K2489" t="s">
        <v>128</v>
      </c>
      <c r="L2489">
        <v>10243</v>
      </c>
      <c r="M2489" t="s">
        <v>83</v>
      </c>
      <c r="O2489" t="s">
        <v>11</v>
      </c>
      <c r="P2489">
        <v>6102</v>
      </c>
      <c r="Q2489">
        <v>25</v>
      </c>
      <c r="R2489">
        <v>2.79</v>
      </c>
      <c r="S2489">
        <v>69.75</v>
      </c>
      <c r="T2489">
        <v>48.25</v>
      </c>
      <c r="U2489">
        <v>30.82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123</v>
      </c>
      <c r="C2490" t="s">
        <v>3020</v>
      </c>
      <c r="D2490" s="1">
        <v>46065</v>
      </c>
      <c r="E2490" t="s">
        <v>3021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126</v>
      </c>
      <c r="J2490" t="s">
        <v>127</v>
      </c>
      <c r="K2490" t="s">
        <v>128</v>
      </c>
      <c r="L2490">
        <v>10246</v>
      </c>
      <c r="M2490" t="s">
        <v>206</v>
      </c>
      <c r="O2490" t="s">
        <v>11</v>
      </c>
      <c r="P2490">
        <v>6102</v>
      </c>
      <c r="Q2490">
        <v>15</v>
      </c>
      <c r="R2490">
        <v>2.79</v>
      </c>
      <c r="S2490">
        <v>41.85</v>
      </c>
      <c r="T2490">
        <v>28.95</v>
      </c>
      <c r="U2490">
        <v>30.82</v>
      </c>
      <c r="V2490" t="str">
        <f>VLOOKUP(L2490,'[2]tabela de preços'!$A:$D,4,0)</f>
        <v>NORTON</v>
      </c>
      <c r="W2490" t="str">
        <f>VLOOKUP(L2490,'[2]tabela de preços'!$A:$F,6,0)</f>
        <v xml:space="preserve">DISCOS / LIXAS / ABRASIVOS </v>
      </c>
      <c r="X2490" t="str">
        <f>VLOOKUP(L2490,'[2]tabela de preços'!$A:$G,7,0)</f>
        <v>AUTOMOTIVO</v>
      </c>
    </row>
    <row r="2491" spans="1:24" x14ac:dyDescent="0.3">
      <c r="A2491" t="s">
        <v>123</v>
      </c>
      <c r="C2491" t="s">
        <v>3020</v>
      </c>
      <c r="D2491" s="1">
        <v>46065</v>
      </c>
      <c r="E2491" t="s">
        <v>3021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126</v>
      </c>
      <c r="J2491" t="s">
        <v>127</v>
      </c>
      <c r="K2491" t="s">
        <v>128</v>
      </c>
      <c r="L2491">
        <v>21078</v>
      </c>
      <c r="M2491" t="s">
        <v>141</v>
      </c>
      <c r="O2491" t="s">
        <v>11</v>
      </c>
      <c r="P2491">
        <v>6102</v>
      </c>
      <c r="Q2491">
        <v>8</v>
      </c>
      <c r="R2491">
        <v>22.89</v>
      </c>
      <c r="S2491">
        <v>183.12</v>
      </c>
      <c r="T2491">
        <v>149.28</v>
      </c>
      <c r="U2491">
        <v>18.48</v>
      </c>
      <c r="V2491" t="str">
        <f>VLOOKUP(L2491,'[2]tabela de preços'!$A:$D,4,0)</f>
        <v>SHERWIN WILLIAMS</v>
      </c>
      <c r="W2491" t="str">
        <f>VLOOKUP(L2491,'[2]tabela de preços'!$A:$F,6,0)</f>
        <v>MASSA POLIÉSTER</v>
      </c>
      <c r="X2491" t="str">
        <f>VLOOKUP(L2491,'[2]tabela de preços'!$A:$G,7,0)</f>
        <v>AUTOMOTIVO</v>
      </c>
    </row>
    <row r="2492" spans="1:24" x14ac:dyDescent="0.3">
      <c r="A2492" t="s">
        <v>123</v>
      </c>
      <c r="C2492" t="s">
        <v>3020</v>
      </c>
      <c r="D2492" s="1">
        <v>46065</v>
      </c>
      <c r="E2492" t="s">
        <v>3021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126</v>
      </c>
      <c r="J2492" t="s">
        <v>127</v>
      </c>
      <c r="K2492" t="s">
        <v>128</v>
      </c>
      <c r="L2492">
        <v>24247</v>
      </c>
      <c r="M2492" t="s">
        <v>160</v>
      </c>
      <c r="O2492" t="s">
        <v>11</v>
      </c>
      <c r="P2492">
        <v>6403</v>
      </c>
      <c r="Q2492">
        <v>5</v>
      </c>
      <c r="R2492">
        <v>21</v>
      </c>
      <c r="S2492">
        <v>105</v>
      </c>
      <c r="T2492">
        <v>84.35</v>
      </c>
      <c r="U2492">
        <v>19.670000000000002</v>
      </c>
      <c r="V2492" t="str">
        <f>VLOOKUP(L2492,'[2]tabela de preços'!$A:$D,4,0)</f>
        <v>SHERWIN WILLIAMS</v>
      </c>
      <c r="W2492" t="str">
        <f>VLOOKUP(L2492,'[2]tabela de preços'!$A:$F,6,0)</f>
        <v>PRIMER AUTOMOTIVO</v>
      </c>
      <c r="X2492" t="str">
        <f>VLOOKUP(L2492,'[2]tabela de preços'!$A:$G,7,0)</f>
        <v>AUTOMOTIVO</v>
      </c>
    </row>
    <row r="2493" spans="1:24" x14ac:dyDescent="0.3">
      <c r="A2493" t="s">
        <v>123</v>
      </c>
      <c r="C2493" t="s">
        <v>3020</v>
      </c>
      <c r="D2493" s="1">
        <v>46065</v>
      </c>
      <c r="E2493" t="s">
        <v>3021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126</v>
      </c>
      <c r="J2493" t="s">
        <v>127</v>
      </c>
      <c r="K2493" t="s">
        <v>128</v>
      </c>
      <c r="L2493">
        <v>10297</v>
      </c>
      <c r="M2493" t="s">
        <v>41</v>
      </c>
      <c r="O2493" t="s">
        <v>11</v>
      </c>
      <c r="P2493">
        <v>6102</v>
      </c>
      <c r="Q2493">
        <v>4</v>
      </c>
      <c r="R2493">
        <v>10.89</v>
      </c>
      <c r="S2493">
        <v>43.56</v>
      </c>
      <c r="T2493">
        <v>36.68</v>
      </c>
      <c r="U2493">
        <v>15.79</v>
      </c>
      <c r="V2493" t="str">
        <f>VLOOKUP(L2493,'[2]tabela de preços'!$A:$D,4,0)</f>
        <v>ANJO</v>
      </c>
      <c r="W2493" t="str">
        <f>VLOOKUP(L2493,'[2]tabela de preços'!$A:$F,6,0)</f>
        <v>THINNER DE LIMPEZA</v>
      </c>
      <c r="X2493" t="str">
        <f>VLOOKUP(L2493,'[2]tabela de preços'!$A:$G,7,0)</f>
        <v>THINNER</v>
      </c>
    </row>
    <row r="2494" spans="1:24" x14ac:dyDescent="0.3">
      <c r="A2494" t="s">
        <v>123</v>
      </c>
      <c r="C2494" t="s">
        <v>3020</v>
      </c>
      <c r="D2494" s="1">
        <v>46065</v>
      </c>
      <c r="E2494" t="s">
        <v>3021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126</v>
      </c>
      <c r="J2494" t="s">
        <v>127</v>
      </c>
      <c r="K2494" t="s">
        <v>128</v>
      </c>
      <c r="L2494">
        <v>21321</v>
      </c>
      <c r="M2494" t="s">
        <v>272</v>
      </c>
      <c r="O2494" t="s">
        <v>11</v>
      </c>
      <c r="P2494">
        <v>6102</v>
      </c>
      <c r="Q2494">
        <v>3</v>
      </c>
      <c r="R2494">
        <v>20.239999999999998</v>
      </c>
      <c r="S2494">
        <v>60.72</v>
      </c>
      <c r="T2494">
        <v>46.08</v>
      </c>
      <c r="U2494">
        <v>24.11</v>
      </c>
      <c r="V2494" t="str">
        <f>VLOOKUP(L2494,'[2]tabela de preços'!$A:$D,4,0)</f>
        <v>AUTO AMERICA</v>
      </c>
      <c r="W2494" t="str">
        <f>VLOOKUP(L2494,'[2]tabela de preços'!$A:$F,6,0)</f>
        <v>CERA  / LIMPEZA /  POLIMENTO VEICULAR</v>
      </c>
      <c r="X2494" t="str">
        <f>VLOOKUP(L2494,'[2]tabela de preços'!$A:$G,7,0)</f>
        <v>AUTOMOTIVO</v>
      </c>
    </row>
    <row r="2495" spans="1:24" x14ac:dyDescent="0.3">
      <c r="A2495" t="s">
        <v>123</v>
      </c>
      <c r="C2495" t="s">
        <v>3022</v>
      </c>
      <c r="D2495" s="1">
        <v>46066</v>
      </c>
      <c r="E2495" t="s">
        <v>3023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126</v>
      </c>
      <c r="J2495" t="s">
        <v>127</v>
      </c>
      <c r="K2495" t="s">
        <v>128</v>
      </c>
      <c r="L2495">
        <v>21782</v>
      </c>
      <c r="M2495" t="s">
        <v>655</v>
      </c>
      <c r="O2495" t="s">
        <v>11</v>
      </c>
      <c r="P2495">
        <v>6403</v>
      </c>
      <c r="Q2495">
        <v>1</v>
      </c>
      <c r="R2495">
        <v>35.68</v>
      </c>
      <c r="S2495">
        <v>35.68</v>
      </c>
      <c r="T2495">
        <v>25.44</v>
      </c>
      <c r="U2495">
        <v>28.7</v>
      </c>
      <c r="V2495" t="str">
        <f>VLOOKUP(L2495,'[2]tabela de preços'!$A:$D,4,0)</f>
        <v>SHERWIN WILLIAMS</v>
      </c>
      <c r="W2495" t="str">
        <f>VLOOKUP(L2495,'[2]tabela de preços'!$A:$F,6,0)</f>
        <v>TINTAS POLIÉSTER</v>
      </c>
      <c r="X2495" t="str">
        <f>VLOOKUP(L2495,'[2]tabela de preços'!$A:$G,7,0)</f>
        <v>AUTOMOTIVO</v>
      </c>
    </row>
    <row r="2496" spans="1:24" x14ac:dyDescent="0.3">
      <c r="A2496" t="s">
        <v>165</v>
      </c>
      <c r="C2496" t="s">
        <v>2570</v>
      </c>
      <c r="D2496" s="1">
        <v>46058</v>
      </c>
      <c r="E2496" t="s">
        <v>2571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168</v>
      </c>
      <c r="J2496" t="s">
        <v>169</v>
      </c>
      <c r="K2496" t="s">
        <v>170</v>
      </c>
      <c r="L2496">
        <v>83825</v>
      </c>
      <c r="M2496" t="s">
        <v>332</v>
      </c>
      <c r="O2496" t="s">
        <v>11</v>
      </c>
      <c r="P2496">
        <v>6102</v>
      </c>
      <c r="Q2496">
        <v>50</v>
      </c>
      <c r="R2496">
        <v>2.64</v>
      </c>
      <c r="S2496">
        <v>132</v>
      </c>
      <c r="T2496">
        <v>100.5</v>
      </c>
      <c r="U2496">
        <v>23.86</v>
      </c>
      <c r="V2496" t="str">
        <f>VLOOKUP(L2496,'[2]tabela de preços'!$A:$D,4,0)</f>
        <v>NORTON</v>
      </c>
      <c r="W2496" t="str">
        <f>VLOOKUP(L2496,'[2]tabela de preços'!$A:$F,6,0)</f>
        <v xml:space="preserve">DISCOS / LIXAS / ABRASIVOS </v>
      </c>
      <c r="X2496" t="str">
        <f>VLOOKUP(L2496,'[2]tabela de preços'!$A:$G,7,0)</f>
        <v>AUTOMOTIVO</v>
      </c>
    </row>
    <row r="2497" spans="1:24" x14ac:dyDescent="0.3">
      <c r="A2497" t="s">
        <v>165</v>
      </c>
      <c r="C2497" t="s">
        <v>2570</v>
      </c>
      <c r="D2497" s="1">
        <v>46058</v>
      </c>
      <c r="E2497" t="s">
        <v>2571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168</v>
      </c>
      <c r="J2497" t="s">
        <v>169</v>
      </c>
      <c r="K2497" t="s">
        <v>170</v>
      </c>
      <c r="L2497">
        <v>23690</v>
      </c>
      <c r="M2497" t="s">
        <v>98</v>
      </c>
      <c r="O2497" t="s">
        <v>11</v>
      </c>
      <c r="P2497">
        <v>6403</v>
      </c>
      <c r="Q2497">
        <v>6</v>
      </c>
      <c r="R2497">
        <v>39.89</v>
      </c>
      <c r="S2497">
        <v>239.34</v>
      </c>
      <c r="T2497">
        <v>189.66</v>
      </c>
      <c r="U2497">
        <v>20.76</v>
      </c>
      <c r="V2497" t="str">
        <f>VLOOKUP(L2497,'[2]tabela de preços'!$A:$D,4,0)</f>
        <v>WANDA</v>
      </c>
      <c r="W2497" t="str">
        <f>VLOOKUP(L2497,'[2]tabela de preços'!$A:$F,6,0)</f>
        <v>VERNIZ AUTOMOTIVO</v>
      </c>
      <c r="X2497" t="str">
        <f>VLOOKUP(L2497,'[2]tabela de preços'!$A:$G,7,0)</f>
        <v>AUTOMOTIVO</v>
      </c>
    </row>
    <row r="2498" spans="1:24" x14ac:dyDescent="0.3">
      <c r="A2498" t="s">
        <v>165</v>
      </c>
      <c r="C2498" t="s">
        <v>2570</v>
      </c>
      <c r="D2498" s="1">
        <v>46058</v>
      </c>
      <c r="E2498" t="s">
        <v>2571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168</v>
      </c>
      <c r="J2498" t="s">
        <v>169</v>
      </c>
      <c r="K2498" t="s">
        <v>170</v>
      </c>
      <c r="L2498">
        <v>10238</v>
      </c>
      <c r="M2498" t="s">
        <v>79</v>
      </c>
      <c r="O2498" t="s">
        <v>11</v>
      </c>
      <c r="P2498">
        <v>6102</v>
      </c>
      <c r="Q2498">
        <v>100</v>
      </c>
      <c r="R2498">
        <v>2.79</v>
      </c>
      <c r="S2498">
        <v>279</v>
      </c>
      <c r="T2498">
        <v>224</v>
      </c>
      <c r="U2498">
        <v>19.71</v>
      </c>
      <c r="V2498" t="str">
        <f>VLOOKUP(L2498,'[2]tabela de preços'!$A:$D,4,0)</f>
        <v>NORTON</v>
      </c>
      <c r="W2498" t="str">
        <f>VLOOKUP(L2498,'[2]tabela de preços'!$A:$F,6,0)</f>
        <v xml:space="preserve">DISCOS / LIXAS / ABRASIVOS </v>
      </c>
      <c r="X2498" t="str">
        <f>VLOOKUP(L2498,'[2]tabela de preços'!$A:$G,7,0)</f>
        <v>AUTOMOTIVO</v>
      </c>
    </row>
    <row r="2499" spans="1:24" x14ac:dyDescent="0.3">
      <c r="A2499" t="s">
        <v>165</v>
      </c>
      <c r="C2499" t="s">
        <v>2570</v>
      </c>
      <c r="D2499" s="1">
        <v>46058</v>
      </c>
      <c r="E2499" t="s">
        <v>2571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168</v>
      </c>
      <c r="J2499" t="s">
        <v>169</v>
      </c>
      <c r="K2499" t="s">
        <v>170</v>
      </c>
      <c r="L2499">
        <v>10240</v>
      </c>
      <c r="M2499" t="s">
        <v>81</v>
      </c>
      <c r="O2499" t="s">
        <v>11</v>
      </c>
      <c r="P2499">
        <v>6102</v>
      </c>
      <c r="Q2499">
        <v>50</v>
      </c>
      <c r="R2499">
        <v>2.79</v>
      </c>
      <c r="S2499">
        <v>139.5</v>
      </c>
      <c r="T2499">
        <v>112</v>
      </c>
      <c r="U2499">
        <v>19.71</v>
      </c>
      <c r="V2499" t="str">
        <f>VLOOKUP(L2499,'[2]tabela de preços'!$A:$D,4,0)</f>
        <v>NORTON</v>
      </c>
      <c r="W2499" t="str">
        <f>VLOOKUP(L2499,'[2]tabela de preços'!$A:$F,6,0)</f>
        <v xml:space="preserve">DISCOS / LIXAS / ABRASIVOS </v>
      </c>
      <c r="X2499" t="str">
        <f>VLOOKUP(L2499,'[2]tabela de preços'!$A:$G,7,0)</f>
        <v>AUTOMOTIVO</v>
      </c>
    </row>
    <row r="2500" spans="1:24" x14ac:dyDescent="0.3">
      <c r="A2500" t="s">
        <v>165</v>
      </c>
      <c r="C2500" t="s">
        <v>2570</v>
      </c>
      <c r="D2500" s="1">
        <v>46058</v>
      </c>
      <c r="E2500" t="s">
        <v>2571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168</v>
      </c>
      <c r="J2500" t="s">
        <v>169</v>
      </c>
      <c r="K2500" t="s">
        <v>170</v>
      </c>
      <c r="L2500">
        <v>84460</v>
      </c>
      <c r="M2500" t="s">
        <v>322</v>
      </c>
      <c r="O2500" t="s">
        <v>11</v>
      </c>
      <c r="P2500">
        <v>6102</v>
      </c>
      <c r="Q2500">
        <v>6</v>
      </c>
      <c r="R2500">
        <v>31.07</v>
      </c>
      <c r="S2500">
        <v>186.42</v>
      </c>
      <c r="T2500">
        <v>141.47999999999999</v>
      </c>
      <c r="U2500">
        <v>24.11</v>
      </c>
      <c r="V2500" t="str">
        <f>VLOOKUP(L2500,'[2]tabela de preços'!$A:$D,4,0)</f>
        <v>BRASILUX</v>
      </c>
      <c r="W2500" t="str">
        <f>VLOOKUP(L2500,'[2]tabela de preços'!$A:$F,6,0)</f>
        <v>VEDADORES / SELANTES</v>
      </c>
      <c r="X2500" t="str">
        <f>VLOOKUP(L2500,'[2]tabela de preços'!$A:$G,7,0)</f>
        <v>AUTOMOTIVO</v>
      </c>
    </row>
    <row r="2501" spans="1:24" x14ac:dyDescent="0.3">
      <c r="A2501" t="s">
        <v>186</v>
      </c>
      <c r="C2501" t="s">
        <v>2478</v>
      </c>
      <c r="D2501" s="1">
        <v>46056</v>
      </c>
      <c r="E2501" t="s">
        <v>2479</v>
      </c>
      <c r="F2501">
        <v>9</v>
      </c>
      <c r="G2501">
        <v>236</v>
      </c>
      <c r="H2501" t="str">
        <f>VLOOKUP(G2501,[1]OPERADORES!$A:$B,2,0)</f>
        <v>DANIEL</v>
      </c>
      <c r="I2501" t="s">
        <v>21</v>
      </c>
      <c r="J2501" t="s">
        <v>189</v>
      </c>
      <c r="K2501" t="s">
        <v>190</v>
      </c>
      <c r="L2501">
        <v>85635</v>
      </c>
      <c r="M2501" t="s">
        <v>674</v>
      </c>
      <c r="O2501" t="s">
        <v>11</v>
      </c>
      <c r="P2501">
        <v>5102</v>
      </c>
      <c r="Q2501">
        <v>1</v>
      </c>
      <c r="R2501">
        <v>6.2</v>
      </c>
      <c r="S2501">
        <v>6.2</v>
      </c>
      <c r="T2501">
        <v>4</v>
      </c>
      <c r="U2501">
        <v>35.479999999999997</v>
      </c>
      <c r="V2501" t="str">
        <f>VLOOKUP(L2501,'[2]tabela de preços'!$A:$D,4,0)</f>
        <v>UNIPEGA</v>
      </c>
      <c r="W2501" t="str">
        <f>VLOOKUP(L2501,'[2]tabela de preços'!$A:$F,6,0)</f>
        <v>DESENGRIPANTE</v>
      </c>
      <c r="X2501" t="str">
        <f>VLOOKUP(L2501,'[2]tabela de preços'!$A:$G,7,0)</f>
        <v>AUTOMOTIVO</v>
      </c>
    </row>
    <row r="2502" spans="1:24" x14ac:dyDescent="0.3">
      <c r="A2502" t="s">
        <v>186</v>
      </c>
      <c r="C2502" t="s">
        <v>2478</v>
      </c>
      <c r="D2502" s="1">
        <v>46056</v>
      </c>
      <c r="E2502" t="s">
        <v>2479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189</v>
      </c>
      <c r="K2502" t="s">
        <v>190</v>
      </c>
      <c r="L2502">
        <v>22684</v>
      </c>
      <c r="M2502" t="s">
        <v>73</v>
      </c>
      <c r="O2502" t="s">
        <v>11</v>
      </c>
      <c r="P2502">
        <v>5102</v>
      </c>
      <c r="Q2502">
        <v>20</v>
      </c>
      <c r="R2502">
        <v>3.65</v>
      </c>
      <c r="S2502">
        <v>73</v>
      </c>
      <c r="T2502">
        <v>61.6</v>
      </c>
      <c r="U2502">
        <v>15.62</v>
      </c>
      <c r="V2502" t="str">
        <f>VLOOKUP(L2502,'[2]tabela de preços'!$A:$D,4,0)</f>
        <v>3M</v>
      </c>
      <c r="W2502" t="str">
        <f>VLOOKUP(L2502,'[2]tabela de preços'!$A:$F,6,0)</f>
        <v>FITA AUTOMOTIVA</v>
      </c>
      <c r="X2502" t="str">
        <f>VLOOKUP(L2502,'[2]tabela de preços'!$A:$G,7,0)</f>
        <v>AUTOMOTIVO</v>
      </c>
    </row>
    <row r="2503" spans="1:24" x14ac:dyDescent="0.3">
      <c r="A2503" t="s">
        <v>186</v>
      </c>
      <c r="C2503" t="s">
        <v>2478</v>
      </c>
      <c r="D2503" s="1">
        <v>46056</v>
      </c>
      <c r="E2503" t="s">
        <v>2479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189</v>
      </c>
      <c r="K2503" t="s">
        <v>190</v>
      </c>
      <c r="L2503">
        <v>85409</v>
      </c>
      <c r="M2503" t="s">
        <v>201</v>
      </c>
      <c r="O2503" t="s">
        <v>11</v>
      </c>
      <c r="P2503">
        <v>5403</v>
      </c>
      <c r="Q2503">
        <v>2</v>
      </c>
      <c r="R2503">
        <v>28.9</v>
      </c>
      <c r="S2503">
        <v>57.8</v>
      </c>
      <c r="T2503">
        <v>46.22</v>
      </c>
      <c r="U2503">
        <v>20.03</v>
      </c>
      <c r="V2503" t="str">
        <f>VLOOKUP(L2503,'[2]tabela de preços'!$A:$D,4,0)</f>
        <v>WANDA</v>
      </c>
      <c r="W2503" t="str">
        <f>VLOOKUP(L2503,'[2]tabela de preços'!$A:$F,6,0)</f>
        <v>PRIMER AUTOMOTIVO</v>
      </c>
      <c r="X2503" t="str">
        <f>VLOOKUP(L2503,'[2]tabela de preços'!$A:$G,7,0)</f>
        <v>AUTOMOTIVO</v>
      </c>
    </row>
    <row r="2504" spans="1:24" x14ac:dyDescent="0.3">
      <c r="A2504" t="s">
        <v>186</v>
      </c>
      <c r="C2504" t="s">
        <v>2478</v>
      </c>
      <c r="D2504" s="1">
        <v>46056</v>
      </c>
      <c r="E2504" t="s">
        <v>2479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189</v>
      </c>
      <c r="K2504" t="s">
        <v>190</v>
      </c>
      <c r="L2504">
        <v>13</v>
      </c>
      <c r="M2504" t="s">
        <v>152</v>
      </c>
      <c r="O2504" t="s">
        <v>11</v>
      </c>
      <c r="P2504">
        <v>5102</v>
      </c>
      <c r="Q2504">
        <v>5</v>
      </c>
      <c r="R2504">
        <v>5.79</v>
      </c>
      <c r="S2504">
        <v>28.95</v>
      </c>
      <c r="T2504">
        <v>20.8</v>
      </c>
      <c r="U2504">
        <v>28.15</v>
      </c>
      <c r="V2504" t="str">
        <f>VLOOKUP(L2504,'[2]tabela de preços'!$A:$D,4,0)</f>
        <v>3M</v>
      </c>
      <c r="W2504" t="str">
        <f>VLOOKUP(L2504,'[2]tabela de preços'!$A:$F,6,0)</f>
        <v>LIXA DÁGUA</v>
      </c>
      <c r="X2504" t="str">
        <f>VLOOKUP(L2504,'[2]tabela de preços'!$A:$G,7,0)</f>
        <v>AUTOMOTIVO</v>
      </c>
    </row>
    <row r="2505" spans="1:24" x14ac:dyDescent="0.3">
      <c r="A2505" t="s">
        <v>186</v>
      </c>
      <c r="C2505" t="s">
        <v>2478</v>
      </c>
      <c r="D2505" s="1">
        <v>46056</v>
      </c>
      <c r="E2505" t="s">
        <v>2479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189</v>
      </c>
      <c r="K2505" t="s">
        <v>190</v>
      </c>
      <c r="L2505">
        <v>10238</v>
      </c>
      <c r="M2505" t="s">
        <v>79</v>
      </c>
      <c r="O2505" t="s">
        <v>11</v>
      </c>
      <c r="P2505">
        <v>5102</v>
      </c>
      <c r="Q2505">
        <v>10</v>
      </c>
      <c r="R2505">
        <v>2.79</v>
      </c>
      <c r="S2505">
        <v>27.9</v>
      </c>
      <c r="T2505">
        <v>22.4</v>
      </c>
      <c r="U2505">
        <v>19.71</v>
      </c>
      <c r="V2505" t="str">
        <f>VLOOKUP(L2505,'[2]tabela de preços'!$A:$D,4,0)</f>
        <v>NORTON</v>
      </c>
      <c r="W2505" t="str">
        <f>VLOOKUP(L2505,'[2]tabela de preços'!$A:$F,6,0)</f>
        <v xml:space="preserve">DISCOS / LIXAS / ABRASIVOS </v>
      </c>
      <c r="X2505" t="str">
        <f>VLOOKUP(L2505,'[2]tabela de preços'!$A:$G,7,0)</f>
        <v>AUTOMOTIVO</v>
      </c>
    </row>
    <row r="2506" spans="1:24" x14ac:dyDescent="0.3">
      <c r="A2506" t="s">
        <v>186</v>
      </c>
      <c r="C2506" t="s">
        <v>2478</v>
      </c>
      <c r="D2506" s="1">
        <v>46056</v>
      </c>
      <c r="E2506" t="s">
        <v>2479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189</v>
      </c>
      <c r="K2506" t="s">
        <v>190</v>
      </c>
      <c r="L2506">
        <v>10242</v>
      </c>
      <c r="M2506" t="s">
        <v>82</v>
      </c>
      <c r="O2506" t="s">
        <v>11</v>
      </c>
      <c r="P2506">
        <v>5102</v>
      </c>
      <c r="Q2506">
        <v>10</v>
      </c>
      <c r="R2506">
        <v>2.79</v>
      </c>
      <c r="S2506">
        <v>27.9</v>
      </c>
      <c r="T2506">
        <v>22.4</v>
      </c>
      <c r="U2506">
        <v>19.71</v>
      </c>
      <c r="V2506" t="str">
        <f>VLOOKUP(L2506,'[2]tabela de preços'!$A:$D,4,0)</f>
        <v>NORTON</v>
      </c>
      <c r="W2506" t="str">
        <f>VLOOKUP(L2506,'[2]tabela de preços'!$A:$F,6,0)</f>
        <v xml:space="preserve">DISCOS / LIXAS / ABRASIVOS </v>
      </c>
      <c r="X2506" t="str">
        <f>VLOOKUP(L2506,'[2]tabela de preços'!$A:$G,7,0)</f>
        <v>AUTOMOTIVO</v>
      </c>
    </row>
    <row r="2507" spans="1:24" x14ac:dyDescent="0.3">
      <c r="A2507" t="s">
        <v>186</v>
      </c>
      <c r="C2507" t="s">
        <v>2478</v>
      </c>
      <c r="D2507" s="1">
        <v>46056</v>
      </c>
      <c r="E2507" t="s">
        <v>2479</v>
      </c>
      <c r="F2507">
        <v>9</v>
      </c>
      <c r="G2507">
        <v>236</v>
      </c>
      <c r="H2507" t="str">
        <f>VLOOKUP(G2507,[1]OPERADORES!$A:$B,2,0)</f>
        <v>DANIEL</v>
      </c>
      <c r="I2507" t="s">
        <v>21</v>
      </c>
      <c r="J2507" t="s">
        <v>189</v>
      </c>
      <c r="K2507" t="s">
        <v>190</v>
      </c>
      <c r="L2507">
        <v>10243</v>
      </c>
      <c r="M2507" t="s">
        <v>83</v>
      </c>
      <c r="O2507" t="s">
        <v>11</v>
      </c>
      <c r="P2507">
        <v>5102</v>
      </c>
      <c r="Q2507">
        <v>10</v>
      </c>
      <c r="R2507">
        <v>2.79</v>
      </c>
      <c r="S2507">
        <v>27.9</v>
      </c>
      <c r="T2507">
        <v>19.3</v>
      </c>
      <c r="U2507">
        <v>30.82</v>
      </c>
      <c r="V2507" t="str">
        <f>VLOOKUP(L2507,'[2]tabela de preços'!$A:$D,4,0)</f>
        <v>NORTON</v>
      </c>
      <c r="W2507" t="str">
        <f>VLOOKUP(L2507,'[2]tabela de preços'!$A:$F,6,0)</f>
        <v xml:space="preserve">DISCOS / LIXAS / ABRASIVOS </v>
      </c>
      <c r="X2507" t="str">
        <f>VLOOKUP(L2507,'[2]tabela de preços'!$A:$G,7,0)</f>
        <v>AUTOMOTIVO</v>
      </c>
    </row>
    <row r="2508" spans="1:24" x14ac:dyDescent="0.3">
      <c r="A2508" t="s">
        <v>186</v>
      </c>
      <c r="C2508" t="s">
        <v>2478</v>
      </c>
      <c r="D2508" s="1">
        <v>46056</v>
      </c>
      <c r="E2508" t="s">
        <v>2479</v>
      </c>
      <c r="F2508">
        <v>9</v>
      </c>
      <c r="G2508">
        <v>236</v>
      </c>
      <c r="H2508" t="str">
        <f>VLOOKUP(G2508,[1]OPERADORES!$A:$B,2,0)</f>
        <v>DANIEL</v>
      </c>
      <c r="I2508" t="s">
        <v>21</v>
      </c>
      <c r="J2508" t="s">
        <v>189</v>
      </c>
      <c r="K2508" t="s">
        <v>190</v>
      </c>
      <c r="L2508">
        <v>10245</v>
      </c>
      <c r="M2508" t="s">
        <v>195</v>
      </c>
      <c r="O2508" t="s">
        <v>11</v>
      </c>
      <c r="P2508">
        <v>5102</v>
      </c>
      <c r="Q2508">
        <v>10</v>
      </c>
      <c r="R2508">
        <v>2.79</v>
      </c>
      <c r="S2508">
        <v>27.9</v>
      </c>
      <c r="T2508">
        <v>19.3</v>
      </c>
      <c r="U2508">
        <v>30.82</v>
      </c>
      <c r="V2508" t="str">
        <f>VLOOKUP(L2508,'[2]tabela de preços'!$A:$D,4,0)</f>
        <v>NORTON</v>
      </c>
      <c r="W2508" t="str">
        <f>VLOOKUP(L2508,'[2]tabela de preços'!$A:$F,6,0)</f>
        <v xml:space="preserve">DISCOS / LIXAS / ABRASIVOS </v>
      </c>
      <c r="X2508" t="str">
        <f>VLOOKUP(L2508,'[2]tabela de preços'!$A:$G,7,0)</f>
        <v>AUTOMOTIVO</v>
      </c>
    </row>
    <row r="2509" spans="1:24" x14ac:dyDescent="0.3">
      <c r="A2509" t="s">
        <v>186</v>
      </c>
      <c r="C2509" t="s">
        <v>2478</v>
      </c>
      <c r="D2509" s="1">
        <v>46056</v>
      </c>
      <c r="E2509" t="s">
        <v>2479</v>
      </c>
      <c r="F2509">
        <v>9</v>
      </c>
      <c r="G2509">
        <v>236</v>
      </c>
      <c r="H2509" t="str">
        <f>VLOOKUP(G2509,[1]OPERADORES!$A:$B,2,0)</f>
        <v>DANIEL</v>
      </c>
      <c r="I2509" t="s">
        <v>21</v>
      </c>
      <c r="J2509" t="s">
        <v>189</v>
      </c>
      <c r="K2509" t="s">
        <v>190</v>
      </c>
      <c r="L2509">
        <v>21078</v>
      </c>
      <c r="M2509" t="s">
        <v>141</v>
      </c>
      <c r="O2509" t="s">
        <v>11</v>
      </c>
      <c r="P2509">
        <v>5102</v>
      </c>
      <c r="Q2509">
        <v>2</v>
      </c>
      <c r="R2509">
        <v>22.89</v>
      </c>
      <c r="S2509">
        <v>45.78</v>
      </c>
      <c r="T2509">
        <v>37.32</v>
      </c>
      <c r="U2509">
        <v>18.48</v>
      </c>
      <c r="V2509" t="str">
        <f>VLOOKUP(L2509,'[2]tabela de preços'!$A:$D,4,0)</f>
        <v>SHERWIN WILLIAMS</v>
      </c>
      <c r="W2509" t="str">
        <f>VLOOKUP(L2509,'[2]tabela de preços'!$A:$F,6,0)</f>
        <v>MASSA POLIÉSTER</v>
      </c>
      <c r="X2509" t="str">
        <f>VLOOKUP(L2509,'[2]tabela de preços'!$A:$G,7,0)</f>
        <v>AUTOMOTIVO</v>
      </c>
    </row>
    <row r="2510" spans="1:24" x14ac:dyDescent="0.3">
      <c r="A2510" t="s">
        <v>186</v>
      </c>
      <c r="C2510" t="s">
        <v>2478</v>
      </c>
      <c r="D2510" s="1">
        <v>46056</v>
      </c>
      <c r="E2510" t="s">
        <v>2479</v>
      </c>
      <c r="F2510">
        <v>9</v>
      </c>
      <c r="G2510">
        <v>236</v>
      </c>
      <c r="H2510" t="str">
        <f>VLOOKUP(G2510,[1]OPERADORES!$A:$B,2,0)</f>
        <v>DANIEL</v>
      </c>
      <c r="I2510" t="s">
        <v>21</v>
      </c>
      <c r="J2510" t="s">
        <v>189</v>
      </c>
      <c r="K2510" t="s">
        <v>190</v>
      </c>
      <c r="L2510">
        <v>87043</v>
      </c>
      <c r="M2510" t="s">
        <v>217</v>
      </c>
      <c r="O2510" t="s">
        <v>11</v>
      </c>
      <c r="P2510">
        <v>5102</v>
      </c>
      <c r="Q2510">
        <v>3</v>
      </c>
      <c r="R2510">
        <v>21.95</v>
      </c>
      <c r="S2510">
        <v>65.849999999999994</v>
      </c>
      <c r="T2510">
        <v>54.06</v>
      </c>
      <c r="U2510">
        <v>17.899999999999999</v>
      </c>
      <c r="V2510" t="str">
        <f>VLOOKUP(L2510,'[2]tabela de preços'!$A:$D,4,0)</f>
        <v>ROBERLO</v>
      </c>
      <c r="W2510" t="str">
        <f>VLOOKUP(L2510,'[2]tabela de preços'!$A:$F,6,0)</f>
        <v>MASSA POLIÉSTER</v>
      </c>
      <c r="X2510" t="str">
        <f>VLOOKUP(L2510,'[2]tabela de preços'!$A:$G,7,0)</f>
        <v>AUTOMOTIVO</v>
      </c>
    </row>
    <row r="2511" spans="1:24" x14ac:dyDescent="0.3">
      <c r="A2511" t="s">
        <v>186</v>
      </c>
      <c r="C2511" t="s">
        <v>2478</v>
      </c>
      <c r="D2511" s="1">
        <v>46056</v>
      </c>
      <c r="E2511" t="s">
        <v>2479</v>
      </c>
      <c r="F2511">
        <v>9</v>
      </c>
      <c r="G2511">
        <v>236</v>
      </c>
      <c r="H2511" t="str">
        <f>VLOOKUP(G2511,[1]OPERADORES!$A:$B,2,0)</f>
        <v>DANIEL</v>
      </c>
      <c r="I2511" t="s">
        <v>21</v>
      </c>
      <c r="J2511" t="s">
        <v>189</v>
      </c>
      <c r="K2511" t="s">
        <v>190</v>
      </c>
      <c r="L2511">
        <v>85189</v>
      </c>
      <c r="M2511" t="s">
        <v>197</v>
      </c>
      <c r="O2511" t="s">
        <v>11</v>
      </c>
      <c r="P2511">
        <v>5102</v>
      </c>
      <c r="Q2511">
        <v>1</v>
      </c>
      <c r="R2511">
        <v>177.9</v>
      </c>
      <c r="S2511">
        <v>177.9</v>
      </c>
      <c r="T2511">
        <v>138.15</v>
      </c>
      <c r="U2511">
        <v>22.34</v>
      </c>
      <c r="V2511" t="str">
        <f>VLOOKUP(L2511,'[2]tabela de preços'!$A:$D,4,0)</f>
        <v>PDR</v>
      </c>
      <c r="W2511" t="str">
        <f>VLOOKUP(L2511,'[2]tabela de preços'!$A:$F,6,0)</f>
        <v>PISTOLAS</v>
      </c>
      <c r="X2511" t="str">
        <f>VLOOKUP(L2511,'[2]tabela de preços'!$A:$G,7,0)</f>
        <v>AUTOMOTIVO</v>
      </c>
    </row>
    <row r="2512" spans="1:24" x14ac:dyDescent="0.3">
      <c r="A2512" t="s">
        <v>186</v>
      </c>
      <c r="C2512" t="s">
        <v>2478</v>
      </c>
      <c r="D2512" s="1">
        <v>46056</v>
      </c>
      <c r="E2512" t="s">
        <v>2479</v>
      </c>
      <c r="F2512">
        <v>9</v>
      </c>
      <c r="G2512">
        <v>236</v>
      </c>
      <c r="H2512" t="str">
        <f>VLOOKUP(G2512,[1]OPERADORES!$A:$B,2,0)</f>
        <v>DANIEL</v>
      </c>
      <c r="I2512" t="s">
        <v>21</v>
      </c>
      <c r="J2512" t="s">
        <v>189</v>
      </c>
      <c r="K2512" t="s">
        <v>190</v>
      </c>
      <c r="L2512">
        <v>20414</v>
      </c>
      <c r="M2512" t="s">
        <v>112</v>
      </c>
      <c r="O2512" t="s">
        <v>11</v>
      </c>
      <c r="P2512">
        <v>5102</v>
      </c>
      <c r="Q2512">
        <v>2</v>
      </c>
      <c r="R2512">
        <v>21.89</v>
      </c>
      <c r="S2512">
        <v>43.78</v>
      </c>
      <c r="T2512">
        <v>36</v>
      </c>
      <c r="U2512">
        <v>17.77</v>
      </c>
      <c r="V2512" t="str">
        <f>VLOOKUP(L2512,'[2]tabela de preços'!$A:$D,4,0)</f>
        <v>SHERWIN WILLIAMS</v>
      </c>
      <c r="W2512" t="str">
        <f>VLOOKUP(L2512,'[2]tabela de preços'!$A:$F,6,0)</f>
        <v>DILUENTE</v>
      </c>
      <c r="X2512" t="str">
        <f>VLOOKUP(L2512,'[2]tabela de preços'!$A:$G,7,0)</f>
        <v>AUTOMOTIVO</v>
      </c>
    </row>
    <row r="2513" spans="1:24" x14ac:dyDescent="0.3">
      <c r="A2513" t="s">
        <v>186</v>
      </c>
      <c r="C2513" t="s">
        <v>3024</v>
      </c>
      <c r="D2513" s="1">
        <v>46072</v>
      </c>
      <c r="E2513" t="s">
        <v>3025</v>
      </c>
      <c r="F2513">
        <v>9</v>
      </c>
      <c r="G2513">
        <v>236</v>
      </c>
      <c r="H2513" t="str">
        <f>VLOOKUP(G2513,[1]OPERADORES!$A:$B,2,0)</f>
        <v>DANIEL</v>
      </c>
      <c r="I2513" t="s">
        <v>21</v>
      </c>
      <c r="J2513" t="s">
        <v>189</v>
      </c>
      <c r="K2513" t="s">
        <v>190</v>
      </c>
      <c r="L2513">
        <v>24265</v>
      </c>
      <c r="M2513" t="s">
        <v>3026</v>
      </c>
      <c r="O2513" t="s">
        <v>11</v>
      </c>
      <c r="P2513">
        <v>5102</v>
      </c>
      <c r="Q2513">
        <v>1</v>
      </c>
      <c r="R2513">
        <v>29.06</v>
      </c>
      <c r="S2513">
        <v>29.06</v>
      </c>
      <c r="T2513">
        <v>21.3</v>
      </c>
      <c r="U2513">
        <v>26.7</v>
      </c>
      <c r="V2513" t="str">
        <f>VLOOKUP(L2513,'[2]tabela de preços'!$A:$D,4,0)</f>
        <v>VONIXX</v>
      </c>
      <c r="W2513" t="str">
        <f>VLOOKUP(L2513,'[2]tabela de preços'!$A:$F,6,0)</f>
        <v>LINHA DE HIGENIZAÇÃO E ESTÉTICA  AUTOMOTIVA</v>
      </c>
      <c r="X2513" t="str">
        <f>VLOOKUP(L2513,'[2]tabela de preços'!$A:$G,7,0)</f>
        <v>AUTOMOTIVO</v>
      </c>
    </row>
    <row r="2514" spans="1:24" x14ac:dyDescent="0.3">
      <c r="A2514" t="s">
        <v>186</v>
      </c>
      <c r="C2514" t="s">
        <v>3027</v>
      </c>
      <c r="D2514" s="1">
        <v>46072</v>
      </c>
      <c r="E2514" t="s">
        <v>3028</v>
      </c>
      <c r="F2514">
        <v>9</v>
      </c>
      <c r="G2514">
        <v>236</v>
      </c>
      <c r="H2514" t="str">
        <f>VLOOKUP(G2514,[1]OPERADORES!$A:$B,2,0)</f>
        <v>DANIEL</v>
      </c>
      <c r="I2514" t="s">
        <v>21</v>
      </c>
      <c r="J2514" t="s">
        <v>189</v>
      </c>
      <c r="K2514" t="s">
        <v>190</v>
      </c>
      <c r="L2514">
        <v>24248</v>
      </c>
      <c r="M2514" t="s">
        <v>107</v>
      </c>
      <c r="O2514" t="s">
        <v>11</v>
      </c>
      <c r="P2514">
        <v>5102</v>
      </c>
      <c r="Q2514">
        <v>3</v>
      </c>
      <c r="R2514">
        <v>8</v>
      </c>
      <c r="S2514">
        <v>24</v>
      </c>
      <c r="T2514">
        <v>19.5</v>
      </c>
      <c r="U2514">
        <v>18.75</v>
      </c>
      <c r="V2514" t="str">
        <f>VLOOKUP(L2514,'[2]tabela de preços'!$A:$D,4,0)</f>
        <v>SHERWIN WILLIAMS</v>
      </c>
      <c r="W2514" t="str">
        <f>VLOOKUP(L2514,'[2]tabela de preços'!$A:$F,6,0)</f>
        <v>PRIMER AUTOMOTIVO</v>
      </c>
      <c r="X2514" t="str">
        <f>VLOOKUP(L2514,'[2]tabela de preços'!$A:$G,7,0)</f>
        <v>AUTOMOTIVO</v>
      </c>
    </row>
    <row r="2515" spans="1:24" x14ac:dyDescent="0.3">
      <c r="A2515" t="s">
        <v>186</v>
      </c>
      <c r="C2515" t="s">
        <v>3027</v>
      </c>
      <c r="D2515" s="1">
        <v>46072</v>
      </c>
      <c r="E2515" t="s">
        <v>3028</v>
      </c>
      <c r="F2515">
        <v>9</v>
      </c>
      <c r="G2515">
        <v>236</v>
      </c>
      <c r="H2515" t="str">
        <f>VLOOKUP(G2515,[1]OPERADORES!$A:$B,2,0)</f>
        <v>DANIEL</v>
      </c>
      <c r="I2515" t="s">
        <v>21</v>
      </c>
      <c r="J2515" t="s">
        <v>189</v>
      </c>
      <c r="K2515" t="s">
        <v>190</v>
      </c>
      <c r="L2515">
        <v>22684</v>
      </c>
      <c r="M2515" t="s">
        <v>73</v>
      </c>
      <c r="O2515" t="s">
        <v>11</v>
      </c>
      <c r="P2515">
        <v>5102</v>
      </c>
      <c r="Q2515">
        <v>30</v>
      </c>
      <c r="R2515">
        <v>3.65</v>
      </c>
      <c r="S2515">
        <v>109.5</v>
      </c>
      <c r="T2515">
        <v>92.4</v>
      </c>
      <c r="U2515">
        <v>15.62</v>
      </c>
      <c r="V2515" t="str">
        <f>VLOOKUP(L2515,'[2]tabela de preços'!$A:$D,4,0)</f>
        <v>3M</v>
      </c>
      <c r="W2515" t="str">
        <f>VLOOKUP(L2515,'[2]tabela de preços'!$A:$F,6,0)</f>
        <v>FITA AUTOMOTIVA</v>
      </c>
      <c r="X2515" t="str">
        <f>VLOOKUP(L2515,'[2]tabela de preços'!$A:$G,7,0)</f>
        <v>AUTOMOTIVO</v>
      </c>
    </row>
    <row r="2516" spans="1:24" x14ac:dyDescent="0.3">
      <c r="A2516" t="s">
        <v>186</v>
      </c>
      <c r="C2516" t="s">
        <v>3027</v>
      </c>
      <c r="D2516" s="1">
        <v>46072</v>
      </c>
      <c r="E2516" t="s">
        <v>3028</v>
      </c>
      <c r="F2516">
        <v>9</v>
      </c>
      <c r="G2516">
        <v>236</v>
      </c>
      <c r="H2516" t="str">
        <f>VLOOKUP(G2516,[1]OPERADORES!$A:$B,2,0)</f>
        <v>DANIEL</v>
      </c>
      <c r="I2516" t="s">
        <v>21</v>
      </c>
      <c r="J2516" t="s">
        <v>189</v>
      </c>
      <c r="K2516" t="s">
        <v>190</v>
      </c>
      <c r="L2516">
        <v>86995</v>
      </c>
      <c r="M2516" t="s">
        <v>2817</v>
      </c>
      <c r="O2516" t="s">
        <v>11</v>
      </c>
      <c r="P2516">
        <v>5102</v>
      </c>
      <c r="Q2516">
        <v>10</v>
      </c>
      <c r="R2516">
        <v>7.29</v>
      </c>
      <c r="S2516">
        <v>72.900000000000006</v>
      </c>
      <c r="T2516">
        <v>58.3</v>
      </c>
      <c r="U2516">
        <v>20.03</v>
      </c>
      <c r="V2516" t="str">
        <f>VLOOKUP(L2516,'[2]tabela de preços'!$A:$D,4,0)</f>
        <v>AUTOAMERICA</v>
      </c>
      <c r="W2516" t="str">
        <f>VLOOKUP(L2516,'[2]tabela de preços'!$A:$F,6,0)</f>
        <v>FLANELAS / PANOS</v>
      </c>
      <c r="X2516" t="str">
        <f>VLOOKUP(L2516,'[2]tabela de preços'!$A:$G,7,0)</f>
        <v>AUTOMOTIVO</v>
      </c>
    </row>
    <row r="2517" spans="1:24" x14ac:dyDescent="0.3">
      <c r="A2517" t="s">
        <v>186</v>
      </c>
      <c r="C2517" t="s">
        <v>3027</v>
      </c>
      <c r="D2517" s="1">
        <v>46072</v>
      </c>
      <c r="E2517" t="s">
        <v>3028</v>
      </c>
      <c r="F2517">
        <v>9</v>
      </c>
      <c r="G2517">
        <v>236</v>
      </c>
      <c r="H2517" t="str">
        <f>VLOOKUP(G2517,[1]OPERADORES!$A:$B,2,0)</f>
        <v>DANIEL</v>
      </c>
      <c r="I2517" t="s">
        <v>21</v>
      </c>
      <c r="J2517" t="s">
        <v>189</v>
      </c>
      <c r="K2517" t="s">
        <v>190</v>
      </c>
      <c r="L2517">
        <v>85409</v>
      </c>
      <c r="M2517" t="s">
        <v>201</v>
      </c>
      <c r="O2517" t="s">
        <v>11</v>
      </c>
      <c r="P2517">
        <v>5403</v>
      </c>
      <c r="Q2517">
        <v>2</v>
      </c>
      <c r="R2517">
        <v>30.46</v>
      </c>
      <c r="S2517">
        <v>60.92</v>
      </c>
      <c r="T2517">
        <v>46.22</v>
      </c>
      <c r="U2517">
        <v>24.13</v>
      </c>
      <c r="V2517" t="str">
        <f>VLOOKUP(L2517,'[2]tabela de preços'!$A:$D,4,0)</f>
        <v>WANDA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186</v>
      </c>
      <c r="C2518" t="s">
        <v>3027</v>
      </c>
      <c r="D2518" s="1">
        <v>46072</v>
      </c>
      <c r="E2518" t="s">
        <v>3028</v>
      </c>
      <c r="F2518">
        <v>9</v>
      </c>
      <c r="G2518">
        <v>236</v>
      </c>
      <c r="H2518" t="str">
        <f>VLOOKUP(G2518,[1]OPERADORES!$A:$B,2,0)</f>
        <v>DANIEL</v>
      </c>
      <c r="I2518" t="s">
        <v>21</v>
      </c>
      <c r="J2518" t="s">
        <v>189</v>
      </c>
      <c r="K2518" t="s">
        <v>190</v>
      </c>
      <c r="L2518">
        <v>20431</v>
      </c>
      <c r="M2518" t="s">
        <v>202</v>
      </c>
      <c r="O2518" t="s">
        <v>11</v>
      </c>
      <c r="P2518">
        <v>5403</v>
      </c>
      <c r="Q2518">
        <v>9</v>
      </c>
      <c r="R2518">
        <v>36.89</v>
      </c>
      <c r="S2518">
        <v>332.01</v>
      </c>
      <c r="T2518">
        <v>272.33999999999997</v>
      </c>
      <c r="U2518">
        <v>17.97</v>
      </c>
      <c r="V2518" t="str">
        <f>VLOOKUP(L2518,'[2]tabela de preços'!$A:$D,4,0)</f>
        <v>SHERWIN WILLIAMS</v>
      </c>
      <c r="W2518" t="str">
        <f>VLOOKUP(L2518,'[2]tabela de preços'!$A:$F,6,0)</f>
        <v>VERNIZ AUTOMOTIVO</v>
      </c>
      <c r="X2518" t="str">
        <f>VLOOKUP(L2518,'[2]tabela de preços'!$A:$G,7,0)</f>
        <v>AUTOMOTIVO</v>
      </c>
    </row>
    <row r="2519" spans="1:24" x14ac:dyDescent="0.3">
      <c r="A2519" t="s">
        <v>186</v>
      </c>
      <c r="C2519" t="s">
        <v>3027</v>
      </c>
      <c r="D2519" s="1">
        <v>46072</v>
      </c>
      <c r="E2519" t="s">
        <v>3029</v>
      </c>
      <c r="F2519">
        <v>9</v>
      </c>
      <c r="G2519">
        <v>236</v>
      </c>
      <c r="H2519" t="str">
        <f>VLOOKUP(G2519,[1]OPERADORES!$A:$B,2,0)</f>
        <v>DANIEL</v>
      </c>
      <c r="I2519" t="s">
        <v>21</v>
      </c>
      <c r="J2519" t="s">
        <v>189</v>
      </c>
      <c r="K2519" t="s">
        <v>190</v>
      </c>
      <c r="L2519">
        <v>21782</v>
      </c>
      <c r="M2519" t="s">
        <v>655</v>
      </c>
      <c r="O2519" t="s">
        <v>11</v>
      </c>
      <c r="P2519">
        <v>5403</v>
      </c>
      <c r="Q2519">
        <v>2</v>
      </c>
      <c r="R2519">
        <v>35.68</v>
      </c>
      <c r="S2519">
        <v>71.36</v>
      </c>
      <c r="T2519">
        <v>50.88</v>
      </c>
      <c r="U2519">
        <v>28.7</v>
      </c>
      <c r="V2519" t="str">
        <f>VLOOKUP(L2519,'[2]tabela de preços'!$A:$D,4,0)</f>
        <v>SHERWIN WILLIAMS</v>
      </c>
      <c r="W2519" t="str">
        <f>VLOOKUP(L2519,'[2]tabela de preços'!$A:$F,6,0)</f>
        <v>TINTAS POLIÉSTER</v>
      </c>
      <c r="X2519" t="str">
        <f>VLOOKUP(L2519,'[2]tabela de preços'!$A:$G,7,0)</f>
        <v>AUTOMOTIVO</v>
      </c>
    </row>
    <row r="2520" spans="1:24" x14ac:dyDescent="0.3">
      <c r="A2520" t="s">
        <v>186</v>
      </c>
      <c r="C2520" t="s">
        <v>3027</v>
      </c>
      <c r="D2520" s="1">
        <v>46072</v>
      </c>
      <c r="E2520" t="s">
        <v>3028</v>
      </c>
      <c r="F2520">
        <v>9</v>
      </c>
      <c r="G2520">
        <v>236</v>
      </c>
      <c r="H2520" t="str">
        <f>VLOOKUP(G2520,[1]OPERADORES!$A:$B,2,0)</f>
        <v>DANIEL</v>
      </c>
      <c r="I2520" t="s">
        <v>21</v>
      </c>
      <c r="J2520" t="s">
        <v>189</v>
      </c>
      <c r="K2520" t="s">
        <v>190</v>
      </c>
      <c r="L2520">
        <v>15</v>
      </c>
      <c r="M2520" t="s">
        <v>205</v>
      </c>
      <c r="O2520" t="s">
        <v>11</v>
      </c>
      <c r="P2520">
        <v>5102</v>
      </c>
      <c r="Q2520">
        <v>10</v>
      </c>
      <c r="R2520">
        <v>5.79</v>
      </c>
      <c r="S2520">
        <v>57.9</v>
      </c>
      <c r="T2520">
        <v>41.6</v>
      </c>
      <c r="U2520">
        <v>28.15</v>
      </c>
      <c r="V2520" t="str">
        <f>VLOOKUP(L2520,'[2]tabela de preços'!$A:$D,4,0)</f>
        <v>3M</v>
      </c>
      <c r="W2520" t="str">
        <f>VLOOKUP(L2520,'[2]tabela de preços'!$A:$F,6,0)</f>
        <v>LIXA DÁGUA</v>
      </c>
      <c r="X2520" t="str">
        <f>VLOOKUP(L2520,'[2]tabela de preços'!$A:$G,7,0)</f>
        <v>AUTOMOTIVO</v>
      </c>
    </row>
    <row r="2521" spans="1:24" x14ac:dyDescent="0.3">
      <c r="A2521" t="s">
        <v>186</v>
      </c>
      <c r="C2521" t="s">
        <v>3027</v>
      </c>
      <c r="D2521" s="1">
        <v>46072</v>
      </c>
      <c r="E2521" t="s">
        <v>3028</v>
      </c>
      <c r="F2521">
        <v>9</v>
      </c>
      <c r="G2521">
        <v>236</v>
      </c>
      <c r="H2521" t="str">
        <f>VLOOKUP(G2521,[1]OPERADORES!$A:$B,2,0)</f>
        <v>DANIEL</v>
      </c>
      <c r="I2521" t="s">
        <v>21</v>
      </c>
      <c r="J2521" t="s">
        <v>189</v>
      </c>
      <c r="K2521" t="s">
        <v>190</v>
      </c>
      <c r="L2521">
        <v>10246</v>
      </c>
      <c r="M2521" t="s">
        <v>206</v>
      </c>
      <c r="O2521" t="s">
        <v>11</v>
      </c>
      <c r="P2521">
        <v>5102</v>
      </c>
      <c r="Q2521">
        <v>5</v>
      </c>
      <c r="R2521">
        <v>2.79</v>
      </c>
      <c r="S2521">
        <v>13.95</v>
      </c>
      <c r="T2521">
        <v>9.65</v>
      </c>
      <c r="U2521">
        <v>30.82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186</v>
      </c>
      <c r="C2522" t="s">
        <v>3027</v>
      </c>
      <c r="D2522" s="1">
        <v>46072</v>
      </c>
      <c r="E2522" t="s">
        <v>3028</v>
      </c>
      <c r="F2522">
        <v>9</v>
      </c>
      <c r="G2522">
        <v>236</v>
      </c>
      <c r="H2522" t="str">
        <f>VLOOKUP(G2522,[1]OPERADORES!$A:$B,2,0)</f>
        <v>DANIEL</v>
      </c>
      <c r="I2522" t="s">
        <v>21</v>
      </c>
      <c r="J2522" t="s">
        <v>189</v>
      </c>
      <c r="K2522" t="s">
        <v>190</v>
      </c>
      <c r="L2522">
        <v>21078</v>
      </c>
      <c r="M2522" t="s">
        <v>141</v>
      </c>
      <c r="O2522" t="s">
        <v>11</v>
      </c>
      <c r="P2522">
        <v>5102</v>
      </c>
      <c r="Q2522">
        <v>3</v>
      </c>
      <c r="R2522">
        <v>22.89</v>
      </c>
      <c r="S2522">
        <v>68.67</v>
      </c>
      <c r="T2522">
        <v>55.98</v>
      </c>
      <c r="U2522">
        <v>18.48</v>
      </c>
      <c r="V2522" t="str">
        <f>VLOOKUP(L2522,'[2]tabela de preços'!$A:$D,4,0)</f>
        <v>SHERWIN WILLIAMS</v>
      </c>
      <c r="W2522" t="str">
        <f>VLOOKUP(L2522,'[2]tabela de preços'!$A:$F,6,0)</f>
        <v>MASSA POLIÉSTER</v>
      </c>
      <c r="X2522" t="str">
        <f>VLOOKUP(L2522,'[2]tabela de preços'!$A:$G,7,0)</f>
        <v>AUTOMOTIVO</v>
      </c>
    </row>
    <row r="2523" spans="1:24" x14ac:dyDescent="0.3">
      <c r="A2523" t="s">
        <v>186</v>
      </c>
      <c r="C2523" t="s">
        <v>3027</v>
      </c>
      <c r="D2523" s="1">
        <v>46072</v>
      </c>
      <c r="E2523" t="s">
        <v>3028</v>
      </c>
      <c r="F2523">
        <v>9</v>
      </c>
      <c r="G2523">
        <v>236</v>
      </c>
      <c r="H2523" t="str">
        <f>VLOOKUP(G2523,[1]OPERADORES!$A:$B,2,0)</f>
        <v>DANIEL</v>
      </c>
      <c r="I2523" t="s">
        <v>21</v>
      </c>
      <c r="J2523" t="s">
        <v>189</v>
      </c>
      <c r="K2523" t="s">
        <v>190</v>
      </c>
      <c r="L2523">
        <v>23267</v>
      </c>
      <c r="M2523" t="s">
        <v>164</v>
      </c>
      <c r="O2523" t="s">
        <v>11</v>
      </c>
      <c r="P2523">
        <v>5102</v>
      </c>
      <c r="Q2523">
        <v>1</v>
      </c>
      <c r="R2523">
        <v>22.89</v>
      </c>
      <c r="S2523">
        <v>22.89</v>
      </c>
      <c r="T2523">
        <v>18.62</v>
      </c>
      <c r="U2523">
        <v>18.649999999999999</v>
      </c>
      <c r="V2523" t="str">
        <f>VLOOKUP(L2523,'[2]tabela de preços'!$A:$D,4,0)</f>
        <v>ANJO</v>
      </c>
      <c r="W2523" t="str">
        <f>VLOOKUP(L2523,'[2]tabela de preços'!$A:$F,6,0)</f>
        <v>MASSA POLIÉSTER</v>
      </c>
      <c r="X2523" t="str">
        <f>VLOOKUP(L2523,'[2]tabela de preços'!$A:$G,7,0)</f>
        <v>AUTOMOTIVO</v>
      </c>
    </row>
    <row r="2524" spans="1:24" x14ac:dyDescent="0.3">
      <c r="A2524" t="s">
        <v>186</v>
      </c>
      <c r="C2524" t="s">
        <v>3027</v>
      </c>
      <c r="D2524" s="1">
        <v>46072</v>
      </c>
      <c r="E2524" t="s">
        <v>3028</v>
      </c>
      <c r="F2524">
        <v>9</v>
      </c>
      <c r="G2524">
        <v>236</v>
      </c>
      <c r="H2524" t="str">
        <f>VLOOKUP(G2524,[1]OPERADORES!$A:$B,2,0)</f>
        <v>DANIEL</v>
      </c>
      <c r="I2524" t="s">
        <v>21</v>
      </c>
      <c r="J2524" t="s">
        <v>189</v>
      </c>
      <c r="K2524" t="s">
        <v>190</v>
      </c>
      <c r="L2524">
        <v>24247</v>
      </c>
      <c r="M2524" t="s">
        <v>160</v>
      </c>
      <c r="O2524" t="s">
        <v>11</v>
      </c>
      <c r="P2524">
        <v>5403</v>
      </c>
      <c r="Q2524">
        <v>3</v>
      </c>
      <c r="R2524">
        <v>21</v>
      </c>
      <c r="S2524">
        <v>63</v>
      </c>
      <c r="T2524">
        <v>50.61</v>
      </c>
      <c r="U2524">
        <v>19.670000000000002</v>
      </c>
      <c r="V2524" t="str">
        <f>VLOOKUP(L2524,'[2]tabela de preços'!$A:$D,4,0)</f>
        <v>SHERWIN WILLIAMS</v>
      </c>
      <c r="W2524" t="str">
        <f>VLOOKUP(L2524,'[2]tabela de preços'!$A:$F,6,0)</f>
        <v>PRIMER AUTOMOTIVO</v>
      </c>
      <c r="X2524" t="str">
        <f>VLOOKUP(L2524,'[2]tabela de preços'!$A:$G,7,0)</f>
        <v>AUTOMOTIVO</v>
      </c>
    </row>
    <row r="2525" spans="1:24" x14ac:dyDescent="0.3">
      <c r="A2525" t="s">
        <v>186</v>
      </c>
      <c r="C2525" t="s">
        <v>3027</v>
      </c>
      <c r="D2525" s="1">
        <v>46072</v>
      </c>
      <c r="E2525" t="s">
        <v>3028</v>
      </c>
      <c r="F2525">
        <v>9</v>
      </c>
      <c r="G2525">
        <v>236</v>
      </c>
      <c r="H2525" t="str">
        <f>VLOOKUP(G2525,[1]OPERADORES!$A:$B,2,0)</f>
        <v>DANIEL</v>
      </c>
      <c r="I2525" t="s">
        <v>21</v>
      </c>
      <c r="J2525" t="s">
        <v>189</v>
      </c>
      <c r="K2525" t="s">
        <v>190</v>
      </c>
      <c r="L2525">
        <v>20212</v>
      </c>
      <c r="M2525" t="s">
        <v>198</v>
      </c>
      <c r="O2525" t="s">
        <v>11</v>
      </c>
      <c r="P2525">
        <v>5403</v>
      </c>
      <c r="Q2525">
        <v>2</v>
      </c>
      <c r="R2525">
        <v>26.95</v>
      </c>
      <c r="S2525">
        <v>53.9</v>
      </c>
      <c r="T2525">
        <v>40.92</v>
      </c>
      <c r="U2525">
        <v>24.08</v>
      </c>
      <c r="V2525" t="str">
        <f>VLOOKUP(L2525,'[2]tabela de preços'!$A:$D,4,0)</f>
        <v>MAXI RUBBER</v>
      </c>
      <c r="W2525" t="str">
        <f>VLOOKUP(L2525,'[2]tabela de preços'!$A:$F,6,0)</f>
        <v>SELADORA P/ PLASTICO</v>
      </c>
      <c r="X2525" t="str">
        <f>VLOOKUP(L2525,'[2]tabela de preços'!$A:$G,7,0)</f>
        <v>AUTOMOTIVO</v>
      </c>
    </row>
    <row r="2526" spans="1:24" x14ac:dyDescent="0.3">
      <c r="A2526" t="s">
        <v>186</v>
      </c>
      <c r="C2526" t="s">
        <v>3027</v>
      </c>
      <c r="D2526" s="1">
        <v>46072</v>
      </c>
      <c r="E2526" t="s">
        <v>3028</v>
      </c>
      <c r="F2526">
        <v>9</v>
      </c>
      <c r="G2526">
        <v>236</v>
      </c>
      <c r="H2526" t="str">
        <f>VLOOKUP(G2526,[1]OPERADORES!$A:$B,2,0)</f>
        <v>DANIEL</v>
      </c>
      <c r="I2526" t="s">
        <v>21</v>
      </c>
      <c r="J2526" t="s">
        <v>189</v>
      </c>
      <c r="K2526" t="s">
        <v>190</v>
      </c>
      <c r="L2526">
        <v>10297</v>
      </c>
      <c r="M2526" t="s">
        <v>41</v>
      </c>
      <c r="O2526" t="s">
        <v>11</v>
      </c>
      <c r="P2526">
        <v>5102</v>
      </c>
      <c r="Q2526">
        <v>12</v>
      </c>
      <c r="R2526">
        <v>10.89</v>
      </c>
      <c r="S2526">
        <v>130.68</v>
      </c>
      <c r="T2526">
        <v>110.04</v>
      </c>
      <c r="U2526">
        <v>15.79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186</v>
      </c>
      <c r="C2527" t="s">
        <v>3027</v>
      </c>
      <c r="D2527" s="1">
        <v>46072</v>
      </c>
      <c r="E2527" t="s">
        <v>3028</v>
      </c>
      <c r="F2527">
        <v>9</v>
      </c>
      <c r="G2527">
        <v>236</v>
      </c>
      <c r="H2527" t="str">
        <f>VLOOKUP(G2527,[1]OPERADORES!$A:$B,2,0)</f>
        <v>DANIEL</v>
      </c>
      <c r="I2527" t="s">
        <v>21</v>
      </c>
      <c r="J2527" t="s">
        <v>189</v>
      </c>
      <c r="K2527" t="s">
        <v>190</v>
      </c>
      <c r="L2527">
        <v>84460</v>
      </c>
      <c r="M2527" t="s">
        <v>322</v>
      </c>
      <c r="O2527" t="s">
        <v>11</v>
      </c>
      <c r="P2527">
        <v>5102</v>
      </c>
      <c r="Q2527">
        <v>1</v>
      </c>
      <c r="R2527">
        <v>32.159999999999997</v>
      </c>
      <c r="S2527">
        <v>32.159999999999997</v>
      </c>
      <c r="T2527">
        <v>23.58</v>
      </c>
      <c r="U2527">
        <v>26.68</v>
      </c>
      <c r="V2527" t="str">
        <f>VLOOKUP(L2527,'[2]tabela de preços'!$A:$D,4,0)</f>
        <v>BRASILUX</v>
      </c>
      <c r="W2527" t="str">
        <f>VLOOKUP(L2527,'[2]tabela de preços'!$A:$F,6,0)</f>
        <v>VEDADORES / SELANTES</v>
      </c>
      <c r="X2527" t="str">
        <f>VLOOKUP(L2527,'[2]tabela de preços'!$A:$G,7,0)</f>
        <v>AUTOMOTIVO</v>
      </c>
    </row>
    <row r="2528" spans="1:24" x14ac:dyDescent="0.3">
      <c r="A2528" t="s">
        <v>208</v>
      </c>
      <c r="C2528" t="s">
        <v>2863</v>
      </c>
      <c r="D2528" s="1">
        <v>46063</v>
      </c>
      <c r="E2528" t="s">
        <v>2864</v>
      </c>
      <c r="F2528">
        <v>9</v>
      </c>
      <c r="G2528">
        <v>236</v>
      </c>
      <c r="H2528" t="str">
        <f>VLOOKUP(G2528,[1]OPERADORES!$A:$B,2,0)</f>
        <v>DANIEL</v>
      </c>
      <c r="I2528" t="s">
        <v>21</v>
      </c>
      <c r="J2528" t="s">
        <v>211</v>
      </c>
      <c r="K2528" t="s">
        <v>212</v>
      </c>
      <c r="L2528">
        <v>24248</v>
      </c>
      <c r="M2528" t="s">
        <v>107</v>
      </c>
      <c r="O2528" t="s">
        <v>11</v>
      </c>
      <c r="P2528">
        <v>5102</v>
      </c>
      <c r="Q2528">
        <v>4</v>
      </c>
      <c r="R2528">
        <v>8</v>
      </c>
      <c r="S2528">
        <v>32</v>
      </c>
      <c r="T2528">
        <v>26</v>
      </c>
      <c r="U2528">
        <v>18.75</v>
      </c>
      <c r="V2528" t="str">
        <f>VLOOKUP(L2528,'[2]tabela de preços'!$A:$D,4,0)</f>
        <v>SHERWIN WILLIAMS</v>
      </c>
      <c r="W2528" t="str">
        <f>VLOOKUP(L2528,'[2]tabela de preços'!$A:$F,6,0)</f>
        <v>PRIMER AUTOMOTIVO</v>
      </c>
      <c r="X2528" t="str">
        <f>VLOOKUP(L2528,'[2]tabela de preços'!$A:$G,7,0)</f>
        <v>AUTOMOTIVO</v>
      </c>
    </row>
    <row r="2529" spans="1:24" x14ac:dyDescent="0.3">
      <c r="A2529" t="s">
        <v>208</v>
      </c>
      <c r="C2529" t="s">
        <v>2863</v>
      </c>
      <c r="D2529" s="1">
        <v>46063</v>
      </c>
      <c r="E2529" t="s">
        <v>2864</v>
      </c>
      <c r="F2529">
        <v>9</v>
      </c>
      <c r="G2529">
        <v>236</v>
      </c>
      <c r="H2529" t="str">
        <f>VLOOKUP(G2529,[1]OPERADORES!$A:$B,2,0)</f>
        <v>DANIEL</v>
      </c>
      <c r="I2529" t="s">
        <v>21</v>
      </c>
      <c r="J2529" t="s">
        <v>211</v>
      </c>
      <c r="K2529" t="s">
        <v>212</v>
      </c>
      <c r="L2529">
        <v>13</v>
      </c>
      <c r="M2529" t="s">
        <v>152</v>
      </c>
      <c r="O2529" t="s">
        <v>11</v>
      </c>
      <c r="P2529">
        <v>5102</v>
      </c>
      <c r="Q2529">
        <v>50</v>
      </c>
      <c r="R2529">
        <v>5.79</v>
      </c>
      <c r="S2529">
        <v>289.5</v>
      </c>
      <c r="T2529">
        <v>208</v>
      </c>
      <c r="U2529">
        <v>28.15</v>
      </c>
      <c r="V2529" t="str">
        <f>VLOOKUP(L2529,'[2]tabela de preços'!$A:$D,4,0)</f>
        <v>3M</v>
      </c>
      <c r="W2529" t="str">
        <f>VLOOKUP(L2529,'[2]tabela de preços'!$A:$F,6,0)</f>
        <v>LIXA DÁGUA</v>
      </c>
      <c r="X2529" t="str">
        <f>VLOOKUP(L2529,'[2]tabela de preços'!$A:$G,7,0)</f>
        <v>AUTOMOTIVO</v>
      </c>
    </row>
    <row r="2530" spans="1:24" x14ac:dyDescent="0.3">
      <c r="A2530" t="s">
        <v>208</v>
      </c>
      <c r="C2530" t="s">
        <v>2863</v>
      </c>
      <c r="D2530" s="1">
        <v>46063</v>
      </c>
      <c r="E2530" t="s">
        <v>2864</v>
      </c>
      <c r="F2530">
        <v>9</v>
      </c>
      <c r="G2530">
        <v>236</v>
      </c>
      <c r="H2530" t="str">
        <f>VLOOKUP(G2530,[1]OPERADORES!$A:$B,2,0)</f>
        <v>DANIEL</v>
      </c>
      <c r="I2530" t="s">
        <v>21</v>
      </c>
      <c r="J2530" t="s">
        <v>211</v>
      </c>
      <c r="K2530" t="s">
        <v>212</v>
      </c>
      <c r="L2530">
        <v>10245</v>
      </c>
      <c r="M2530" t="s">
        <v>195</v>
      </c>
      <c r="O2530" t="s">
        <v>11</v>
      </c>
      <c r="P2530">
        <v>5102</v>
      </c>
      <c r="Q2530">
        <v>50</v>
      </c>
      <c r="R2530">
        <v>2.79</v>
      </c>
      <c r="S2530">
        <v>139.5</v>
      </c>
      <c r="T2530">
        <v>96.5</v>
      </c>
      <c r="U2530">
        <v>30.82</v>
      </c>
      <c r="V2530" t="str">
        <f>VLOOKUP(L2530,'[2]tabela de preços'!$A:$D,4,0)</f>
        <v>NORTON</v>
      </c>
      <c r="W2530" t="str">
        <f>VLOOKUP(L2530,'[2]tabela de preços'!$A:$F,6,0)</f>
        <v xml:space="preserve">DISCOS / LIXAS / ABRASIVOS </v>
      </c>
      <c r="X2530" t="str">
        <f>VLOOKUP(L2530,'[2]tabela de preços'!$A:$G,7,0)</f>
        <v>AUTOMOTIVO</v>
      </c>
    </row>
    <row r="2531" spans="1:24" x14ac:dyDescent="0.3">
      <c r="A2531" t="s">
        <v>208</v>
      </c>
      <c r="C2531" t="s">
        <v>2863</v>
      </c>
      <c r="D2531" s="1">
        <v>46063</v>
      </c>
      <c r="E2531" t="s">
        <v>2864</v>
      </c>
      <c r="F2531">
        <v>9</v>
      </c>
      <c r="G2531">
        <v>236</v>
      </c>
      <c r="H2531" t="str">
        <f>VLOOKUP(G2531,[1]OPERADORES!$A:$B,2,0)</f>
        <v>DANIEL</v>
      </c>
      <c r="I2531" t="s">
        <v>21</v>
      </c>
      <c r="J2531" t="s">
        <v>211</v>
      </c>
      <c r="K2531" t="s">
        <v>212</v>
      </c>
      <c r="L2531">
        <v>87043</v>
      </c>
      <c r="M2531" t="s">
        <v>217</v>
      </c>
      <c r="O2531" t="s">
        <v>11</v>
      </c>
      <c r="P2531">
        <v>5102</v>
      </c>
      <c r="Q2531">
        <v>8</v>
      </c>
      <c r="R2531">
        <v>21.95</v>
      </c>
      <c r="S2531">
        <v>175.6</v>
      </c>
      <c r="T2531">
        <v>144.16</v>
      </c>
      <c r="U2531">
        <v>17.899999999999999</v>
      </c>
      <c r="V2531" t="str">
        <f>VLOOKUP(L2531,'[2]tabela de preços'!$A:$D,4,0)</f>
        <v>ROBERLO</v>
      </c>
      <c r="W2531" t="str">
        <f>VLOOKUP(L2531,'[2]tabela de preços'!$A:$F,6,0)</f>
        <v>MASSA POLIÉSTER</v>
      </c>
      <c r="X2531" t="str">
        <f>VLOOKUP(L2531,'[2]tabela de preços'!$A:$G,7,0)</f>
        <v>AUTOMOTIVO</v>
      </c>
    </row>
    <row r="2532" spans="1:24" x14ac:dyDescent="0.3">
      <c r="A2532" t="s">
        <v>208</v>
      </c>
      <c r="C2532" t="s">
        <v>2863</v>
      </c>
      <c r="D2532" s="1">
        <v>46063</v>
      </c>
      <c r="E2532" t="s">
        <v>2864</v>
      </c>
      <c r="F2532">
        <v>9</v>
      </c>
      <c r="G2532">
        <v>236</v>
      </c>
      <c r="H2532" t="str">
        <f>VLOOKUP(G2532,[1]OPERADORES!$A:$B,2,0)</f>
        <v>DANIEL</v>
      </c>
      <c r="I2532" t="s">
        <v>21</v>
      </c>
      <c r="J2532" t="s">
        <v>211</v>
      </c>
      <c r="K2532" t="s">
        <v>212</v>
      </c>
      <c r="L2532">
        <v>24247</v>
      </c>
      <c r="M2532" t="s">
        <v>160</v>
      </c>
      <c r="O2532" t="s">
        <v>11</v>
      </c>
      <c r="P2532">
        <v>5403</v>
      </c>
      <c r="Q2532">
        <v>4</v>
      </c>
      <c r="R2532">
        <v>21</v>
      </c>
      <c r="S2532">
        <v>84</v>
      </c>
      <c r="T2532">
        <v>67.48</v>
      </c>
      <c r="U2532">
        <v>19.670000000000002</v>
      </c>
      <c r="V2532" t="str">
        <f>VLOOKUP(L2532,'[2]tabela de preços'!$A:$D,4,0)</f>
        <v>SHERWIN WILLIAMS</v>
      </c>
      <c r="W2532" t="str">
        <f>VLOOKUP(L2532,'[2]tabela de preços'!$A:$F,6,0)</f>
        <v>PRIMER AUTOMOTIVO</v>
      </c>
      <c r="X2532" t="str">
        <f>VLOOKUP(L2532,'[2]tabela de preços'!$A:$G,7,0)</f>
        <v>AUTOMOTIVO</v>
      </c>
    </row>
    <row r="2533" spans="1:24" x14ac:dyDescent="0.3">
      <c r="A2533" t="s">
        <v>3030</v>
      </c>
      <c r="C2533" t="s">
        <v>3031</v>
      </c>
      <c r="D2533" s="1">
        <v>46072</v>
      </c>
      <c r="E2533" t="s">
        <v>3032</v>
      </c>
      <c r="F2533">
        <v>9</v>
      </c>
      <c r="G2533">
        <v>236</v>
      </c>
      <c r="H2533" t="str">
        <f>VLOOKUP(G2533,[1]OPERADORES!$A:$B,2,0)</f>
        <v>DANIEL</v>
      </c>
      <c r="I2533" t="s">
        <v>3033</v>
      </c>
      <c r="J2533" t="s">
        <v>3034</v>
      </c>
      <c r="K2533" t="s">
        <v>3035</v>
      </c>
      <c r="L2533">
        <v>24261</v>
      </c>
      <c r="M2533" t="s">
        <v>3036</v>
      </c>
      <c r="O2533" t="s">
        <v>11</v>
      </c>
      <c r="P2533">
        <v>6102</v>
      </c>
      <c r="Q2533">
        <v>1</v>
      </c>
      <c r="R2533">
        <v>155.47</v>
      </c>
      <c r="S2533">
        <v>155.47</v>
      </c>
      <c r="T2533">
        <v>115.29</v>
      </c>
      <c r="U2533">
        <v>25.84</v>
      </c>
      <c r="V2533" t="str">
        <f>VLOOKUP(L2533,'[2]tabela de preços'!$A:$D,4,0)</f>
        <v>3M</v>
      </c>
      <c r="W2533" t="str">
        <f>VLOOKUP(L2533,'[2]tabela de preços'!$A:$F,6,0)</f>
        <v>BOINAS PARA POLIMENTO</v>
      </c>
      <c r="X2533" t="str">
        <f>VLOOKUP(L2533,'[2]tabela de preços'!$A:$G,7,0)</f>
        <v>AUTOMOTIVO</v>
      </c>
    </row>
    <row r="2534" spans="1:24" x14ac:dyDescent="0.3">
      <c r="A2534" t="s">
        <v>3030</v>
      </c>
      <c r="C2534" t="s">
        <v>3031</v>
      </c>
      <c r="D2534" s="1">
        <v>46072</v>
      </c>
      <c r="E2534" t="s">
        <v>3032</v>
      </c>
      <c r="F2534">
        <v>9</v>
      </c>
      <c r="G2534">
        <v>236</v>
      </c>
      <c r="H2534" t="str">
        <f>VLOOKUP(G2534,[1]OPERADORES!$A:$B,2,0)</f>
        <v>DANIEL</v>
      </c>
      <c r="I2534" t="s">
        <v>3033</v>
      </c>
      <c r="J2534" t="s">
        <v>3034</v>
      </c>
      <c r="K2534" t="s">
        <v>3035</v>
      </c>
      <c r="L2534">
        <v>24262</v>
      </c>
      <c r="M2534" t="s">
        <v>3037</v>
      </c>
      <c r="O2534" t="s">
        <v>11</v>
      </c>
      <c r="P2534">
        <v>6102</v>
      </c>
      <c r="Q2534">
        <v>2</v>
      </c>
      <c r="R2534">
        <v>192.74</v>
      </c>
      <c r="S2534">
        <v>385.48</v>
      </c>
      <c r="T2534">
        <v>285.86</v>
      </c>
      <c r="U2534">
        <v>25.84</v>
      </c>
      <c r="V2534" t="str">
        <f>VLOOKUP(L2534,'[2]tabela de preços'!$A:$D,4,0)</f>
        <v>3M</v>
      </c>
      <c r="W2534" t="str">
        <f>VLOOKUP(L2534,'[2]tabela de preços'!$A:$F,6,0)</f>
        <v>BOINAS PARA POLIMENTO</v>
      </c>
      <c r="X2534" t="str">
        <f>VLOOKUP(L2534,'[2]tabela de preços'!$A:$G,7,0)</f>
        <v>AUTOMOTIVO</v>
      </c>
    </row>
    <row r="2535" spans="1:24" x14ac:dyDescent="0.3">
      <c r="A2535" t="s">
        <v>3030</v>
      </c>
      <c r="C2535" t="s">
        <v>3031</v>
      </c>
      <c r="D2535" s="1">
        <v>46072</v>
      </c>
      <c r="E2535" t="s">
        <v>3032</v>
      </c>
      <c r="F2535">
        <v>9</v>
      </c>
      <c r="G2535">
        <v>236</v>
      </c>
      <c r="H2535" t="str">
        <f>VLOOKUP(G2535,[1]OPERADORES!$A:$B,2,0)</f>
        <v>DANIEL</v>
      </c>
      <c r="I2535" t="s">
        <v>3033</v>
      </c>
      <c r="J2535" t="s">
        <v>3034</v>
      </c>
      <c r="K2535" t="s">
        <v>3035</v>
      </c>
      <c r="L2535">
        <v>13</v>
      </c>
      <c r="M2535" t="s">
        <v>152</v>
      </c>
      <c r="O2535" t="s">
        <v>11</v>
      </c>
      <c r="P2535">
        <v>6102</v>
      </c>
      <c r="Q2535">
        <v>50</v>
      </c>
      <c r="R2535">
        <v>5.79</v>
      </c>
      <c r="S2535">
        <v>289.5</v>
      </c>
      <c r="T2535">
        <v>208</v>
      </c>
      <c r="U2535">
        <v>28.15</v>
      </c>
      <c r="V2535" t="str">
        <f>VLOOKUP(L2535,'[2]tabela de preços'!$A:$D,4,0)</f>
        <v>3M</v>
      </c>
      <c r="W2535" t="str">
        <f>VLOOKUP(L2535,'[2]tabela de preços'!$A:$F,6,0)</f>
        <v>LIXA DÁGUA</v>
      </c>
      <c r="X2535" t="str">
        <f>VLOOKUP(L2535,'[2]tabela de preços'!$A:$G,7,0)</f>
        <v>AUTOMOTIVO</v>
      </c>
    </row>
    <row r="2536" spans="1:24" x14ac:dyDescent="0.3">
      <c r="A2536" t="s">
        <v>254</v>
      </c>
      <c r="C2536" t="s">
        <v>2865</v>
      </c>
      <c r="D2536" s="1">
        <v>46063</v>
      </c>
      <c r="E2536" t="s">
        <v>2866</v>
      </c>
      <c r="F2536">
        <v>9</v>
      </c>
      <c r="G2536">
        <v>236</v>
      </c>
      <c r="H2536" t="str">
        <f>VLOOKUP(G2536,[1]OPERADORES!$A:$B,2,0)</f>
        <v>DANIEL</v>
      </c>
      <c r="I2536" t="s">
        <v>21</v>
      </c>
      <c r="J2536" t="s">
        <v>66</v>
      </c>
      <c r="K2536" t="s">
        <v>257</v>
      </c>
      <c r="L2536">
        <v>85318</v>
      </c>
      <c r="M2536" t="s">
        <v>258</v>
      </c>
      <c r="O2536" t="s">
        <v>11</v>
      </c>
      <c r="P2536">
        <v>5102</v>
      </c>
      <c r="Q2536">
        <v>1</v>
      </c>
      <c r="R2536">
        <v>775.32</v>
      </c>
      <c r="S2536">
        <v>775.32</v>
      </c>
      <c r="T2536">
        <v>552.80999999999995</v>
      </c>
      <c r="U2536">
        <v>28.7</v>
      </c>
      <c r="V2536" t="str">
        <f>VLOOKUP(L2536,'[2]tabela de preços'!$A:$D,4,0)</f>
        <v>BRASILUX</v>
      </c>
      <c r="W2536" t="str">
        <f>VLOOKUP(L2536,'[2]tabela de preços'!$A:$F,6,0)</f>
        <v>TINTA EM PÓ</v>
      </c>
      <c r="X2536" t="str">
        <f>VLOOKUP(L2536,'[2]tabela de preços'!$A:$G,7,0)</f>
        <v>INDUSTRIAL</v>
      </c>
    </row>
    <row r="2537" spans="1:24" x14ac:dyDescent="0.3">
      <c r="A2537" t="s">
        <v>279</v>
      </c>
      <c r="C2537" t="s">
        <v>2572</v>
      </c>
      <c r="D2537" s="1">
        <v>46057</v>
      </c>
      <c r="E2537" t="s">
        <v>2573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282</v>
      </c>
      <c r="J2537" t="s">
        <v>283</v>
      </c>
      <c r="K2537" t="s">
        <v>284</v>
      </c>
      <c r="L2537">
        <v>84331</v>
      </c>
      <c r="M2537" t="s">
        <v>497</v>
      </c>
      <c r="O2537" t="s">
        <v>11</v>
      </c>
      <c r="P2537">
        <v>6403</v>
      </c>
      <c r="Q2537">
        <v>8</v>
      </c>
      <c r="R2537">
        <v>59.98</v>
      </c>
      <c r="S2537">
        <v>479.84</v>
      </c>
      <c r="T2537">
        <v>416</v>
      </c>
      <c r="U2537">
        <v>13.3</v>
      </c>
      <c r="V2537" t="str">
        <f>VLOOKUP(L2537,'[2]tabela de preços'!$A:$D,4,0)</f>
        <v>BRASILUX</v>
      </c>
      <c r="W2537" t="str">
        <f>VLOOKUP(L2537,'[2]tabela de preços'!$A:$F,6,0)</f>
        <v>ESMALTES</v>
      </c>
      <c r="X2537" t="str">
        <f>VLOOKUP(L2537,'[2]tabela de preços'!$A:$G,7,0)</f>
        <v>INDUSTRIAL</v>
      </c>
    </row>
    <row r="2538" spans="1:24" x14ac:dyDescent="0.3">
      <c r="A2538" t="s">
        <v>279</v>
      </c>
      <c r="C2538" t="s">
        <v>2572</v>
      </c>
      <c r="D2538" s="1">
        <v>46057</v>
      </c>
      <c r="E2538" t="s">
        <v>2573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282</v>
      </c>
      <c r="J2538" t="s">
        <v>283</v>
      </c>
      <c r="K2538" t="s">
        <v>284</v>
      </c>
      <c r="L2538">
        <v>84036</v>
      </c>
      <c r="M2538" t="s">
        <v>289</v>
      </c>
      <c r="O2538" t="s">
        <v>11</v>
      </c>
      <c r="P2538">
        <v>6102</v>
      </c>
      <c r="Q2538">
        <v>30</v>
      </c>
      <c r="R2538">
        <v>47.9</v>
      </c>
      <c r="S2538" s="2">
        <v>1437</v>
      </c>
      <c r="T2538" s="2">
        <v>1248.9000000000001</v>
      </c>
      <c r="U2538">
        <v>13.09</v>
      </c>
      <c r="V2538" t="str">
        <f>VLOOKUP(L2538,'[2]tabela de preços'!$A:$D,4,0)</f>
        <v>BRASILUX</v>
      </c>
      <c r="W2538" t="str">
        <f>VLOOKUP(L2538,'[2]tabela de preços'!$A:$F,6,0)</f>
        <v>MASSA CORRIDA / ACRÍLICA</v>
      </c>
      <c r="X2538" t="str">
        <f>VLOOKUP(L2538,'[2]tabela de preços'!$A:$G,7,0)</f>
        <v>IMOBILIÁRIO</v>
      </c>
    </row>
    <row r="2539" spans="1:24" x14ac:dyDescent="0.3">
      <c r="A2539" t="s">
        <v>279</v>
      </c>
      <c r="C2539" t="s">
        <v>2574</v>
      </c>
      <c r="D2539" s="1">
        <v>46058</v>
      </c>
      <c r="E2539" t="s">
        <v>2575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282</v>
      </c>
      <c r="J2539" t="s">
        <v>283</v>
      </c>
      <c r="K2539" t="s">
        <v>284</v>
      </c>
      <c r="L2539">
        <v>84189</v>
      </c>
      <c r="M2539" t="s">
        <v>2576</v>
      </c>
      <c r="O2539" t="s">
        <v>11</v>
      </c>
      <c r="P2539">
        <v>6403</v>
      </c>
      <c r="Q2539">
        <v>4</v>
      </c>
      <c r="R2539">
        <v>80.8</v>
      </c>
      <c r="S2539">
        <v>323.2</v>
      </c>
      <c r="T2539">
        <v>236.96</v>
      </c>
      <c r="U2539">
        <v>26.68</v>
      </c>
      <c r="V2539" t="str">
        <f>VLOOKUP(L2539,'[2]tabela de preços'!$A:$D,4,0)</f>
        <v>BRASILUX</v>
      </c>
      <c r="W2539" t="str">
        <f>VLOOKUP(L2539,'[2]tabela de preços'!$A:$F,6,0)</f>
        <v>LINHA MOVELEIRA</v>
      </c>
      <c r="X2539" t="str">
        <f>VLOOKUP(L2539,'[2]tabela de preços'!$A:$G,7,0)</f>
        <v>MOVELEIRA</v>
      </c>
    </row>
    <row r="2540" spans="1:24" x14ac:dyDescent="0.3">
      <c r="A2540" t="s">
        <v>279</v>
      </c>
      <c r="C2540" t="s">
        <v>2574</v>
      </c>
      <c r="D2540" s="1">
        <v>46058</v>
      </c>
      <c r="E2540" t="s">
        <v>2575</v>
      </c>
      <c r="F2540">
        <v>9</v>
      </c>
      <c r="G2540">
        <v>197</v>
      </c>
      <c r="H2540" t="str">
        <f>VLOOKUP(G2540,[1]OPERADORES!$A:$B,2,0)</f>
        <v xml:space="preserve">POLIANA LORRANE DE AMORIM </v>
      </c>
      <c r="I2540" t="s">
        <v>282</v>
      </c>
      <c r="J2540" t="s">
        <v>283</v>
      </c>
      <c r="K2540" t="s">
        <v>284</v>
      </c>
      <c r="L2540">
        <v>85266</v>
      </c>
      <c r="M2540" t="s">
        <v>2577</v>
      </c>
      <c r="O2540" t="s">
        <v>11</v>
      </c>
      <c r="P2540">
        <v>6403</v>
      </c>
      <c r="Q2540">
        <v>2</v>
      </c>
      <c r="R2540">
        <v>95.59</v>
      </c>
      <c r="S2540">
        <v>191.18</v>
      </c>
      <c r="T2540">
        <v>140.16</v>
      </c>
      <c r="U2540">
        <v>26.69</v>
      </c>
      <c r="V2540" t="str">
        <f>VLOOKUP(L2540,'[2]tabela de preços'!$A:$D,4,0)</f>
        <v>BRASILUX</v>
      </c>
      <c r="W2540" t="str">
        <f>VLOOKUP(L2540,'[2]tabela de preços'!$A:$F,6,0)</f>
        <v>ESMALTES</v>
      </c>
      <c r="X2540" t="str">
        <f>VLOOKUP(L2540,'[2]tabela de preços'!$A:$G,7,0)</f>
        <v>INDUSTRIAL</v>
      </c>
    </row>
    <row r="2541" spans="1:24" x14ac:dyDescent="0.3">
      <c r="A2541" t="s">
        <v>279</v>
      </c>
      <c r="C2541" t="s">
        <v>3038</v>
      </c>
      <c r="D2541" s="1">
        <v>46071</v>
      </c>
      <c r="E2541" t="s">
        <v>3039</v>
      </c>
      <c r="F2541">
        <v>9</v>
      </c>
      <c r="G2541">
        <v>197</v>
      </c>
      <c r="H2541" t="str">
        <f>VLOOKUP(G2541,[1]OPERADORES!$A:$B,2,0)</f>
        <v xml:space="preserve">POLIANA LORRANE DE AMORIM </v>
      </c>
      <c r="I2541" t="s">
        <v>282</v>
      </c>
      <c r="J2541" t="s">
        <v>283</v>
      </c>
      <c r="K2541" t="s">
        <v>284</v>
      </c>
      <c r="L2541">
        <v>85135</v>
      </c>
      <c r="M2541" t="s">
        <v>3040</v>
      </c>
      <c r="O2541" t="s">
        <v>11</v>
      </c>
      <c r="P2541">
        <v>6403</v>
      </c>
      <c r="Q2541">
        <v>1</v>
      </c>
      <c r="R2541">
        <v>147.63999999999999</v>
      </c>
      <c r="S2541">
        <v>147.63999999999999</v>
      </c>
      <c r="T2541">
        <v>89.48</v>
      </c>
      <c r="U2541">
        <v>39.39</v>
      </c>
      <c r="V2541" t="str">
        <f>VLOOKUP(L2541,'[2]tabela de preços'!$A:$D,4,0)</f>
        <v>BRASILUX</v>
      </c>
      <c r="W2541" t="str">
        <f>VLOOKUP(L2541,'[2]tabela de preços'!$A:$F,6,0)</f>
        <v>TINTA DE LABORATÓRIO</v>
      </c>
      <c r="X2541" t="str">
        <f>VLOOKUP(L2541,'[2]tabela de preços'!$A:$G,7,0)</f>
        <v>AUTOMOTIVO</v>
      </c>
    </row>
    <row r="2542" spans="1:24" x14ac:dyDescent="0.3">
      <c r="A2542" t="s">
        <v>279</v>
      </c>
      <c r="C2542" t="s">
        <v>3038</v>
      </c>
      <c r="D2542" s="1">
        <v>46071</v>
      </c>
      <c r="E2542" t="s">
        <v>3039</v>
      </c>
      <c r="F2542">
        <v>9</v>
      </c>
      <c r="G2542">
        <v>197</v>
      </c>
      <c r="H2542" t="str">
        <f>VLOOKUP(G2542,[1]OPERADORES!$A:$B,2,0)</f>
        <v xml:space="preserve">POLIANA LORRANE DE AMORIM </v>
      </c>
      <c r="I2542" t="s">
        <v>282</v>
      </c>
      <c r="J2542" t="s">
        <v>283</v>
      </c>
      <c r="K2542" t="s">
        <v>284</v>
      </c>
      <c r="L2542">
        <v>85280</v>
      </c>
      <c r="M2542" t="s">
        <v>943</v>
      </c>
      <c r="O2542" t="s">
        <v>11</v>
      </c>
      <c r="P2542">
        <v>6102</v>
      </c>
      <c r="Q2542">
        <v>1</v>
      </c>
      <c r="R2542">
        <v>55.72</v>
      </c>
      <c r="S2542">
        <v>55.72</v>
      </c>
      <c r="T2542">
        <v>42.29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CATALISADORES INDIVIDUAIS</v>
      </c>
      <c r="X2542" t="str">
        <f>VLOOKUP(L2542,'[2]tabela de preços'!$A:$G,7,0)</f>
        <v>IMOBILIÁRIO</v>
      </c>
    </row>
    <row r="2543" spans="1:24" x14ac:dyDescent="0.3">
      <c r="A2543" t="s">
        <v>279</v>
      </c>
      <c r="C2543" t="s">
        <v>3038</v>
      </c>
      <c r="D2543" s="1">
        <v>46071</v>
      </c>
      <c r="E2543" t="s">
        <v>3039</v>
      </c>
      <c r="F2543">
        <v>9</v>
      </c>
      <c r="G2543">
        <v>197</v>
      </c>
      <c r="H2543" t="str">
        <f>VLOOKUP(G2543,[1]OPERADORES!$A:$B,2,0)</f>
        <v xml:space="preserve">POLIANA LORRANE DE AMORIM </v>
      </c>
      <c r="I2543" t="s">
        <v>282</v>
      </c>
      <c r="J2543" t="s">
        <v>283</v>
      </c>
      <c r="K2543" t="s">
        <v>284</v>
      </c>
      <c r="L2543">
        <v>84036</v>
      </c>
      <c r="M2543" t="s">
        <v>289</v>
      </c>
      <c r="O2543" t="s">
        <v>11</v>
      </c>
      <c r="P2543">
        <v>6102</v>
      </c>
      <c r="Q2543">
        <v>30</v>
      </c>
      <c r="R2543">
        <v>47.9</v>
      </c>
      <c r="S2543" s="2">
        <v>1437</v>
      </c>
      <c r="T2543" s="2">
        <v>1248.9000000000001</v>
      </c>
      <c r="U2543">
        <v>13.09</v>
      </c>
      <c r="V2543" t="str">
        <f>VLOOKUP(L2543,'[2]tabela de preços'!$A:$D,4,0)</f>
        <v>BRASILUX</v>
      </c>
      <c r="W2543" t="str">
        <f>VLOOKUP(L2543,'[2]tabela de preços'!$A:$F,6,0)</f>
        <v>MASSA CORRIDA / ACRÍLICA</v>
      </c>
      <c r="X2543" t="str">
        <f>VLOOKUP(L2543,'[2]tabela de preços'!$A:$G,7,0)</f>
        <v>IMOBILIÁRIO</v>
      </c>
    </row>
    <row r="2544" spans="1:24" x14ac:dyDescent="0.3">
      <c r="A2544" t="s">
        <v>279</v>
      </c>
      <c r="C2544" t="s">
        <v>3041</v>
      </c>
      <c r="D2544" s="1">
        <v>46071</v>
      </c>
      <c r="E2544" t="s">
        <v>3042</v>
      </c>
      <c r="F2544">
        <v>9</v>
      </c>
      <c r="G2544">
        <v>197</v>
      </c>
      <c r="H2544" t="str">
        <f>VLOOKUP(G2544,[1]OPERADORES!$A:$B,2,0)</f>
        <v xml:space="preserve">POLIANA LORRANE DE AMORIM </v>
      </c>
      <c r="I2544" t="s">
        <v>282</v>
      </c>
      <c r="J2544" t="s">
        <v>283</v>
      </c>
      <c r="K2544" t="s">
        <v>284</v>
      </c>
      <c r="L2544">
        <v>85266</v>
      </c>
      <c r="M2544" t="s">
        <v>2577</v>
      </c>
      <c r="O2544" t="s">
        <v>11</v>
      </c>
      <c r="P2544">
        <v>6403</v>
      </c>
      <c r="Q2544">
        <v>6</v>
      </c>
      <c r="R2544">
        <v>95.59</v>
      </c>
      <c r="S2544">
        <v>573.54</v>
      </c>
      <c r="T2544">
        <v>420.48</v>
      </c>
      <c r="U2544">
        <v>26.69</v>
      </c>
      <c r="V2544" t="str">
        <f>VLOOKUP(L2544,'[2]tabela de preços'!$A:$D,4,0)</f>
        <v>BRASILUX</v>
      </c>
      <c r="W2544" t="str">
        <f>VLOOKUP(L2544,'[2]tabela de preços'!$A:$F,6,0)</f>
        <v>ESMALTES</v>
      </c>
      <c r="X2544" t="str">
        <f>VLOOKUP(L2544,'[2]tabela de preços'!$A:$G,7,0)</f>
        <v>INDUSTRIAL</v>
      </c>
    </row>
    <row r="2545" spans="1:24" x14ac:dyDescent="0.3">
      <c r="A2545" t="s">
        <v>347</v>
      </c>
      <c r="C2545" t="s">
        <v>2420</v>
      </c>
      <c r="D2545" s="1">
        <v>46055</v>
      </c>
      <c r="E2545" t="s">
        <v>2421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350</v>
      </c>
      <c r="K2545" t="s">
        <v>351</v>
      </c>
      <c r="L2545">
        <v>84928</v>
      </c>
      <c r="M2545" t="s">
        <v>36</v>
      </c>
      <c r="O2545" t="s">
        <v>11</v>
      </c>
      <c r="P2545">
        <v>5102</v>
      </c>
      <c r="Q2545">
        <v>2</v>
      </c>
      <c r="R2545">
        <v>9.39</v>
      </c>
      <c r="S2545">
        <v>18.78</v>
      </c>
      <c r="T2545">
        <v>14.26</v>
      </c>
      <c r="U2545">
        <v>24.07</v>
      </c>
      <c r="V2545" t="str">
        <f>VLOOKUP(L2545,'[2]tabela de preços'!$A:$D,4,0)</f>
        <v>ADERE</v>
      </c>
      <c r="W2545" t="str">
        <f>VLOOKUP(L2545,'[2]tabela de preços'!$A:$F,6,0)</f>
        <v xml:space="preserve">FITA DE USO GERAL </v>
      </c>
      <c r="X2545" t="str">
        <f>VLOOKUP(L2545,'[2]tabela de preços'!$A:$G,7,0)</f>
        <v>IMOBILIÁRIO</v>
      </c>
    </row>
    <row r="2546" spans="1:24" x14ac:dyDescent="0.3">
      <c r="A2546" t="s">
        <v>347</v>
      </c>
      <c r="C2546" t="s">
        <v>2420</v>
      </c>
      <c r="D2546" s="1">
        <v>46055</v>
      </c>
      <c r="E2546" t="s">
        <v>2421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350</v>
      </c>
      <c r="K2546" t="s">
        <v>351</v>
      </c>
      <c r="L2546">
        <v>85698</v>
      </c>
      <c r="M2546" t="s">
        <v>1946</v>
      </c>
      <c r="O2546" t="s">
        <v>11</v>
      </c>
      <c r="P2546">
        <v>5102</v>
      </c>
      <c r="Q2546">
        <v>2</v>
      </c>
      <c r="R2546">
        <v>136.83000000000001</v>
      </c>
      <c r="S2546">
        <v>273.66000000000003</v>
      </c>
      <c r="T2546">
        <v>207.72</v>
      </c>
      <c r="U2546">
        <v>24.1</v>
      </c>
      <c r="V2546" t="str">
        <f>VLOOKUP(L2546,'[2]tabela de preços'!$A:$D,4,0)</f>
        <v>SIMAPPEL</v>
      </c>
      <c r="W2546" t="str">
        <f>VLOOKUP(L2546,'[2]tabela de preços'!$A:$F,6,0)</f>
        <v>PAPELAO ONDULADO</v>
      </c>
      <c r="X2546" t="str">
        <f>VLOOKUP(L2546,'[2]tabela de preços'!$A:$G,7,0)</f>
        <v>IMOBILIÁRIO</v>
      </c>
    </row>
    <row r="2547" spans="1:24" x14ac:dyDescent="0.3">
      <c r="A2547" t="s">
        <v>354</v>
      </c>
      <c r="C2547" t="s">
        <v>2578</v>
      </c>
      <c r="D2547" s="1">
        <v>46057</v>
      </c>
      <c r="E2547" t="s">
        <v>2579</v>
      </c>
      <c r="F2547">
        <v>9</v>
      </c>
      <c r="G2547">
        <v>231</v>
      </c>
      <c r="H2547" t="str">
        <f>VLOOKUP(G2547,[1]OPERADORES!$A:$B,2,0)</f>
        <v>EDIJANE</v>
      </c>
      <c r="I2547" t="s">
        <v>21</v>
      </c>
      <c r="J2547" t="s">
        <v>357</v>
      </c>
      <c r="K2547" t="s">
        <v>358</v>
      </c>
      <c r="L2547">
        <v>84324</v>
      </c>
      <c r="M2547" t="s">
        <v>359</v>
      </c>
      <c r="O2547" t="s">
        <v>11</v>
      </c>
      <c r="P2547">
        <v>5403</v>
      </c>
      <c r="Q2547">
        <v>40</v>
      </c>
      <c r="R2547">
        <v>86.55</v>
      </c>
      <c r="S2547" s="2">
        <v>3462</v>
      </c>
      <c r="T2547" s="2">
        <v>2788.4</v>
      </c>
      <c r="U2547">
        <v>19.46</v>
      </c>
      <c r="V2547" t="str">
        <f>VLOOKUP(L2547,'[2]tabela de preços'!$A:$D,4,0)</f>
        <v>BRASILUX</v>
      </c>
      <c r="W2547" t="str">
        <f>VLOOKUP(L2547,'[2]tabela de preços'!$A:$F,6,0)</f>
        <v>ESMALTES</v>
      </c>
      <c r="X2547" t="str">
        <f>VLOOKUP(L2547,'[2]tabela de preços'!$A:$G,7,0)</f>
        <v>INDUSTRIAL</v>
      </c>
    </row>
    <row r="2548" spans="1:24" x14ac:dyDescent="0.3">
      <c r="A2548" t="s">
        <v>354</v>
      </c>
      <c r="C2548" t="s">
        <v>3043</v>
      </c>
      <c r="D2548" s="1">
        <v>46065</v>
      </c>
      <c r="E2548" t="s">
        <v>3044</v>
      </c>
      <c r="F2548">
        <v>9</v>
      </c>
      <c r="G2548">
        <v>231</v>
      </c>
      <c r="H2548" t="str">
        <f>VLOOKUP(G2548,[1]OPERADORES!$A:$B,2,0)</f>
        <v>EDIJANE</v>
      </c>
      <c r="I2548" t="s">
        <v>21</v>
      </c>
      <c r="J2548" t="s">
        <v>357</v>
      </c>
      <c r="K2548" t="s">
        <v>358</v>
      </c>
      <c r="L2548">
        <v>84324</v>
      </c>
      <c r="M2548" t="s">
        <v>359</v>
      </c>
      <c r="O2548" t="s">
        <v>11</v>
      </c>
      <c r="P2548">
        <v>5403</v>
      </c>
      <c r="Q2548">
        <v>40</v>
      </c>
      <c r="R2548">
        <v>86.55</v>
      </c>
      <c r="S2548" s="2">
        <v>3462</v>
      </c>
      <c r="T2548" s="2">
        <v>2788.4</v>
      </c>
      <c r="U2548">
        <v>19.46</v>
      </c>
      <c r="V2548" t="str">
        <f>VLOOKUP(L2548,'[2]tabela de preços'!$A:$D,4,0)</f>
        <v>BRASILUX</v>
      </c>
      <c r="W2548" t="str">
        <f>VLOOKUP(L2548,'[2]tabela de preços'!$A:$F,6,0)</f>
        <v>ESMALTES</v>
      </c>
      <c r="X2548" t="str">
        <f>VLOOKUP(L2548,'[2]tabela de preços'!$A:$G,7,0)</f>
        <v>INDUSTRIAL</v>
      </c>
    </row>
    <row r="2549" spans="1:24" x14ac:dyDescent="0.3">
      <c r="A2549" t="s">
        <v>354</v>
      </c>
      <c r="C2549" t="s">
        <v>3043</v>
      </c>
      <c r="D2549" s="1">
        <v>46065</v>
      </c>
      <c r="E2549" t="s">
        <v>3044</v>
      </c>
      <c r="F2549">
        <v>9</v>
      </c>
      <c r="G2549">
        <v>231</v>
      </c>
      <c r="H2549" t="str">
        <f>VLOOKUP(G2549,[1]OPERADORES!$A:$B,2,0)</f>
        <v>EDIJANE</v>
      </c>
      <c r="I2549" t="s">
        <v>21</v>
      </c>
      <c r="J2549" t="s">
        <v>357</v>
      </c>
      <c r="K2549" t="s">
        <v>358</v>
      </c>
      <c r="L2549">
        <v>84342</v>
      </c>
      <c r="M2549" t="s">
        <v>498</v>
      </c>
      <c r="O2549" t="s">
        <v>11</v>
      </c>
      <c r="P2549">
        <v>5403</v>
      </c>
      <c r="Q2549">
        <v>40</v>
      </c>
      <c r="R2549">
        <v>59.98</v>
      </c>
      <c r="S2549" s="2">
        <v>2399.1999999999998</v>
      </c>
      <c r="T2549" s="2">
        <v>1831.2</v>
      </c>
      <c r="U2549">
        <v>23.67</v>
      </c>
      <c r="V2549" t="str">
        <f>VLOOKUP(L2549,'[2]tabela de preços'!$A:$D,4,0)</f>
        <v>BRASILUX</v>
      </c>
      <c r="W2549" t="str">
        <f>VLOOKUP(L2549,'[2]tabela de preços'!$A:$F,6,0)</f>
        <v>ESMALTES</v>
      </c>
      <c r="X2549" t="str">
        <f>VLOOKUP(L2549,'[2]tabela de preços'!$A:$G,7,0)</f>
        <v>INDUSTRIAL</v>
      </c>
    </row>
    <row r="2550" spans="1:24" x14ac:dyDescent="0.3">
      <c r="A2550" t="s">
        <v>360</v>
      </c>
      <c r="C2550" t="s">
        <v>2580</v>
      </c>
      <c r="D2550" s="1">
        <v>46057</v>
      </c>
      <c r="E2550" t="s">
        <v>2581</v>
      </c>
      <c r="F2550">
        <v>9</v>
      </c>
      <c r="G2550">
        <v>231</v>
      </c>
      <c r="H2550" t="str">
        <f>VLOOKUP(G2550,[1]OPERADORES!$A:$B,2,0)</f>
        <v>EDIJANE</v>
      </c>
      <c r="I2550" t="s">
        <v>21</v>
      </c>
      <c r="J2550" t="s">
        <v>363</v>
      </c>
      <c r="K2550" t="s">
        <v>364</v>
      </c>
      <c r="L2550">
        <v>85403</v>
      </c>
      <c r="M2550" t="s">
        <v>2582</v>
      </c>
      <c r="O2550" t="s">
        <v>11</v>
      </c>
      <c r="P2550">
        <v>5102</v>
      </c>
      <c r="Q2550">
        <v>1</v>
      </c>
      <c r="R2550">
        <v>570.62</v>
      </c>
      <c r="S2550">
        <v>570.62</v>
      </c>
      <c r="T2550">
        <v>406.86</v>
      </c>
      <c r="U2550">
        <v>28.7</v>
      </c>
      <c r="V2550" t="str">
        <f>VLOOKUP(L2550,'[2]tabela de preços'!$A:$D,4,0)</f>
        <v>BRASILUX</v>
      </c>
      <c r="W2550" t="str">
        <f>VLOOKUP(L2550,'[2]tabela de preços'!$A:$F,6,0)</f>
        <v>TINTA EM PÓ</v>
      </c>
      <c r="X2550" t="str">
        <f>VLOOKUP(L2550,'[2]tabela de preços'!$A:$G,7,0)</f>
        <v>INDUSTRIAL</v>
      </c>
    </row>
    <row r="2551" spans="1:24" x14ac:dyDescent="0.3">
      <c r="A2551" t="s">
        <v>360</v>
      </c>
      <c r="C2551" t="s">
        <v>2583</v>
      </c>
      <c r="D2551" s="1">
        <v>46058</v>
      </c>
      <c r="E2551" t="s">
        <v>2584</v>
      </c>
      <c r="F2551">
        <v>9</v>
      </c>
      <c r="G2551">
        <v>231</v>
      </c>
      <c r="H2551" t="str">
        <f>VLOOKUP(G2551,[1]OPERADORES!$A:$B,2,0)</f>
        <v>EDIJANE</v>
      </c>
      <c r="I2551" t="s">
        <v>21</v>
      </c>
      <c r="J2551" t="s">
        <v>363</v>
      </c>
      <c r="K2551" t="s">
        <v>364</v>
      </c>
      <c r="L2551">
        <v>85403</v>
      </c>
      <c r="M2551" t="s">
        <v>2582</v>
      </c>
      <c r="O2551" t="s">
        <v>11</v>
      </c>
      <c r="P2551">
        <v>5102</v>
      </c>
      <c r="Q2551">
        <v>1</v>
      </c>
      <c r="R2551">
        <v>570.62</v>
      </c>
      <c r="S2551">
        <v>570.62</v>
      </c>
      <c r="T2551">
        <v>406.86</v>
      </c>
      <c r="U2551">
        <v>28.7</v>
      </c>
      <c r="V2551" t="str">
        <f>VLOOKUP(L2551,'[2]tabela de preços'!$A:$D,4,0)</f>
        <v>BRASILUX</v>
      </c>
      <c r="W2551" t="str">
        <f>VLOOKUP(L2551,'[2]tabela de preços'!$A:$F,6,0)</f>
        <v>TINTA EM PÓ</v>
      </c>
      <c r="X2551" t="str">
        <f>VLOOKUP(L2551,'[2]tabela de preços'!$A:$G,7,0)</f>
        <v>INDUSTRIAL</v>
      </c>
    </row>
    <row r="2552" spans="1:24" x14ac:dyDescent="0.3">
      <c r="A2552" t="s">
        <v>360</v>
      </c>
      <c r="C2552" t="s">
        <v>3045</v>
      </c>
      <c r="D2552" s="1">
        <v>46071</v>
      </c>
      <c r="E2552" t="s">
        <v>3046</v>
      </c>
      <c r="F2552">
        <v>9</v>
      </c>
      <c r="G2552">
        <v>231</v>
      </c>
      <c r="H2552" t="str">
        <f>VLOOKUP(G2552,[1]OPERADORES!$A:$B,2,0)</f>
        <v>EDIJANE</v>
      </c>
      <c r="I2552" t="s">
        <v>21</v>
      </c>
      <c r="J2552" t="s">
        <v>363</v>
      </c>
      <c r="K2552" t="s">
        <v>364</v>
      </c>
      <c r="L2552">
        <v>85380</v>
      </c>
      <c r="M2552" t="s">
        <v>1845</v>
      </c>
      <c r="O2552" t="s">
        <v>11</v>
      </c>
      <c r="P2552">
        <v>5102</v>
      </c>
      <c r="Q2552">
        <v>1</v>
      </c>
      <c r="R2552">
        <v>635.91999999999996</v>
      </c>
      <c r="S2552">
        <v>635.91999999999996</v>
      </c>
      <c r="T2552">
        <v>453.42</v>
      </c>
      <c r="U2552">
        <v>28.7</v>
      </c>
      <c r="V2552" t="str">
        <f>VLOOKUP(L2552,'[2]tabela de preços'!$A:$D,4,0)</f>
        <v>BRASILUX</v>
      </c>
      <c r="W2552" t="str">
        <f>VLOOKUP(L2552,'[2]tabela de preços'!$A:$F,6,0)</f>
        <v>TINTA EM PÓ</v>
      </c>
      <c r="X2552" t="str">
        <f>VLOOKUP(L2552,'[2]tabela de preços'!$A:$G,7,0)</f>
        <v>INDUSTRIAL</v>
      </c>
    </row>
    <row r="2553" spans="1:24" x14ac:dyDescent="0.3">
      <c r="A2553" t="s">
        <v>360</v>
      </c>
      <c r="C2553" t="s">
        <v>3047</v>
      </c>
      <c r="D2553" s="1">
        <v>46072</v>
      </c>
      <c r="E2553" t="s">
        <v>3048</v>
      </c>
      <c r="F2553">
        <v>9</v>
      </c>
      <c r="G2553">
        <v>231</v>
      </c>
      <c r="H2553" t="str">
        <f>VLOOKUP(G2553,[1]OPERADORES!$A:$B,2,0)</f>
        <v>EDIJANE</v>
      </c>
      <c r="I2553" t="s">
        <v>21</v>
      </c>
      <c r="J2553" t="s">
        <v>363</v>
      </c>
      <c r="K2553" t="s">
        <v>364</v>
      </c>
      <c r="L2553">
        <v>85403</v>
      </c>
      <c r="M2553" t="s">
        <v>2582</v>
      </c>
      <c r="O2553" t="s">
        <v>11</v>
      </c>
      <c r="P2553">
        <v>5102</v>
      </c>
      <c r="Q2553">
        <v>1</v>
      </c>
      <c r="R2553">
        <v>570.62</v>
      </c>
      <c r="S2553">
        <v>570.62</v>
      </c>
      <c r="T2553">
        <v>406.86</v>
      </c>
      <c r="U2553">
        <v>28.7</v>
      </c>
      <c r="V2553" t="str">
        <f>VLOOKUP(L2553,'[2]tabela de preços'!$A:$D,4,0)</f>
        <v>BRASILUX</v>
      </c>
      <c r="W2553" t="str">
        <f>VLOOKUP(L2553,'[2]tabela de preços'!$A:$F,6,0)</f>
        <v>TINTA EM PÓ</v>
      </c>
      <c r="X2553" t="str">
        <f>VLOOKUP(L2553,'[2]tabela de preços'!$A:$G,7,0)</f>
        <v>INDUSTRIAL</v>
      </c>
    </row>
    <row r="2554" spans="1:24" x14ac:dyDescent="0.3">
      <c r="A2554" t="s">
        <v>369</v>
      </c>
      <c r="C2554" t="s">
        <v>2585</v>
      </c>
      <c r="D2554" s="1">
        <v>46058</v>
      </c>
      <c r="E2554" t="s">
        <v>2586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372</v>
      </c>
      <c r="K2554" t="s">
        <v>373</v>
      </c>
      <c r="L2554">
        <v>5</v>
      </c>
      <c r="M2554" t="s">
        <v>147</v>
      </c>
      <c r="O2554" t="s">
        <v>11</v>
      </c>
      <c r="P2554">
        <v>5102</v>
      </c>
      <c r="Q2554">
        <v>1</v>
      </c>
      <c r="R2554">
        <v>6.06</v>
      </c>
      <c r="S2554">
        <v>6.06</v>
      </c>
      <c r="T2554">
        <v>3.91</v>
      </c>
      <c r="U2554">
        <v>35.479999999999997</v>
      </c>
      <c r="V2554" t="str">
        <f>VLOOKUP(L2554,'[2]tabela de preços'!$A:$D,4,0)</f>
        <v>BRILHO ESTOPA</v>
      </c>
      <c r="W2554" t="str">
        <f>VLOOKUP(L2554,'[2]tabela de preços'!$A:$F,6,0)</f>
        <v>ESTOPAS</v>
      </c>
      <c r="X2554" t="str">
        <f>VLOOKUP(L2554,'[2]tabela de preços'!$A:$G,7,0)</f>
        <v>AUTOMOTIVO</v>
      </c>
    </row>
    <row r="2555" spans="1:24" x14ac:dyDescent="0.3">
      <c r="A2555" t="s">
        <v>369</v>
      </c>
      <c r="C2555" t="s">
        <v>2585</v>
      </c>
      <c r="D2555" s="1">
        <v>46058</v>
      </c>
      <c r="E2555" t="s">
        <v>2586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372</v>
      </c>
      <c r="K2555" t="s">
        <v>373</v>
      </c>
      <c r="L2555">
        <v>84411</v>
      </c>
      <c r="M2555" t="s">
        <v>35</v>
      </c>
      <c r="O2555" t="s">
        <v>11</v>
      </c>
      <c r="P2555">
        <v>5102</v>
      </c>
      <c r="Q2555">
        <v>1</v>
      </c>
      <c r="R2555">
        <v>4.29</v>
      </c>
      <c r="S2555">
        <v>4.29</v>
      </c>
      <c r="T2555">
        <v>3.54</v>
      </c>
      <c r="U2555">
        <v>17.48</v>
      </c>
      <c r="V2555" t="str">
        <f>VLOOKUP(L2555,'[2]tabela de preços'!$A:$D,4,0)</f>
        <v>ADERE</v>
      </c>
      <c r="W2555" t="str">
        <f>VLOOKUP(L2555,'[2]tabela de preços'!$A:$F,6,0)</f>
        <v xml:space="preserve">FITA DE USO GERAL </v>
      </c>
      <c r="X2555" t="str">
        <f>VLOOKUP(L2555,'[2]tabela de preços'!$A:$G,7,0)</f>
        <v>IMOBILIÁRIO</v>
      </c>
    </row>
    <row r="2556" spans="1:24" x14ac:dyDescent="0.3">
      <c r="A2556" t="s">
        <v>369</v>
      </c>
      <c r="C2556" t="s">
        <v>2585</v>
      </c>
      <c r="D2556" s="1">
        <v>46058</v>
      </c>
      <c r="E2556" t="s">
        <v>2586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372</v>
      </c>
      <c r="K2556" t="s">
        <v>373</v>
      </c>
      <c r="L2556">
        <v>84421</v>
      </c>
      <c r="M2556" t="s">
        <v>568</v>
      </c>
      <c r="O2556" t="s">
        <v>11</v>
      </c>
      <c r="P2556">
        <v>5102</v>
      </c>
      <c r="Q2556">
        <v>2</v>
      </c>
      <c r="R2556">
        <v>6.72</v>
      </c>
      <c r="S2556">
        <v>13.44</v>
      </c>
      <c r="T2556">
        <v>9.64</v>
      </c>
      <c r="U2556">
        <v>28.27</v>
      </c>
      <c r="V2556" t="str">
        <f>VLOOKUP(L2556,'[2]tabela de preços'!$A:$D,4,0)</f>
        <v>ATLAS</v>
      </c>
      <c r="W2556" t="str">
        <f>VLOOKUP(L2556,'[2]tabela de preços'!$A:$F,6,0)</f>
        <v>ROLOS / TRINCHAS / PINCÉIS / ESPÁTULAS</v>
      </c>
      <c r="X2556" t="str">
        <f>VLOOKUP(L2556,'[2]tabela de preços'!$A:$G,7,0)</f>
        <v>IMOBILIÁRIO</v>
      </c>
    </row>
    <row r="2557" spans="1:24" x14ac:dyDescent="0.3">
      <c r="A2557" t="s">
        <v>369</v>
      </c>
      <c r="C2557" t="s">
        <v>2585</v>
      </c>
      <c r="D2557" s="1">
        <v>46058</v>
      </c>
      <c r="E2557" t="s">
        <v>2586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372</v>
      </c>
      <c r="K2557" t="s">
        <v>373</v>
      </c>
      <c r="L2557">
        <v>84560</v>
      </c>
      <c r="M2557" t="s">
        <v>118</v>
      </c>
      <c r="O2557" t="s">
        <v>11</v>
      </c>
      <c r="P2557">
        <v>5102</v>
      </c>
      <c r="Q2557">
        <v>1</v>
      </c>
      <c r="R2557">
        <v>47.89</v>
      </c>
      <c r="S2557">
        <v>47.89</v>
      </c>
      <c r="T2557">
        <v>39.159999999999997</v>
      </c>
      <c r="U2557">
        <v>18.23</v>
      </c>
      <c r="V2557" t="str">
        <f>VLOOKUP(L2557,'[2]tabela de preços'!$A:$D,4,0)</f>
        <v>BRASILUX</v>
      </c>
      <c r="W2557" t="str">
        <f>VLOOKUP(L2557,'[2]tabela de preços'!$A:$F,6,0)</f>
        <v>THINNER DE LIMPEZA</v>
      </c>
      <c r="X2557" t="str">
        <f>VLOOKUP(L2557,'[2]tabela de preços'!$A:$G,7,0)</f>
        <v>THINNER</v>
      </c>
    </row>
    <row r="2558" spans="1:24" x14ac:dyDescent="0.3">
      <c r="A2558" t="s">
        <v>369</v>
      </c>
      <c r="C2558" t="s">
        <v>2585</v>
      </c>
      <c r="D2558" s="1">
        <v>46058</v>
      </c>
      <c r="E2558" t="s">
        <v>2586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372</v>
      </c>
      <c r="K2558" t="s">
        <v>373</v>
      </c>
      <c r="L2558">
        <v>10115</v>
      </c>
      <c r="M2558" t="s">
        <v>2587</v>
      </c>
      <c r="O2558" t="s">
        <v>11</v>
      </c>
      <c r="P2558">
        <v>5102</v>
      </c>
      <c r="Q2558">
        <v>2</v>
      </c>
      <c r="R2558">
        <v>3.15</v>
      </c>
      <c r="S2558">
        <v>6.3</v>
      </c>
      <c r="T2558">
        <v>4.5199999999999996</v>
      </c>
      <c r="U2558">
        <v>28.25</v>
      </c>
      <c r="V2558" t="str">
        <f>VLOOKUP(L2558,'[2]tabela de preços'!$A:$D,4,0)</f>
        <v>ATLAS</v>
      </c>
      <c r="W2558" t="str">
        <f>VLOOKUP(L2558,'[2]tabela de preços'!$A:$F,6,0)</f>
        <v>ROLOS / TRINCHAS / PINCÉIS / ESPÁTULAS</v>
      </c>
      <c r="X2558" t="str">
        <f>VLOOKUP(L2558,'[2]tabela de preços'!$A:$G,7,0)</f>
        <v>IMOBILIÁRIO</v>
      </c>
    </row>
    <row r="2559" spans="1:24" x14ac:dyDescent="0.3">
      <c r="A2559" t="s">
        <v>369</v>
      </c>
      <c r="C2559" t="s">
        <v>3049</v>
      </c>
      <c r="D2559" s="1">
        <v>46072</v>
      </c>
      <c r="E2559" t="s">
        <v>3050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372</v>
      </c>
      <c r="K2559" t="s">
        <v>373</v>
      </c>
      <c r="L2559">
        <v>86077</v>
      </c>
      <c r="M2559" t="s">
        <v>3051</v>
      </c>
      <c r="O2559" t="s">
        <v>11</v>
      </c>
      <c r="P2559">
        <v>5403</v>
      </c>
      <c r="Q2559">
        <v>2</v>
      </c>
      <c r="R2559">
        <v>119.72</v>
      </c>
      <c r="S2559">
        <v>239.44</v>
      </c>
      <c r="T2559">
        <v>181.74</v>
      </c>
      <c r="U2559">
        <v>24.1</v>
      </c>
      <c r="V2559" t="str">
        <f>VLOOKUP(L2559,'[2]tabela de preços'!$A:$D,4,0)</f>
        <v>CORAL</v>
      </c>
      <c r="W2559" t="str">
        <f>VLOOKUP(L2559,'[2]tabela de preços'!$A:$F,6,0)</f>
        <v>ESMALTES</v>
      </c>
      <c r="X2559" t="str">
        <f>VLOOKUP(L2559,'[2]tabela de preços'!$A:$G,7,0)</f>
        <v>INDUSTRIAL</v>
      </c>
    </row>
    <row r="2560" spans="1:24" x14ac:dyDescent="0.3">
      <c r="A2560" t="s">
        <v>369</v>
      </c>
      <c r="C2560" t="s">
        <v>3049</v>
      </c>
      <c r="D2560" s="1">
        <v>46072</v>
      </c>
      <c r="E2560" t="s">
        <v>3050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372</v>
      </c>
      <c r="K2560" t="s">
        <v>373</v>
      </c>
      <c r="L2560">
        <v>84020</v>
      </c>
      <c r="M2560" t="s">
        <v>518</v>
      </c>
      <c r="O2560" t="s">
        <v>11</v>
      </c>
      <c r="P2560">
        <v>5102</v>
      </c>
      <c r="Q2560">
        <v>3</v>
      </c>
      <c r="R2560">
        <v>1.07</v>
      </c>
      <c r="S2560">
        <v>3.21</v>
      </c>
      <c r="T2560">
        <v>2.0699999999999998</v>
      </c>
      <c r="U2560">
        <v>35.51</v>
      </c>
      <c r="V2560" t="str">
        <f>VLOOKUP(L2560,'[2]tabela de preços'!$A:$D,4,0)</f>
        <v>3M</v>
      </c>
      <c r="W2560" t="str">
        <f>VLOOKUP(L2560,'[2]tabela de preços'!$A:$F,6,0)</f>
        <v>LIXA MASSA  /MADEIRA / PAREDE</v>
      </c>
      <c r="X2560" t="str">
        <f>VLOOKUP(L2560,'[2]tabela de preços'!$A:$G,7,0)</f>
        <v>IMOBILIÁRIO</v>
      </c>
    </row>
    <row r="2561" spans="1:24" x14ac:dyDescent="0.3">
      <c r="A2561" t="s">
        <v>369</v>
      </c>
      <c r="C2561" t="s">
        <v>3049</v>
      </c>
      <c r="D2561" s="1">
        <v>46072</v>
      </c>
      <c r="E2561" t="s">
        <v>3050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372</v>
      </c>
      <c r="K2561" t="s">
        <v>373</v>
      </c>
      <c r="L2561">
        <v>84021</v>
      </c>
      <c r="M2561" t="s">
        <v>1945</v>
      </c>
      <c r="O2561" t="s">
        <v>11</v>
      </c>
      <c r="P2561">
        <v>5102</v>
      </c>
      <c r="Q2561">
        <v>5</v>
      </c>
      <c r="R2561">
        <v>0.71</v>
      </c>
      <c r="S2561">
        <v>3.55</v>
      </c>
      <c r="T2561">
        <v>2.2999999999999998</v>
      </c>
      <c r="U2561">
        <v>35.21</v>
      </c>
      <c r="V2561" t="str">
        <f>VLOOKUP(L2561,'[2]tabela de preços'!$A:$D,4,0)</f>
        <v>3M</v>
      </c>
      <c r="W2561" t="str">
        <f>VLOOKUP(L2561,'[2]tabela de preços'!$A:$F,6,0)</f>
        <v>LIXA MASSA  /MADEIRA / PAREDE</v>
      </c>
      <c r="X2561" t="str">
        <f>VLOOKUP(L2561,'[2]tabela de preços'!$A:$G,7,0)</f>
        <v>IMOBILIÁRIO</v>
      </c>
    </row>
    <row r="2562" spans="1:24" x14ac:dyDescent="0.3">
      <c r="A2562" t="s">
        <v>369</v>
      </c>
      <c r="C2562" t="s">
        <v>3049</v>
      </c>
      <c r="D2562" s="1">
        <v>46072</v>
      </c>
      <c r="E2562" t="s">
        <v>3050</v>
      </c>
      <c r="F2562">
        <v>9</v>
      </c>
      <c r="G2562">
        <v>236</v>
      </c>
      <c r="H2562" t="str">
        <f>VLOOKUP(G2562,[1]OPERADORES!$A:$B,2,0)</f>
        <v>DANIEL</v>
      </c>
      <c r="I2562" t="s">
        <v>21</v>
      </c>
      <c r="J2562" t="s">
        <v>372</v>
      </c>
      <c r="K2562" t="s">
        <v>373</v>
      </c>
      <c r="L2562">
        <v>84434</v>
      </c>
      <c r="M2562" t="s">
        <v>3052</v>
      </c>
      <c r="O2562" t="s">
        <v>11</v>
      </c>
      <c r="P2562">
        <v>5102</v>
      </c>
      <c r="Q2562">
        <v>1</v>
      </c>
      <c r="R2562">
        <v>11.88</v>
      </c>
      <c r="S2562">
        <v>11.88</v>
      </c>
      <c r="T2562">
        <v>8.7100000000000009</v>
      </c>
      <c r="U2562">
        <v>26.68</v>
      </c>
      <c r="V2562" t="str">
        <f>VLOOKUP(L2562,'[2]tabela de preços'!$A:$D,4,0)</f>
        <v>ATLAS</v>
      </c>
      <c r="W2562" t="str">
        <f>VLOOKUP(L2562,'[2]tabela de preços'!$A:$F,6,0)</f>
        <v>ROLOS / TRINCHAS / PINCÉIS / ESPÁTULAS</v>
      </c>
      <c r="X2562" t="str">
        <f>VLOOKUP(L2562,'[2]tabela de preços'!$A:$G,7,0)</f>
        <v>IMOBILIÁRIO</v>
      </c>
    </row>
    <row r="2563" spans="1:24" x14ac:dyDescent="0.3">
      <c r="A2563" t="s">
        <v>369</v>
      </c>
      <c r="C2563" t="s">
        <v>3049</v>
      </c>
      <c r="D2563" s="1">
        <v>46072</v>
      </c>
      <c r="E2563" t="s">
        <v>3050</v>
      </c>
      <c r="F2563">
        <v>9</v>
      </c>
      <c r="G2563">
        <v>236</v>
      </c>
      <c r="H2563" t="str">
        <f>VLOOKUP(G2563,[1]OPERADORES!$A:$B,2,0)</f>
        <v>DANIEL</v>
      </c>
      <c r="I2563" t="s">
        <v>21</v>
      </c>
      <c r="J2563" t="s">
        <v>372</v>
      </c>
      <c r="K2563" t="s">
        <v>373</v>
      </c>
      <c r="L2563">
        <v>85227</v>
      </c>
      <c r="M2563" t="s">
        <v>1042</v>
      </c>
      <c r="O2563" t="s">
        <v>11</v>
      </c>
      <c r="P2563">
        <v>5102</v>
      </c>
      <c r="Q2563">
        <v>2</v>
      </c>
      <c r="R2563">
        <v>7.13</v>
      </c>
      <c r="S2563">
        <v>14.26</v>
      </c>
      <c r="T2563">
        <v>9.1999999999999993</v>
      </c>
      <c r="U2563">
        <v>35.479999999999997</v>
      </c>
      <c r="V2563" t="str">
        <f>VLOOKUP(L2563,'[2]tabela de preços'!$A:$D,4,0)</f>
        <v>ATLAS</v>
      </c>
      <c r="W2563" t="str">
        <f>VLOOKUP(L2563,'[2]tabela de preços'!$A:$F,6,0)</f>
        <v>ROLOS / TRINCHAS / PINCÉIS / ESPÁTULAS</v>
      </c>
      <c r="X2563" t="str">
        <f>VLOOKUP(L2563,'[2]tabela de preços'!$A:$G,7,0)</f>
        <v>IMOBILIÁRIO</v>
      </c>
    </row>
    <row r="2564" spans="1:24" x14ac:dyDescent="0.3">
      <c r="A2564" t="s">
        <v>369</v>
      </c>
      <c r="C2564" t="s">
        <v>3049</v>
      </c>
      <c r="D2564" s="1">
        <v>46072</v>
      </c>
      <c r="E2564" t="s">
        <v>3050</v>
      </c>
      <c r="F2564">
        <v>9</v>
      </c>
      <c r="G2564">
        <v>236</v>
      </c>
      <c r="H2564" t="str">
        <f>VLOOKUP(G2564,[1]OPERADORES!$A:$B,2,0)</f>
        <v>DANIEL</v>
      </c>
      <c r="I2564" t="s">
        <v>21</v>
      </c>
      <c r="J2564" t="s">
        <v>372</v>
      </c>
      <c r="K2564" t="s">
        <v>373</v>
      </c>
      <c r="L2564">
        <v>10118</v>
      </c>
      <c r="M2564" t="s">
        <v>572</v>
      </c>
      <c r="O2564" t="s">
        <v>11</v>
      </c>
      <c r="P2564">
        <v>5102</v>
      </c>
      <c r="Q2564">
        <v>2</v>
      </c>
      <c r="R2564">
        <v>5.2</v>
      </c>
      <c r="S2564">
        <v>10.4</v>
      </c>
      <c r="T2564">
        <v>7.62</v>
      </c>
      <c r="U2564">
        <v>26.73</v>
      </c>
      <c r="V2564" t="str">
        <f>VLOOKUP(L2564,'[2]tabela de preços'!$A:$D,4,0)</f>
        <v>ATLAS</v>
      </c>
      <c r="W2564" t="str">
        <f>VLOOKUP(L2564,'[2]tabela de preços'!$A:$F,6,0)</f>
        <v>ROLOS / TRINCHAS / PINCÉIS / ESPÁTULAS</v>
      </c>
      <c r="X2564" t="str">
        <f>VLOOKUP(L2564,'[2]tabela de preços'!$A:$G,7,0)</f>
        <v>IMOBILIÁRIO</v>
      </c>
    </row>
    <row r="2565" spans="1:24" x14ac:dyDescent="0.3">
      <c r="A2565" t="s">
        <v>378</v>
      </c>
      <c r="C2565" t="s">
        <v>2588</v>
      </c>
      <c r="D2565" s="1">
        <v>46058</v>
      </c>
      <c r="E2565" t="s">
        <v>2589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381</v>
      </c>
      <c r="K2565" t="s">
        <v>382</v>
      </c>
      <c r="L2565">
        <v>9860</v>
      </c>
      <c r="M2565" t="s">
        <v>2590</v>
      </c>
      <c r="O2565" t="s">
        <v>11</v>
      </c>
      <c r="P2565">
        <v>5403</v>
      </c>
      <c r="Q2565">
        <v>1</v>
      </c>
      <c r="R2565">
        <v>687.51</v>
      </c>
      <c r="S2565">
        <v>687.51</v>
      </c>
      <c r="T2565">
        <v>521.83000000000004</v>
      </c>
      <c r="U2565">
        <v>24.1</v>
      </c>
      <c r="V2565" t="str">
        <f>VLOOKUP(L2565,'[2]tabela de preços'!$A:$D,4,0)</f>
        <v>WANDA</v>
      </c>
      <c r="W2565" t="str">
        <f>VLOOKUP(L2565,'[2]tabela de preços'!$A:$F,6,0)</f>
        <v>BASES POLIÉSTER</v>
      </c>
      <c r="X2565" t="str">
        <f>VLOOKUP(L2565,'[2]tabela de preços'!$A:$G,7,0)</f>
        <v>AUTOMOTIVO</v>
      </c>
    </row>
    <row r="2566" spans="1:24" x14ac:dyDescent="0.3">
      <c r="A2566" t="s">
        <v>378</v>
      </c>
      <c r="C2566" t="s">
        <v>2588</v>
      </c>
      <c r="D2566" s="1">
        <v>46058</v>
      </c>
      <c r="E2566" t="s">
        <v>2589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381</v>
      </c>
      <c r="K2566" t="s">
        <v>382</v>
      </c>
      <c r="L2566">
        <v>9911</v>
      </c>
      <c r="M2566" t="s">
        <v>2591</v>
      </c>
      <c r="O2566" t="s">
        <v>11</v>
      </c>
      <c r="P2566">
        <v>5403</v>
      </c>
      <c r="Q2566">
        <v>2</v>
      </c>
      <c r="R2566">
        <v>295.05</v>
      </c>
      <c r="S2566">
        <v>590.1</v>
      </c>
      <c r="T2566">
        <v>432.62</v>
      </c>
      <c r="U2566">
        <v>26.69</v>
      </c>
      <c r="V2566" t="str">
        <f>VLOOKUP(L2566,'[2]tabela de preços'!$A:$D,4,0)</f>
        <v>WANDA</v>
      </c>
      <c r="W2566" t="str">
        <f>VLOOKUP(L2566,'[2]tabela de preços'!$A:$F,6,0)</f>
        <v>BASES POLIÉSTER</v>
      </c>
      <c r="X2566" t="str">
        <f>VLOOKUP(L2566,'[2]tabela de preços'!$A:$G,7,0)</f>
        <v>AUTOMOTIVO</v>
      </c>
    </row>
    <row r="2567" spans="1:24" x14ac:dyDescent="0.3">
      <c r="A2567" t="s">
        <v>421</v>
      </c>
      <c r="C2567" t="s">
        <v>3053</v>
      </c>
      <c r="D2567" s="1">
        <v>46071</v>
      </c>
      <c r="E2567" t="s">
        <v>3054</v>
      </c>
      <c r="F2567">
        <v>9</v>
      </c>
      <c r="G2567">
        <v>231</v>
      </c>
      <c r="H2567" t="str">
        <f>VLOOKUP(G2567,[1]OPERADORES!$A:$B,2,0)</f>
        <v>EDIJANE</v>
      </c>
      <c r="I2567" t="s">
        <v>21</v>
      </c>
      <c r="J2567" t="s">
        <v>424</v>
      </c>
      <c r="K2567" t="s">
        <v>425</v>
      </c>
      <c r="L2567">
        <v>85694</v>
      </c>
      <c r="M2567" t="s">
        <v>1306</v>
      </c>
      <c r="O2567" t="s">
        <v>11</v>
      </c>
      <c r="P2567">
        <v>5102</v>
      </c>
      <c r="Q2567">
        <v>20</v>
      </c>
      <c r="R2567">
        <v>8.1300000000000008</v>
      </c>
      <c r="S2567">
        <v>162.6</v>
      </c>
      <c r="T2567">
        <v>123.4</v>
      </c>
      <c r="U2567">
        <v>24.11</v>
      </c>
      <c r="V2567" t="str">
        <f>VLOOKUP(L2567,'[2]tabela de preços'!$A:$D,4,0)</f>
        <v>UNIPEGA</v>
      </c>
      <c r="W2567" t="str">
        <f>VLOOKUP(L2567,'[2]tabela de preços'!$A:$F,6,0)</f>
        <v>PU 40</v>
      </c>
      <c r="X2567" t="str">
        <f>VLOOKUP(L2567,'[2]tabela de preços'!$A:$G,7,0)</f>
        <v>IMOBILIÁRIO</v>
      </c>
    </row>
    <row r="2568" spans="1:24" x14ac:dyDescent="0.3">
      <c r="A2568" t="s">
        <v>421</v>
      </c>
      <c r="C2568" t="s">
        <v>3053</v>
      </c>
      <c r="D2568" s="1">
        <v>46071</v>
      </c>
      <c r="E2568" t="s">
        <v>3054</v>
      </c>
      <c r="F2568">
        <v>9</v>
      </c>
      <c r="G2568">
        <v>231</v>
      </c>
      <c r="H2568" t="str">
        <f>VLOOKUP(G2568,[1]OPERADORES!$A:$B,2,0)</f>
        <v>EDIJANE</v>
      </c>
      <c r="I2568" t="s">
        <v>21</v>
      </c>
      <c r="J2568" t="s">
        <v>424</v>
      </c>
      <c r="K2568" t="s">
        <v>425</v>
      </c>
      <c r="L2568">
        <v>84335</v>
      </c>
      <c r="M2568" t="s">
        <v>269</v>
      </c>
      <c r="O2568" t="s">
        <v>11</v>
      </c>
      <c r="P2568">
        <v>5403</v>
      </c>
      <c r="Q2568">
        <v>10</v>
      </c>
      <c r="R2568">
        <v>59.98</v>
      </c>
      <c r="S2568">
        <v>599.79999999999995</v>
      </c>
      <c r="T2568">
        <v>506.5</v>
      </c>
      <c r="U2568">
        <v>15.56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426</v>
      </c>
      <c r="B2569" t="s">
        <v>427</v>
      </c>
      <c r="C2569" t="s">
        <v>2592</v>
      </c>
      <c r="D2569" s="1">
        <v>46058</v>
      </c>
      <c r="E2569" t="s">
        <v>2593</v>
      </c>
      <c r="F2569">
        <v>9</v>
      </c>
      <c r="G2569">
        <v>236</v>
      </c>
      <c r="H2569" t="str">
        <f>VLOOKUP(G2569,[1]OPERADORES!$A:$B,2,0)</f>
        <v>DANIEL</v>
      </c>
      <c r="I2569" t="s">
        <v>21</v>
      </c>
      <c r="J2569" t="s">
        <v>430</v>
      </c>
      <c r="K2569" t="s">
        <v>431</v>
      </c>
      <c r="L2569">
        <v>85209</v>
      </c>
      <c r="M2569" t="s">
        <v>1072</v>
      </c>
      <c r="O2569" t="s">
        <v>11</v>
      </c>
      <c r="P2569">
        <v>5102</v>
      </c>
      <c r="Q2569">
        <v>1</v>
      </c>
      <c r="R2569">
        <v>25</v>
      </c>
      <c r="S2569">
        <v>25</v>
      </c>
      <c r="T2569">
        <v>15.64</v>
      </c>
      <c r="U2569">
        <v>37.44</v>
      </c>
      <c r="V2569" t="str">
        <f>VLOOKUP(L2569,'[2]tabela de preços'!$A:$D,4,0)</f>
        <v>VONIXX</v>
      </c>
      <c r="W2569" t="str">
        <f>VLOOKUP(L2569,'[2]tabela de preços'!$A:$F,6,0)</f>
        <v>LINHA DE HIGENIZAÇÃO E ESTÉTICA  AUTOMOTIVA</v>
      </c>
      <c r="X2569" t="str">
        <f>VLOOKUP(L2569,'[2]tabela de preços'!$A:$G,7,0)</f>
        <v>AUTOMOTIVO</v>
      </c>
    </row>
    <row r="2570" spans="1:24" x14ac:dyDescent="0.3">
      <c r="A2570" t="s">
        <v>426</v>
      </c>
      <c r="B2570" t="s">
        <v>427</v>
      </c>
      <c r="C2570" t="s">
        <v>2746</v>
      </c>
      <c r="D2570" s="1">
        <v>46059</v>
      </c>
      <c r="E2570" t="s">
        <v>2747</v>
      </c>
      <c r="F2570">
        <v>9</v>
      </c>
      <c r="G2570">
        <v>145</v>
      </c>
      <c r="H2570" t="str">
        <f>VLOOKUP(G2570,[1]OPERADORES!$A:$B,2,0)</f>
        <v xml:space="preserve">FABRICIA </v>
      </c>
      <c r="I2570" t="s">
        <v>21</v>
      </c>
      <c r="J2570" t="s">
        <v>430</v>
      </c>
      <c r="K2570" t="s">
        <v>431</v>
      </c>
      <c r="L2570">
        <v>244</v>
      </c>
      <c r="M2570" t="s">
        <v>2748</v>
      </c>
      <c r="O2570" t="s">
        <v>11</v>
      </c>
      <c r="P2570">
        <v>5102</v>
      </c>
      <c r="Q2570">
        <v>1</v>
      </c>
      <c r="R2570">
        <v>28.65</v>
      </c>
      <c r="S2570">
        <v>28.65</v>
      </c>
      <c r="T2570">
        <v>18.78</v>
      </c>
      <c r="U2570">
        <v>34.450000000000003</v>
      </c>
      <c r="V2570" t="str">
        <f>VLOOKUP(L2570,'[2]tabela de preços'!$A:$D,4,0)</f>
        <v>VONIXX</v>
      </c>
      <c r="W2570" t="str">
        <f>VLOOKUP(L2570,'[2]tabela de preços'!$A:$F,6,0)</f>
        <v>LINHA DE HIGENIZAÇÃO E ESTÉTICA  AUTOMOTIVA</v>
      </c>
      <c r="X2570" t="str">
        <f>VLOOKUP(L2570,'[2]tabela de preços'!$A:$G,7,0)</f>
        <v>AUTOMOTIVO</v>
      </c>
    </row>
    <row r="2571" spans="1:24" x14ac:dyDescent="0.3">
      <c r="A2571" t="s">
        <v>426</v>
      </c>
      <c r="B2571" t="s">
        <v>427</v>
      </c>
      <c r="C2571" t="s">
        <v>2804</v>
      </c>
      <c r="D2571" s="1">
        <v>46062</v>
      </c>
      <c r="E2571" t="s">
        <v>2805</v>
      </c>
      <c r="F2571">
        <v>9</v>
      </c>
      <c r="G2571">
        <v>236</v>
      </c>
      <c r="H2571" t="str">
        <f>VLOOKUP(G2571,[1]OPERADORES!$A:$B,2,0)</f>
        <v>DANIEL</v>
      </c>
      <c r="I2571" t="s">
        <v>21</v>
      </c>
      <c r="J2571" t="s">
        <v>430</v>
      </c>
      <c r="K2571" t="s">
        <v>431</v>
      </c>
      <c r="L2571">
        <v>21953</v>
      </c>
      <c r="M2571" t="s">
        <v>2806</v>
      </c>
      <c r="O2571" t="s">
        <v>11</v>
      </c>
      <c r="P2571">
        <v>5405</v>
      </c>
      <c r="Q2571">
        <v>1</v>
      </c>
      <c r="R2571">
        <v>17.43</v>
      </c>
      <c r="S2571">
        <v>17.43</v>
      </c>
      <c r="T2571">
        <v>12.36</v>
      </c>
      <c r="U2571">
        <v>29.09</v>
      </c>
      <c r="V2571" t="str">
        <f>VLOOKUP(L2571,'[2]tabela de preços'!$A:$D,4,0)</f>
        <v>SHERWIN WILLIAMS</v>
      </c>
      <c r="W2571" t="str">
        <f>VLOOKUP(L2571,'[2]tabela de preços'!$A:$F,6,0)</f>
        <v xml:space="preserve">SPRAYS </v>
      </c>
      <c r="X2571" t="str">
        <f>VLOOKUP(L2571,'[2]tabela de preços'!$A:$G,7,0)</f>
        <v>AUTOMOTIVO</v>
      </c>
    </row>
    <row r="2572" spans="1:24" x14ac:dyDescent="0.3">
      <c r="A2572" t="s">
        <v>426</v>
      </c>
      <c r="B2572" t="s">
        <v>427</v>
      </c>
      <c r="C2572" t="s">
        <v>3055</v>
      </c>
      <c r="D2572" s="1">
        <v>46065</v>
      </c>
      <c r="E2572" t="s">
        <v>3056</v>
      </c>
      <c r="F2572">
        <v>9</v>
      </c>
      <c r="G2572">
        <v>145</v>
      </c>
      <c r="H2572" t="str">
        <f>VLOOKUP(G2572,[1]OPERADORES!$A:$B,2,0)</f>
        <v xml:space="preserve">FABRICIA </v>
      </c>
      <c r="I2572" t="s">
        <v>21</v>
      </c>
      <c r="J2572" t="s">
        <v>430</v>
      </c>
      <c r="K2572" t="s">
        <v>431</v>
      </c>
      <c r="L2572">
        <v>83951</v>
      </c>
      <c r="M2572" t="s">
        <v>3057</v>
      </c>
      <c r="O2572" t="s">
        <v>11</v>
      </c>
      <c r="P2572">
        <v>5405</v>
      </c>
      <c r="Q2572">
        <v>2</v>
      </c>
      <c r="R2572">
        <v>33.159999999999997</v>
      </c>
      <c r="S2572">
        <v>66.319999999999993</v>
      </c>
      <c r="T2572">
        <v>64.94</v>
      </c>
      <c r="U2572">
        <v>2.08</v>
      </c>
      <c r="V2572" t="str">
        <f>VLOOKUP(L2572,'[2]tabela de preços'!$A:$D,4,0)</f>
        <v>WANDA</v>
      </c>
      <c r="W2572" t="str">
        <f>VLOOKUP(L2572,'[2]tabela de preços'!$A:$F,6,0)</f>
        <v>TINTAS POLIÉSTER</v>
      </c>
      <c r="X2572" t="str">
        <f>VLOOKUP(L2572,'[2]tabela de preços'!$A:$G,7,0)</f>
        <v>AUTOMOTIVO</v>
      </c>
    </row>
    <row r="2573" spans="1:24" x14ac:dyDescent="0.3">
      <c r="A2573" t="s">
        <v>426</v>
      </c>
      <c r="B2573" t="s">
        <v>427</v>
      </c>
      <c r="C2573" t="s">
        <v>3055</v>
      </c>
      <c r="D2573" s="1">
        <v>46065</v>
      </c>
      <c r="E2573" t="s">
        <v>3056</v>
      </c>
      <c r="F2573">
        <v>9</v>
      </c>
      <c r="G2573">
        <v>145</v>
      </c>
      <c r="H2573" t="str">
        <f>VLOOKUP(G2573,[1]OPERADORES!$A:$B,2,0)</f>
        <v xml:space="preserve">FABRICIA </v>
      </c>
      <c r="I2573" t="s">
        <v>21</v>
      </c>
      <c r="J2573" t="s">
        <v>430</v>
      </c>
      <c r="K2573" t="s">
        <v>431</v>
      </c>
      <c r="L2573">
        <v>9867</v>
      </c>
      <c r="M2573" t="s">
        <v>3058</v>
      </c>
      <c r="O2573" t="s">
        <v>11</v>
      </c>
      <c r="P2573">
        <v>5405</v>
      </c>
      <c r="Q2573">
        <v>1</v>
      </c>
      <c r="R2573">
        <v>164.92</v>
      </c>
      <c r="S2573">
        <v>164.92</v>
      </c>
      <c r="T2573">
        <v>162.44</v>
      </c>
      <c r="U2573">
        <v>1.5</v>
      </c>
      <c r="V2573" t="str">
        <f>VLOOKUP(L2573,'[2]tabela de preços'!$A:$D,4,0)</f>
        <v>WANDA</v>
      </c>
      <c r="W2573" t="str">
        <f>VLOOKUP(L2573,'[2]tabela de preços'!$A:$F,6,0)</f>
        <v>BASES POLIÉSTER</v>
      </c>
      <c r="X2573" t="str">
        <f>VLOOKUP(L2573,'[2]tabela de preços'!$A:$G,7,0)</f>
        <v>AUTOMOTIVO</v>
      </c>
    </row>
    <row r="2574" spans="1:24" x14ac:dyDescent="0.3">
      <c r="A2574" t="s">
        <v>426</v>
      </c>
      <c r="B2574" t="s">
        <v>427</v>
      </c>
      <c r="C2574" t="s">
        <v>3055</v>
      </c>
      <c r="D2574" s="1">
        <v>46065</v>
      </c>
      <c r="E2574" t="s">
        <v>3056</v>
      </c>
      <c r="F2574">
        <v>9</v>
      </c>
      <c r="G2574">
        <v>145</v>
      </c>
      <c r="H2574" t="str">
        <f>VLOOKUP(G2574,[1]OPERADORES!$A:$B,2,0)</f>
        <v xml:space="preserve">FABRICIA </v>
      </c>
      <c r="I2574" t="s">
        <v>21</v>
      </c>
      <c r="J2574" t="s">
        <v>430</v>
      </c>
      <c r="K2574" t="s">
        <v>431</v>
      </c>
      <c r="L2574">
        <v>9895</v>
      </c>
      <c r="M2574" t="s">
        <v>383</v>
      </c>
      <c r="O2574" t="s">
        <v>11</v>
      </c>
      <c r="P2574">
        <v>5405</v>
      </c>
      <c r="Q2574">
        <v>1</v>
      </c>
      <c r="R2574">
        <v>83.97</v>
      </c>
      <c r="S2574">
        <v>83.97</v>
      </c>
      <c r="T2574">
        <v>82.72</v>
      </c>
      <c r="U2574">
        <v>1.49</v>
      </c>
      <c r="V2574" t="str">
        <f>VLOOKUP(L2574,'[2]tabela de preços'!$A:$D,4,0)</f>
        <v>WANDA</v>
      </c>
      <c r="W2574" t="str">
        <f>VLOOKUP(L2574,'[2]tabela de preços'!$A:$F,6,0)</f>
        <v>BASES POLIÉSTER</v>
      </c>
      <c r="X2574" t="str">
        <f>VLOOKUP(L2574,'[2]tabela de preços'!$A:$G,7,0)</f>
        <v>AUTOMOTIVO</v>
      </c>
    </row>
    <row r="2575" spans="1:24" x14ac:dyDescent="0.3">
      <c r="A2575" t="s">
        <v>426</v>
      </c>
      <c r="B2575" t="s">
        <v>427</v>
      </c>
      <c r="C2575" t="s">
        <v>3059</v>
      </c>
      <c r="D2575" s="1">
        <v>46071</v>
      </c>
      <c r="E2575" t="s">
        <v>3060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430</v>
      </c>
      <c r="K2575" t="s">
        <v>431</v>
      </c>
      <c r="L2575">
        <v>23474</v>
      </c>
      <c r="M2575" t="s">
        <v>3061</v>
      </c>
      <c r="O2575" t="s">
        <v>11</v>
      </c>
      <c r="P2575">
        <v>5102</v>
      </c>
      <c r="Q2575">
        <v>1</v>
      </c>
      <c r="R2575">
        <v>16.48</v>
      </c>
      <c r="S2575">
        <v>16.48</v>
      </c>
      <c r="T2575">
        <v>12.51</v>
      </c>
      <c r="U2575">
        <v>24.09</v>
      </c>
      <c r="V2575" t="str">
        <f>VLOOKUP(L2575,'[2]tabela de preços'!$A:$D,4,0)</f>
        <v>VONIXX</v>
      </c>
      <c r="W2575" t="str">
        <f>VLOOKUP(L2575,'[2]tabela de preços'!$A:$F,6,0)</f>
        <v>LINHA DE HIGENIZAÇÃO E ESTÉTICA  AUTOMOTIVA</v>
      </c>
      <c r="X2575" t="str">
        <f>VLOOKUP(L2575,'[2]tabela de preços'!$A:$G,7,0)</f>
        <v>AUTOMOTIVO</v>
      </c>
    </row>
    <row r="2576" spans="1:24" x14ac:dyDescent="0.3">
      <c r="A2576" t="s">
        <v>2867</v>
      </c>
      <c r="C2576" t="s">
        <v>2868</v>
      </c>
      <c r="D2576" s="1">
        <v>46064</v>
      </c>
      <c r="E2576" t="s">
        <v>2869</v>
      </c>
      <c r="F2576">
        <v>9</v>
      </c>
      <c r="G2576">
        <v>231</v>
      </c>
      <c r="H2576" t="str">
        <f>VLOOKUP(G2576,[1]OPERADORES!$A:$B,2,0)</f>
        <v>EDIJANE</v>
      </c>
      <c r="I2576" t="s">
        <v>21</v>
      </c>
      <c r="J2576" t="s">
        <v>66</v>
      </c>
      <c r="K2576" t="s">
        <v>2870</v>
      </c>
      <c r="L2576">
        <v>85692</v>
      </c>
      <c r="M2576" t="s">
        <v>969</v>
      </c>
      <c r="O2576" t="s">
        <v>11</v>
      </c>
      <c r="P2576">
        <v>5102</v>
      </c>
      <c r="Q2576">
        <v>12</v>
      </c>
      <c r="R2576">
        <v>7.89</v>
      </c>
      <c r="S2576">
        <v>94.68</v>
      </c>
      <c r="T2576">
        <v>78.12</v>
      </c>
      <c r="U2576">
        <v>17.489999999999998</v>
      </c>
      <c r="V2576" t="str">
        <f>VLOOKUP(L2576,'[2]tabela de preços'!$A:$D,4,0)</f>
        <v>UNIPEGA</v>
      </c>
      <c r="W2576" t="str">
        <f>VLOOKUP(L2576,'[2]tabela de preços'!$A:$F,6,0)</f>
        <v>PU 40</v>
      </c>
      <c r="X2576" t="str">
        <f>VLOOKUP(L2576,'[2]tabela de preços'!$A:$G,7,0)</f>
        <v>IMOBILIÁRIO</v>
      </c>
    </row>
    <row r="2577" spans="1:24" x14ac:dyDescent="0.3">
      <c r="A2577" t="s">
        <v>2867</v>
      </c>
      <c r="C2577" t="s">
        <v>2868</v>
      </c>
      <c r="D2577" s="1">
        <v>46064</v>
      </c>
      <c r="E2577" t="s">
        <v>2869</v>
      </c>
      <c r="F2577">
        <v>9</v>
      </c>
      <c r="G2577">
        <v>231</v>
      </c>
      <c r="H2577" t="str">
        <f>VLOOKUP(G2577,[1]OPERADORES!$A:$B,2,0)</f>
        <v>EDIJANE</v>
      </c>
      <c r="I2577" t="s">
        <v>21</v>
      </c>
      <c r="J2577" t="s">
        <v>66</v>
      </c>
      <c r="K2577" t="s">
        <v>2870</v>
      </c>
      <c r="L2577">
        <v>22684</v>
      </c>
      <c r="M2577" t="s">
        <v>73</v>
      </c>
      <c r="O2577" t="s">
        <v>11</v>
      </c>
      <c r="P2577">
        <v>5102</v>
      </c>
      <c r="Q2577">
        <v>12</v>
      </c>
      <c r="R2577">
        <v>3.65</v>
      </c>
      <c r="S2577">
        <v>43.8</v>
      </c>
      <c r="T2577">
        <v>36.96</v>
      </c>
      <c r="U2577">
        <v>15.62</v>
      </c>
      <c r="V2577" t="str">
        <f>VLOOKUP(L2577,'[2]tabela de preços'!$A:$D,4,0)</f>
        <v>3M</v>
      </c>
      <c r="W2577" t="str">
        <f>VLOOKUP(L2577,'[2]tabela de preços'!$A:$F,6,0)</f>
        <v>FITA AUTOMOTIVA</v>
      </c>
      <c r="X2577" t="str">
        <f>VLOOKUP(L2577,'[2]tabela de preços'!$A:$G,7,0)</f>
        <v>AUTOMOTIVO</v>
      </c>
    </row>
    <row r="2578" spans="1:24" x14ac:dyDescent="0.3">
      <c r="A2578" t="s">
        <v>2867</v>
      </c>
      <c r="C2578" t="s">
        <v>2868</v>
      </c>
      <c r="D2578" s="1">
        <v>46064</v>
      </c>
      <c r="E2578" t="s">
        <v>2869</v>
      </c>
      <c r="F2578">
        <v>9</v>
      </c>
      <c r="G2578">
        <v>231</v>
      </c>
      <c r="H2578" t="str">
        <f>VLOOKUP(G2578,[1]OPERADORES!$A:$B,2,0)</f>
        <v>EDIJANE</v>
      </c>
      <c r="I2578" t="s">
        <v>21</v>
      </c>
      <c r="J2578" t="s">
        <v>66</v>
      </c>
      <c r="K2578" t="s">
        <v>2870</v>
      </c>
      <c r="L2578">
        <v>85698</v>
      </c>
      <c r="M2578" t="s">
        <v>1946</v>
      </c>
      <c r="O2578" t="s">
        <v>11</v>
      </c>
      <c r="P2578">
        <v>5102</v>
      </c>
      <c r="Q2578">
        <v>2</v>
      </c>
      <c r="R2578">
        <v>129.9</v>
      </c>
      <c r="S2578">
        <v>259.8</v>
      </c>
      <c r="T2578">
        <v>207.72</v>
      </c>
      <c r="U2578">
        <v>20.05</v>
      </c>
      <c r="V2578" t="str">
        <f>VLOOKUP(L2578,'[2]tabela de preços'!$A:$D,4,0)</f>
        <v>SIMAPPEL</v>
      </c>
      <c r="W2578" t="str">
        <f>VLOOKUP(L2578,'[2]tabela de preços'!$A:$F,6,0)</f>
        <v>PAPELAO ONDULADO</v>
      </c>
      <c r="X2578" t="str">
        <f>VLOOKUP(L2578,'[2]tabela de preços'!$A:$G,7,0)</f>
        <v>IMOBILIÁRIO</v>
      </c>
    </row>
    <row r="2579" spans="1:24" x14ac:dyDescent="0.3">
      <c r="A2579" t="s">
        <v>2867</v>
      </c>
      <c r="C2579" t="s">
        <v>2868</v>
      </c>
      <c r="D2579" s="1">
        <v>46064</v>
      </c>
      <c r="E2579" t="s">
        <v>2869</v>
      </c>
      <c r="F2579">
        <v>9</v>
      </c>
      <c r="G2579">
        <v>231</v>
      </c>
      <c r="H2579" t="str">
        <f>VLOOKUP(G2579,[1]OPERADORES!$A:$B,2,0)</f>
        <v>EDIJANE</v>
      </c>
      <c r="I2579" t="s">
        <v>21</v>
      </c>
      <c r="J2579" t="s">
        <v>66</v>
      </c>
      <c r="K2579" t="s">
        <v>2870</v>
      </c>
      <c r="L2579">
        <v>10297</v>
      </c>
      <c r="M2579" t="s">
        <v>41</v>
      </c>
      <c r="O2579" t="s">
        <v>11</v>
      </c>
      <c r="P2579">
        <v>5102</v>
      </c>
      <c r="Q2579">
        <v>48</v>
      </c>
      <c r="R2579">
        <v>10.49</v>
      </c>
      <c r="S2579">
        <v>503.52</v>
      </c>
      <c r="T2579">
        <v>440.16</v>
      </c>
      <c r="U2579">
        <v>12.58</v>
      </c>
      <c r="V2579" t="str">
        <f>VLOOKUP(L2579,'[2]tabela de preços'!$A:$D,4,0)</f>
        <v>ANJO</v>
      </c>
      <c r="W2579" t="str">
        <f>VLOOKUP(L2579,'[2]tabela de preços'!$A:$F,6,0)</f>
        <v>THINNER DE LIMPEZA</v>
      </c>
      <c r="X2579" t="str">
        <f>VLOOKUP(L2579,'[2]tabela de preços'!$A:$G,7,0)</f>
        <v>THINNER</v>
      </c>
    </row>
    <row r="2580" spans="1:24" x14ac:dyDescent="0.3">
      <c r="A2580" t="s">
        <v>452</v>
      </c>
      <c r="C2580" t="s">
        <v>2594</v>
      </c>
      <c r="D2580" s="1">
        <v>46058</v>
      </c>
      <c r="E2580" t="s">
        <v>2595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455</v>
      </c>
      <c r="J2580" t="s">
        <v>456</v>
      </c>
      <c r="K2580" t="s">
        <v>457</v>
      </c>
      <c r="L2580">
        <v>84658</v>
      </c>
      <c r="M2580" t="s">
        <v>100</v>
      </c>
      <c r="O2580" t="s">
        <v>11</v>
      </c>
      <c r="P2580">
        <v>6102</v>
      </c>
      <c r="Q2580">
        <v>6</v>
      </c>
      <c r="R2580">
        <v>40.840000000000003</v>
      </c>
      <c r="S2580">
        <v>245.04</v>
      </c>
      <c r="T2580">
        <v>186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466</v>
      </c>
      <c r="C2581" t="s">
        <v>2871</v>
      </c>
      <c r="D2581" s="1">
        <v>46063</v>
      </c>
      <c r="E2581" t="s">
        <v>2872</v>
      </c>
      <c r="F2581">
        <v>9</v>
      </c>
      <c r="G2581">
        <v>197</v>
      </c>
      <c r="H2581" t="str">
        <f>VLOOKUP(G2581,[1]OPERADORES!$A:$B,2,0)</f>
        <v xml:space="preserve">POLIANA LORRANE DE AMORIM </v>
      </c>
      <c r="I2581" t="s">
        <v>21</v>
      </c>
      <c r="J2581" t="s">
        <v>469</v>
      </c>
      <c r="K2581" t="s">
        <v>470</v>
      </c>
      <c r="L2581">
        <v>85599</v>
      </c>
      <c r="M2581" t="s">
        <v>38</v>
      </c>
      <c r="O2581" t="s">
        <v>11</v>
      </c>
      <c r="P2581">
        <v>5102</v>
      </c>
      <c r="Q2581">
        <v>20</v>
      </c>
      <c r="R2581">
        <v>2.58</v>
      </c>
      <c r="S2581">
        <v>51.6</v>
      </c>
      <c r="T2581">
        <v>39.200000000000003</v>
      </c>
      <c r="U2581">
        <v>24.03</v>
      </c>
      <c r="V2581" t="str">
        <f>VLOOKUP(L2581,'[2]tabela de preços'!$A:$D,4,0)</f>
        <v>REJUMASSA</v>
      </c>
      <c r="W2581" t="str">
        <f>VLOOKUP(L2581,'[2]tabela de preços'!$A:$F,6,0)</f>
        <v>GESSO</v>
      </c>
      <c r="X2581" t="str">
        <f>VLOOKUP(L2581,'[2]tabela de preços'!$A:$G,7,0)</f>
        <v>IMOBILIÁRIO</v>
      </c>
    </row>
    <row r="2582" spans="1:24" x14ac:dyDescent="0.3">
      <c r="A2582" t="s">
        <v>466</v>
      </c>
      <c r="C2582" t="s">
        <v>2871</v>
      </c>
      <c r="D2582" s="1">
        <v>46063</v>
      </c>
      <c r="E2582" t="s">
        <v>2872</v>
      </c>
      <c r="F2582">
        <v>9</v>
      </c>
      <c r="G2582">
        <v>197</v>
      </c>
      <c r="H2582" t="str">
        <f>VLOOKUP(G2582,[1]OPERADORES!$A:$B,2,0)</f>
        <v xml:space="preserve">POLIANA LORRANE DE AMORIM </v>
      </c>
      <c r="I2582" t="s">
        <v>21</v>
      </c>
      <c r="J2582" t="s">
        <v>469</v>
      </c>
      <c r="K2582" t="s">
        <v>470</v>
      </c>
      <c r="L2582">
        <v>16</v>
      </c>
      <c r="M2582" t="s">
        <v>122</v>
      </c>
      <c r="O2582" t="s">
        <v>11</v>
      </c>
      <c r="P2582">
        <v>5102</v>
      </c>
      <c r="Q2582">
        <v>50</v>
      </c>
      <c r="R2582">
        <v>2.9</v>
      </c>
      <c r="S2582">
        <v>145</v>
      </c>
      <c r="T2582">
        <v>110</v>
      </c>
      <c r="U2582">
        <v>24.14</v>
      </c>
      <c r="V2582" t="str">
        <f>VLOOKUP(L2582,'[2]tabela de preços'!$A:$D,4,0)</f>
        <v>3M</v>
      </c>
      <c r="W2582" t="str">
        <f>VLOOKUP(L2582,'[2]tabela de preços'!$A:$F,6,0)</f>
        <v>LIXA DÁGUA</v>
      </c>
      <c r="X2582" t="str">
        <f>VLOOKUP(L2582,'[2]tabela de preços'!$A:$G,7,0)</f>
        <v>AUTOMOTIVO</v>
      </c>
    </row>
    <row r="2583" spans="1:24" x14ac:dyDescent="0.3">
      <c r="A2583" t="s">
        <v>466</v>
      </c>
      <c r="C2583" t="s">
        <v>2871</v>
      </c>
      <c r="D2583" s="1">
        <v>46063</v>
      </c>
      <c r="E2583" t="s">
        <v>2872</v>
      </c>
      <c r="F2583">
        <v>9</v>
      </c>
      <c r="G2583">
        <v>197</v>
      </c>
      <c r="H2583" t="str">
        <f>VLOOKUP(G2583,[1]OPERADORES!$A:$B,2,0)</f>
        <v xml:space="preserve">POLIANA LORRANE DE AMORIM </v>
      </c>
      <c r="I2583" t="s">
        <v>21</v>
      </c>
      <c r="J2583" t="s">
        <v>469</v>
      </c>
      <c r="K2583" t="s">
        <v>470</v>
      </c>
      <c r="L2583">
        <v>20021</v>
      </c>
      <c r="M2583" t="s">
        <v>276</v>
      </c>
      <c r="O2583" t="s">
        <v>11</v>
      </c>
      <c r="P2583">
        <v>5102</v>
      </c>
      <c r="Q2583">
        <v>50</v>
      </c>
      <c r="R2583">
        <v>3.43</v>
      </c>
      <c r="S2583">
        <v>171.5</v>
      </c>
      <c r="T2583">
        <v>130</v>
      </c>
      <c r="U2583">
        <v>24.2</v>
      </c>
      <c r="V2583" t="str">
        <f>VLOOKUP(L2583,'[2]tabela de preços'!$A:$D,4,0)</f>
        <v>3M</v>
      </c>
      <c r="W2583" t="str">
        <f>VLOOKUP(L2583,'[2]tabela de preços'!$A:$F,6,0)</f>
        <v>LIXA DÁGUA</v>
      </c>
      <c r="X2583" t="str">
        <f>VLOOKUP(L2583,'[2]tabela de preços'!$A:$G,7,0)</f>
        <v>AUTOMOTIVO</v>
      </c>
    </row>
    <row r="2584" spans="1:24" x14ac:dyDescent="0.3">
      <c r="A2584" t="s">
        <v>466</v>
      </c>
      <c r="C2584" t="s">
        <v>2871</v>
      </c>
      <c r="D2584" s="1">
        <v>46063</v>
      </c>
      <c r="E2584" t="s">
        <v>2872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21</v>
      </c>
      <c r="J2584" t="s">
        <v>469</v>
      </c>
      <c r="K2584" t="s">
        <v>470</v>
      </c>
      <c r="L2584">
        <v>83819</v>
      </c>
      <c r="M2584" t="s">
        <v>1237</v>
      </c>
      <c r="O2584" t="s">
        <v>11</v>
      </c>
      <c r="P2584">
        <v>5102</v>
      </c>
      <c r="Q2584">
        <v>50</v>
      </c>
      <c r="R2584">
        <v>3.49</v>
      </c>
      <c r="S2584">
        <v>174.5</v>
      </c>
      <c r="T2584">
        <v>132.5</v>
      </c>
      <c r="U2584">
        <v>24.07</v>
      </c>
      <c r="V2584" t="str">
        <f>VLOOKUP(L2584,'[2]tabela de preços'!$A:$D,4,0)</f>
        <v>3M</v>
      </c>
      <c r="W2584" t="str">
        <f>VLOOKUP(L2584,'[2]tabela de preços'!$A:$F,6,0)</f>
        <v>LIXA DÁGUA</v>
      </c>
      <c r="X2584" t="str">
        <f>VLOOKUP(L2584,'[2]tabela de preços'!$A:$G,7,0)</f>
        <v>AUTOMOTIVO</v>
      </c>
    </row>
    <row r="2585" spans="1:24" x14ac:dyDescent="0.3">
      <c r="A2585" t="s">
        <v>466</v>
      </c>
      <c r="C2585" t="s">
        <v>2871</v>
      </c>
      <c r="D2585" s="1">
        <v>46063</v>
      </c>
      <c r="E2585" t="s">
        <v>2872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21</v>
      </c>
      <c r="J2585" t="s">
        <v>469</v>
      </c>
      <c r="K2585" t="s">
        <v>470</v>
      </c>
      <c r="L2585">
        <v>85643</v>
      </c>
      <c r="M2585" t="s">
        <v>476</v>
      </c>
      <c r="O2585" t="s">
        <v>11</v>
      </c>
      <c r="P2585">
        <v>5403</v>
      </c>
      <c r="Q2585">
        <v>12</v>
      </c>
      <c r="R2585">
        <v>8.84</v>
      </c>
      <c r="S2585">
        <v>106.08</v>
      </c>
      <c r="T2585">
        <v>80.52</v>
      </c>
      <c r="U2585">
        <v>24.1</v>
      </c>
      <c r="V2585" t="str">
        <f>VLOOKUP(L2585,'[2]tabela de preços'!$A:$D,4,0)</f>
        <v>UNIPEGA</v>
      </c>
      <c r="W2585" t="str">
        <f>VLOOKUP(L2585,'[2]tabela de preços'!$A:$F,6,0)</f>
        <v xml:space="preserve">SPRAYS </v>
      </c>
      <c r="X2585" t="str">
        <f>VLOOKUP(L2585,'[2]tabela de preços'!$A:$G,7,0)</f>
        <v>AUTOMOTIVO</v>
      </c>
    </row>
    <row r="2586" spans="1:24" x14ac:dyDescent="0.3">
      <c r="A2586" t="s">
        <v>466</v>
      </c>
      <c r="C2586" t="s">
        <v>2871</v>
      </c>
      <c r="D2586" s="1">
        <v>46063</v>
      </c>
      <c r="E2586" t="s">
        <v>2872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21</v>
      </c>
      <c r="J2586" t="s">
        <v>469</v>
      </c>
      <c r="K2586" t="s">
        <v>470</v>
      </c>
      <c r="L2586">
        <v>85650</v>
      </c>
      <c r="M2586" t="s">
        <v>439</v>
      </c>
      <c r="O2586" t="s">
        <v>11</v>
      </c>
      <c r="P2586">
        <v>5403</v>
      </c>
      <c r="Q2586">
        <v>12</v>
      </c>
      <c r="R2586">
        <v>9.1199999999999992</v>
      </c>
      <c r="S2586">
        <v>109.44</v>
      </c>
      <c r="T2586">
        <v>83.04</v>
      </c>
      <c r="U2586">
        <v>24.12</v>
      </c>
      <c r="V2586" t="str">
        <f>VLOOKUP(L2586,'[2]tabela de preços'!$A:$D,4,0)</f>
        <v>UNIPEGA</v>
      </c>
      <c r="W2586" t="str">
        <f>VLOOKUP(L2586,'[2]tabela de preços'!$A:$F,6,0)</f>
        <v xml:space="preserve">SPRAYS </v>
      </c>
      <c r="X2586" t="str">
        <f>VLOOKUP(L2586,'[2]tabela de preços'!$A:$G,7,0)</f>
        <v>AUTOMOTIVO</v>
      </c>
    </row>
    <row r="2587" spans="1:24" x14ac:dyDescent="0.3">
      <c r="A2587" t="s">
        <v>466</v>
      </c>
      <c r="C2587" t="s">
        <v>2871</v>
      </c>
      <c r="D2587" s="1">
        <v>46063</v>
      </c>
      <c r="E2587" t="s">
        <v>2872</v>
      </c>
      <c r="F2587">
        <v>9</v>
      </c>
      <c r="G2587">
        <v>197</v>
      </c>
      <c r="H2587" t="str">
        <f>VLOOKUP(G2587,[1]OPERADORES!$A:$B,2,0)</f>
        <v xml:space="preserve">POLIANA LORRANE DE AMORIM </v>
      </c>
      <c r="I2587" t="s">
        <v>21</v>
      </c>
      <c r="J2587" t="s">
        <v>469</v>
      </c>
      <c r="K2587" t="s">
        <v>470</v>
      </c>
      <c r="L2587">
        <v>85654</v>
      </c>
      <c r="M2587" t="s">
        <v>2873</v>
      </c>
      <c r="O2587" t="s">
        <v>11</v>
      </c>
      <c r="P2587">
        <v>5403</v>
      </c>
      <c r="Q2587">
        <v>6</v>
      </c>
      <c r="R2587">
        <v>9.1199999999999992</v>
      </c>
      <c r="S2587">
        <v>54.72</v>
      </c>
      <c r="T2587">
        <v>41.52</v>
      </c>
      <c r="U2587">
        <v>24.12</v>
      </c>
      <c r="V2587" t="str">
        <f>VLOOKUP(L2587,'[2]tabela de preços'!$A:$D,4,0)</f>
        <v>UNIPEGA</v>
      </c>
      <c r="W2587" t="str">
        <f>VLOOKUP(L2587,'[2]tabela de preços'!$A:$F,6,0)</f>
        <v xml:space="preserve">SPRAYS </v>
      </c>
      <c r="X2587" t="str">
        <f>VLOOKUP(L2587,'[2]tabela de preços'!$A:$G,7,0)</f>
        <v>AUTOMOTIVO</v>
      </c>
    </row>
    <row r="2588" spans="1:24" x14ac:dyDescent="0.3">
      <c r="A2588" t="s">
        <v>3062</v>
      </c>
      <c r="C2588" t="s">
        <v>3063</v>
      </c>
      <c r="D2588" s="1">
        <v>46071</v>
      </c>
      <c r="E2588" t="s">
        <v>3064</v>
      </c>
      <c r="F2588">
        <v>9</v>
      </c>
      <c r="G2588">
        <v>236</v>
      </c>
      <c r="H2588" t="str">
        <f>VLOOKUP(G2588,[1]OPERADORES!$A:$B,2,0)</f>
        <v>DANIEL</v>
      </c>
      <c r="I2588" t="s">
        <v>21</v>
      </c>
      <c r="J2588" t="s">
        <v>587</v>
      </c>
      <c r="K2588" t="s">
        <v>3065</v>
      </c>
      <c r="L2588">
        <v>85318</v>
      </c>
      <c r="M2588" t="s">
        <v>258</v>
      </c>
      <c r="O2588" t="s">
        <v>11</v>
      </c>
      <c r="P2588">
        <v>5102</v>
      </c>
      <c r="Q2588">
        <v>1</v>
      </c>
      <c r="R2588">
        <v>780.46</v>
      </c>
      <c r="S2588">
        <v>780.46</v>
      </c>
      <c r="T2588">
        <v>583.96</v>
      </c>
      <c r="U2588">
        <v>25.18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3062</v>
      </c>
      <c r="C2589" t="s">
        <v>3063</v>
      </c>
      <c r="D2589" s="1">
        <v>46071</v>
      </c>
      <c r="E2589" t="s">
        <v>3064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587</v>
      </c>
      <c r="K2589" t="s">
        <v>3065</v>
      </c>
      <c r="L2589">
        <v>85398</v>
      </c>
      <c r="M2589" t="s">
        <v>3066</v>
      </c>
      <c r="O2589" t="s">
        <v>11</v>
      </c>
      <c r="P2589">
        <v>5102</v>
      </c>
      <c r="Q2589">
        <v>1</v>
      </c>
      <c r="R2589">
        <v>670.38</v>
      </c>
      <c r="S2589">
        <v>670.38</v>
      </c>
      <c r="T2589">
        <v>461.69</v>
      </c>
      <c r="U2589">
        <v>31.13</v>
      </c>
      <c r="V2589" t="str">
        <f>VLOOKUP(L2589,'[2]tabela de preços'!$A:$D,4,0)</f>
        <v>BRASILUX</v>
      </c>
      <c r="W2589" t="str">
        <f>VLOOKUP(L2589,'[2]tabela de preços'!$A:$F,6,0)</f>
        <v>TINTA EM PÓ</v>
      </c>
      <c r="X2589" t="str">
        <f>VLOOKUP(L2589,'[2]tabela de preços'!$A:$G,7,0)</f>
        <v>INDUSTRIAL</v>
      </c>
    </row>
    <row r="2590" spans="1:24" x14ac:dyDescent="0.3">
      <c r="A2590" t="s">
        <v>501</v>
      </c>
      <c r="C2590" t="s">
        <v>2807</v>
      </c>
      <c r="D2590" s="1">
        <v>46062</v>
      </c>
      <c r="E2590" t="s">
        <v>2808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504</v>
      </c>
      <c r="K2590" t="s">
        <v>505</v>
      </c>
      <c r="L2590">
        <v>23076</v>
      </c>
      <c r="M2590" t="s">
        <v>97</v>
      </c>
      <c r="O2590" t="s">
        <v>11</v>
      </c>
      <c r="P2590">
        <v>5403</v>
      </c>
      <c r="Q2590">
        <v>30</v>
      </c>
      <c r="R2590">
        <v>34.89</v>
      </c>
      <c r="S2590" s="2">
        <v>1046.7</v>
      </c>
      <c r="T2590">
        <v>795.9</v>
      </c>
      <c r="U2590">
        <v>23.96</v>
      </c>
      <c r="V2590" t="str">
        <f>VLOOKUP(L2590,'[2]tabela de preços'!$A:$D,4,0)</f>
        <v>WANDA</v>
      </c>
      <c r="W2590" t="str">
        <f>VLOOKUP(L2590,'[2]tabela de preços'!$A:$F,6,0)</f>
        <v>PRIMER AUTOMOTIVO</v>
      </c>
      <c r="X2590" t="str">
        <f>VLOOKUP(L2590,'[2]tabela de preços'!$A:$G,7,0)</f>
        <v>AUTOMOTIVO</v>
      </c>
    </row>
    <row r="2591" spans="1:24" x14ac:dyDescent="0.3">
      <c r="A2591" t="s">
        <v>508</v>
      </c>
      <c r="C2591" t="s">
        <v>2596</v>
      </c>
      <c r="D2591" s="1">
        <v>46058</v>
      </c>
      <c r="E2591" t="s">
        <v>2597</v>
      </c>
      <c r="F2591">
        <v>9</v>
      </c>
      <c r="G2591">
        <v>231</v>
      </c>
      <c r="H2591" t="str">
        <f>VLOOKUP(G2591,[1]OPERADORES!$A:$B,2,0)</f>
        <v>EDIJANE</v>
      </c>
      <c r="I2591" t="s">
        <v>21</v>
      </c>
      <c r="J2591" t="s">
        <v>66</v>
      </c>
      <c r="K2591" t="s">
        <v>511</v>
      </c>
      <c r="L2591">
        <v>84029</v>
      </c>
      <c r="M2591" t="s">
        <v>29</v>
      </c>
      <c r="O2591" t="s">
        <v>11</v>
      </c>
      <c r="P2591">
        <v>5102</v>
      </c>
      <c r="Q2591">
        <v>4</v>
      </c>
      <c r="R2591">
        <v>11.45</v>
      </c>
      <c r="S2591">
        <v>45.8</v>
      </c>
      <c r="T2591">
        <v>34.76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AGUARRAS</v>
      </c>
      <c r="X2591" t="str">
        <f>VLOOKUP(L2591,'[2]tabela de preços'!$A:$G,7,0)</f>
        <v>IMOBILIÁRIO</v>
      </c>
    </row>
    <row r="2592" spans="1:24" x14ac:dyDescent="0.3">
      <c r="A2592" t="s">
        <v>508</v>
      </c>
      <c r="C2592" t="s">
        <v>2596</v>
      </c>
      <c r="D2592" s="1">
        <v>46058</v>
      </c>
      <c r="E2592" t="s">
        <v>2597</v>
      </c>
      <c r="F2592">
        <v>9</v>
      </c>
      <c r="G2592">
        <v>231</v>
      </c>
      <c r="H2592" t="str">
        <f>VLOOKUP(G2592,[1]OPERADORES!$A:$B,2,0)</f>
        <v>EDIJANE</v>
      </c>
      <c r="I2592" t="s">
        <v>21</v>
      </c>
      <c r="J2592" t="s">
        <v>66</v>
      </c>
      <c r="K2592" t="s">
        <v>511</v>
      </c>
      <c r="L2592">
        <v>85616</v>
      </c>
      <c r="M2592" t="s">
        <v>471</v>
      </c>
      <c r="O2592" t="s">
        <v>11</v>
      </c>
      <c r="P2592">
        <v>5102</v>
      </c>
      <c r="Q2592">
        <v>20</v>
      </c>
      <c r="R2592">
        <v>2.79</v>
      </c>
      <c r="S2592">
        <v>55.8</v>
      </c>
      <c r="T2592">
        <v>45.6</v>
      </c>
      <c r="U2592">
        <v>18.28</v>
      </c>
      <c r="V2592" t="str">
        <f>VLOOKUP(L2592,'[2]tabela de preços'!$A:$D,4,0)</f>
        <v>ADERE</v>
      </c>
      <c r="W2592" t="str">
        <f>VLOOKUP(L2592,'[2]tabela de preços'!$A:$F,6,0)</f>
        <v xml:space="preserve">FITA DE USO GERAL </v>
      </c>
      <c r="X2592" t="str">
        <f>VLOOKUP(L2592,'[2]tabela de preços'!$A:$G,7,0)</f>
        <v>IMOBILIÁRIO</v>
      </c>
    </row>
    <row r="2593" spans="1:24" x14ac:dyDescent="0.3">
      <c r="A2593" t="s">
        <v>508</v>
      </c>
      <c r="C2593" t="s">
        <v>2596</v>
      </c>
      <c r="D2593" s="1">
        <v>46058</v>
      </c>
      <c r="E2593" t="s">
        <v>2597</v>
      </c>
      <c r="F2593">
        <v>9</v>
      </c>
      <c r="G2593">
        <v>231</v>
      </c>
      <c r="H2593" t="str">
        <f>VLOOKUP(G2593,[1]OPERADORES!$A:$B,2,0)</f>
        <v>EDIJANE</v>
      </c>
      <c r="I2593" t="s">
        <v>21</v>
      </c>
      <c r="J2593" t="s">
        <v>66</v>
      </c>
      <c r="K2593" t="s">
        <v>511</v>
      </c>
      <c r="L2593">
        <v>10238</v>
      </c>
      <c r="M2593" t="s">
        <v>79</v>
      </c>
      <c r="O2593" t="s">
        <v>11</v>
      </c>
      <c r="P2593">
        <v>5102</v>
      </c>
      <c r="Q2593">
        <v>100</v>
      </c>
      <c r="R2593">
        <v>2.79</v>
      </c>
      <c r="S2593">
        <v>279</v>
      </c>
      <c r="T2593">
        <v>224</v>
      </c>
      <c r="U2593">
        <v>19.71</v>
      </c>
      <c r="V2593" t="str">
        <f>VLOOKUP(L2593,'[2]tabela de preços'!$A:$D,4,0)</f>
        <v>NORTON</v>
      </c>
      <c r="W2593" t="str">
        <f>VLOOKUP(L2593,'[2]tabela de preços'!$A:$F,6,0)</f>
        <v xml:space="preserve">DISCOS / LIXAS / ABRASIVOS </v>
      </c>
      <c r="X2593" t="str">
        <f>VLOOKUP(L2593,'[2]tabela de preços'!$A:$G,7,0)</f>
        <v>AUTOMOTIVO</v>
      </c>
    </row>
    <row r="2594" spans="1:24" x14ac:dyDescent="0.3">
      <c r="A2594" t="s">
        <v>508</v>
      </c>
      <c r="C2594" t="s">
        <v>2596</v>
      </c>
      <c r="D2594" s="1">
        <v>46058</v>
      </c>
      <c r="E2594" t="s">
        <v>2597</v>
      </c>
      <c r="F2594">
        <v>9</v>
      </c>
      <c r="G2594">
        <v>231</v>
      </c>
      <c r="H2594" t="str">
        <f>VLOOKUP(G2594,[1]OPERADORES!$A:$B,2,0)</f>
        <v>EDIJANE</v>
      </c>
      <c r="I2594" t="s">
        <v>21</v>
      </c>
      <c r="J2594" t="s">
        <v>66</v>
      </c>
      <c r="K2594" t="s">
        <v>511</v>
      </c>
      <c r="L2594">
        <v>10242</v>
      </c>
      <c r="M2594" t="s">
        <v>82</v>
      </c>
      <c r="O2594" t="s">
        <v>11</v>
      </c>
      <c r="P2594">
        <v>5102</v>
      </c>
      <c r="Q2594">
        <v>100</v>
      </c>
      <c r="R2594">
        <v>2.79</v>
      </c>
      <c r="S2594">
        <v>279</v>
      </c>
      <c r="T2594">
        <v>224</v>
      </c>
      <c r="U2594">
        <v>19.71</v>
      </c>
      <c r="V2594" t="str">
        <f>VLOOKUP(L2594,'[2]tabela de preços'!$A:$D,4,0)</f>
        <v>NORTON</v>
      </c>
      <c r="W2594" t="str">
        <f>VLOOKUP(L2594,'[2]tabela de preços'!$A:$F,6,0)</f>
        <v xml:space="preserve">DISCOS / LIXAS / ABRASIVOS </v>
      </c>
      <c r="X2594" t="str">
        <f>VLOOKUP(L2594,'[2]tabela de preços'!$A:$G,7,0)</f>
        <v>AUTOMOTIVO</v>
      </c>
    </row>
    <row r="2595" spans="1:24" x14ac:dyDescent="0.3">
      <c r="A2595" t="s">
        <v>508</v>
      </c>
      <c r="C2595" t="s">
        <v>2596</v>
      </c>
      <c r="D2595" s="1">
        <v>46058</v>
      </c>
      <c r="E2595" t="s">
        <v>2597</v>
      </c>
      <c r="F2595">
        <v>9</v>
      </c>
      <c r="G2595">
        <v>231</v>
      </c>
      <c r="H2595" t="str">
        <f>VLOOKUP(G2595,[1]OPERADORES!$A:$B,2,0)</f>
        <v>EDIJANE</v>
      </c>
      <c r="I2595" t="s">
        <v>21</v>
      </c>
      <c r="J2595" t="s">
        <v>66</v>
      </c>
      <c r="K2595" t="s">
        <v>511</v>
      </c>
      <c r="L2595">
        <v>10244</v>
      </c>
      <c r="M2595" t="s">
        <v>84</v>
      </c>
      <c r="O2595" t="s">
        <v>11</v>
      </c>
      <c r="P2595">
        <v>5102</v>
      </c>
      <c r="Q2595">
        <v>100</v>
      </c>
      <c r="R2595">
        <v>2.79</v>
      </c>
      <c r="S2595">
        <v>279</v>
      </c>
      <c r="T2595">
        <v>193</v>
      </c>
      <c r="U2595">
        <v>30.82</v>
      </c>
      <c r="V2595" t="str">
        <f>VLOOKUP(L2595,'[2]tabela de preços'!$A:$D,4,0)</f>
        <v>NORTON</v>
      </c>
      <c r="W2595" t="str">
        <f>VLOOKUP(L2595,'[2]tabela de preços'!$A:$F,6,0)</f>
        <v xml:space="preserve">DISCOS / LIXAS / ABRASIVOS </v>
      </c>
      <c r="X2595" t="str">
        <f>VLOOKUP(L2595,'[2]tabela de preços'!$A:$G,7,0)</f>
        <v>AUTOMOTIVO</v>
      </c>
    </row>
    <row r="2596" spans="1:24" x14ac:dyDescent="0.3">
      <c r="A2596" t="s">
        <v>508</v>
      </c>
      <c r="C2596" t="s">
        <v>2596</v>
      </c>
      <c r="D2596" s="1">
        <v>46058</v>
      </c>
      <c r="E2596" t="s">
        <v>2597</v>
      </c>
      <c r="F2596">
        <v>9</v>
      </c>
      <c r="G2596">
        <v>231</v>
      </c>
      <c r="H2596" t="str">
        <f>VLOOKUP(G2596,[1]OPERADORES!$A:$B,2,0)</f>
        <v>EDIJANE</v>
      </c>
      <c r="I2596" t="s">
        <v>21</v>
      </c>
      <c r="J2596" t="s">
        <v>66</v>
      </c>
      <c r="K2596" t="s">
        <v>511</v>
      </c>
      <c r="L2596">
        <v>85164</v>
      </c>
      <c r="M2596" t="s">
        <v>278</v>
      </c>
      <c r="O2596" t="s">
        <v>11</v>
      </c>
      <c r="P2596">
        <v>5102</v>
      </c>
      <c r="Q2596">
        <v>4</v>
      </c>
      <c r="R2596">
        <v>13.29</v>
      </c>
      <c r="S2596">
        <v>53.16</v>
      </c>
      <c r="T2596">
        <v>40.36</v>
      </c>
      <c r="U2596">
        <v>24.08</v>
      </c>
      <c r="V2596" t="str">
        <f>VLOOKUP(L2596,'[2]tabela de preços'!$A:$D,4,0)</f>
        <v>BRASILUX</v>
      </c>
      <c r="W2596" t="str">
        <f>VLOOKUP(L2596,'[2]tabela de preços'!$A:$F,6,0)</f>
        <v>QUEROSENE</v>
      </c>
      <c r="X2596" t="str">
        <f>VLOOKUP(L2596,'[2]tabela de preços'!$A:$G,7,0)</f>
        <v>AUTOMOTIVO</v>
      </c>
    </row>
    <row r="2597" spans="1:24" x14ac:dyDescent="0.3">
      <c r="A2597" t="s">
        <v>528</v>
      </c>
      <c r="C2597" t="s">
        <v>2422</v>
      </c>
      <c r="D2597" s="1">
        <v>46055</v>
      </c>
      <c r="E2597" t="s">
        <v>2423</v>
      </c>
      <c r="F2597">
        <v>9</v>
      </c>
      <c r="G2597">
        <v>231</v>
      </c>
      <c r="H2597" t="str">
        <f>VLOOKUP(G2597,[1]OPERADORES!$A:$B,2,0)</f>
        <v>EDIJANE</v>
      </c>
      <c r="I2597" t="s">
        <v>21</v>
      </c>
      <c r="J2597" t="s">
        <v>531</v>
      </c>
      <c r="K2597" t="s">
        <v>532</v>
      </c>
      <c r="L2597">
        <v>84500</v>
      </c>
      <c r="M2597" t="s">
        <v>2424</v>
      </c>
      <c r="O2597" t="s">
        <v>11</v>
      </c>
      <c r="P2597">
        <v>5102</v>
      </c>
      <c r="Q2597">
        <v>2</v>
      </c>
      <c r="R2597">
        <v>195.25</v>
      </c>
      <c r="S2597">
        <v>390.5</v>
      </c>
      <c r="T2597">
        <v>296.39999999999998</v>
      </c>
      <c r="U2597">
        <v>24.1</v>
      </c>
      <c r="V2597" t="str">
        <f>VLOOKUP(L2597,'[2]tabela de preços'!$A:$D,4,0)</f>
        <v>BRASILUX</v>
      </c>
      <c r="W2597" t="str">
        <f>VLOOKUP(L2597,'[2]tabela de preços'!$A:$F,6,0)</f>
        <v>AGUARRAS</v>
      </c>
      <c r="X2597" t="str">
        <f>VLOOKUP(L2597,'[2]tabela de preços'!$A:$G,7,0)</f>
        <v>IMOBILIÁRIO</v>
      </c>
    </row>
    <row r="2598" spans="1:24" x14ac:dyDescent="0.3">
      <c r="A2598" t="s">
        <v>528</v>
      </c>
      <c r="C2598" t="s">
        <v>2480</v>
      </c>
      <c r="D2598" s="1">
        <v>46056</v>
      </c>
      <c r="E2598" t="s">
        <v>2481</v>
      </c>
      <c r="F2598">
        <v>9</v>
      </c>
      <c r="G2598">
        <v>231</v>
      </c>
      <c r="H2598" t="str">
        <f>VLOOKUP(G2598,[1]OPERADORES!$A:$B,2,0)</f>
        <v>EDIJANE</v>
      </c>
      <c r="I2598" t="s">
        <v>21</v>
      </c>
      <c r="J2598" t="s">
        <v>531</v>
      </c>
      <c r="K2598" t="s">
        <v>532</v>
      </c>
      <c r="L2598">
        <v>85316</v>
      </c>
      <c r="M2598" t="s">
        <v>365</v>
      </c>
      <c r="O2598" t="s">
        <v>11</v>
      </c>
      <c r="P2598">
        <v>5102</v>
      </c>
      <c r="Q2598">
        <v>1</v>
      </c>
      <c r="R2598">
        <v>668</v>
      </c>
      <c r="S2598">
        <v>668</v>
      </c>
      <c r="T2598">
        <v>478.31</v>
      </c>
      <c r="U2598">
        <v>28.4</v>
      </c>
      <c r="V2598" t="str">
        <f>VLOOKUP(L2598,'[2]tabela de preços'!$A:$D,4,0)</f>
        <v>BRASILUX</v>
      </c>
      <c r="W2598" t="str">
        <f>VLOOKUP(L2598,'[2]tabela de preços'!$A:$F,6,0)</f>
        <v>TINTA EM PÓ</v>
      </c>
      <c r="X2598" t="str">
        <f>VLOOKUP(L2598,'[2]tabela de preços'!$A:$G,7,0)</f>
        <v>INDUSTRIAL</v>
      </c>
    </row>
    <row r="2599" spans="1:24" x14ac:dyDescent="0.3">
      <c r="A2599" t="s">
        <v>528</v>
      </c>
      <c r="C2599" t="s">
        <v>2874</v>
      </c>
      <c r="D2599" s="1">
        <v>46063</v>
      </c>
      <c r="E2599" t="s">
        <v>2875</v>
      </c>
      <c r="F2599">
        <v>9</v>
      </c>
      <c r="G2599">
        <v>231</v>
      </c>
      <c r="H2599" t="str">
        <f>VLOOKUP(G2599,[1]OPERADORES!$A:$B,2,0)</f>
        <v>EDIJANE</v>
      </c>
      <c r="I2599" t="s">
        <v>21</v>
      </c>
      <c r="J2599" t="s">
        <v>531</v>
      </c>
      <c r="K2599" t="s">
        <v>532</v>
      </c>
      <c r="L2599">
        <v>85316</v>
      </c>
      <c r="M2599" t="s">
        <v>365</v>
      </c>
      <c r="O2599" t="s">
        <v>11</v>
      </c>
      <c r="P2599">
        <v>5102</v>
      </c>
      <c r="Q2599">
        <v>1</v>
      </c>
      <c r="R2599">
        <v>668</v>
      </c>
      <c r="S2599">
        <v>668</v>
      </c>
      <c r="T2599">
        <v>478.31</v>
      </c>
      <c r="U2599">
        <v>28.4</v>
      </c>
      <c r="V2599" t="str">
        <f>VLOOKUP(L2599,'[2]tabela de preços'!$A:$D,4,0)</f>
        <v>BRASILUX</v>
      </c>
      <c r="W2599" t="str">
        <f>VLOOKUP(L2599,'[2]tabela de preços'!$A:$F,6,0)</f>
        <v>TINTA EM PÓ</v>
      </c>
      <c r="X2599" t="str">
        <f>VLOOKUP(L2599,'[2]tabela de preços'!$A:$G,7,0)</f>
        <v>INDUSTRIAL</v>
      </c>
    </row>
    <row r="2600" spans="1:24" x14ac:dyDescent="0.3">
      <c r="A2600" t="s">
        <v>528</v>
      </c>
      <c r="C2600" t="s">
        <v>3067</v>
      </c>
      <c r="D2600" s="1">
        <v>46065</v>
      </c>
      <c r="E2600" t="s">
        <v>3068</v>
      </c>
      <c r="F2600">
        <v>9</v>
      </c>
      <c r="G2600">
        <v>231</v>
      </c>
      <c r="H2600" t="str">
        <f>VLOOKUP(G2600,[1]OPERADORES!$A:$B,2,0)</f>
        <v>EDIJANE</v>
      </c>
      <c r="I2600" t="s">
        <v>21</v>
      </c>
      <c r="J2600" t="s">
        <v>531</v>
      </c>
      <c r="K2600" t="s">
        <v>532</v>
      </c>
      <c r="L2600">
        <v>85316</v>
      </c>
      <c r="M2600" t="s">
        <v>365</v>
      </c>
      <c r="O2600" t="s">
        <v>11</v>
      </c>
      <c r="P2600">
        <v>5102</v>
      </c>
      <c r="Q2600">
        <v>2</v>
      </c>
      <c r="R2600">
        <v>668</v>
      </c>
      <c r="S2600" s="2">
        <v>1336</v>
      </c>
      <c r="T2600">
        <v>956.62</v>
      </c>
      <c r="U2600">
        <v>28.4</v>
      </c>
      <c r="V2600" t="str">
        <f>VLOOKUP(L2600,'[2]tabela de preços'!$A:$D,4,0)</f>
        <v>BRASILUX</v>
      </c>
      <c r="W2600" t="str">
        <f>VLOOKUP(L2600,'[2]tabela de preços'!$A:$F,6,0)</f>
        <v>TINTA EM PÓ</v>
      </c>
      <c r="X2600" t="str">
        <f>VLOOKUP(L2600,'[2]tabela de preços'!$A:$G,7,0)</f>
        <v>INDUSTRIAL</v>
      </c>
    </row>
    <row r="2601" spans="1:24" x14ac:dyDescent="0.3">
      <c r="A2601" t="s">
        <v>528</v>
      </c>
      <c r="C2601" t="s">
        <v>3069</v>
      </c>
      <c r="D2601" s="1">
        <v>46071</v>
      </c>
      <c r="E2601" t="s">
        <v>3070</v>
      </c>
      <c r="F2601">
        <v>9</v>
      </c>
      <c r="G2601">
        <v>231</v>
      </c>
      <c r="H2601" t="str">
        <f>VLOOKUP(G2601,[1]OPERADORES!$A:$B,2,0)</f>
        <v>EDIJANE</v>
      </c>
      <c r="I2601" t="s">
        <v>21</v>
      </c>
      <c r="J2601" t="s">
        <v>531</v>
      </c>
      <c r="K2601" t="s">
        <v>532</v>
      </c>
      <c r="L2601">
        <v>84498</v>
      </c>
      <c r="M2601" t="s">
        <v>533</v>
      </c>
      <c r="O2601" t="s">
        <v>11</v>
      </c>
      <c r="P2601">
        <v>5403</v>
      </c>
      <c r="Q2601">
        <v>2</v>
      </c>
      <c r="R2601">
        <v>449.7</v>
      </c>
      <c r="S2601">
        <v>899.4</v>
      </c>
      <c r="T2601">
        <v>682.66</v>
      </c>
      <c r="U2601">
        <v>24.1</v>
      </c>
      <c r="V2601" t="str">
        <f>VLOOKUP(L2601,'[2]tabela de preços'!$A:$D,4,0)</f>
        <v>BRASILUX</v>
      </c>
      <c r="W2601" t="str">
        <f>VLOOKUP(L2601,'[2]tabela de preços'!$A:$F,6,0)</f>
        <v>ESMALTES</v>
      </c>
      <c r="X2601" t="str">
        <f>VLOOKUP(L2601,'[2]tabela de preços'!$A:$G,7,0)</f>
        <v>INDUSTRIAL</v>
      </c>
    </row>
    <row r="2602" spans="1:24" x14ac:dyDescent="0.3">
      <c r="A2602" t="s">
        <v>528</v>
      </c>
      <c r="C2602" t="s">
        <v>3069</v>
      </c>
      <c r="D2602" s="1">
        <v>46071</v>
      </c>
      <c r="E2602" t="s">
        <v>3070</v>
      </c>
      <c r="F2602">
        <v>9</v>
      </c>
      <c r="G2602">
        <v>231</v>
      </c>
      <c r="H2602" t="str">
        <f>VLOOKUP(G2602,[1]OPERADORES!$A:$B,2,0)</f>
        <v>EDIJANE</v>
      </c>
      <c r="I2602" t="s">
        <v>21</v>
      </c>
      <c r="J2602" t="s">
        <v>531</v>
      </c>
      <c r="K2602" t="s">
        <v>532</v>
      </c>
      <c r="L2602">
        <v>84499</v>
      </c>
      <c r="M2602" t="s">
        <v>534</v>
      </c>
      <c r="O2602" t="s">
        <v>11</v>
      </c>
      <c r="P2602">
        <v>5102</v>
      </c>
      <c r="Q2602">
        <v>2</v>
      </c>
      <c r="R2602">
        <v>176.61</v>
      </c>
      <c r="S2602">
        <v>353.22</v>
      </c>
      <c r="T2602">
        <v>268.10000000000002</v>
      </c>
      <c r="U2602">
        <v>24.1</v>
      </c>
      <c r="V2602" t="str">
        <f>VLOOKUP(L2602,'[2]tabela de preços'!$A:$D,4,0)</f>
        <v>BRASILUX</v>
      </c>
      <c r="W2602" t="str">
        <f>VLOOKUP(L2602,'[2]tabela de preços'!$A:$F,6,0)</f>
        <v>THINNER DE LIMPEZA</v>
      </c>
      <c r="X2602" t="str">
        <f>VLOOKUP(L2602,'[2]tabela de preços'!$A:$G,7,0)</f>
        <v>THINNER</v>
      </c>
    </row>
    <row r="2603" spans="1:24" x14ac:dyDescent="0.3">
      <c r="A2603" t="s">
        <v>2749</v>
      </c>
      <c r="C2603" t="s">
        <v>2750</v>
      </c>
      <c r="D2603" s="1">
        <v>46059</v>
      </c>
      <c r="E2603" t="s">
        <v>2751</v>
      </c>
      <c r="F2603">
        <v>9</v>
      </c>
      <c r="G2603">
        <v>230</v>
      </c>
      <c r="H2603" t="str">
        <f>VLOOKUP(G2603,[1]OPERADORES!$A:$B,2,0)</f>
        <v>SÔNIA</v>
      </c>
      <c r="I2603" t="s">
        <v>21</v>
      </c>
      <c r="J2603" t="s">
        <v>66</v>
      </c>
      <c r="K2603" t="s">
        <v>2752</v>
      </c>
      <c r="L2603">
        <v>85448</v>
      </c>
      <c r="M2603" t="s">
        <v>1259</v>
      </c>
      <c r="O2603" t="s">
        <v>11</v>
      </c>
      <c r="P2603">
        <v>5403</v>
      </c>
      <c r="Q2603">
        <v>4</v>
      </c>
      <c r="R2603">
        <v>95.4</v>
      </c>
      <c r="S2603">
        <v>381.6</v>
      </c>
      <c r="T2603">
        <v>289.64</v>
      </c>
      <c r="U2603">
        <v>24.1</v>
      </c>
      <c r="V2603" t="str">
        <f>VLOOKUP(L2603,'[2]tabela de preços'!$A:$D,4,0)</f>
        <v>BRASILUX</v>
      </c>
      <c r="W2603" t="str">
        <f>VLOOKUP(L2603,'[2]tabela de preços'!$A:$F,6,0)</f>
        <v>TINTAS LACA</v>
      </c>
      <c r="X2603" t="str">
        <f>VLOOKUP(L2603,'[2]tabela de preços'!$A:$G,7,0)</f>
        <v>AUTOMOTIVO</v>
      </c>
    </row>
    <row r="2604" spans="1:24" x14ac:dyDescent="0.3">
      <c r="A2604" t="s">
        <v>2749</v>
      </c>
      <c r="C2604" t="s">
        <v>2750</v>
      </c>
      <c r="D2604" s="1">
        <v>46059</v>
      </c>
      <c r="E2604" t="s">
        <v>2751</v>
      </c>
      <c r="F2604">
        <v>9</v>
      </c>
      <c r="G2604">
        <v>230</v>
      </c>
      <c r="H2604" t="str">
        <f>VLOOKUP(G2604,[1]OPERADORES!$A:$B,2,0)</f>
        <v>SÔNIA</v>
      </c>
      <c r="I2604" t="s">
        <v>21</v>
      </c>
      <c r="J2604" t="s">
        <v>66</v>
      </c>
      <c r="K2604" t="s">
        <v>2752</v>
      </c>
      <c r="L2604">
        <v>85246</v>
      </c>
      <c r="M2604" t="s">
        <v>1036</v>
      </c>
      <c r="O2604" t="s">
        <v>11</v>
      </c>
      <c r="P2604">
        <v>5403</v>
      </c>
      <c r="Q2604">
        <v>8</v>
      </c>
      <c r="R2604">
        <v>121.98</v>
      </c>
      <c r="S2604">
        <v>975.84</v>
      </c>
      <c r="T2604">
        <v>740.72</v>
      </c>
      <c r="U2604">
        <v>24.09</v>
      </c>
      <c r="V2604" t="str">
        <f>VLOOKUP(L2604,'[2]tabela de preços'!$A:$D,4,0)</f>
        <v>BRASILUX</v>
      </c>
      <c r="W2604" t="str">
        <f>VLOOKUP(L2604,'[2]tabela de preços'!$A:$F,6,0)</f>
        <v>TINTAS LACA</v>
      </c>
      <c r="X2604" t="str">
        <f>VLOOKUP(L2604,'[2]tabela de preços'!$A:$G,7,0)</f>
        <v>AUTOMOTIVO</v>
      </c>
    </row>
    <row r="2605" spans="1:24" x14ac:dyDescent="0.3">
      <c r="A2605" t="s">
        <v>2749</v>
      </c>
      <c r="C2605" t="s">
        <v>2750</v>
      </c>
      <c r="D2605" s="1">
        <v>46059</v>
      </c>
      <c r="E2605" t="s">
        <v>2751</v>
      </c>
      <c r="F2605">
        <v>9</v>
      </c>
      <c r="G2605">
        <v>230</v>
      </c>
      <c r="H2605" t="str">
        <f>VLOOKUP(G2605,[1]OPERADORES!$A:$B,2,0)</f>
        <v>SÔNIA</v>
      </c>
      <c r="I2605" t="s">
        <v>21</v>
      </c>
      <c r="J2605" t="s">
        <v>66</v>
      </c>
      <c r="K2605" t="s">
        <v>2752</v>
      </c>
      <c r="L2605">
        <v>84145</v>
      </c>
      <c r="M2605" t="s">
        <v>301</v>
      </c>
      <c r="O2605" t="s">
        <v>11</v>
      </c>
      <c r="P2605">
        <v>5403</v>
      </c>
      <c r="Q2605">
        <v>4</v>
      </c>
      <c r="R2605">
        <v>59.98</v>
      </c>
      <c r="S2605">
        <v>239.92</v>
      </c>
      <c r="T2605">
        <v>208.04</v>
      </c>
      <c r="U2605">
        <v>13.29</v>
      </c>
      <c r="V2605" t="str">
        <f>VLOOKUP(L2605,'[2]tabela de preços'!$A:$D,4,0)</f>
        <v>BRASILUX</v>
      </c>
      <c r="W2605" t="str">
        <f>VLOOKUP(L2605,'[2]tabela de preços'!$A:$F,6,0)</f>
        <v>ESMALTES</v>
      </c>
      <c r="X2605" t="str">
        <f>VLOOKUP(L2605,'[2]tabela de preços'!$A:$G,7,0)</f>
        <v>INDUSTRIAL</v>
      </c>
    </row>
    <row r="2606" spans="1:24" x14ac:dyDescent="0.3">
      <c r="A2606" t="s">
        <v>2749</v>
      </c>
      <c r="C2606" t="s">
        <v>2750</v>
      </c>
      <c r="D2606" s="1">
        <v>46059</v>
      </c>
      <c r="E2606" t="s">
        <v>2751</v>
      </c>
      <c r="F2606">
        <v>9</v>
      </c>
      <c r="G2606">
        <v>230</v>
      </c>
      <c r="H2606" t="str">
        <f>VLOOKUP(G2606,[1]OPERADORES!$A:$B,2,0)</f>
        <v>SÔNIA</v>
      </c>
      <c r="I2606" t="s">
        <v>21</v>
      </c>
      <c r="J2606" t="s">
        <v>66</v>
      </c>
      <c r="K2606" t="s">
        <v>2752</v>
      </c>
      <c r="L2606">
        <v>10236</v>
      </c>
      <c r="M2606" t="s">
        <v>133</v>
      </c>
      <c r="O2606" t="s">
        <v>11</v>
      </c>
      <c r="P2606">
        <v>5102</v>
      </c>
      <c r="Q2606">
        <v>50</v>
      </c>
      <c r="R2606">
        <v>2.79</v>
      </c>
      <c r="S2606">
        <v>139.5</v>
      </c>
      <c r="T2606">
        <v>116</v>
      </c>
      <c r="U2606">
        <v>16.850000000000001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2749</v>
      </c>
      <c r="C2607" t="s">
        <v>2750</v>
      </c>
      <c r="D2607" s="1">
        <v>46059</v>
      </c>
      <c r="E2607" t="s">
        <v>2751</v>
      </c>
      <c r="F2607">
        <v>9</v>
      </c>
      <c r="G2607">
        <v>230</v>
      </c>
      <c r="H2607" t="str">
        <f>VLOOKUP(G2607,[1]OPERADORES!$A:$B,2,0)</f>
        <v>SÔNIA</v>
      </c>
      <c r="I2607" t="s">
        <v>21</v>
      </c>
      <c r="J2607" t="s">
        <v>66</v>
      </c>
      <c r="K2607" t="s">
        <v>2752</v>
      </c>
      <c r="L2607">
        <v>84863</v>
      </c>
      <c r="M2607" t="s">
        <v>1049</v>
      </c>
      <c r="O2607" t="s">
        <v>11</v>
      </c>
      <c r="P2607">
        <v>5403</v>
      </c>
      <c r="Q2607">
        <v>8</v>
      </c>
      <c r="R2607">
        <v>113.35</v>
      </c>
      <c r="S2607">
        <v>906.8</v>
      </c>
      <c r="T2607">
        <v>688.24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ESMALTES</v>
      </c>
      <c r="X2607" t="str">
        <f>VLOOKUP(L2607,'[2]tabela de preços'!$A:$G,7,0)</f>
        <v>INDUSTRIAL</v>
      </c>
    </row>
    <row r="2608" spans="1:24" x14ac:dyDescent="0.3">
      <c r="A2608" t="s">
        <v>2749</v>
      </c>
      <c r="C2608" t="s">
        <v>2750</v>
      </c>
      <c r="D2608" s="1">
        <v>46059</v>
      </c>
      <c r="E2608" t="s">
        <v>2751</v>
      </c>
      <c r="F2608">
        <v>9</v>
      </c>
      <c r="G2608">
        <v>230</v>
      </c>
      <c r="H2608" t="str">
        <f>VLOOKUP(G2608,[1]OPERADORES!$A:$B,2,0)</f>
        <v>SÔNIA</v>
      </c>
      <c r="I2608" t="s">
        <v>21</v>
      </c>
      <c r="J2608" t="s">
        <v>66</v>
      </c>
      <c r="K2608" t="s">
        <v>2752</v>
      </c>
      <c r="L2608">
        <v>5</v>
      </c>
      <c r="M2608" t="s">
        <v>147</v>
      </c>
      <c r="O2608" t="s">
        <v>11</v>
      </c>
      <c r="P2608">
        <v>5102</v>
      </c>
      <c r="Q2608">
        <v>20</v>
      </c>
      <c r="R2608">
        <v>5.15</v>
      </c>
      <c r="S2608">
        <v>103</v>
      </c>
      <c r="T2608">
        <v>78.2</v>
      </c>
      <c r="U2608">
        <v>24.08</v>
      </c>
      <c r="V2608" t="str">
        <f>VLOOKUP(L2608,'[2]tabela de preços'!$A:$D,4,0)</f>
        <v>BRILHO ESTOPA</v>
      </c>
      <c r="W2608" t="str">
        <f>VLOOKUP(L2608,'[2]tabela de preços'!$A:$F,6,0)</f>
        <v>ESTOPAS</v>
      </c>
      <c r="X2608" t="str">
        <f>VLOOKUP(L2608,'[2]tabela de preços'!$A:$G,7,0)</f>
        <v>AUTOMOTIVO</v>
      </c>
    </row>
    <row r="2609" spans="1:24" x14ac:dyDescent="0.3">
      <c r="A2609" t="s">
        <v>2749</v>
      </c>
      <c r="C2609" t="s">
        <v>2750</v>
      </c>
      <c r="D2609" s="1">
        <v>46059</v>
      </c>
      <c r="E2609" t="s">
        <v>2751</v>
      </c>
      <c r="F2609">
        <v>9</v>
      </c>
      <c r="G2609">
        <v>230</v>
      </c>
      <c r="H2609" t="str">
        <f>VLOOKUP(G2609,[1]OPERADORES!$A:$B,2,0)</f>
        <v>SÔNIA</v>
      </c>
      <c r="I2609" t="s">
        <v>21</v>
      </c>
      <c r="J2609" t="s">
        <v>66</v>
      </c>
      <c r="K2609" t="s">
        <v>2752</v>
      </c>
      <c r="L2609">
        <v>84411</v>
      </c>
      <c r="M2609" t="s">
        <v>35</v>
      </c>
      <c r="O2609" t="s">
        <v>11</v>
      </c>
      <c r="P2609">
        <v>5102</v>
      </c>
      <c r="Q2609">
        <v>6</v>
      </c>
      <c r="R2609">
        <v>4.29</v>
      </c>
      <c r="S2609">
        <v>25.74</v>
      </c>
      <c r="T2609">
        <v>21.24</v>
      </c>
      <c r="U2609">
        <v>17.48</v>
      </c>
      <c r="V2609" t="str">
        <f>VLOOKUP(L2609,'[2]tabela de preços'!$A:$D,4,0)</f>
        <v>ADERE</v>
      </c>
      <c r="W2609" t="str">
        <f>VLOOKUP(L2609,'[2]tabela de preços'!$A:$F,6,0)</f>
        <v xml:space="preserve">FITA DE USO GERAL </v>
      </c>
      <c r="X2609" t="str">
        <f>VLOOKUP(L2609,'[2]tabela de preços'!$A:$G,7,0)</f>
        <v>IMOBILIÁRIO</v>
      </c>
    </row>
    <row r="2610" spans="1:24" x14ac:dyDescent="0.3">
      <c r="A2610" t="s">
        <v>2749</v>
      </c>
      <c r="C2610" t="s">
        <v>2750</v>
      </c>
      <c r="D2610" s="1">
        <v>46059</v>
      </c>
      <c r="E2610" t="s">
        <v>2751</v>
      </c>
      <c r="F2610">
        <v>9</v>
      </c>
      <c r="G2610">
        <v>230</v>
      </c>
      <c r="H2610" t="str">
        <f>VLOOKUP(G2610,[1]OPERADORES!$A:$B,2,0)</f>
        <v>SÔNIA</v>
      </c>
      <c r="I2610" t="s">
        <v>21</v>
      </c>
      <c r="J2610" t="s">
        <v>66</v>
      </c>
      <c r="K2610" t="s">
        <v>2752</v>
      </c>
      <c r="L2610">
        <v>22180</v>
      </c>
      <c r="M2610" t="s">
        <v>404</v>
      </c>
      <c r="O2610" t="s">
        <v>11</v>
      </c>
      <c r="P2610">
        <v>5102</v>
      </c>
      <c r="Q2610">
        <v>3</v>
      </c>
      <c r="R2610">
        <v>19.29</v>
      </c>
      <c r="S2610">
        <v>57.87</v>
      </c>
      <c r="T2610">
        <v>43.92</v>
      </c>
      <c r="U2610">
        <v>24.11</v>
      </c>
      <c r="V2610" t="str">
        <f>VLOOKUP(L2610,'[2]tabela de preços'!$A:$D,4,0)</f>
        <v>MADRUGA</v>
      </c>
      <c r="W2610" t="str">
        <f>VLOOKUP(L2610,'[2]tabela de preços'!$A:$F,6,0)</f>
        <v>PAPEL DE MASCARAMENTO</v>
      </c>
      <c r="X2610" t="str">
        <f>VLOOKUP(L2610,'[2]tabela de preços'!$A:$G,7,0)</f>
        <v>AUTOMOTIVO</v>
      </c>
    </row>
    <row r="2611" spans="1:24" x14ac:dyDescent="0.3">
      <c r="A2611" t="s">
        <v>2749</v>
      </c>
      <c r="C2611" t="s">
        <v>2750</v>
      </c>
      <c r="D2611" s="1">
        <v>46059</v>
      </c>
      <c r="E2611" t="s">
        <v>2751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2752</v>
      </c>
      <c r="L2611">
        <v>23710</v>
      </c>
      <c r="M2611" t="s">
        <v>927</v>
      </c>
      <c r="O2611" t="s">
        <v>11</v>
      </c>
      <c r="P2611">
        <v>5102</v>
      </c>
      <c r="Q2611">
        <v>1</v>
      </c>
      <c r="R2611">
        <v>38</v>
      </c>
      <c r="S2611">
        <v>38</v>
      </c>
      <c r="T2611">
        <v>28.84</v>
      </c>
      <c r="U2611">
        <v>24.11</v>
      </c>
      <c r="V2611" t="str">
        <f>VLOOKUP(L2611,'[2]tabela de preços'!$A:$D,4,0)</f>
        <v>NEW PAD</v>
      </c>
      <c r="W2611" t="str">
        <f>VLOOKUP(L2611,'[2]tabela de preços'!$A:$F,6,0)</f>
        <v>APLICADORES / ADAPTADORES / ENGATES / SUPORTES</v>
      </c>
      <c r="X2611" t="str">
        <f>VLOOKUP(L2611,'[2]tabela de preços'!$A:$G,7,0)</f>
        <v>AUTOMOTIVO</v>
      </c>
    </row>
    <row r="2612" spans="1:24" x14ac:dyDescent="0.3">
      <c r="A2612" t="s">
        <v>2749</v>
      </c>
      <c r="C2612" t="s">
        <v>2750</v>
      </c>
      <c r="D2612" s="1">
        <v>46059</v>
      </c>
      <c r="E2612" t="s">
        <v>2751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2752</v>
      </c>
      <c r="L2612">
        <v>84560</v>
      </c>
      <c r="M2612" t="s">
        <v>118</v>
      </c>
      <c r="O2612" t="s">
        <v>11</v>
      </c>
      <c r="P2612">
        <v>5102</v>
      </c>
      <c r="Q2612">
        <v>5</v>
      </c>
      <c r="R2612">
        <v>47.89</v>
      </c>
      <c r="S2612">
        <v>239.45</v>
      </c>
      <c r="T2612">
        <v>195.8</v>
      </c>
      <c r="U2612">
        <v>18.23</v>
      </c>
      <c r="V2612" t="str">
        <f>VLOOKUP(L2612,'[2]tabela de preços'!$A:$D,4,0)</f>
        <v>BRASILUX</v>
      </c>
      <c r="W2612" t="str">
        <f>VLOOKUP(L2612,'[2]tabela de preços'!$A:$F,6,0)</f>
        <v>THINNER DE LIMPEZA</v>
      </c>
      <c r="X2612" t="str">
        <f>VLOOKUP(L2612,'[2]tabela de preços'!$A:$G,7,0)</f>
        <v>THINNER</v>
      </c>
    </row>
    <row r="2613" spans="1:24" x14ac:dyDescent="0.3">
      <c r="A2613" t="s">
        <v>555</v>
      </c>
      <c r="C2613" t="s">
        <v>2598</v>
      </c>
      <c r="D2613" s="1">
        <v>46058</v>
      </c>
      <c r="E2613" t="s">
        <v>2599</v>
      </c>
      <c r="F2613">
        <v>9</v>
      </c>
      <c r="G2613">
        <v>236</v>
      </c>
      <c r="H2613" t="str">
        <f>VLOOKUP(G2613,[1]OPERADORES!$A:$B,2,0)</f>
        <v>DANIEL</v>
      </c>
      <c r="I2613" t="s">
        <v>21</v>
      </c>
      <c r="J2613" t="s">
        <v>558</v>
      </c>
      <c r="K2613" t="s">
        <v>559</v>
      </c>
      <c r="L2613">
        <v>84565</v>
      </c>
      <c r="M2613" t="s">
        <v>236</v>
      </c>
      <c r="O2613" t="s">
        <v>11</v>
      </c>
      <c r="P2613">
        <v>5102</v>
      </c>
      <c r="Q2613">
        <v>3</v>
      </c>
      <c r="R2613">
        <v>9.7799999999999994</v>
      </c>
      <c r="S2613">
        <v>29.34</v>
      </c>
      <c r="T2613">
        <v>21.03</v>
      </c>
      <c r="U2613">
        <v>28.32</v>
      </c>
      <c r="V2613" t="str">
        <f>VLOOKUP(L2613,'[2]tabela de preços'!$A:$D,4,0)</f>
        <v>BRASILUX</v>
      </c>
      <c r="W2613" t="str">
        <f>VLOOKUP(L2613,'[2]tabela de preços'!$A:$F,6,0)</f>
        <v>PRETO FOSCO VINÍLICO</v>
      </c>
      <c r="X2613" t="str">
        <f>VLOOKUP(L2613,'[2]tabela de preços'!$A:$G,7,0)</f>
        <v>AUTOMOTIVO</v>
      </c>
    </row>
    <row r="2614" spans="1:24" x14ac:dyDescent="0.3">
      <c r="A2614" t="s">
        <v>555</v>
      </c>
      <c r="C2614" t="s">
        <v>2598</v>
      </c>
      <c r="D2614" s="1">
        <v>46058</v>
      </c>
      <c r="E2614" t="s">
        <v>2599</v>
      </c>
      <c r="F2614">
        <v>9</v>
      </c>
      <c r="G2614">
        <v>236</v>
      </c>
      <c r="H2614" t="str">
        <f>VLOOKUP(G2614,[1]OPERADORES!$A:$B,2,0)</f>
        <v>DANIEL</v>
      </c>
      <c r="I2614" t="s">
        <v>21</v>
      </c>
      <c r="J2614" t="s">
        <v>558</v>
      </c>
      <c r="K2614" t="s">
        <v>559</v>
      </c>
      <c r="L2614">
        <v>23425</v>
      </c>
      <c r="M2614" t="s">
        <v>2544</v>
      </c>
      <c r="O2614" t="s">
        <v>11</v>
      </c>
      <c r="P2614">
        <v>5102</v>
      </c>
      <c r="Q2614">
        <v>1</v>
      </c>
      <c r="R2614">
        <v>17.760000000000002</v>
      </c>
      <c r="S2614">
        <v>17.760000000000002</v>
      </c>
      <c r="T2614">
        <v>13.48</v>
      </c>
      <c r="U2614">
        <v>24.1</v>
      </c>
      <c r="V2614" t="str">
        <f>VLOOKUP(L2614,'[2]tabela de preços'!$A:$D,4,0)</f>
        <v>NORTON</v>
      </c>
      <c r="W2614" t="str">
        <f>VLOOKUP(L2614,'[2]tabela de preços'!$A:$F,6,0)</f>
        <v xml:space="preserve">OUTROS DISCOS </v>
      </c>
      <c r="X2614" t="str">
        <f>VLOOKUP(L2614,'[2]tabela de preços'!$A:$G,7,0)</f>
        <v>AUTOMOTIVO</v>
      </c>
    </row>
    <row r="2615" spans="1:24" x14ac:dyDescent="0.3">
      <c r="A2615" t="s">
        <v>555</v>
      </c>
      <c r="C2615" t="s">
        <v>2598</v>
      </c>
      <c r="D2615" s="1">
        <v>46058</v>
      </c>
      <c r="E2615" t="s">
        <v>2599</v>
      </c>
      <c r="F2615">
        <v>9</v>
      </c>
      <c r="G2615">
        <v>236</v>
      </c>
      <c r="H2615" t="str">
        <f>VLOOKUP(G2615,[1]OPERADORES!$A:$B,2,0)</f>
        <v>DANIEL</v>
      </c>
      <c r="I2615" t="s">
        <v>21</v>
      </c>
      <c r="J2615" t="s">
        <v>558</v>
      </c>
      <c r="K2615" t="s">
        <v>559</v>
      </c>
      <c r="L2615">
        <v>84042</v>
      </c>
      <c r="M2615" t="s">
        <v>2600</v>
      </c>
      <c r="O2615" t="s">
        <v>11</v>
      </c>
      <c r="P2615">
        <v>5102</v>
      </c>
      <c r="Q2615">
        <v>1</v>
      </c>
      <c r="R2615">
        <v>13.26</v>
      </c>
      <c r="S2615">
        <v>13.26</v>
      </c>
      <c r="T2615">
        <v>9.7200000000000006</v>
      </c>
      <c r="U2615">
        <v>26.7</v>
      </c>
      <c r="V2615" t="str">
        <f>VLOOKUP(L2615,'[2]tabela de preços'!$A:$D,4,0)</f>
        <v>BRASILUX</v>
      </c>
      <c r="W2615" t="str">
        <f>VLOOKUP(L2615,'[2]tabela de preços'!$A:$F,6,0)</f>
        <v>FERRUGEM</v>
      </c>
      <c r="X2615" t="str">
        <f>VLOOKUP(L2615,'[2]tabela de preços'!$A:$G,7,0)</f>
        <v>AUTOMOTIVO</v>
      </c>
    </row>
    <row r="2616" spans="1:24" x14ac:dyDescent="0.3">
      <c r="A2616" t="s">
        <v>555</v>
      </c>
      <c r="C2616" t="s">
        <v>2598</v>
      </c>
      <c r="D2616" s="1">
        <v>46058</v>
      </c>
      <c r="E2616" t="s">
        <v>2599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558</v>
      </c>
      <c r="K2616" t="s">
        <v>559</v>
      </c>
      <c r="L2616">
        <v>84318</v>
      </c>
      <c r="M2616" t="s">
        <v>2601</v>
      </c>
      <c r="O2616" t="s">
        <v>11</v>
      </c>
      <c r="P2616">
        <v>5403</v>
      </c>
      <c r="Q2616">
        <v>2</v>
      </c>
      <c r="R2616">
        <v>59.38</v>
      </c>
      <c r="S2616">
        <v>118.76</v>
      </c>
      <c r="T2616">
        <v>90.14</v>
      </c>
      <c r="U2616">
        <v>24.1</v>
      </c>
      <c r="V2616" t="str">
        <f>VLOOKUP(L2616,'[2]tabela de preços'!$A:$D,4,0)</f>
        <v>BRASILUX</v>
      </c>
      <c r="W2616" t="str">
        <f>VLOOKUP(L2616,'[2]tabela de preços'!$A:$F,6,0)</f>
        <v>IMPERMEABILIZANTES</v>
      </c>
      <c r="X2616" t="str">
        <f>VLOOKUP(L2616,'[2]tabela de preços'!$A:$G,7,0)</f>
        <v>IMOBILIÁRIO</v>
      </c>
    </row>
    <row r="2617" spans="1:24" x14ac:dyDescent="0.3">
      <c r="A2617" t="s">
        <v>555</v>
      </c>
      <c r="C2617" t="s">
        <v>2598</v>
      </c>
      <c r="D2617" s="1">
        <v>46058</v>
      </c>
      <c r="E2617" t="s">
        <v>2599</v>
      </c>
      <c r="F2617">
        <v>9</v>
      </c>
      <c r="G2617">
        <v>236</v>
      </c>
      <c r="H2617" t="str">
        <f>VLOOKUP(G2617,[1]OPERADORES!$A:$B,2,0)</f>
        <v>DANIEL</v>
      </c>
      <c r="I2617" t="s">
        <v>21</v>
      </c>
      <c r="J2617" t="s">
        <v>558</v>
      </c>
      <c r="K2617" t="s">
        <v>559</v>
      </c>
      <c r="L2617">
        <v>84424</v>
      </c>
      <c r="M2617" t="s">
        <v>567</v>
      </c>
      <c r="O2617" t="s">
        <v>11</v>
      </c>
      <c r="P2617">
        <v>5102</v>
      </c>
      <c r="Q2617">
        <v>1</v>
      </c>
      <c r="R2617">
        <v>14.3</v>
      </c>
      <c r="S2617">
        <v>14.3</v>
      </c>
      <c r="T2617">
        <v>10.85</v>
      </c>
      <c r="U2617">
        <v>24.13</v>
      </c>
      <c r="V2617" t="str">
        <f>VLOOKUP(L2617,'[2]tabela de preços'!$A:$D,4,0)</f>
        <v>ATLAS</v>
      </c>
      <c r="W2617" t="str">
        <f>VLOOKUP(L2617,'[2]tabela de preços'!$A:$F,6,0)</f>
        <v>ROLOS / TRINCHAS / PINCÉIS / ESPÁTULAS</v>
      </c>
      <c r="X2617" t="str">
        <f>VLOOKUP(L2617,'[2]tabela de preços'!$A:$G,7,0)</f>
        <v>IMOBILIÁRIO</v>
      </c>
    </row>
    <row r="2618" spans="1:24" x14ac:dyDescent="0.3">
      <c r="A2618" t="s">
        <v>555</v>
      </c>
      <c r="C2618" t="s">
        <v>2598</v>
      </c>
      <c r="D2618" s="1">
        <v>46058</v>
      </c>
      <c r="E2618" t="s">
        <v>2599</v>
      </c>
      <c r="F2618">
        <v>9</v>
      </c>
      <c r="G2618">
        <v>236</v>
      </c>
      <c r="H2618" t="str">
        <f>VLOOKUP(G2618,[1]OPERADORES!$A:$B,2,0)</f>
        <v>DANIEL</v>
      </c>
      <c r="I2618" t="s">
        <v>21</v>
      </c>
      <c r="J2618" t="s">
        <v>558</v>
      </c>
      <c r="K2618" t="s">
        <v>559</v>
      </c>
      <c r="L2618">
        <v>84422</v>
      </c>
      <c r="M2618" t="s">
        <v>569</v>
      </c>
      <c r="O2618" t="s">
        <v>11</v>
      </c>
      <c r="P2618">
        <v>5102</v>
      </c>
      <c r="Q2618">
        <v>1</v>
      </c>
      <c r="R2618">
        <v>9.32</v>
      </c>
      <c r="S2618">
        <v>9.32</v>
      </c>
      <c r="T2618">
        <v>7.08</v>
      </c>
      <c r="U2618">
        <v>24.03</v>
      </c>
      <c r="V2618" t="str">
        <f>VLOOKUP(L2618,'[2]tabela de preços'!$A:$D,4,0)</f>
        <v>ATLAS</v>
      </c>
      <c r="W2618" t="str">
        <f>VLOOKUP(L2618,'[2]tabela de preços'!$A:$F,6,0)</f>
        <v>ROLOS / TRINCHAS / PINCÉIS / ESPÁTULAS</v>
      </c>
      <c r="X2618" t="str">
        <f>VLOOKUP(L2618,'[2]tabela de preços'!$A:$G,7,0)</f>
        <v>IMOBILIÁRIO</v>
      </c>
    </row>
    <row r="2619" spans="1:24" x14ac:dyDescent="0.3">
      <c r="A2619" t="s">
        <v>555</v>
      </c>
      <c r="C2619" t="s">
        <v>2598</v>
      </c>
      <c r="D2619" s="1">
        <v>46058</v>
      </c>
      <c r="E2619" t="s">
        <v>2599</v>
      </c>
      <c r="F2619">
        <v>9</v>
      </c>
      <c r="G2619">
        <v>236</v>
      </c>
      <c r="H2619" t="str">
        <f>VLOOKUP(G2619,[1]OPERADORES!$A:$B,2,0)</f>
        <v>DANIEL</v>
      </c>
      <c r="I2619" t="s">
        <v>21</v>
      </c>
      <c r="J2619" t="s">
        <v>558</v>
      </c>
      <c r="K2619" t="s">
        <v>559</v>
      </c>
      <c r="L2619">
        <v>85363</v>
      </c>
      <c r="M2619" t="s">
        <v>237</v>
      </c>
      <c r="O2619" t="s">
        <v>11</v>
      </c>
      <c r="P2619">
        <v>5102</v>
      </c>
      <c r="Q2619">
        <v>3</v>
      </c>
      <c r="R2619">
        <v>25.36</v>
      </c>
      <c r="S2619">
        <v>76.08</v>
      </c>
      <c r="T2619">
        <v>54.54</v>
      </c>
      <c r="U2619">
        <v>28.31</v>
      </c>
      <c r="V2619" t="str">
        <f>VLOOKUP(L2619,'[2]tabela de preços'!$A:$D,4,0)</f>
        <v>BRASILUX</v>
      </c>
      <c r="W2619" t="str">
        <f>VLOOKUP(L2619,'[2]tabela de preços'!$A:$F,6,0)</f>
        <v>PRETO FOSCO VINÍLICO</v>
      </c>
      <c r="X2619" t="str">
        <f>VLOOKUP(L2619,'[2]tabela de preços'!$A:$G,7,0)</f>
        <v>AUTOMOTIVO</v>
      </c>
    </row>
    <row r="2620" spans="1:24" x14ac:dyDescent="0.3">
      <c r="A2620" t="s">
        <v>555</v>
      </c>
      <c r="C2620" t="s">
        <v>2602</v>
      </c>
      <c r="D2620" s="1">
        <v>46058</v>
      </c>
      <c r="F2620">
        <v>9</v>
      </c>
      <c r="G2620">
        <v>236</v>
      </c>
      <c r="H2620" t="str">
        <f>VLOOKUP(G2620,[1]OPERADORES!$A:$B,2,0)</f>
        <v>DANIEL</v>
      </c>
      <c r="I2620" t="s">
        <v>21</v>
      </c>
      <c r="J2620" t="s">
        <v>558</v>
      </c>
      <c r="K2620" t="s">
        <v>559</v>
      </c>
      <c r="L2620">
        <v>84318</v>
      </c>
      <c r="M2620" t="s">
        <v>2601</v>
      </c>
      <c r="N2620" t="s">
        <v>2603</v>
      </c>
      <c r="O2620" t="s">
        <v>11</v>
      </c>
      <c r="P2620">
        <v>1411</v>
      </c>
      <c r="Q2620">
        <v>-1</v>
      </c>
      <c r="R2620">
        <v>59.38</v>
      </c>
      <c r="S2620">
        <v>-59.38</v>
      </c>
      <c r="T2620">
        <v>-45.07</v>
      </c>
      <c r="U2620">
        <v>24.1</v>
      </c>
      <c r="V2620" t="str">
        <f>VLOOKUP(L2620,'[2]tabela de preços'!$A:$D,4,0)</f>
        <v>BRASILUX</v>
      </c>
      <c r="W2620" t="str">
        <f>VLOOKUP(L2620,'[2]tabela de preços'!$A:$F,6,0)</f>
        <v>IMPERMEABILIZANTES</v>
      </c>
      <c r="X2620" t="str">
        <f>VLOOKUP(L2620,'[2]tabela de preços'!$A:$G,7,0)</f>
        <v>IMOBILIÁRIO</v>
      </c>
    </row>
    <row r="2621" spans="1:24" x14ac:dyDescent="0.3">
      <c r="A2621" t="s">
        <v>610</v>
      </c>
      <c r="C2621" t="s">
        <v>3071</v>
      </c>
      <c r="D2621" s="1">
        <v>46071</v>
      </c>
      <c r="E2621" t="s">
        <v>3072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613</v>
      </c>
      <c r="J2621" t="s">
        <v>614</v>
      </c>
      <c r="K2621" t="s">
        <v>615</v>
      </c>
      <c r="L2621">
        <v>10316</v>
      </c>
      <c r="M2621" t="s">
        <v>582</v>
      </c>
      <c r="O2621" t="s">
        <v>11</v>
      </c>
      <c r="P2621">
        <v>5102</v>
      </c>
      <c r="Q2621">
        <v>24</v>
      </c>
      <c r="R2621">
        <v>13.89</v>
      </c>
      <c r="S2621">
        <v>333.36</v>
      </c>
      <c r="T2621">
        <v>279.12</v>
      </c>
      <c r="U2621">
        <v>16.27</v>
      </c>
      <c r="V2621" t="str">
        <f>VLOOKUP(L2621,'[2]tabela de preços'!$A:$D,4,0)</f>
        <v>ANJO</v>
      </c>
      <c r="W2621" t="str">
        <f>VLOOKUP(L2621,'[2]tabela de preços'!$A:$F,6,0)</f>
        <v xml:space="preserve">COLA  PLÁSTICA </v>
      </c>
      <c r="X2621" t="str">
        <f>VLOOKUP(L2621,'[2]tabela de preços'!$A:$G,7,0)</f>
        <v>AUTOMOTIVO</v>
      </c>
    </row>
    <row r="2622" spans="1:24" x14ac:dyDescent="0.3">
      <c r="A2622" t="s">
        <v>610</v>
      </c>
      <c r="C2622" t="s">
        <v>3071</v>
      </c>
      <c r="D2622" s="1">
        <v>46071</v>
      </c>
      <c r="E2622" t="s">
        <v>3072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613</v>
      </c>
      <c r="J2622" t="s">
        <v>614</v>
      </c>
      <c r="K2622" t="s">
        <v>615</v>
      </c>
      <c r="L2622">
        <v>23076</v>
      </c>
      <c r="M2622" t="s">
        <v>97</v>
      </c>
      <c r="O2622" t="s">
        <v>11</v>
      </c>
      <c r="P2622">
        <v>5403</v>
      </c>
      <c r="Q2622">
        <v>6</v>
      </c>
      <c r="R2622">
        <v>34.89</v>
      </c>
      <c r="S2622">
        <v>209.34</v>
      </c>
      <c r="T2622">
        <v>159.18</v>
      </c>
      <c r="U2622">
        <v>23.96</v>
      </c>
      <c r="V2622" t="str">
        <f>VLOOKUP(L2622,'[2]tabela de preços'!$A:$D,4,0)</f>
        <v>WANDA</v>
      </c>
      <c r="W2622" t="str">
        <f>VLOOKUP(L2622,'[2]tabela de preços'!$A:$F,6,0)</f>
        <v>PRIMER AUTOMOTIVO</v>
      </c>
      <c r="X2622" t="str">
        <f>VLOOKUP(L2622,'[2]tabela de preços'!$A:$G,7,0)</f>
        <v>AUTOMOTIVO</v>
      </c>
    </row>
    <row r="2623" spans="1:24" x14ac:dyDescent="0.3">
      <c r="A2623" t="s">
        <v>610</v>
      </c>
      <c r="C2623" t="s">
        <v>3071</v>
      </c>
      <c r="D2623" s="1">
        <v>46071</v>
      </c>
      <c r="E2623" t="s">
        <v>3072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613</v>
      </c>
      <c r="J2623" t="s">
        <v>614</v>
      </c>
      <c r="K2623" t="s">
        <v>615</v>
      </c>
      <c r="L2623">
        <v>15</v>
      </c>
      <c r="M2623" t="s">
        <v>205</v>
      </c>
      <c r="O2623" t="s">
        <v>11</v>
      </c>
      <c r="P2623">
        <v>5102</v>
      </c>
      <c r="Q2623">
        <v>50</v>
      </c>
      <c r="R2623">
        <v>5.79</v>
      </c>
      <c r="S2623">
        <v>289.5</v>
      </c>
      <c r="T2623">
        <v>208</v>
      </c>
      <c r="U2623">
        <v>28.15</v>
      </c>
      <c r="V2623" t="str">
        <f>VLOOKUP(L2623,'[2]tabela de preços'!$A:$D,4,0)</f>
        <v>3M</v>
      </c>
      <c r="W2623" t="str">
        <f>VLOOKUP(L2623,'[2]tabela de preços'!$A:$F,6,0)</f>
        <v>LIXA DÁGUA</v>
      </c>
      <c r="X2623" t="str">
        <f>VLOOKUP(L2623,'[2]tabela de preços'!$A:$G,7,0)</f>
        <v>AUTOMOTIVO</v>
      </c>
    </row>
    <row r="2624" spans="1:24" x14ac:dyDescent="0.3">
      <c r="A2624" t="s">
        <v>610</v>
      </c>
      <c r="C2624" t="s">
        <v>3071</v>
      </c>
      <c r="D2624" s="1">
        <v>46071</v>
      </c>
      <c r="E2624" t="s">
        <v>3072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613</v>
      </c>
      <c r="J2624" t="s">
        <v>614</v>
      </c>
      <c r="K2624" t="s">
        <v>615</v>
      </c>
      <c r="L2624">
        <v>23267</v>
      </c>
      <c r="M2624" t="s">
        <v>164</v>
      </c>
      <c r="O2624" t="s">
        <v>11</v>
      </c>
      <c r="P2624">
        <v>5102</v>
      </c>
      <c r="Q2624">
        <v>36</v>
      </c>
      <c r="R2624">
        <v>22.89</v>
      </c>
      <c r="S2624">
        <v>824.04</v>
      </c>
      <c r="T2624">
        <v>703.44</v>
      </c>
      <c r="U2624">
        <v>14.64</v>
      </c>
      <c r="V2624" t="str">
        <f>VLOOKUP(L2624,'[2]tabela de preços'!$A:$D,4,0)</f>
        <v>ANJO</v>
      </c>
      <c r="W2624" t="str">
        <f>VLOOKUP(L2624,'[2]tabela de preços'!$A:$F,6,0)</f>
        <v>MASSA POLIÉSTER</v>
      </c>
      <c r="X2624" t="str">
        <f>VLOOKUP(L2624,'[2]tabela de preços'!$A:$G,7,0)</f>
        <v>AUTOMOTIVO</v>
      </c>
    </row>
    <row r="2625" spans="1:24" x14ac:dyDescent="0.3">
      <c r="A2625" t="s">
        <v>2876</v>
      </c>
      <c r="C2625" t="s">
        <v>2877</v>
      </c>
      <c r="D2625" s="1">
        <v>46063</v>
      </c>
      <c r="E2625" t="s">
        <v>2878</v>
      </c>
      <c r="F2625">
        <v>9</v>
      </c>
      <c r="G2625">
        <v>197</v>
      </c>
      <c r="H2625" t="str">
        <f>VLOOKUP(G2625,[1]OPERADORES!$A:$B,2,0)</f>
        <v xml:space="preserve">POLIANA LORRANE DE AMORIM </v>
      </c>
      <c r="I2625" t="s">
        <v>2879</v>
      </c>
      <c r="J2625" t="s">
        <v>2880</v>
      </c>
      <c r="K2625" t="s">
        <v>2881</v>
      </c>
      <c r="L2625">
        <v>85246</v>
      </c>
      <c r="M2625" t="s">
        <v>1036</v>
      </c>
      <c r="O2625" t="s">
        <v>11</v>
      </c>
      <c r="P2625">
        <v>5403</v>
      </c>
      <c r="Q2625">
        <v>7</v>
      </c>
      <c r="R2625">
        <v>126.29</v>
      </c>
      <c r="S2625">
        <v>884.03</v>
      </c>
      <c r="T2625">
        <v>648.13</v>
      </c>
      <c r="U2625">
        <v>26.68</v>
      </c>
      <c r="V2625" t="str">
        <f>VLOOKUP(L2625,'[2]tabela de preços'!$A:$D,4,0)</f>
        <v>BRASILUX</v>
      </c>
      <c r="W2625" t="str">
        <f>VLOOKUP(L2625,'[2]tabela de preços'!$A:$F,6,0)</f>
        <v>TINTAS LACA</v>
      </c>
      <c r="X2625" t="str">
        <f>VLOOKUP(L2625,'[2]tabela de preços'!$A:$G,7,0)</f>
        <v>AUTOMOTIVO</v>
      </c>
    </row>
    <row r="2626" spans="1:24" x14ac:dyDescent="0.3">
      <c r="A2626" t="s">
        <v>2876</v>
      </c>
      <c r="C2626" t="s">
        <v>2877</v>
      </c>
      <c r="D2626" s="1">
        <v>46063</v>
      </c>
      <c r="E2626" t="s">
        <v>2882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2879</v>
      </c>
      <c r="J2626" t="s">
        <v>2880</v>
      </c>
      <c r="K2626" t="s">
        <v>2881</v>
      </c>
      <c r="L2626">
        <v>21077</v>
      </c>
      <c r="M2626" t="s">
        <v>207</v>
      </c>
      <c r="O2626" t="s">
        <v>11</v>
      </c>
      <c r="P2626">
        <v>5102</v>
      </c>
      <c r="Q2626">
        <v>8</v>
      </c>
      <c r="R2626">
        <v>46.26</v>
      </c>
      <c r="S2626">
        <v>370.08</v>
      </c>
      <c r="T2626">
        <v>271.36</v>
      </c>
      <c r="U2626">
        <v>26.68</v>
      </c>
      <c r="V2626" t="str">
        <f>VLOOKUP(L2626,'[2]tabela de preços'!$A:$D,4,0)</f>
        <v>SHERWIN WILLIAMS</v>
      </c>
      <c r="W2626" t="str">
        <f>VLOOKUP(L2626,'[2]tabela de preços'!$A:$F,6,0)</f>
        <v>MASSA POLIÉSTER</v>
      </c>
      <c r="X2626" t="str">
        <f>VLOOKUP(L2626,'[2]tabela de preços'!$A:$G,7,0)</f>
        <v>AUTOMOTIVO</v>
      </c>
    </row>
    <row r="2627" spans="1:24" x14ac:dyDescent="0.3">
      <c r="A2627" t="s">
        <v>2876</v>
      </c>
      <c r="C2627" t="s">
        <v>3073</v>
      </c>
      <c r="D2627" s="1">
        <v>46065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2879</v>
      </c>
      <c r="J2627" t="s">
        <v>2880</v>
      </c>
      <c r="K2627" t="s">
        <v>2881</v>
      </c>
      <c r="L2627">
        <v>21077</v>
      </c>
      <c r="M2627" t="s">
        <v>207</v>
      </c>
      <c r="N2627" t="s">
        <v>3074</v>
      </c>
      <c r="O2627" t="s">
        <v>11</v>
      </c>
      <c r="P2627">
        <v>1202</v>
      </c>
      <c r="Q2627">
        <v>-8</v>
      </c>
      <c r="R2627">
        <v>46.26</v>
      </c>
      <c r="S2627">
        <v>-370.08</v>
      </c>
      <c r="T2627">
        <v>-271.36</v>
      </c>
      <c r="U2627">
        <v>26.68</v>
      </c>
      <c r="V2627" t="str">
        <f>VLOOKUP(L2627,'[2]tabela de preços'!$A:$D,4,0)</f>
        <v>SHERWIN WILLIAMS</v>
      </c>
      <c r="W2627" t="str">
        <f>VLOOKUP(L2627,'[2]tabela de preços'!$A:$F,6,0)</f>
        <v>MASSA POLIÉSTER</v>
      </c>
      <c r="X2627" t="str">
        <f>VLOOKUP(L2627,'[2]tabela de preços'!$A:$G,7,0)</f>
        <v>AUTOMOTIVO</v>
      </c>
    </row>
    <row r="2628" spans="1:24" x14ac:dyDescent="0.3">
      <c r="A2628" t="s">
        <v>2883</v>
      </c>
      <c r="C2628" t="s">
        <v>2884</v>
      </c>
      <c r="D2628" s="1">
        <v>46064</v>
      </c>
      <c r="E2628" t="s">
        <v>2885</v>
      </c>
      <c r="F2628">
        <v>9</v>
      </c>
      <c r="G2628">
        <v>236</v>
      </c>
      <c r="H2628" t="str">
        <f>VLOOKUP(G2628,[1]OPERADORES!$A:$B,2,0)</f>
        <v>DANIEL</v>
      </c>
      <c r="I2628" t="s">
        <v>21</v>
      </c>
      <c r="J2628" t="s">
        <v>2886</v>
      </c>
      <c r="K2628" t="s">
        <v>2887</v>
      </c>
      <c r="L2628">
        <v>84214</v>
      </c>
      <c r="M2628" t="s">
        <v>1485</v>
      </c>
      <c r="O2628" t="s">
        <v>11</v>
      </c>
      <c r="P2628">
        <v>5403</v>
      </c>
      <c r="Q2628">
        <v>1</v>
      </c>
      <c r="R2628">
        <v>242.61</v>
      </c>
      <c r="S2628">
        <v>242.61</v>
      </c>
      <c r="T2628">
        <v>184.14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2883</v>
      </c>
      <c r="C2629" t="s">
        <v>2884</v>
      </c>
      <c r="D2629" s="1">
        <v>46064</v>
      </c>
      <c r="E2629" t="s">
        <v>2885</v>
      </c>
      <c r="F2629">
        <v>9</v>
      </c>
      <c r="G2629">
        <v>236</v>
      </c>
      <c r="H2629" t="str">
        <f>VLOOKUP(G2629,[1]OPERADORES!$A:$B,2,0)</f>
        <v>DANIEL</v>
      </c>
      <c r="I2629" t="s">
        <v>21</v>
      </c>
      <c r="J2629" t="s">
        <v>2886</v>
      </c>
      <c r="K2629" t="s">
        <v>2887</v>
      </c>
      <c r="L2629">
        <v>84560</v>
      </c>
      <c r="M2629" t="s">
        <v>118</v>
      </c>
      <c r="O2629" t="s">
        <v>11</v>
      </c>
      <c r="P2629">
        <v>5102</v>
      </c>
      <c r="Q2629">
        <v>4</v>
      </c>
      <c r="R2629">
        <v>47.89</v>
      </c>
      <c r="S2629">
        <v>191.56</v>
      </c>
      <c r="T2629">
        <v>156.63999999999999</v>
      </c>
      <c r="U2629">
        <v>18.23</v>
      </c>
      <c r="V2629" t="str">
        <f>VLOOKUP(L2629,'[2]tabela de preços'!$A:$D,4,0)</f>
        <v>BRASILUX</v>
      </c>
      <c r="W2629" t="str">
        <f>VLOOKUP(L2629,'[2]tabela de preços'!$A:$F,6,0)</f>
        <v>THINNER DE LIMPEZA</v>
      </c>
      <c r="X2629" t="str">
        <f>VLOOKUP(L2629,'[2]tabela de preços'!$A:$G,7,0)</f>
        <v>THINNER</v>
      </c>
    </row>
    <row r="2630" spans="1:24" x14ac:dyDescent="0.3">
      <c r="A2630" t="s">
        <v>626</v>
      </c>
      <c r="B2630" t="s">
        <v>627</v>
      </c>
      <c r="C2630" t="s">
        <v>2425</v>
      </c>
      <c r="D2630" s="1">
        <v>46055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21</v>
      </c>
      <c r="J2630" t="s">
        <v>630</v>
      </c>
      <c r="K2630" t="s">
        <v>631</v>
      </c>
      <c r="L2630">
        <v>85636</v>
      </c>
      <c r="M2630" t="s">
        <v>696</v>
      </c>
      <c r="N2630" t="s">
        <v>2426</v>
      </c>
      <c r="O2630" t="s">
        <v>11</v>
      </c>
      <c r="P2630">
        <v>1202</v>
      </c>
      <c r="Q2630">
        <v>-12</v>
      </c>
      <c r="R2630">
        <v>7.36</v>
      </c>
      <c r="S2630">
        <v>-88.32</v>
      </c>
      <c r="T2630">
        <v>-67.08</v>
      </c>
      <c r="U2630">
        <v>24.05</v>
      </c>
      <c r="V2630" t="str">
        <f>VLOOKUP(L2630,'[2]tabela de preços'!$A:$D,4,0)</f>
        <v>UNIPEGA</v>
      </c>
      <c r="W2630" t="str">
        <f>VLOOKUP(L2630,'[2]tabela de preços'!$A:$F,6,0)</f>
        <v>DESENGRIPANTE</v>
      </c>
      <c r="X2630" t="str">
        <f>VLOOKUP(L2630,'[2]tabela de preços'!$A:$G,7,0)</f>
        <v>AUTOMOTIVO</v>
      </c>
    </row>
    <row r="2631" spans="1:24" x14ac:dyDescent="0.3">
      <c r="A2631" t="s">
        <v>626</v>
      </c>
      <c r="B2631" t="s">
        <v>627</v>
      </c>
      <c r="C2631" t="s">
        <v>2427</v>
      </c>
      <c r="D2631" s="1">
        <v>46055</v>
      </c>
      <c r="E2631" t="s">
        <v>2428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21</v>
      </c>
      <c r="J2631" t="s">
        <v>630</v>
      </c>
      <c r="K2631" t="s">
        <v>631</v>
      </c>
      <c r="L2631">
        <v>23716</v>
      </c>
      <c r="M2631" t="s">
        <v>220</v>
      </c>
      <c r="O2631" t="s">
        <v>11</v>
      </c>
      <c r="P2631">
        <v>5102</v>
      </c>
      <c r="Q2631">
        <v>2</v>
      </c>
      <c r="R2631">
        <v>40.71</v>
      </c>
      <c r="S2631">
        <v>81.42</v>
      </c>
      <c r="T2631">
        <v>61.8</v>
      </c>
      <c r="U2631">
        <v>24.1</v>
      </c>
      <c r="V2631" t="str">
        <f>VLOOKUP(L2631,'[2]tabela de preços'!$A:$D,4,0)</f>
        <v>NEW PAD</v>
      </c>
      <c r="W2631" t="str">
        <f>VLOOKUP(L2631,'[2]tabela de preços'!$A:$F,6,0)</f>
        <v>BOINAS PARA POLIMENTO</v>
      </c>
      <c r="X2631" t="str">
        <f>VLOOKUP(L2631,'[2]tabela de preços'!$A:$G,7,0)</f>
        <v>AUTOMOTIVO</v>
      </c>
    </row>
    <row r="2632" spans="1:24" x14ac:dyDescent="0.3">
      <c r="A2632" t="s">
        <v>626</v>
      </c>
      <c r="B2632" t="s">
        <v>627</v>
      </c>
      <c r="C2632" t="s">
        <v>2427</v>
      </c>
      <c r="D2632" s="1">
        <v>46055</v>
      </c>
      <c r="E2632" t="s">
        <v>2428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21</v>
      </c>
      <c r="J2632" t="s">
        <v>630</v>
      </c>
      <c r="K2632" t="s">
        <v>631</v>
      </c>
      <c r="L2632">
        <v>86866</v>
      </c>
      <c r="M2632" t="s">
        <v>2071</v>
      </c>
      <c r="O2632" t="s">
        <v>11</v>
      </c>
      <c r="P2632">
        <v>5403</v>
      </c>
      <c r="Q2632">
        <v>6</v>
      </c>
      <c r="R2632">
        <v>4.4400000000000004</v>
      </c>
      <c r="S2632">
        <v>26.64</v>
      </c>
      <c r="T2632">
        <v>20.7</v>
      </c>
      <c r="U2632">
        <v>22.3</v>
      </c>
      <c r="V2632" t="str">
        <f>VLOOKUP(L2632,'[2]tabela de preços'!$A:$D,4,0)</f>
        <v>SHERWIN WILLIAMS</v>
      </c>
      <c r="W2632" t="str">
        <f>VLOOKUP(L2632,'[2]tabela de preços'!$A:$F,6,0)</f>
        <v>CORANTES</v>
      </c>
      <c r="X2632" t="str">
        <f>VLOOKUP(L2632,'[2]tabela de preços'!$A:$G,7,0)</f>
        <v>IMOBILIÁRIO</v>
      </c>
    </row>
    <row r="2633" spans="1:24" x14ac:dyDescent="0.3">
      <c r="A2633" t="s">
        <v>626</v>
      </c>
      <c r="B2633" t="s">
        <v>627</v>
      </c>
      <c r="C2633" t="s">
        <v>2427</v>
      </c>
      <c r="D2633" s="1">
        <v>46055</v>
      </c>
      <c r="E2633" t="s">
        <v>2428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21</v>
      </c>
      <c r="J2633" t="s">
        <v>630</v>
      </c>
      <c r="K2633" t="s">
        <v>631</v>
      </c>
      <c r="L2633">
        <v>23110</v>
      </c>
      <c r="M2633" t="s">
        <v>409</v>
      </c>
      <c r="O2633" t="s">
        <v>11</v>
      </c>
      <c r="P2633">
        <v>5102</v>
      </c>
      <c r="Q2633">
        <v>50</v>
      </c>
      <c r="R2633">
        <v>2.35</v>
      </c>
      <c r="S2633">
        <v>117.5</v>
      </c>
      <c r="T2633">
        <v>92.5</v>
      </c>
      <c r="U2633">
        <v>21.28</v>
      </c>
      <c r="V2633" t="str">
        <f>VLOOKUP(L2633,'[2]tabela de preços'!$A:$D,4,0)</f>
        <v>3M</v>
      </c>
      <c r="W2633" t="str">
        <f>VLOOKUP(L2633,'[2]tabela de preços'!$A:$F,6,0)</f>
        <v xml:space="preserve">DISCOS / LIXAS / ABRASIVOS </v>
      </c>
      <c r="X2633" t="str">
        <f>VLOOKUP(L2633,'[2]tabela de preços'!$A:$G,7,0)</f>
        <v>AUTOMOTIVO</v>
      </c>
    </row>
    <row r="2634" spans="1:24" x14ac:dyDescent="0.3">
      <c r="A2634" t="s">
        <v>626</v>
      </c>
      <c r="B2634" t="s">
        <v>627</v>
      </c>
      <c r="C2634" t="s">
        <v>2427</v>
      </c>
      <c r="D2634" s="1">
        <v>46055</v>
      </c>
      <c r="E2634" t="s">
        <v>2428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21</v>
      </c>
      <c r="J2634" t="s">
        <v>630</v>
      </c>
      <c r="K2634" t="s">
        <v>631</v>
      </c>
      <c r="L2634">
        <v>23106</v>
      </c>
      <c r="M2634" t="s">
        <v>403</v>
      </c>
      <c r="O2634" t="s">
        <v>11</v>
      </c>
      <c r="P2634">
        <v>5102</v>
      </c>
      <c r="Q2634">
        <v>50</v>
      </c>
      <c r="R2634">
        <v>2.35</v>
      </c>
      <c r="S2634">
        <v>117.5</v>
      </c>
      <c r="T2634">
        <v>96</v>
      </c>
      <c r="U2634">
        <v>18.3</v>
      </c>
      <c r="V2634" t="str">
        <f>VLOOKUP(L2634,'[2]tabela de preços'!$A:$D,4,0)</f>
        <v>3M</v>
      </c>
      <c r="W2634" t="str">
        <f>VLOOKUP(L2634,'[2]tabela de preços'!$A:$F,6,0)</f>
        <v xml:space="preserve">DISCOS / LIXAS / ABRASIVOS </v>
      </c>
      <c r="X2634" t="str">
        <f>VLOOKUP(L2634,'[2]tabela de preços'!$A:$G,7,0)</f>
        <v>AUTOMOTIVO</v>
      </c>
    </row>
    <row r="2635" spans="1:24" x14ac:dyDescent="0.3">
      <c r="A2635" t="s">
        <v>626</v>
      </c>
      <c r="B2635" t="s">
        <v>627</v>
      </c>
      <c r="C2635" t="s">
        <v>2427</v>
      </c>
      <c r="D2635" s="1">
        <v>46055</v>
      </c>
      <c r="E2635" t="s">
        <v>2428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21</v>
      </c>
      <c r="J2635" t="s">
        <v>630</v>
      </c>
      <c r="K2635" t="s">
        <v>631</v>
      </c>
      <c r="L2635">
        <v>20384</v>
      </c>
      <c r="M2635" t="s">
        <v>648</v>
      </c>
      <c r="O2635" t="s">
        <v>11</v>
      </c>
      <c r="P2635">
        <v>5403</v>
      </c>
      <c r="Q2635">
        <v>1</v>
      </c>
      <c r="R2635">
        <v>32.159999999999997</v>
      </c>
      <c r="S2635">
        <v>32.159999999999997</v>
      </c>
      <c r="T2635">
        <v>22.93</v>
      </c>
      <c r="U2635">
        <v>28.7</v>
      </c>
      <c r="V2635" t="str">
        <f>VLOOKUP(L2635,'[2]tabela de preços'!$A:$D,4,0)</f>
        <v>SHERWIN WILLIAMS</v>
      </c>
      <c r="W2635" t="str">
        <f>VLOOKUP(L2635,'[2]tabela de preços'!$A:$F,6,0)</f>
        <v>TINTAS PU</v>
      </c>
      <c r="X2635" t="str">
        <f>VLOOKUP(L2635,'[2]tabela de preços'!$A:$G,7,0)</f>
        <v>AUTOMOTIVO</v>
      </c>
    </row>
    <row r="2636" spans="1:24" x14ac:dyDescent="0.3">
      <c r="A2636" t="s">
        <v>626</v>
      </c>
      <c r="B2636" t="s">
        <v>627</v>
      </c>
      <c r="C2636" t="s">
        <v>2427</v>
      </c>
      <c r="D2636" s="1">
        <v>46055</v>
      </c>
      <c r="E2636" t="s">
        <v>2428</v>
      </c>
      <c r="F2636">
        <v>9</v>
      </c>
      <c r="G2636">
        <v>174</v>
      </c>
      <c r="H2636" t="str">
        <f>VLOOKUP(G2636,[1]OPERADORES!$A:$B,2,0)</f>
        <v>MIRIÃ LOBATO RODRIGUES</v>
      </c>
      <c r="I2636" t="s">
        <v>21</v>
      </c>
      <c r="J2636" t="s">
        <v>630</v>
      </c>
      <c r="K2636" t="s">
        <v>631</v>
      </c>
      <c r="L2636">
        <v>20817</v>
      </c>
      <c r="M2636" t="s">
        <v>153</v>
      </c>
      <c r="O2636" t="s">
        <v>11</v>
      </c>
      <c r="P2636">
        <v>5102</v>
      </c>
      <c r="Q2636">
        <v>2</v>
      </c>
      <c r="R2636">
        <v>22.89</v>
      </c>
      <c r="S2636">
        <v>45.78</v>
      </c>
      <c r="T2636">
        <v>37.24</v>
      </c>
      <c r="U2636">
        <v>18.649999999999999</v>
      </c>
      <c r="V2636" t="str">
        <f>VLOOKUP(L2636,'[2]tabela de preços'!$A:$D,4,0)</f>
        <v>AUTO AMERICA</v>
      </c>
      <c r="W2636" t="str">
        <f>VLOOKUP(L2636,'[2]tabela de preços'!$A:$F,6,0)</f>
        <v>MASSA DE POLIR</v>
      </c>
      <c r="X2636" t="str">
        <f>VLOOKUP(L2636,'[2]tabela de preços'!$A:$G,7,0)</f>
        <v>AUTOMOTIVO</v>
      </c>
    </row>
    <row r="2637" spans="1:24" x14ac:dyDescent="0.3">
      <c r="A2637" t="s">
        <v>626</v>
      </c>
      <c r="B2637" t="s">
        <v>627</v>
      </c>
      <c r="C2637" t="s">
        <v>2427</v>
      </c>
      <c r="D2637" s="1">
        <v>46055</v>
      </c>
      <c r="E2637" t="s">
        <v>2428</v>
      </c>
      <c r="F2637">
        <v>9</v>
      </c>
      <c r="G2637">
        <v>174</v>
      </c>
      <c r="H2637" t="str">
        <f>VLOOKUP(G2637,[1]OPERADORES!$A:$B,2,0)</f>
        <v>MIRIÃ LOBATO RODRIGUES</v>
      </c>
      <c r="I2637" t="s">
        <v>21</v>
      </c>
      <c r="J2637" t="s">
        <v>630</v>
      </c>
      <c r="K2637" t="s">
        <v>631</v>
      </c>
      <c r="L2637">
        <v>85189</v>
      </c>
      <c r="M2637" t="s">
        <v>197</v>
      </c>
      <c r="O2637" t="s">
        <v>11</v>
      </c>
      <c r="P2637">
        <v>5102</v>
      </c>
      <c r="Q2637">
        <v>1</v>
      </c>
      <c r="R2637">
        <v>177.9</v>
      </c>
      <c r="S2637">
        <v>177.9</v>
      </c>
      <c r="T2637">
        <v>138.15</v>
      </c>
      <c r="U2637">
        <v>22.34</v>
      </c>
      <c r="V2637" t="str">
        <f>VLOOKUP(L2637,'[2]tabela de preços'!$A:$D,4,0)</f>
        <v>PDR</v>
      </c>
      <c r="W2637" t="str">
        <f>VLOOKUP(L2637,'[2]tabela de preços'!$A:$F,6,0)</f>
        <v>PISTOLAS</v>
      </c>
      <c r="X2637" t="str">
        <f>VLOOKUP(L2637,'[2]tabela de preços'!$A:$G,7,0)</f>
        <v>AUTOMOTIVO</v>
      </c>
    </row>
    <row r="2638" spans="1:24" x14ac:dyDescent="0.3">
      <c r="A2638" t="s">
        <v>626</v>
      </c>
      <c r="B2638" t="s">
        <v>627</v>
      </c>
      <c r="C2638" t="s">
        <v>2427</v>
      </c>
      <c r="D2638" s="1">
        <v>46055</v>
      </c>
      <c r="E2638" t="s">
        <v>2428</v>
      </c>
      <c r="F2638">
        <v>9</v>
      </c>
      <c r="G2638">
        <v>174</v>
      </c>
      <c r="H2638" t="str">
        <f>VLOOKUP(G2638,[1]OPERADORES!$A:$B,2,0)</f>
        <v>MIRIÃ LOBATO RODRIGUES</v>
      </c>
      <c r="I2638" t="s">
        <v>21</v>
      </c>
      <c r="J2638" t="s">
        <v>630</v>
      </c>
      <c r="K2638" t="s">
        <v>631</v>
      </c>
      <c r="L2638">
        <v>84426</v>
      </c>
      <c r="M2638" t="s">
        <v>1957</v>
      </c>
      <c r="O2638" t="s">
        <v>11</v>
      </c>
      <c r="P2638">
        <v>5102</v>
      </c>
      <c r="Q2638">
        <v>1</v>
      </c>
      <c r="R2638">
        <v>4.32</v>
      </c>
      <c r="S2638">
        <v>4.32</v>
      </c>
      <c r="T2638">
        <v>3.28</v>
      </c>
      <c r="U2638">
        <v>24.07</v>
      </c>
      <c r="V2638" t="str">
        <f>VLOOKUP(L2638,'[2]tabela de preços'!$A:$D,4,0)</f>
        <v>ATLAS</v>
      </c>
      <c r="W2638" t="str">
        <f>VLOOKUP(L2638,'[2]tabela de preços'!$A:$F,6,0)</f>
        <v>ROLOS / TRINCHAS / PINCÉIS / ESPÁTULAS</v>
      </c>
      <c r="X2638" t="str">
        <f>VLOOKUP(L2638,'[2]tabela de preços'!$A:$G,7,0)</f>
        <v>IMOBILIÁRIO</v>
      </c>
    </row>
    <row r="2639" spans="1:24" x14ac:dyDescent="0.3">
      <c r="A2639" t="s">
        <v>626</v>
      </c>
      <c r="B2639" t="s">
        <v>627</v>
      </c>
      <c r="C2639" t="s">
        <v>2427</v>
      </c>
      <c r="D2639" s="1">
        <v>46055</v>
      </c>
      <c r="E2639" t="s">
        <v>2428</v>
      </c>
      <c r="F2639">
        <v>9</v>
      </c>
      <c r="G2639">
        <v>174</v>
      </c>
      <c r="H2639" t="str">
        <f>VLOOKUP(G2639,[1]OPERADORES!$A:$B,2,0)</f>
        <v>MIRIÃ LOBATO RODRIGUES</v>
      </c>
      <c r="I2639" t="s">
        <v>21</v>
      </c>
      <c r="J2639" t="s">
        <v>630</v>
      </c>
      <c r="K2639" t="s">
        <v>631</v>
      </c>
      <c r="L2639">
        <v>84560</v>
      </c>
      <c r="M2639" t="s">
        <v>118</v>
      </c>
      <c r="O2639" t="s">
        <v>11</v>
      </c>
      <c r="P2639">
        <v>5102</v>
      </c>
      <c r="Q2639">
        <v>20</v>
      </c>
      <c r="R2639">
        <v>47.89</v>
      </c>
      <c r="S2639">
        <v>957.8</v>
      </c>
      <c r="T2639">
        <v>783.2</v>
      </c>
      <c r="U2639">
        <v>18.23</v>
      </c>
      <c r="V2639" t="str">
        <f>VLOOKUP(L2639,'[2]tabela de preços'!$A:$D,4,0)</f>
        <v>BRASILUX</v>
      </c>
      <c r="W2639" t="str">
        <f>VLOOKUP(L2639,'[2]tabela de preços'!$A:$F,6,0)</f>
        <v>THINNER DE LIMPEZA</v>
      </c>
      <c r="X2639" t="str">
        <f>VLOOKUP(L2639,'[2]tabela de preços'!$A:$G,7,0)</f>
        <v>THINNER</v>
      </c>
    </row>
    <row r="2640" spans="1:24" x14ac:dyDescent="0.3">
      <c r="A2640" t="s">
        <v>626</v>
      </c>
      <c r="B2640" t="s">
        <v>627</v>
      </c>
      <c r="C2640" t="s">
        <v>2427</v>
      </c>
      <c r="D2640" s="1">
        <v>46055</v>
      </c>
      <c r="E2640" t="s">
        <v>2428</v>
      </c>
      <c r="F2640">
        <v>9</v>
      </c>
      <c r="G2640">
        <v>174</v>
      </c>
      <c r="H2640" t="str">
        <f>VLOOKUP(G2640,[1]OPERADORES!$A:$B,2,0)</f>
        <v>MIRIÃ LOBATO RODRIGUES</v>
      </c>
      <c r="I2640" t="s">
        <v>21</v>
      </c>
      <c r="J2640" t="s">
        <v>630</v>
      </c>
      <c r="K2640" t="s">
        <v>631</v>
      </c>
      <c r="L2640">
        <v>20414</v>
      </c>
      <c r="M2640" t="s">
        <v>112</v>
      </c>
      <c r="O2640" t="s">
        <v>11</v>
      </c>
      <c r="P2640">
        <v>5102</v>
      </c>
      <c r="Q2640">
        <v>20</v>
      </c>
      <c r="R2640">
        <v>21.89</v>
      </c>
      <c r="S2640">
        <v>437.8</v>
      </c>
      <c r="T2640">
        <v>360</v>
      </c>
      <c r="U2640">
        <v>17.77</v>
      </c>
      <c r="V2640" t="str">
        <f>VLOOKUP(L2640,'[2]tabela de preços'!$A:$D,4,0)</f>
        <v>SHERWIN WILLIAMS</v>
      </c>
      <c r="W2640" t="str">
        <f>VLOOKUP(L2640,'[2]tabela de preços'!$A:$F,6,0)</f>
        <v>DILUENTE</v>
      </c>
      <c r="X2640" t="str">
        <f>VLOOKUP(L2640,'[2]tabela de preços'!$A:$G,7,0)</f>
        <v>AUTOMOTIVO</v>
      </c>
    </row>
    <row r="2641" spans="1:24" x14ac:dyDescent="0.3">
      <c r="A2641" t="s">
        <v>626</v>
      </c>
      <c r="B2641" t="s">
        <v>627</v>
      </c>
      <c r="C2641" t="s">
        <v>2427</v>
      </c>
      <c r="D2641" s="1">
        <v>46055</v>
      </c>
      <c r="E2641" t="s">
        <v>2428</v>
      </c>
      <c r="F2641">
        <v>9</v>
      </c>
      <c r="G2641">
        <v>174</v>
      </c>
      <c r="H2641" t="str">
        <f>VLOOKUP(G2641,[1]OPERADORES!$A:$B,2,0)</f>
        <v>MIRIÃ LOBATO RODRIGUES</v>
      </c>
      <c r="I2641" t="s">
        <v>21</v>
      </c>
      <c r="J2641" t="s">
        <v>630</v>
      </c>
      <c r="K2641" t="s">
        <v>631</v>
      </c>
      <c r="L2641">
        <v>23287</v>
      </c>
      <c r="M2641" t="s">
        <v>273</v>
      </c>
      <c r="O2641" t="s">
        <v>11</v>
      </c>
      <c r="P2641">
        <v>5102</v>
      </c>
      <c r="Q2641">
        <v>2</v>
      </c>
      <c r="R2641">
        <v>39.979999999999997</v>
      </c>
      <c r="S2641">
        <v>79.959999999999994</v>
      </c>
      <c r="T2641">
        <v>60.7</v>
      </c>
      <c r="U2641">
        <v>24.09</v>
      </c>
      <c r="V2641" t="str">
        <f>VLOOKUP(L2641,'[2]tabela de preços'!$A:$D,4,0)</f>
        <v>AUTO AMERICA</v>
      </c>
      <c r="W2641" t="str">
        <f>VLOOKUP(L2641,'[2]tabela de preços'!$A:$F,6,0)</f>
        <v>CERA  / LIMPEZA /  POLIMENTO VEICULAR</v>
      </c>
      <c r="X2641" t="str">
        <f>VLOOKUP(L2641,'[2]tabela de preços'!$A:$G,7,0)</f>
        <v>AUTOMOTIVO</v>
      </c>
    </row>
    <row r="2642" spans="1:24" x14ac:dyDescent="0.3">
      <c r="A2642" t="s">
        <v>626</v>
      </c>
      <c r="B2642" t="s">
        <v>627</v>
      </c>
      <c r="C2642" t="s">
        <v>2482</v>
      </c>
      <c r="D2642" s="1">
        <v>46056</v>
      </c>
      <c r="E2642" t="s">
        <v>2483</v>
      </c>
      <c r="F2642">
        <v>9</v>
      </c>
      <c r="G2642">
        <v>174</v>
      </c>
      <c r="H2642" t="str">
        <f>VLOOKUP(G2642,[1]OPERADORES!$A:$B,2,0)</f>
        <v>MIRIÃ LOBATO RODRIGUES</v>
      </c>
      <c r="I2642" t="s">
        <v>21</v>
      </c>
      <c r="J2642" t="s">
        <v>630</v>
      </c>
      <c r="K2642" t="s">
        <v>631</v>
      </c>
      <c r="L2642">
        <v>85693</v>
      </c>
      <c r="M2642" t="s">
        <v>526</v>
      </c>
      <c r="O2642" t="s">
        <v>11</v>
      </c>
      <c r="P2642">
        <v>5102</v>
      </c>
      <c r="Q2642">
        <v>12</v>
      </c>
      <c r="R2642">
        <v>7.89</v>
      </c>
      <c r="S2642">
        <v>94.68</v>
      </c>
      <c r="T2642">
        <v>78.12</v>
      </c>
      <c r="U2642">
        <v>17.489999999999998</v>
      </c>
      <c r="V2642" t="str">
        <f>VLOOKUP(L2642,'[2]tabela de preços'!$A:$D,4,0)</f>
        <v>UNIPEGA</v>
      </c>
      <c r="W2642" t="str">
        <f>VLOOKUP(L2642,'[2]tabela de preços'!$A:$F,6,0)</f>
        <v>PU 40</v>
      </c>
      <c r="X2642" t="str">
        <f>VLOOKUP(L2642,'[2]tabela de preços'!$A:$G,7,0)</f>
        <v>IMOBILIÁRIO</v>
      </c>
    </row>
    <row r="2643" spans="1:24" x14ac:dyDescent="0.3">
      <c r="A2643" t="s">
        <v>626</v>
      </c>
      <c r="B2643" t="s">
        <v>627</v>
      </c>
      <c r="C2643" t="s">
        <v>2482</v>
      </c>
      <c r="D2643" s="1">
        <v>46056</v>
      </c>
      <c r="E2643" t="s">
        <v>2483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21</v>
      </c>
      <c r="J2643" t="s">
        <v>630</v>
      </c>
      <c r="K2643" t="s">
        <v>631</v>
      </c>
      <c r="L2643">
        <v>85691</v>
      </c>
      <c r="M2643" t="s">
        <v>1231</v>
      </c>
      <c r="O2643" t="s">
        <v>11</v>
      </c>
      <c r="P2643">
        <v>5102</v>
      </c>
      <c r="Q2643">
        <v>12</v>
      </c>
      <c r="R2643">
        <v>14.81</v>
      </c>
      <c r="S2643">
        <v>177.72</v>
      </c>
      <c r="T2643">
        <v>134.88</v>
      </c>
      <c r="U2643">
        <v>24.11</v>
      </c>
      <c r="V2643" t="str">
        <f>VLOOKUP(L2643,'[2]tabela de preços'!$A:$D,4,0)</f>
        <v>UNIPEGA</v>
      </c>
      <c r="W2643" t="str">
        <f>VLOOKUP(L2643,'[2]tabela de preços'!$A:$F,6,0)</f>
        <v>COLA INST./ ADESIVOS COLANTES</v>
      </c>
      <c r="X2643" t="str">
        <f>VLOOKUP(L2643,'[2]tabela de preços'!$A:$G,7,0)</f>
        <v>AUTOMOTIVO</v>
      </c>
    </row>
    <row r="2644" spans="1:24" x14ac:dyDescent="0.3">
      <c r="A2644" t="s">
        <v>626</v>
      </c>
      <c r="B2644" t="s">
        <v>627</v>
      </c>
      <c r="C2644" t="s">
        <v>2482</v>
      </c>
      <c r="D2644" s="1">
        <v>46056</v>
      </c>
      <c r="E2644" t="s">
        <v>2483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21</v>
      </c>
      <c r="J2644" t="s">
        <v>630</v>
      </c>
      <c r="K2644" t="s">
        <v>631</v>
      </c>
      <c r="L2644">
        <v>23110</v>
      </c>
      <c r="M2644" t="s">
        <v>409</v>
      </c>
      <c r="O2644" t="s">
        <v>11</v>
      </c>
      <c r="P2644">
        <v>5102</v>
      </c>
      <c r="Q2644">
        <v>250</v>
      </c>
      <c r="R2644">
        <v>2.35</v>
      </c>
      <c r="S2644">
        <v>587.5</v>
      </c>
      <c r="T2644">
        <v>462.5</v>
      </c>
      <c r="U2644">
        <v>21.28</v>
      </c>
      <c r="V2644" t="str">
        <f>VLOOKUP(L2644,'[2]tabela de preços'!$A:$D,4,0)</f>
        <v>3M</v>
      </c>
      <c r="W2644" t="str">
        <f>VLOOKUP(L2644,'[2]tabela de preços'!$A:$F,6,0)</f>
        <v xml:space="preserve">DISCOS / LIXAS / ABRASIVOS </v>
      </c>
      <c r="X2644" t="str">
        <f>VLOOKUP(L2644,'[2]tabela de preços'!$A:$G,7,0)</f>
        <v>AUTOMOTIVO</v>
      </c>
    </row>
    <row r="2645" spans="1:24" x14ac:dyDescent="0.3">
      <c r="A2645" t="s">
        <v>626</v>
      </c>
      <c r="B2645" t="s">
        <v>627</v>
      </c>
      <c r="C2645" t="s">
        <v>2482</v>
      </c>
      <c r="D2645" s="1">
        <v>46056</v>
      </c>
      <c r="E2645" t="s">
        <v>2483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21</v>
      </c>
      <c r="J2645" t="s">
        <v>630</v>
      </c>
      <c r="K2645" t="s">
        <v>631</v>
      </c>
      <c r="L2645">
        <v>23105</v>
      </c>
      <c r="M2645" t="s">
        <v>402</v>
      </c>
      <c r="O2645" t="s">
        <v>11</v>
      </c>
      <c r="P2645">
        <v>5102</v>
      </c>
      <c r="Q2645">
        <v>200</v>
      </c>
      <c r="R2645">
        <v>2.35</v>
      </c>
      <c r="S2645">
        <v>470</v>
      </c>
      <c r="T2645">
        <v>384</v>
      </c>
      <c r="U2645">
        <v>18.3</v>
      </c>
      <c r="V2645" t="str">
        <f>VLOOKUP(L2645,'[2]tabela de preços'!$A:$D,4,0)</f>
        <v>3M</v>
      </c>
      <c r="W2645" t="str">
        <f>VLOOKUP(L2645,'[2]tabela de preços'!$A:$F,6,0)</f>
        <v xml:space="preserve">DISCOS / LIXAS / ABRASIVOS </v>
      </c>
      <c r="X2645" t="str">
        <f>VLOOKUP(L2645,'[2]tabela de preços'!$A:$G,7,0)</f>
        <v>AUTOMOTIVO</v>
      </c>
    </row>
    <row r="2646" spans="1:24" x14ac:dyDescent="0.3">
      <c r="A2646" t="s">
        <v>626</v>
      </c>
      <c r="B2646" t="s">
        <v>627</v>
      </c>
      <c r="C2646" t="s">
        <v>2482</v>
      </c>
      <c r="D2646" s="1">
        <v>46056</v>
      </c>
      <c r="E2646" t="s">
        <v>2483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21</v>
      </c>
      <c r="J2646" t="s">
        <v>630</v>
      </c>
      <c r="K2646" t="s">
        <v>631</v>
      </c>
      <c r="L2646">
        <v>23106</v>
      </c>
      <c r="M2646" t="s">
        <v>403</v>
      </c>
      <c r="O2646" t="s">
        <v>11</v>
      </c>
      <c r="P2646">
        <v>5102</v>
      </c>
      <c r="Q2646">
        <v>200</v>
      </c>
      <c r="R2646">
        <v>2.35</v>
      </c>
      <c r="S2646">
        <v>470</v>
      </c>
      <c r="T2646">
        <v>384</v>
      </c>
      <c r="U2646">
        <v>18.3</v>
      </c>
      <c r="V2646" t="str">
        <f>VLOOKUP(L2646,'[2]tabela de preços'!$A:$D,4,0)</f>
        <v>3M</v>
      </c>
      <c r="W2646" t="str">
        <f>VLOOKUP(L2646,'[2]tabela de preços'!$A:$F,6,0)</f>
        <v xml:space="preserve">DISCOS / LIXAS / ABRASIVOS </v>
      </c>
      <c r="X2646" t="str">
        <f>VLOOKUP(L2646,'[2]tabela de preços'!$A:$G,7,0)</f>
        <v>AUTOMOTIVO</v>
      </c>
    </row>
    <row r="2647" spans="1:24" x14ac:dyDescent="0.3">
      <c r="A2647" t="s">
        <v>626</v>
      </c>
      <c r="B2647" t="s">
        <v>627</v>
      </c>
      <c r="C2647" t="s">
        <v>2482</v>
      </c>
      <c r="D2647" s="1">
        <v>46056</v>
      </c>
      <c r="E2647" t="s">
        <v>2483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21</v>
      </c>
      <c r="J2647" t="s">
        <v>630</v>
      </c>
      <c r="K2647" t="s">
        <v>631</v>
      </c>
      <c r="L2647">
        <v>23107</v>
      </c>
      <c r="M2647" t="s">
        <v>247</v>
      </c>
      <c r="O2647" t="s">
        <v>11</v>
      </c>
      <c r="P2647">
        <v>5102</v>
      </c>
      <c r="Q2647">
        <v>250</v>
      </c>
      <c r="R2647">
        <v>2.35</v>
      </c>
      <c r="S2647">
        <v>587.5</v>
      </c>
      <c r="T2647">
        <v>462.5</v>
      </c>
      <c r="U2647">
        <v>21.28</v>
      </c>
      <c r="V2647" t="str">
        <f>VLOOKUP(L2647,'[2]tabela de preços'!$A:$D,4,0)</f>
        <v>3M</v>
      </c>
      <c r="W2647" t="str">
        <f>VLOOKUP(L2647,'[2]tabela de preços'!$A:$F,6,0)</f>
        <v xml:space="preserve">DISCOS / LIXAS / ABRASIVOS </v>
      </c>
      <c r="X2647" t="str">
        <f>VLOOKUP(L2647,'[2]tabela de preços'!$A:$G,7,0)</f>
        <v>AUTOMOTIVO</v>
      </c>
    </row>
    <row r="2648" spans="1:24" x14ac:dyDescent="0.3">
      <c r="A2648" t="s">
        <v>626</v>
      </c>
      <c r="B2648" t="s">
        <v>627</v>
      </c>
      <c r="C2648" t="s">
        <v>2482</v>
      </c>
      <c r="D2648" s="1">
        <v>46056</v>
      </c>
      <c r="E2648" t="s">
        <v>2483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21</v>
      </c>
      <c r="J2648" t="s">
        <v>630</v>
      </c>
      <c r="K2648" t="s">
        <v>631</v>
      </c>
      <c r="L2648">
        <v>23108</v>
      </c>
      <c r="M2648" t="s">
        <v>248</v>
      </c>
      <c r="O2648" t="s">
        <v>11</v>
      </c>
      <c r="P2648">
        <v>5102</v>
      </c>
      <c r="Q2648">
        <v>100</v>
      </c>
      <c r="R2648">
        <v>2.35</v>
      </c>
      <c r="S2648">
        <v>235</v>
      </c>
      <c r="T2648">
        <v>185</v>
      </c>
      <c r="U2648">
        <v>21.28</v>
      </c>
      <c r="V2648" t="str">
        <f>VLOOKUP(L2648,'[2]tabela de preços'!$A:$D,4,0)</f>
        <v>3M</v>
      </c>
      <c r="W2648" t="str">
        <f>VLOOKUP(L2648,'[2]tabela de preços'!$A:$F,6,0)</f>
        <v xml:space="preserve">DISCOS / LIXAS / ABRASIVOS </v>
      </c>
      <c r="X2648" t="str">
        <f>VLOOKUP(L2648,'[2]tabela de preços'!$A:$G,7,0)</f>
        <v>AUTOMOTIVO</v>
      </c>
    </row>
    <row r="2649" spans="1:24" x14ac:dyDescent="0.3">
      <c r="A2649" t="s">
        <v>626</v>
      </c>
      <c r="B2649" t="s">
        <v>627</v>
      </c>
      <c r="C2649" t="s">
        <v>2482</v>
      </c>
      <c r="D2649" s="1">
        <v>46056</v>
      </c>
      <c r="E2649" t="s">
        <v>2483</v>
      </c>
      <c r="F2649">
        <v>9</v>
      </c>
      <c r="G2649">
        <v>174</v>
      </c>
      <c r="H2649" t="str">
        <f>VLOOKUP(G2649,[1]OPERADORES!$A:$B,2,0)</f>
        <v>MIRIÃ LOBATO RODRIGUES</v>
      </c>
      <c r="I2649" t="s">
        <v>21</v>
      </c>
      <c r="J2649" t="s">
        <v>630</v>
      </c>
      <c r="K2649" t="s">
        <v>631</v>
      </c>
      <c r="L2649">
        <v>24248</v>
      </c>
      <c r="M2649" t="s">
        <v>107</v>
      </c>
      <c r="O2649" t="s">
        <v>11</v>
      </c>
      <c r="P2649">
        <v>5102</v>
      </c>
      <c r="Q2649">
        <v>12</v>
      </c>
      <c r="R2649">
        <v>8</v>
      </c>
      <c r="S2649">
        <v>96</v>
      </c>
      <c r="T2649">
        <v>78</v>
      </c>
      <c r="U2649">
        <v>18.75</v>
      </c>
      <c r="V2649" t="str">
        <f>VLOOKUP(L2649,'[2]tabela de preços'!$A:$D,4,0)</f>
        <v>SHERWIN WILLIAMS</v>
      </c>
      <c r="W2649" t="str">
        <f>VLOOKUP(L2649,'[2]tabela de preços'!$A:$F,6,0)</f>
        <v>PRIMER AUTOMOTIVO</v>
      </c>
      <c r="X2649" t="str">
        <f>VLOOKUP(L2649,'[2]tabela de preços'!$A:$G,7,0)</f>
        <v>AUTOMOTIVO</v>
      </c>
    </row>
    <row r="2650" spans="1:24" x14ac:dyDescent="0.3">
      <c r="A2650" t="s">
        <v>626</v>
      </c>
      <c r="B2650" t="s">
        <v>627</v>
      </c>
      <c r="C2650" t="s">
        <v>2482</v>
      </c>
      <c r="D2650" s="1">
        <v>46056</v>
      </c>
      <c r="E2650" t="s">
        <v>2483</v>
      </c>
      <c r="F2650">
        <v>9</v>
      </c>
      <c r="G2650">
        <v>174</v>
      </c>
      <c r="H2650" t="str">
        <f>VLOOKUP(G2650,[1]OPERADORES!$A:$B,2,0)</f>
        <v>MIRIÃ LOBATO RODRIGUES</v>
      </c>
      <c r="I2650" t="s">
        <v>21</v>
      </c>
      <c r="J2650" t="s">
        <v>630</v>
      </c>
      <c r="K2650" t="s">
        <v>631</v>
      </c>
      <c r="L2650">
        <v>85670</v>
      </c>
      <c r="M2650" t="s">
        <v>981</v>
      </c>
      <c r="O2650" t="s">
        <v>11</v>
      </c>
      <c r="P2650">
        <v>5102</v>
      </c>
      <c r="Q2650">
        <v>4</v>
      </c>
      <c r="R2650">
        <v>12.2</v>
      </c>
      <c r="S2650">
        <v>48.8</v>
      </c>
      <c r="T2650">
        <v>37.04</v>
      </c>
      <c r="U2650">
        <v>24.1</v>
      </c>
      <c r="V2650" t="str">
        <f>VLOOKUP(L2650,'[2]tabela de preços'!$A:$D,4,0)</f>
        <v>UNIPEGA</v>
      </c>
      <c r="W2650" t="str">
        <f>VLOOKUP(L2650,'[2]tabela de preços'!$A:$F,6,0)</f>
        <v>ESPUMA EXPANSIVA</v>
      </c>
      <c r="X2650" t="str">
        <f>VLOOKUP(L2650,'[2]tabela de preços'!$A:$G,7,0)</f>
        <v>IMOBILIÁRIO</v>
      </c>
    </row>
    <row r="2651" spans="1:24" x14ac:dyDescent="0.3">
      <c r="A2651" t="s">
        <v>626</v>
      </c>
      <c r="B2651" t="s">
        <v>627</v>
      </c>
      <c r="C2651" t="s">
        <v>2482</v>
      </c>
      <c r="D2651" s="1">
        <v>46056</v>
      </c>
      <c r="E2651" t="s">
        <v>2483</v>
      </c>
      <c r="F2651">
        <v>9</v>
      </c>
      <c r="G2651">
        <v>174</v>
      </c>
      <c r="H2651" t="str">
        <f>VLOOKUP(G2651,[1]OPERADORES!$A:$B,2,0)</f>
        <v>MIRIÃ LOBATO RODRIGUES</v>
      </c>
      <c r="I2651" t="s">
        <v>21</v>
      </c>
      <c r="J2651" t="s">
        <v>630</v>
      </c>
      <c r="K2651" t="s">
        <v>631</v>
      </c>
      <c r="L2651">
        <v>60</v>
      </c>
      <c r="M2651" t="s">
        <v>2484</v>
      </c>
      <c r="O2651" t="s">
        <v>11</v>
      </c>
      <c r="P2651">
        <v>5102</v>
      </c>
      <c r="Q2651">
        <v>100</v>
      </c>
      <c r="R2651">
        <v>1.53</v>
      </c>
      <c r="S2651">
        <v>153</v>
      </c>
      <c r="T2651">
        <v>99</v>
      </c>
      <c r="U2651">
        <v>35.29</v>
      </c>
      <c r="V2651" t="str">
        <f>VLOOKUP(L2651,'[2]tabela de preços'!$A:$D,4,0)</f>
        <v>3M</v>
      </c>
      <c r="W2651" t="str">
        <f>VLOOKUP(L2651,'[2]tabela de preços'!$A:$F,6,0)</f>
        <v>LIXA DÁGUA</v>
      </c>
      <c r="X2651" t="str">
        <f>VLOOKUP(L2651,'[2]tabela de preços'!$A:$G,7,0)</f>
        <v>AUTOMOTIVO</v>
      </c>
    </row>
    <row r="2652" spans="1:24" x14ac:dyDescent="0.3">
      <c r="A2652" t="s">
        <v>626</v>
      </c>
      <c r="B2652" t="s">
        <v>627</v>
      </c>
      <c r="C2652" t="s">
        <v>2482</v>
      </c>
      <c r="D2652" s="1">
        <v>46056</v>
      </c>
      <c r="E2652" t="s">
        <v>2483</v>
      </c>
      <c r="F2652">
        <v>9</v>
      </c>
      <c r="G2652">
        <v>174</v>
      </c>
      <c r="H2652" t="str">
        <f>VLOOKUP(G2652,[1]OPERADORES!$A:$B,2,0)</f>
        <v>MIRIÃ LOBATO RODRIGUES</v>
      </c>
      <c r="I2652" t="s">
        <v>21</v>
      </c>
      <c r="J2652" t="s">
        <v>630</v>
      </c>
      <c r="K2652" t="s">
        <v>631</v>
      </c>
      <c r="L2652">
        <v>61</v>
      </c>
      <c r="M2652" t="s">
        <v>2485</v>
      </c>
      <c r="O2652" t="s">
        <v>11</v>
      </c>
      <c r="P2652">
        <v>5102</v>
      </c>
      <c r="Q2652">
        <v>100</v>
      </c>
      <c r="R2652">
        <v>1.53</v>
      </c>
      <c r="S2652">
        <v>153</v>
      </c>
      <c r="T2652">
        <v>99</v>
      </c>
      <c r="U2652">
        <v>35.29</v>
      </c>
      <c r="V2652" t="str">
        <f>VLOOKUP(L2652,'[2]tabela de preços'!$A:$D,4,0)</f>
        <v>3M</v>
      </c>
      <c r="W2652" t="str">
        <f>VLOOKUP(L2652,'[2]tabela de preços'!$A:$F,6,0)</f>
        <v>LIXA DÁGUA</v>
      </c>
      <c r="X2652" t="str">
        <f>VLOOKUP(L2652,'[2]tabela de preços'!$A:$G,7,0)</f>
        <v>AUTOMOTIVO</v>
      </c>
    </row>
    <row r="2653" spans="1:24" x14ac:dyDescent="0.3">
      <c r="A2653" t="s">
        <v>626</v>
      </c>
      <c r="B2653" t="s">
        <v>627</v>
      </c>
      <c r="C2653" t="s">
        <v>2482</v>
      </c>
      <c r="D2653" s="1">
        <v>46056</v>
      </c>
      <c r="E2653" t="s">
        <v>2483</v>
      </c>
      <c r="F2653">
        <v>9</v>
      </c>
      <c r="G2653">
        <v>174</v>
      </c>
      <c r="H2653" t="str">
        <f>VLOOKUP(G2653,[1]OPERADORES!$A:$B,2,0)</f>
        <v>MIRIÃ LOBATO RODRIGUES</v>
      </c>
      <c r="I2653" t="s">
        <v>21</v>
      </c>
      <c r="J2653" t="s">
        <v>630</v>
      </c>
      <c r="K2653" t="s">
        <v>631</v>
      </c>
      <c r="L2653">
        <v>13</v>
      </c>
      <c r="M2653" t="s">
        <v>152</v>
      </c>
      <c r="O2653" t="s">
        <v>11</v>
      </c>
      <c r="P2653">
        <v>5102</v>
      </c>
      <c r="Q2653">
        <v>100</v>
      </c>
      <c r="R2653">
        <v>5.79</v>
      </c>
      <c r="S2653">
        <v>579</v>
      </c>
      <c r="T2653">
        <v>416</v>
      </c>
      <c r="U2653">
        <v>28.15</v>
      </c>
      <c r="V2653" t="str">
        <f>VLOOKUP(L2653,'[2]tabela de preços'!$A:$D,4,0)</f>
        <v>3M</v>
      </c>
      <c r="W2653" t="str">
        <f>VLOOKUP(L2653,'[2]tabela de preços'!$A:$F,6,0)</f>
        <v>LIXA DÁGUA</v>
      </c>
      <c r="X2653" t="str">
        <f>VLOOKUP(L2653,'[2]tabela de preços'!$A:$G,7,0)</f>
        <v>AUTOMOTIVO</v>
      </c>
    </row>
    <row r="2654" spans="1:24" x14ac:dyDescent="0.3">
      <c r="A2654" t="s">
        <v>626</v>
      </c>
      <c r="B2654" t="s">
        <v>627</v>
      </c>
      <c r="C2654" t="s">
        <v>2482</v>
      </c>
      <c r="D2654" s="1">
        <v>46056</v>
      </c>
      <c r="E2654" t="s">
        <v>2483</v>
      </c>
      <c r="F2654">
        <v>9</v>
      </c>
      <c r="G2654">
        <v>174</v>
      </c>
      <c r="H2654" t="str">
        <f>VLOOKUP(G2654,[1]OPERADORES!$A:$B,2,0)</f>
        <v>MIRIÃ LOBATO RODRIGUES</v>
      </c>
      <c r="I2654" t="s">
        <v>21</v>
      </c>
      <c r="J2654" t="s">
        <v>630</v>
      </c>
      <c r="K2654" t="s">
        <v>631</v>
      </c>
      <c r="L2654">
        <v>15</v>
      </c>
      <c r="M2654" t="s">
        <v>205</v>
      </c>
      <c r="O2654" t="s">
        <v>11</v>
      </c>
      <c r="P2654">
        <v>5102</v>
      </c>
      <c r="Q2654">
        <v>150</v>
      </c>
      <c r="R2654">
        <v>5.79</v>
      </c>
      <c r="S2654">
        <v>868.5</v>
      </c>
      <c r="T2654">
        <v>624</v>
      </c>
      <c r="U2654">
        <v>28.15</v>
      </c>
      <c r="V2654" t="str">
        <f>VLOOKUP(L2654,'[2]tabela de preços'!$A:$D,4,0)</f>
        <v>3M</v>
      </c>
      <c r="W2654" t="str">
        <f>VLOOKUP(L2654,'[2]tabela de preços'!$A:$F,6,0)</f>
        <v>LIXA DÁGUA</v>
      </c>
      <c r="X2654" t="str">
        <f>VLOOKUP(L2654,'[2]tabela de preços'!$A:$G,7,0)</f>
        <v>AUTOMOTIVO</v>
      </c>
    </row>
    <row r="2655" spans="1:24" x14ac:dyDescent="0.3">
      <c r="A2655" t="s">
        <v>626</v>
      </c>
      <c r="B2655" t="s">
        <v>627</v>
      </c>
      <c r="C2655" t="s">
        <v>2482</v>
      </c>
      <c r="D2655" s="1">
        <v>46056</v>
      </c>
      <c r="E2655" t="s">
        <v>2483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630</v>
      </c>
      <c r="K2655" t="s">
        <v>631</v>
      </c>
      <c r="L2655">
        <v>54</v>
      </c>
      <c r="M2655" t="s">
        <v>2486</v>
      </c>
      <c r="O2655" t="s">
        <v>11</v>
      </c>
      <c r="P2655">
        <v>5102</v>
      </c>
      <c r="Q2655">
        <v>100</v>
      </c>
      <c r="R2655">
        <v>1.53</v>
      </c>
      <c r="S2655">
        <v>153</v>
      </c>
      <c r="T2655">
        <v>99</v>
      </c>
      <c r="U2655">
        <v>35.29</v>
      </c>
      <c r="V2655" t="str">
        <f>VLOOKUP(L2655,'[2]tabela de preços'!$A:$D,4,0)</f>
        <v>3M</v>
      </c>
      <c r="W2655" t="str">
        <f>VLOOKUP(L2655,'[2]tabela de preços'!$A:$F,6,0)</f>
        <v>LIXA DÁGUA</v>
      </c>
      <c r="X2655" t="str">
        <f>VLOOKUP(L2655,'[2]tabela de preços'!$A:$G,7,0)</f>
        <v>AUTOMOTIVO</v>
      </c>
    </row>
    <row r="2656" spans="1:24" x14ac:dyDescent="0.3">
      <c r="A2656" t="s">
        <v>626</v>
      </c>
      <c r="B2656" t="s">
        <v>627</v>
      </c>
      <c r="C2656" t="s">
        <v>2482</v>
      </c>
      <c r="D2656" s="1">
        <v>46056</v>
      </c>
      <c r="E2656" t="s">
        <v>2483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630</v>
      </c>
      <c r="K2656" t="s">
        <v>631</v>
      </c>
      <c r="L2656">
        <v>55</v>
      </c>
      <c r="M2656" t="s">
        <v>1640</v>
      </c>
      <c r="O2656" t="s">
        <v>11</v>
      </c>
      <c r="P2656">
        <v>5102</v>
      </c>
      <c r="Q2656">
        <v>100</v>
      </c>
      <c r="R2656">
        <v>1.1299999999999999</v>
      </c>
      <c r="S2656">
        <v>113</v>
      </c>
      <c r="T2656">
        <v>73</v>
      </c>
      <c r="U2656">
        <v>35.4</v>
      </c>
      <c r="V2656" t="str">
        <f>VLOOKUP(L2656,'[2]tabela de preços'!$A:$D,4,0)</f>
        <v>3M</v>
      </c>
      <c r="W2656" t="str">
        <f>VLOOKUP(L2656,'[2]tabela de preços'!$A:$F,6,0)</f>
        <v>LIXA DÁGUA</v>
      </c>
      <c r="X2656" t="str">
        <f>VLOOKUP(L2656,'[2]tabela de preços'!$A:$G,7,0)</f>
        <v>AUTOMOTIVO</v>
      </c>
    </row>
    <row r="2657" spans="1:24" x14ac:dyDescent="0.3">
      <c r="A2657" t="s">
        <v>626</v>
      </c>
      <c r="B2657" t="s">
        <v>627</v>
      </c>
      <c r="C2657" t="s">
        <v>2482</v>
      </c>
      <c r="D2657" s="1">
        <v>46056</v>
      </c>
      <c r="E2657" t="s">
        <v>2483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630</v>
      </c>
      <c r="K2657" t="s">
        <v>631</v>
      </c>
      <c r="L2657">
        <v>57</v>
      </c>
      <c r="M2657" t="s">
        <v>1089</v>
      </c>
      <c r="O2657" t="s">
        <v>11</v>
      </c>
      <c r="P2657">
        <v>5102</v>
      </c>
      <c r="Q2657">
        <v>100</v>
      </c>
      <c r="R2657">
        <v>1.1299999999999999</v>
      </c>
      <c r="S2657">
        <v>113</v>
      </c>
      <c r="T2657">
        <v>73</v>
      </c>
      <c r="U2657">
        <v>35.4</v>
      </c>
      <c r="V2657" t="str">
        <f>VLOOKUP(L2657,'[2]tabela de preços'!$A:$D,4,0)</f>
        <v>3M</v>
      </c>
      <c r="W2657" t="str">
        <f>VLOOKUP(L2657,'[2]tabela de preços'!$A:$F,6,0)</f>
        <v>LIXA DÁGUA</v>
      </c>
      <c r="X2657" t="str">
        <f>VLOOKUP(L2657,'[2]tabela de preços'!$A:$G,7,0)</f>
        <v>AUTOMOTIVO</v>
      </c>
    </row>
    <row r="2658" spans="1:24" x14ac:dyDescent="0.3">
      <c r="A2658" t="s">
        <v>626</v>
      </c>
      <c r="B2658" t="s">
        <v>627</v>
      </c>
      <c r="C2658" t="s">
        <v>2482</v>
      </c>
      <c r="D2658" s="1">
        <v>46056</v>
      </c>
      <c r="E2658" t="s">
        <v>2483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630</v>
      </c>
      <c r="K2658" t="s">
        <v>631</v>
      </c>
      <c r="L2658">
        <v>21077</v>
      </c>
      <c r="M2658" t="s">
        <v>207</v>
      </c>
      <c r="O2658" t="s">
        <v>11</v>
      </c>
      <c r="P2658">
        <v>5102</v>
      </c>
      <c r="Q2658">
        <v>2</v>
      </c>
      <c r="R2658">
        <v>44.68</v>
      </c>
      <c r="S2658">
        <v>89.36</v>
      </c>
      <c r="T2658">
        <v>67.84</v>
      </c>
      <c r="U2658">
        <v>24.08</v>
      </c>
      <c r="V2658" t="str">
        <f>VLOOKUP(L2658,'[2]tabela de preços'!$A:$D,4,0)</f>
        <v>SHERWIN WILLIAMS</v>
      </c>
      <c r="W2658" t="str">
        <f>VLOOKUP(L2658,'[2]tabela de preços'!$A:$F,6,0)</f>
        <v>MASSA POLIÉSTER</v>
      </c>
      <c r="X2658" t="str">
        <f>VLOOKUP(L2658,'[2]tabela de preços'!$A:$G,7,0)</f>
        <v>AUTOMOTIVO</v>
      </c>
    </row>
    <row r="2659" spans="1:24" x14ac:dyDescent="0.3">
      <c r="A2659" t="s">
        <v>626</v>
      </c>
      <c r="B2659" t="s">
        <v>627</v>
      </c>
      <c r="C2659" t="s">
        <v>2482</v>
      </c>
      <c r="D2659" s="1">
        <v>46056</v>
      </c>
      <c r="E2659" t="s">
        <v>2483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630</v>
      </c>
      <c r="K2659" t="s">
        <v>631</v>
      </c>
      <c r="L2659">
        <v>84658</v>
      </c>
      <c r="M2659" t="s">
        <v>100</v>
      </c>
      <c r="O2659" t="s">
        <v>11</v>
      </c>
      <c r="P2659">
        <v>5102</v>
      </c>
      <c r="Q2659">
        <v>1</v>
      </c>
      <c r="R2659">
        <v>40.840000000000003</v>
      </c>
      <c r="S2659">
        <v>40.840000000000003</v>
      </c>
      <c r="T2659">
        <v>31</v>
      </c>
      <c r="U2659">
        <v>24.09</v>
      </c>
      <c r="V2659" t="str">
        <f>VLOOKUP(L2659,'[2]tabela de preços'!$A:$D,4,0)</f>
        <v>ANJO</v>
      </c>
      <c r="W2659" t="str">
        <f>VLOOKUP(L2659,'[2]tabela de preços'!$A:$F,6,0)</f>
        <v>MASSA POLIÉSTER</v>
      </c>
      <c r="X2659" t="str">
        <f>VLOOKUP(L2659,'[2]tabela de preços'!$A:$G,7,0)</f>
        <v>AUTOMOTIVO</v>
      </c>
    </row>
    <row r="2660" spans="1:24" x14ac:dyDescent="0.3">
      <c r="A2660" t="s">
        <v>626</v>
      </c>
      <c r="B2660" t="s">
        <v>627</v>
      </c>
      <c r="C2660" t="s">
        <v>2482</v>
      </c>
      <c r="D2660" s="1">
        <v>46056</v>
      </c>
      <c r="E2660" t="s">
        <v>2483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630</v>
      </c>
      <c r="K2660" t="s">
        <v>631</v>
      </c>
      <c r="L2660">
        <v>24247</v>
      </c>
      <c r="M2660" t="s">
        <v>160</v>
      </c>
      <c r="O2660" t="s">
        <v>11</v>
      </c>
      <c r="P2660">
        <v>5403</v>
      </c>
      <c r="Q2660">
        <v>12</v>
      </c>
      <c r="R2660">
        <v>21</v>
      </c>
      <c r="S2660">
        <v>252</v>
      </c>
      <c r="T2660">
        <v>202.44</v>
      </c>
      <c r="U2660">
        <v>19.670000000000002</v>
      </c>
      <c r="V2660" t="str">
        <f>VLOOKUP(L2660,'[2]tabela de preços'!$A:$D,4,0)</f>
        <v>SHERWIN WILLIAMS</v>
      </c>
      <c r="W2660" t="str">
        <f>VLOOKUP(L2660,'[2]tabela de preços'!$A:$F,6,0)</f>
        <v>PRIMER AUTOMOTIVO</v>
      </c>
      <c r="X2660" t="str">
        <f>VLOOKUP(L2660,'[2]tabela de preços'!$A:$G,7,0)</f>
        <v>AUTOMOTIVO</v>
      </c>
    </row>
    <row r="2661" spans="1:24" x14ac:dyDescent="0.3">
      <c r="A2661" t="s">
        <v>626</v>
      </c>
      <c r="B2661" t="s">
        <v>627</v>
      </c>
      <c r="C2661" t="s">
        <v>2482</v>
      </c>
      <c r="D2661" s="1">
        <v>46056</v>
      </c>
      <c r="E2661" t="s">
        <v>2483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630</v>
      </c>
      <c r="K2661" t="s">
        <v>631</v>
      </c>
      <c r="L2661">
        <v>9997</v>
      </c>
      <c r="M2661" t="s">
        <v>2487</v>
      </c>
      <c r="O2661" t="s">
        <v>11</v>
      </c>
      <c r="P2661">
        <v>5102</v>
      </c>
      <c r="Q2661">
        <v>2</v>
      </c>
      <c r="R2661">
        <v>41.04</v>
      </c>
      <c r="S2661">
        <v>82.08</v>
      </c>
      <c r="T2661">
        <v>62.3</v>
      </c>
      <c r="U2661">
        <v>24.1</v>
      </c>
      <c r="V2661" t="str">
        <f>VLOOKUP(L2661,'[2]tabela de preços'!$A:$D,4,0)</f>
        <v>SIKKENS</v>
      </c>
      <c r="W2661" t="str">
        <f>VLOOKUP(L2661,'[2]tabela de preços'!$A:$F,6,0)</f>
        <v>DILUENTE</v>
      </c>
      <c r="X2661" t="str">
        <f>VLOOKUP(L2661,'[2]tabela de preços'!$A:$G,7,0)</f>
        <v>AUTOMOTIVO</v>
      </c>
    </row>
    <row r="2662" spans="1:24" x14ac:dyDescent="0.3">
      <c r="A2662" t="s">
        <v>626</v>
      </c>
      <c r="B2662" t="s">
        <v>627</v>
      </c>
      <c r="C2662" t="s">
        <v>2482</v>
      </c>
      <c r="D2662" s="1">
        <v>46056</v>
      </c>
      <c r="E2662" t="s">
        <v>2483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630</v>
      </c>
      <c r="K2662" t="s">
        <v>631</v>
      </c>
      <c r="L2662">
        <v>84460</v>
      </c>
      <c r="M2662" t="s">
        <v>322</v>
      </c>
      <c r="O2662" t="s">
        <v>11</v>
      </c>
      <c r="P2662">
        <v>5102</v>
      </c>
      <c r="Q2662">
        <v>5</v>
      </c>
      <c r="R2662">
        <v>31.07</v>
      </c>
      <c r="S2662">
        <v>155.35</v>
      </c>
      <c r="T2662">
        <v>117.9</v>
      </c>
      <c r="U2662">
        <v>24.11</v>
      </c>
      <c r="V2662" t="str">
        <f>VLOOKUP(L2662,'[2]tabela de preços'!$A:$D,4,0)</f>
        <v>BRASILUX</v>
      </c>
      <c r="W2662" t="str">
        <f>VLOOKUP(L2662,'[2]tabela de preços'!$A:$F,6,0)</f>
        <v>VEDADORES / SELANTES</v>
      </c>
      <c r="X2662" t="str">
        <f>VLOOKUP(L2662,'[2]tabela de preços'!$A:$G,7,0)</f>
        <v>AUTOMOTIVO</v>
      </c>
    </row>
    <row r="2663" spans="1:24" x14ac:dyDescent="0.3">
      <c r="A2663" t="s">
        <v>626</v>
      </c>
      <c r="B2663" t="s">
        <v>627</v>
      </c>
      <c r="C2663" t="s">
        <v>2604</v>
      </c>
      <c r="D2663" s="1">
        <v>46057</v>
      </c>
      <c r="E2663" t="s">
        <v>2605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630</v>
      </c>
      <c r="K2663" t="s">
        <v>631</v>
      </c>
      <c r="L2663">
        <v>84487</v>
      </c>
      <c r="M2663" t="s">
        <v>633</v>
      </c>
      <c r="O2663" t="s">
        <v>11</v>
      </c>
      <c r="P2663">
        <v>5403</v>
      </c>
      <c r="Q2663">
        <v>2</v>
      </c>
      <c r="R2663">
        <v>28.84</v>
      </c>
      <c r="S2663">
        <v>57.68</v>
      </c>
      <c r="T2663">
        <v>43.78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TINTAS LACA</v>
      </c>
      <c r="X2663" t="str">
        <f>VLOOKUP(L2663,'[2]tabela de preços'!$A:$G,7,0)</f>
        <v>AUTOMOTIVO</v>
      </c>
    </row>
    <row r="2664" spans="1:24" x14ac:dyDescent="0.3">
      <c r="A2664" t="s">
        <v>626</v>
      </c>
      <c r="B2664" t="s">
        <v>627</v>
      </c>
      <c r="C2664" t="s">
        <v>2604</v>
      </c>
      <c r="D2664" s="1">
        <v>46057</v>
      </c>
      <c r="E2664" t="s">
        <v>2605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630</v>
      </c>
      <c r="K2664" t="s">
        <v>631</v>
      </c>
      <c r="L2664">
        <v>24248</v>
      </c>
      <c r="M2664" t="s">
        <v>107</v>
      </c>
      <c r="O2664" t="s">
        <v>11</v>
      </c>
      <c r="P2664">
        <v>5102</v>
      </c>
      <c r="Q2664">
        <v>18</v>
      </c>
      <c r="R2664">
        <v>8</v>
      </c>
      <c r="S2664">
        <v>144</v>
      </c>
      <c r="T2664">
        <v>117</v>
      </c>
      <c r="U2664">
        <v>18.75</v>
      </c>
      <c r="V2664" t="str">
        <f>VLOOKUP(L2664,'[2]tabela de preços'!$A:$D,4,0)</f>
        <v>SHERWIN WILLIAMS</v>
      </c>
      <c r="W2664" t="str">
        <f>VLOOKUP(L2664,'[2]tabela de preços'!$A:$F,6,0)</f>
        <v>PRIMER AUTOMOTIVO</v>
      </c>
      <c r="X2664" t="str">
        <f>VLOOKUP(L2664,'[2]tabela de preços'!$A:$G,7,0)</f>
        <v>AUTOMOTIVO</v>
      </c>
    </row>
    <row r="2665" spans="1:24" x14ac:dyDescent="0.3">
      <c r="A2665" t="s">
        <v>626</v>
      </c>
      <c r="B2665" t="s">
        <v>627</v>
      </c>
      <c r="C2665" t="s">
        <v>2604</v>
      </c>
      <c r="D2665" s="1">
        <v>46057</v>
      </c>
      <c r="E2665" t="s">
        <v>2605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630</v>
      </c>
      <c r="K2665" t="s">
        <v>631</v>
      </c>
      <c r="L2665">
        <v>23076</v>
      </c>
      <c r="M2665" t="s">
        <v>97</v>
      </c>
      <c r="O2665" t="s">
        <v>11</v>
      </c>
      <c r="P2665">
        <v>5403</v>
      </c>
      <c r="Q2665">
        <v>18</v>
      </c>
      <c r="R2665">
        <v>34.89</v>
      </c>
      <c r="S2665">
        <v>628.02</v>
      </c>
      <c r="T2665">
        <v>477.54</v>
      </c>
      <c r="U2665">
        <v>23.96</v>
      </c>
      <c r="V2665" t="str">
        <f>VLOOKUP(L2665,'[2]tabela de preços'!$A:$D,4,0)</f>
        <v>WANDA</v>
      </c>
      <c r="W2665" t="str">
        <f>VLOOKUP(L2665,'[2]tabela de preços'!$A:$F,6,0)</f>
        <v>PRIMER AUTOMOTIVO</v>
      </c>
      <c r="X2665" t="str">
        <f>VLOOKUP(L2665,'[2]tabela de preços'!$A:$G,7,0)</f>
        <v>AUTOMOTIVO</v>
      </c>
    </row>
    <row r="2666" spans="1:24" x14ac:dyDescent="0.3">
      <c r="A2666" t="s">
        <v>626</v>
      </c>
      <c r="B2666" t="s">
        <v>627</v>
      </c>
      <c r="C2666" t="s">
        <v>2604</v>
      </c>
      <c r="D2666" s="1">
        <v>46057</v>
      </c>
      <c r="E2666" t="s">
        <v>2605</v>
      </c>
      <c r="F2666">
        <v>9</v>
      </c>
      <c r="G2666">
        <v>174</v>
      </c>
      <c r="H2666" t="str">
        <f>VLOOKUP(G2666,[1]OPERADORES!$A:$B,2,0)</f>
        <v>MIRIÃ LOBATO RODRIGUES</v>
      </c>
      <c r="I2666" t="s">
        <v>21</v>
      </c>
      <c r="J2666" t="s">
        <v>630</v>
      </c>
      <c r="K2666" t="s">
        <v>631</v>
      </c>
      <c r="L2666">
        <v>23602</v>
      </c>
      <c r="M2666" t="s">
        <v>215</v>
      </c>
      <c r="O2666" t="s">
        <v>11</v>
      </c>
      <c r="P2666">
        <v>5403</v>
      </c>
      <c r="Q2666">
        <v>6</v>
      </c>
      <c r="R2666">
        <v>35.89</v>
      </c>
      <c r="S2666">
        <v>215.34</v>
      </c>
      <c r="T2666">
        <v>175.5</v>
      </c>
      <c r="U2666">
        <v>18.5</v>
      </c>
      <c r="V2666" t="str">
        <f>VLOOKUP(L2666,'[2]tabela de preços'!$A:$D,4,0)</f>
        <v>SHERWIN WILLIAMS</v>
      </c>
      <c r="W2666" t="str">
        <f>VLOOKUP(L2666,'[2]tabela de preços'!$A:$F,6,0)</f>
        <v>VERNIZ AUTOMOTIVO</v>
      </c>
      <c r="X2666" t="str">
        <f>VLOOKUP(L2666,'[2]tabela de preços'!$A:$G,7,0)</f>
        <v>AUTOMOTIVO</v>
      </c>
    </row>
    <row r="2667" spans="1:24" x14ac:dyDescent="0.3">
      <c r="A2667" t="s">
        <v>626</v>
      </c>
      <c r="B2667" t="s">
        <v>627</v>
      </c>
      <c r="C2667" t="s">
        <v>2604</v>
      </c>
      <c r="D2667" s="1">
        <v>46057</v>
      </c>
      <c r="E2667" t="s">
        <v>2605</v>
      </c>
      <c r="F2667">
        <v>9</v>
      </c>
      <c r="G2667">
        <v>174</v>
      </c>
      <c r="H2667" t="str">
        <f>VLOOKUP(G2667,[1]OPERADORES!$A:$B,2,0)</f>
        <v>MIRIÃ LOBATO RODRIGUES</v>
      </c>
      <c r="I2667" t="s">
        <v>21</v>
      </c>
      <c r="J2667" t="s">
        <v>630</v>
      </c>
      <c r="K2667" t="s">
        <v>631</v>
      </c>
      <c r="L2667">
        <v>10238</v>
      </c>
      <c r="M2667" t="s">
        <v>79</v>
      </c>
      <c r="O2667" t="s">
        <v>11</v>
      </c>
      <c r="P2667">
        <v>5102</v>
      </c>
      <c r="Q2667">
        <v>4</v>
      </c>
      <c r="R2667">
        <v>2.79</v>
      </c>
      <c r="S2667">
        <v>11.16</v>
      </c>
      <c r="T2667">
        <v>8.9600000000000009</v>
      </c>
      <c r="U2667">
        <v>19.71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626</v>
      </c>
      <c r="B2668" t="s">
        <v>627</v>
      </c>
      <c r="C2668" t="s">
        <v>2604</v>
      </c>
      <c r="D2668" s="1">
        <v>46057</v>
      </c>
      <c r="E2668" t="s">
        <v>2605</v>
      </c>
      <c r="F2668">
        <v>9</v>
      </c>
      <c r="G2668">
        <v>174</v>
      </c>
      <c r="H2668" t="str">
        <f>VLOOKUP(G2668,[1]OPERADORES!$A:$B,2,0)</f>
        <v>MIRIÃ LOBATO RODRIGUES</v>
      </c>
      <c r="I2668" t="s">
        <v>21</v>
      </c>
      <c r="J2668" t="s">
        <v>630</v>
      </c>
      <c r="K2668" t="s">
        <v>631</v>
      </c>
      <c r="L2668">
        <v>10240</v>
      </c>
      <c r="M2668" t="s">
        <v>81</v>
      </c>
      <c r="O2668" t="s">
        <v>11</v>
      </c>
      <c r="P2668">
        <v>5102</v>
      </c>
      <c r="Q2668">
        <v>6</v>
      </c>
      <c r="R2668">
        <v>2.79</v>
      </c>
      <c r="S2668">
        <v>16.739999999999998</v>
      </c>
      <c r="T2668">
        <v>13.44</v>
      </c>
      <c r="U2668">
        <v>19.71</v>
      </c>
      <c r="V2668" t="str">
        <f>VLOOKUP(L2668,'[2]tabela de preços'!$A:$D,4,0)</f>
        <v>NORTON</v>
      </c>
      <c r="W2668" t="str">
        <f>VLOOKUP(L2668,'[2]tabela de preços'!$A:$F,6,0)</f>
        <v xml:space="preserve">DISCOS / LIXAS / ABRASIVOS </v>
      </c>
      <c r="X2668" t="str">
        <f>VLOOKUP(L2668,'[2]tabela de preços'!$A:$G,7,0)</f>
        <v>AUTOMOTIVO</v>
      </c>
    </row>
    <row r="2669" spans="1:24" x14ac:dyDescent="0.3">
      <c r="A2669" t="s">
        <v>626</v>
      </c>
      <c r="B2669" t="s">
        <v>627</v>
      </c>
      <c r="C2669" t="s">
        <v>2604</v>
      </c>
      <c r="D2669" s="1">
        <v>46057</v>
      </c>
      <c r="E2669" t="s">
        <v>2605</v>
      </c>
      <c r="F2669">
        <v>9</v>
      </c>
      <c r="G2669">
        <v>174</v>
      </c>
      <c r="H2669" t="str">
        <f>VLOOKUP(G2669,[1]OPERADORES!$A:$B,2,0)</f>
        <v>MIRIÃ LOBATO RODRIGUES</v>
      </c>
      <c r="I2669" t="s">
        <v>21</v>
      </c>
      <c r="J2669" t="s">
        <v>630</v>
      </c>
      <c r="K2669" t="s">
        <v>631</v>
      </c>
      <c r="L2669">
        <v>20817</v>
      </c>
      <c r="M2669" t="s">
        <v>153</v>
      </c>
      <c r="O2669" t="s">
        <v>11</v>
      </c>
      <c r="P2669">
        <v>5102</v>
      </c>
      <c r="Q2669">
        <v>4</v>
      </c>
      <c r="R2669">
        <v>22.89</v>
      </c>
      <c r="S2669">
        <v>91.56</v>
      </c>
      <c r="T2669">
        <v>74.48</v>
      </c>
      <c r="U2669">
        <v>18.649999999999999</v>
      </c>
      <c r="V2669" t="str">
        <f>VLOOKUP(L2669,'[2]tabela de preços'!$A:$D,4,0)</f>
        <v>AUTO AMERICA</v>
      </c>
      <c r="W2669" t="str">
        <f>VLOOKUP(L2669,'[2]tabela de preços'!$A:$F,6,0)</f>
        <v>MASSA DE POLIR</v>
      </c>
      <c r="X2669" t="str">
        <f>VLOOKUP(L2669,'[2]tabela de preços'!$A:$G,7,0)</f>
        <v>AUTOMOTIVO</v>
      </c>
    </row>
    <row r="2670" spans="1:24" x14ac:dyDescent="0.3">
      <c r="A2670" t="s">
        <v>626</v>
      </c>
      <c r="B2670" t="s">
        <v>627</v>
      </c>
      <c r="C2670" t="s">
        <v>2604</v>
      </c>
      <c r="D2670" s="1">
        <v>46057</v>
      </c>
      <c r="E2670" t="s">
        <v>2605</v>
      </c>
      <c r="F2670">
        <v>9</v>
      </c>
      <c r="G2670">
        <v>174</v>
      </c>
      <c r="H2670" t="str">
        <f>VLOOKUP(G2670,[1]OPERADORES!$A:$B,2,0)</f>
        <v>MIRIÃ LOBATO RODRIGUES</v>
      </c>
      <c r="I2670" t="s">
        <v>21</v>
      </c>
      <c r="J2670" t="s">
        <v>630</v>
      </c>
      <c r="K2670" t="s">
        <v>631</v>
      </c>
      <c r="L2670">
        <v>21077</v>
      </c>
      <c r="M2670" t="s">
        <v>207</v>
      </c>
      <c r="O2670" t="s">
        <v>11</v>
      </c>
      <c r="P2670">
        <v>5102</v>
      </c>
      <c r="Q2670">
        <v>12</v>
      </c>
      <c r="R2670">
        <v>44.68</v>
      </c>
      <c r="S2670">
        <v>536.16</v>
      </c>
      <c r="T2670">
        <v>407.04</v>
      </c>
      <c r="U2670">
        <v>24.08</v>
      </c>
      <c r="V2670" t="str">
        <f>VLOOKUP(L2670,'[2]tabela de preços'!$A:$D,4,0)</f>
        <v>SHERWIN WILLIAMS</v>
      </c>
      <c r="W2670" t="str">
        <f>VLOOKUP(L2670,'[2]tabela de preços'!$A:$F,6,0)</f>
        <v>MASSA POLIÉSTER</v>
      </c>
      <c r="X2670" t="str">
        <f>VLOOKUP(L2670,'[2]tabela de preços'!$A:$G,7,0)</f>
        <v>AUTOMOTIVO</v>
      </c>
    </row>
    <row r="2671" spans="1:24" x14ac:dyDescent="0.3">
      <c r="A2671" t="s">
        <v>626</v>
      </c>
      <c r="B2671" t="s">
        <v>627</v>
      </c>
      <c r="C2671" t="s">
        <v>2604</v>
      </c>
      <c r="D2671" s="1">
        <v>46057</v>
      </c>
      <c r="E2671" t="s">
        <v>2605</v>
      </c>
      <c r="F2671">
        <v>9</v>
      </c>
      <c r="G2671">
        <v>174</v>
      </c>
      <c r="H2671" t="str">
        <f>VLOOKUP(G2671,[1]OPERADORES!$A:$B,2,0)</f>
        <v>MIRIÃ LOBATO RODRIGUES</v>
      </c>
      <c r="I2671" t="s">
        <v>21</v>
      </c>
      <c r="J2671" t="s">
        <v>630</v>
      </c>
      <c r="K2671" t="s">
        <v>631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626</v>
      </c>
      <c r="B2672" t="s">
        <v>627</v>
      </c>
      <c r="C2672" t="s">
        <v>2604</v>
      </c>
      <c r="D2672" s="1">
        <v>46057</v>
      </c>
      <c r="E2672" t="s">
        <v>2605</v>
      </c>
      <c r="F2672">
        <v>9</v>
      </c>
      <c r="G2672">
        <v>174</v>
      </c>
      <c r="H2672" t="str">
        <f>VLOOKUP(G2672,[1]OPERADORES!$A:$B,2,0)</f>
        <v>MIRIÃ LOBATO RODRIGUES</v>
      </c>
      <c r="I2672" t="s">
        <v>21</v>
      </c>
      <c r="J2672" t="s">
        <v>630</v>
      </c>
      <c r="K2672" t="s">
        <v>631</v>
      </c>
      <c r="L2672">
        <v>24247</v>
      </c>
      <c r="M2672" t="s">
        <v>160</v>
      </c>
      <c r="O2672" t="s">
        <v>11</v>
      </c>
      <c r="P2672">
        <v>5403</v>
      </c>
      <c r="Q2672">
        <v>18</v>
      </c>
      <c r="R2672">
        <v>21</v>
      </c>
      <c r="S2672">
        <v>378</v>
      </c>
      <c r="T2672">
        <v>303.66000000000003</v>
      </c>
      <c r="U2672">
        <v>19.670000000000002</v>
      </c>
      <c r="V2672" t="str">
        <f>VLOOKUP(L2672,'[2]tabela de preços'!$A:$D,4,0)</f>
        <v>SHERWIN WILLIAMS</v>
      </c>
      <c r="W2672" t="str">
        <f>VLOOKUP(L2672,'[2]tabela de preços'!$A:$F,6,0)</f>
        <v>PRIMER AUTOMOTIVO</v>
      </c>
      <c r="X2672" t="str">
        <f>VLOOKUP(L2672,'[2]tabela de preços'!$A:$G,7,0)</f>
        <v>AUTOMOTIVO</v>
      </c>
    </row>
    <row r="2673" spans="1:24" x14ac:dyDescent="0.3">
      <c r="A2673" t="s">
        <v>626</v>
      </c>
      <c r="B2673" t="s">
        <v>627</v>
      </c>
      <c r="C2673" t="s">
        <v>2809</v>
      </c>
      <c r="D2673" s="1">
        <v>46062</v>
      </c>
      <c r="E2673" t="s">
        <v>2810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21</v>
      </c>
      <c r="J2673" t="s">
        <v>630</v>
      </c>
      <c r="K2673" t="s">
        <v>631</v>
      </c>
      <c r="L2673">
        <v>23259</v>
      </c>
      <c r="M2673" t="s">
        <v>632</v>
      </c>
      <c r="O2673" t="s">
        <v>11</v>
      </c>
      <c r="P2673">
        <v>5403</v>
      </c>
      <c r="Q2673">
        <v>2</v>
      </c>
      <c r="R2673">
        <v>42.56</v>
      </c>
      <c r="S2673">
        <v>85.12</v>
      </c>
      <c r="T2673">
        <v>61.02</v>
      </c>
      <c r="U2673">
        <v>28.31</v>
      </c>
      <c r="V2673" t="str">
        <f>VLOOKUP(L2673,'[2]tabela de preços'!$A:$D,4,0)</f>
        <v>WANDA</v>
      </c>
      <c r="W2673" t="str">
        <f>VLOOKUP(L2673,'[2]tabela de preços'!$A:$F,6,0)</f>
        <v>TINTAS POLIÉSTER</v>
      </c>
      <c r="X2673" t="str">
        <f>VLOOKUP(L2673,'[2]tabela de preços'!$A:$G,7,0)</f>
        <v>AUTOMOTIVO</v>
      </c>
    </row>
    <row r="2674" spans="1:24" x14ac:dyDescent="0.3">
      <c r="A2674" t="s">
        <v>626</v>
      </c>
      <c r="B2674" t="s">
        <v>627</v>
      </c>
      <c r="C2674" t="s">
        <v>2809</v>
      </c>
      <c r="D2674" s="1">
        <v>46062</v>
      </c>
      <c r="E2674" t="s">
        <v>2810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21</v>
      </c>
      <c r="J2674" t="s">
        <v>630</v>
      </c>
      <c r="K2674" t="s">
        <v>631</v>
      </c>
      <c r="L2674">
        <v>84487</v>
      </c>
      <c r="M2674" t="s">
        <v>633</v>
      </c>
      <c r="O2674" t="s">
        <v>11</v>
      </c>
      <c r="P2674">
        <v>5403</v>
      </c>
      <c r="Q2674">
        <v>6</v>
      </c>
      <c r="R2674">
        <v>28.84</v>
      </c>
      <c r="S2674">
        <v>173.04</v>
      </c>
      <c r="T2674">
        <v>131.34</v>
      </c>
      <c r="U2674">
        <v>24.1</v>
      </c>
      <c r="V2674" t="str">
        <f>VLOOKUP(L2674,'[2]tabela de preços'!$A:$D,4,0)</f>
        <v>BRASILUX</v>
      </c>
      <c r="W2674" t="str">
        <f>VLOOKUP(L2674,'[2]tabela de preços'!$A:$F,6,0)</f>
        <v>TINTAS LACA</v>
      </c>
      <c r="X2674" t="str">
        <f>VLOOKUP(L2674,'[2]tabela de preços'!$A:$G,7,0)</f>
        <v>AUTOMOTIVO</v>
      </c>
    </row>
    <row r="2675" spans="1:24" x14ac:dyDescent="0.3">
      <c r="A2675" t="s">
        <v>626</v>
      </c>
      <c r="B2675" t="s">
        <v>627</v>
      </c>
      <c r="C2675" t="s">
        <v>2809</v>
      </c>
      <c r="D2675" s="1">
        <v>46062</v>
      </c>
      <c r="E2675" t="s">
        <v>2810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21</v>
      </c>
      <c r="J2675" t="s">
        <v>630</v>
      </c>
      <c r="K2675" t="s">
        <v>631</v>
      </c>
      <c r="L2675">
        <v>84108</v>
      </c>
      <c r="M2675" t="s">
        <v>144</v>
      </c>
      <c r="O2675" t="s">
        <v>11</v>
      </c>
      <c r="P2675">
        <v>5403</v>
      </c>
      <c r="Q2675">
        <v>6</v>
      </c>
      <c r="R2675">
        <v>27.29</v>
      </c>
      <c r="S2675">
        <v>163.74</v>
      </c>
      <c r="T2675">
        <v>124.26</v>
      </c>
      <c r="U2675">
        <v>24.11</v>
      </c>
      <c r="V2675" t="str">
        <f>VLOOKUP(L2675,'[2]tabela de preços'!$A:$D,4,0)</f>
        <v>BRASILUX</v>
      </c>
      <c r="W2675" t="str">
        <f>VLOOKUP(L2675,'[2]tabela de preços'!$A:$F,6,0)</f>
        <v>TINTAS LACA</v>
      </c>
      <c r="X2675" t="str">
        <f>VLOOKUP(L2675,'[2]tabela de preços'!$A:$G,7,0)</f>
        <v>AUTOMOTIVO</v>
      </c>
    </row>
    <row r="2676" spans="1:24" x14ac:dyDescent="0.3">
      <c r="A2676" t="s">
        <v>626</v>
      </c>
      <c r="B2676" t="s">
        <v>627</v>
      </c>
      <c r="C2676" t="s">
        <v>2809</v>
      </c>
      <c r="D2676" s="1">
        <v>46062</v>
      </c>
      <c r="E2676" t="s">
        <v>2810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21</v>
      </c>
      <c r="J2676" t="s">
        <v>630</v>
      </c>
      <c r="K2676" t="s">
        <v>631</v>
      </c>
      <c r="L2676">
        <v>24248</v>
      </c>
      <c r="M2676" t="s">
        <v>107</v>
      </c>
      <c r="O2676" t="s">
        <v>11</v>
      </c>
      <c r="P2676">
        <v>5102</v>
      </c>
      <c r="Q2676">
        <v>24</v>
      </c>
      <c r="R2676">
        <v>8</v>
      </c>
      <c r="S2676">
        <v>192</v>
      </c>
      <c r="T2676">
        <v>156</v>
      </c>
      <c r="U2676">
        <v>18.75</v>
      </c>
      <c r="V2676" t="str">
        <f>VLOOKUP(L2676,'[2]tabela de preços'!$A:$D,4,0)</f>
        <v>SHERWIN WILLIAMS</v>
      </c>
      <c r="W2676" t="str">
        <f>VLOOKUP(L2676,'[2]tabela de preços'!$A:$F,6,0)</f>
        <v>PRIMER AUTOMOTIVO</v>
      </c>
      <c r="X2676" t="str">
        <f>VLOOKUP(L2676,'[2]tabela de preços'!$A:$G,7,0)</f>
        <v>AUTOMOTIVO</v>
      </c>
    </row>
    <row r="2677" spans="1:24" x14ac:dyDescent="0.3">
      <c r="A2677" t="s">
        <v>626</v>
      </c>
      <c r="B2677" t="s">
        <v>627</v>
      </c>
      <c r="C2677" t="s">
        <v>2809</v>
      </c>
      <c r="D2677" s="1">
        <v>46062</v>
      </c>
      <c r="E2677" t="s">
        <v>2810</v>
      </c>
      <c r="F2677">
        <v>9</v>
      </c>
      <c r="G2677">
        <v>174</v>
      </c>
      <c r="H2677" t="str">
        <f>VLOOKUP(G2677,[1]OPERADORES!$A:$B,2,0)</f>
        <v>MIRIÃ LOBATO RODRIGUES</v>
      </c>
      <c r="I2677" t="s">
        <v>21</v>
      </c>
      <c r="J2677" t="s">
        <v>630</v>
      </c>
      <c r="K2677" t="s">
        <v>631</v>
      </c>
      <c r="L2677">
        <v>85621</v>
      </c>
      <c r="M2677" t="s">
        <v>1656</v>
      </c>
      <c r="O2677" t="s">
        <v>11</v>
      </c>
      <c r="P2677">
        <v>5102</v>
      </c>
      <c r="Q2677">
        <v>10</v>
      </c>
      <c r="R2677">
        <v>15.99</v>
      </c>
      <c r="S2677">
        <v>159.9</v>
      </c>
      <c r="T2677">
        <v>122.8</v>
      </c>
      <c r="U2677">
        <v>23.2</v>
      </c>
      <c r="V2677" t="str">
        <f>VLOOKUP(L2677,'[2]tabela de preços'!$A:$D,4,0)</f>
        <v>ADERE</v>
      </c>
      <c r="W2677" t="str">
        <f>VLOOKUP(L2677,'[2]tabela de preços'!$A:$F,6,0)</f>
        <v xml:space="preserve">FITA DE USO GERAL </v>
      </c>
      <c r="X2677" t="str">
        <f>VLOOKUP(L2677,'[2]tabela de preços'!$A:$G,7,0)</f>
        <v>IMOBILIÁRIO</v>
      </c>
    </row>
    <row r="2678" spans="1:24" x14ac:dyDescent="0.3">
      <c r="A2678" t="s">
        <v>626</v>
      </c>
      <c r="B2678" t="s">
        <v>627</v>
      </c>
      <c r="C2678" t="s">
        <v>2809</v>
      </c>
      <c r="D2678" s="1">
        <v>46062</v>
      </c>
      <c r="E2678" t="s">
        <v>2810</v>
      </c>
      <c r="F2678">
        <v>9</v>
      </c>
      <c r="G2678">
        <v>174</v>
      </c>
      <c r="H2678" t="str">
        <f>VLOOKUP(G2678,[1]OPERADORES!$A:$B,2,0)</f>
        <v>MIRIÃ LOBATO RODRIGUES</v>
      </c>
      <c r="I2678" t="s">
        <v>21</v>
      </c>
      <c r="J2678" t="s">
        <v>630</v>
      </c>
      <c r="K2678" t="s">
        <v>631</v>
      </c>
      <c r="L2678">
        <v>23690</v>
      </c>
      <c r="M2678" t="s">
        <v>98</v>
      </c>
      <c r="O2678" t="s">
        <v>11</v>
      </c>
      <c r="P2678">
        <v>5403</v>
      </c>
      <c r="Q2678">
        <v>6</v>
      </c>
      <c r="R2678">
        <v>39.89</v>
      </c>
      <c r="S2678">
        <v>239.34</v>
      </c>
      <c r="T2678">
        <v>189.66</v>
      </c>
      <c r="U2678">
        <v>20.76</v>
      </c>
      <c r="V2678" t="str">
        <f>VLOOKUP(L2678,'[2]tabela de preços'!$A:$D,4,0)</f>
        <v>WANDA</v>
      </c>
      <c r="W2678" t="str">
        <f>VLOOKUP(L2678,'[2]tabela de preços'!$A:$F,6,0)</f>
        <v>VERNIZ AUTOMOTIVO</v>
      </c>
      <c r="X2678" t="str">
        <f>VLOOKUP(L2678,'[2]tabela de preços'!$A:$G,7,0)</f>
        <v>AUTOMOTIVO</v>
      </c>
    </row>
    <row r="2679" spans="1:24" x14ac:dyDescent="0.3">
      <c r="A2679" t="s">
        <v>626</v>
      </c>
      <c r="B2679" t="s">
        <v>627</v>
      </c>
      <c r="C2679" t="s">
        <v>2809</v>
      </c>
      <c r="D2679" s="1">
        <v>46062</v>
      </c>
      <c r="E2679" t="s">
        <v>2810</v>
      </c>
      <c r="F2679">
        <v>9</v>
      </c>
      <c r="G2679">
        <v>174</v>
      </c>
      <c r="H2679" t="str">
        <f>VLOOKUP(G2679,[1]OPERADORES!$A:$B,2,0)</f>
        <v>MIRIÃ LOBATO RODRIGUES</v>
      </c>
      <c r="I2679" t="s">
        <v>21</v>
      </c>
      <c r="J2679" t="s">
        <v>630</v>
      </c>
      <c r="K2679" t="s">
        <v>631</v>
      </c>
      <c r="L2679">
        <v>87043</v>
      </c>
      <c r="M2679" t="s">
        <v>217</v>
      </c>
      <c r="O2679" t="s">
        <v>11</v>
      </c>
      <c r="P2679">
        <v>5102</v>
      </c>
      <c r="Q2679">
        <v>16</v>
      </c>
      <c r="R2679">
        <v>21.95</v>
      </c>
      <c r="S2679">
        <v>351.2</v>
      </c>
      <c r="T2679">
        <v>288.32</v>
      </c>
      <c r="U2679">
        <v>17.899999999999999</v>
      </c>
      <c r="V2679" t="str">
        <f>VLOOKUP(L2679,'[2]tabela de preços'!$A:$D,4,0)</f>
        <v>ROBERLO</v>
      </c>
      <c r="W2679" t="str">
        <f>VLOOKUP(L2679,'[2]tabela de preços'!$A:$F,6,0)</f>
        <v>MASSA POLIÉSTER</v>
      </c>
      <c r="X2679" t="str">
        <f>VLOOKUP(L2679,'[2]tabela de preços'!$A:$G,7,0)</f>
        <v>AUTOMOTIVO</v>
      </c>
    </row>
    <row r="2680" spans="1:24" x14ac:dyDescent="0.3">
      <c r="A2680" t="s">
        <v>626</v>
      </c>
      <c r="B2680" t="s">
        <v>627</v>
      </c>
      <c r="C2680" t="s">
        <v>2809</v>
      </c>
      <c r="D2680" s="1">
        <v>46062</v>
      </c>
      <c r="E2680" t="s">
        <v>2810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630</v>
      </c>
      <c r="K2680" t="s">
        <v>631</v>
      </c>
      <c r="L2680">
        <v>24247</v>
      </c>
      <c r="M2680" t="s">
        <v>160</v>
      </c>
      <c r="O2680" t="s">
        <v>11</v>
      </c>
      <c r="P2680">
        <v>5403</v>
      </c>
      <c r="Q2680">
        <v>24</v>
      </c>
      <c r="R2680">
        <v>21</v>
      </c>
      <c r="S2680">
        <v>504</v>
      </c>
      <c r="T2680">
        <v>404.88</v>
      </c>
      <c r="U2680">
        <v>19.670000000000002</v>
      </c>
      <c r="V2680" t="str">
        <f>VLOOKUP(L2680,'[2]tabela de preços'!$A:$D,4,0)</f>
        <v>SHERWIN WILLIAMS</v>
      </c>
      <c r="W2680" t="str">
        <f>VLOOKUP(L2680,'[2]tabela de preços'!$A:$F,6,0)</f>
        <v>PRIMER AUTOMOTIVO</v>
      </c>
      <c r="X2680" t="str">
        <f>VLOOKUP(L2680,'[2]tabela de preços'!$A:$G,7,0)</f>
        <v>AUTOMOTIVO</v>
      </c>
    </row>
    <row r="2681" spans="1:24" x14ac:dyDescent="0.3">
      <c r="A2681" t="s">
        <v>626</v>
      </c>
      <c r="B2681" t="s">
        <v>627</v>
      </c>
      <c r="C2681" t="s">
        <v>2809</v>
      </c>
      <c r="D2681" s="1">
        <v>46062</v>
      </c>
      <c r="E2681" t="s">
        <v>2810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630</v>
      </c>
      <c r="K2681" t="s">
        <v>631</v>
      </c>
      <c r="L2681">
        <v>10297</v>
      </c>
      <c r="M2681" t="s">
        <v>41</v>
      </c>
      <c r="O2681" t="s">
        <v>11</v>
      </c>
      <c r="P2681">
        <v>5102</v>
      </c>
      <c r="Q2681">
        <v>12</v>
      </c>
      <c r="R2681">
        <v>10.89</v>
      </c>
      <c r="S2681">
        <v>130.68</v>
      </c>
      <c r="T2681">
        <v>110.04</v>
      </c>
      <c r="U2681">
        <v>15.79</v>
      </c>
      <c r="V2681" t="str">
        <f>VLOOKUP(L2681,'[2]tabela de preços'!$A:$D,4,0)</f>
        <v>ANJO</v>
      </c>
      <c r="W2681" t="str">
        <f>VLOOKUP(L2681,'[2]tabela de preços'!$A:$F,6,0)</f>
        <v>THINNER DE LIMPEZA</v>
      </c>
      <c r="X2681" t="str">
        <f>VLOOKUP(L2681,'[2]tabela de preços'!$A:$G,7,0)</f>
        <v>THINNER</v>
      </c>
    </row>
    <row r="2682" spans="1:24" x14ac:dyDescent="0.3">
      <c r="A2682" t="s">
        <v>626</v>
      </c>
      <c r="B2682" t="s">
        <v>627</v>
      </c>
      <c r="C2682" t="s">
        <v>2811</v>
      </c>
      <c r="D2682" s="1">
        <v>46062</v>
      </c>
      <c r="E2682" t="s">
        <v>2812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630</v>
      </c>
      <c r="K2682" t="s">
        <v>631</v>
      </c>
      <c r="L2682">
        <v>5</v>
      </c>
      <c r="M2682" t="s">
        <v>147</v>
      </c>
      <c r="O2682" t="s">
        <v>11</v>
      </c>
      <c r="P2682">
        <v>5102</v>
      </c>
      <c r="Q2682">
        <v>5</v>
      </c>
      <c r="R2682">
        <v>5.15</v>
      </c>
      <c r="S2682">
        <v>25.75</v>
      </c>
      <c r="T2682">
        <v>19.55</v>
      </c>
      <c r="U2682">
        <v>24.08</v>
      </c>
      <c r="V2682" t="str">
        <f>VLOOKUP(L2682,'[2]tabela de preços'!$A:$D,4,0)</f>
        <v>BRILHO ESTOPA</v>
      </c>
      <c r="W2682" t="str">
        <f>VLOOKUP(L2682,'[2]tabela de preços'!$A:$F,6,0)</f>
        <v>ESTOPAS</v>
      </c>
      <c r="X2682" t="str">
        <f>VLOOKUP(L2682,'[2]tabela de preços'!$A:$G,7,0)</f>
        <v>AUTOMOTIVO</v>
      </c>
    </row>
    <row r="2683" spans="1:24" x14ac:dyDescent="0.3">
      <c r="A2683" t="s">
        <v>626</v>
      </c>
      <c r="B2683" t="s">
        <v>627</v>
      </c>
      <c r="C2683" t="s">
        <v>2811</v>
      </c>
      <c r="D2683" s="1">
        <v>46062</v>
      </c>
      <c r="E2683" t="s">
        <v>2812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630</v>
      </c>
      <c r="K2683" t="s">
        <v>631</v>
      </c>
      <c r="L2683">
        <v>20383</v>
      </c>
      <c r="M2683" t="s">
        <v>129</v>
      </c>
      <c r="O2683" t="s">
        <v>11</v>
      </c>
      <c r="P2683">
        <v>5403</v>
      </c>
      <c r="Q2683">
        <v>2</v>
      </c>
      <c r="R2683">
        <v>33.79</v>
      </c>
      <c r="S2683">
        <v>67.58</v>
      </c>
      <c r="T2683">
        <v>48.18</v>
      </c>
      <c r="U2683">
        <v>28.71</v>
      </c>
      <c r="V2683" t="str">
        <f>VLOOKUP(L2683,'[2]tabela de preços'!$A:$D,4,0)</f>
        <v>SHERWIN WILLIAMS</v>
      </c>
      <c r="W2683" t="str">
        <f>VLOOKUP(L2683,'[2]tabela de preços'!$A:$F,6,0)</f>
        <v>TINTAS POLIÉSTER</v>
      </c>
      <c r="X2683" t="str">
        <f>VLOOKUP(L2683,'[2]tabela de preços'!$A:$G,7,0)</f>
        <v>AUTOMOTIVO</v>
      </c>
    </row>
    <row r="2684" spans="1:24" x14ac:dyDescent="0.3">
      <c r="A2684" t="s">
        <v>626</v>
      </c>
      <c r="B2684" t="s">
        <v>627</v>
      </c>
      <c r="C2684" t="s">
        <v>2811</v>
      </c>
      <c r="D2684" s="1">
        <v>46062</v>
      </c>
      <c r="E2684" t="s">
        <v>2812</v>
      </c>
      <c r="F2684">
        <v>9</v>
      </c>
      <c r="G2684">
        <v>174</v>
      </c>
      <c r="H2684" t="str">
        <f>VLOOKUP(G2684,[1]OPERADORES!$A:$B,2,0)</f>
        <v>MIRIÃ LOBATO RODRIGUES</v>
      </c>
      <c r="I2684" t="s">
        <v>21</v>
      </c>
      <c r="J2684" t="s">
        <v>630</v>
      </c>
      <c r="K2684" t="s">
        <v>631</v>
      </c>
      <c r="L2684">
        <v>10240</v>
      </c>
      <c r="M2684" t="s">
        <v>81</v>
      </c>
      <c r="O2684" t="s">
        <v>11</v>
      </c>
      <c r="P2684">
        <v>5102</v>
      </c>
      <c r="Q2684">
        <v>10</v>
      </c>
      <c r="R2684">
        <v>2.79</v>
      </c>
      <c r="S2684">
        <v>27.9</v>
      </c>
      <c r="T2684">
        <v>22.4</v>
      </c>
      <c r="U2684">
        <v>19.71</v>
      </c>
      <c r="V2684" t="str">
        <f>VLOOKUP(L2684,'[2]tabela de preços'!$A:$D,4,0)</f>
        <v>NORTON</v>
      </c>
      <c r="W2684" t="str">
        <f>VLOOKUP(L2684,'[2]tabela de preços'!$A:$F,6,0)</f>
        <v xml:space="preserve">DISCOS / LIXAS / ABRASIVOS </v>
      </c>
      <c r="X2684" t="str">
        <f>VLOOKUP(L2684,'[2]tabela de preços'!$A:$G,7,0)</f>
        <v>AUTOMOTIVO</v>
      </c>
    </row>
    <row r="2685" spans="1:24" x14ac:dyDescent="0.3">
      <c r="A2685" t="s">
        <v>626</v>
      </c>
      <c r="B2685" t="s">
        <v>627</v>
      </c>
      <c r="C2685" t="s">
        <v>2811</v>
      </c>
      <c r="D2685" s="1">
        <v>46062</v>
      </c>
      <c r="E2685" t="s">
        <v>2812</v>
      </c>
      <c r="F2685">
        <v>9</v>
      </c>
      <c r="G2685">
        <v>174</v>
      </c>
      <c r="H2685" t="str">
        <f>VLOOKUP(G2685,[1]OPERADORES!$A:$B,2,0)</f>
        <v>MIRIÃ LOBATO RODRIGUES</v>
      </c>
      <c r="I2685" t="s">
        <v>21</v>
      </c>
      <c r="J2685" t="s">
        <v>630</v>
      </c>
      <c r="K2685" t="s">
        <v>631</v>
      </c>
      <c r="L2685">
        <v>10242</v>
      </c>
      <c r="M2685" t="s">
        <v>82</v>
      </c>
      <c r="O2685" t="s">
        <v>11</v>
      </c>
      <c r="P2685">
        <v>5102</v>
      </c>
      <c r="Q2685">
        <v>10</v>
      </c>
      <c r="R2685">
        <v>2.79</v>
      </c>
      <c r="S2685">
        <v>27.9</v>
      </c>
      <c r="T2685">
        <v>22.4</v>
      </c>
      <c r="U2685">
        <v>19.71</v>
      </c>
      <c r="V2685" t="str">
        <f>VLOOKUP(L2685,'[2]tabela de preços'!$A:$D,4,0)</f>
        <v>NORTON</v>
      </c>
      <c r="W2685" t="str">
        <f>VLOOKUP(L2685,'[2]tabela de preços'!$A:$F,6,0)</f>
        <v xml:space="preserve">DISCOS / LIXAS / ABRASIVOS </v>
      </c>
      <c r="X2685" t="str">
        <f>VLOOKUP(L2685,'[2]tabela de preços'!$A:$G,7,0)</f>
        <v>AUTOMOTIVO</v>
      </c>
    </row>
    <row r="2686" spans="1:24" x14ac:dyDescent="0.3">
      <c r="A2686" t="s">
        <v>626</v>
      </c>
      <c r="B2686" t="s">
        <v>627</v>
      </c>
      <c r="C2686" t="s">
        <v>2811</v>
      </c>
      <c r="D2686" s="1">
        <v>46062</v>
      </c>
      <c r="E2686" t="s">
        <v>2812</v>
      </c>
      <c r="F2686">
        <v>9</v>
      </c>
      <c r="G2686">
        <v>174</v>
      </c>
      <c r="H2686" t="str">
        <f>VLOOKUP(G2686,[1]OPERADORES!$A:$B,2,0)</f>
        <v>MIRIÃ LOBATO RODRIGUES</v>
      </c>
      <c r="I2686" t="s">
        <v>21</v>
      </c>
      <c r="J2686" t="s">
        <v>630</v>
      </c>
      <c r="K2686" t="s">
        <v>631</v>
      </c>
      <c r="L2686">
        <v>85189</v>
      </c>
      <c r="M2686" t="s">
        <v>197</v>
      </c>
      <c r="O2686" t="s">
        <v>11</v>
      </c>
      <c r="P2686">
        <v>5102</v>
      </c>
      <c r="Q2686">
        <v>2</v>
      </c>
      <c r="R2686">
        <v>177.9</v>
      </c>
      <c r="S2686">
        <v>355.8</v>
      </c>
      <c r="T2686">
        <v>276.3</v>
      </c>
      <c r="U2686">
        <v>22.34</v>
      </c>
      <c r="V2686" t="str">
        <f>VLOOKUP(L2686,'[2]tabela de preços'!$A:$D,4,0)</f>
        <v>PDR</v>
      </c>
      <c r="W2686" t="str">
        <f>VLOOKUP(L2686,'[2]tabela de preços'!$A:$F,6,0)</f>
        <v>PISTOLAS</v>
      </c>
      <c r="X2686" t="str">
        <f>VLOOKUP(L2686,'[2]tabela de preços'!$A:$G,7,0)</f>
        <v>AUTOMOTIVO</v>
      </c>
    </row>
    <row r="2687" spans="1:24" x14ac:dyDescent="0.3">
      <c r="A2687" t="s">
        <v>626</v>
      </c>
      <c r="B2687" t="s">
        <v>627</v>
      </c>
      <c r="C2687" t="s">
        <v>2811</v>
      </c>
      <c r="D2687" s="1">
        <v>46062</v>
      </c>
      <c r="E2687" t="s">
        <v>2812</v>
      </c>
      <c r="F2687">
        <v>9</v>
      </c>
      <c r="G2687">
        <v>174</v>
      </c>
      <c r="H2687" t="str">
        <f>VLOOKUP(G2687,[1]OPERADORES!$A:$B,2,0)</f>
        <v>MIRIÃ LOBATO RODRIGUES</v>
      </c>
      <c r="I2687" t="s">
        <v>21</v>
      </c>
      <c r="J2687" t="s">
        <v>630</v>
      </c>
      <c r="K2687" t="s">
        <v>631</v>
      </c>
      <c r="L2687">
        <v>20414</v>
      </c>
      <c r="M2687" t="s">
        <v>112</v>
      </c>
      <c r="O2687" t="s">
        <v>11</v>
      </c>
      <c r="P2687">
        <v>5102</v>
      </c>
      <c r="Q2687">
        <v>8</v>
      </c>
      <c r="R2687">
        <v>21.89</v>
      </c>
      <c r="S2687">
        <v>175.12</v>
      </c>
      <c r="T2687">
        <v>144</v>
      </c>
      <c r="U2687">
        <v>17.77</v>
      </c>
      <c r="V2687" t="str">
        <f>VLOOKUP(L2687,'[2]tabela de preços'!$A:$D,4,0)</f>
        <v>SHERWIN WILLIAMS</v>
      </c>
      <c r="W2687" t="str">
        <f>VLOOKUP(L2687,'[2]tabela de preços'!$A:$F,6,0)</f>
        <v>DILUENTE</v>
      </c>
      <c r="X2687" t="str">
        <f>VLOOKUP(L2687,'[2]tabela de preços'!$A:$G,7,0)</f>
        <v>AUTOMOTIVO</v>
      </c>
    </row>
    <row r="2688" spans="1:24" x14ac:dyDescent="0.3">
      <c r="A2688" t="s">
        <v>626</v>
      </c>
      <c r="B2688" t="s">
        <v>627</v>
      </c>
      <c r="C2688" t="s">
        <v>2888</v>
      </c>
      <c r="D2688" s="1">
        <v>46063</v>
      </c>
      <c r="E2688" t="s">
        <v>2889</v>
      </c>
      <c r="F2688">
        <v>9</v>
      </c>
      <c r="G2688">
        <v>174</v>
      </c>
      <c r="H2688" t="str">
        <f>VLOOKUP(G2688,[1]OPERADORES!$A:$B,2,0)</f>
        <v>MIRIÃ LOBATO RODRIGUES</v>
      </c>
      <c r="I2688" t="s">
        <v>21</v>
      </c>
      <c r="J2688" t="s">
        <v>630</v>
      </c>
      <c r="K2688" t="s">
        <v>631</v>
      </c>
      <c r="L2688">
        <v>23653</v>
      </c>
      <c r="M2688" t="s">
        <v>644</v>
      </c>
      <c r="O2688" t="s">
        <v>11</v>
      </c>
      <c r="P2688">
        <v>5102</v>
      </c>
      <c r="Q2688">
        <v>1</v>
      </c>
      <c r="R2688">
        <v>67.150000000000006</v>
      </c>
      <c r="S2688">
        <v>67.150000000000006</v>
      </c>
      <c r="T2688">
        <v>50.97</v>
      </c>
      <c r="U2688">
        <v>24.1</v>
      </c>
      <c r="V2688" t="str">
        <f>VLOOKUP(L2688,'[2]tabela de preços'!$A:$D,4,0)</f>
        <v>SIKKENS</v>
      </c>
      <c r="W2688" t="str">
        <f>VLOOKUP(L2688,'[2]tabela de preços'!$A:$F,6,0)</f>
        <v>CATALISADORES INDIVIDUAS</v>
      </c>
      <c r="X2688" t="str">
        <f>VLOOKUP(L2688,'[2]tabela de preços'!$A:$G,7,0)</f>
        <v>AUTOMOTIVO</v>
      </c>
    </row>
    <row r="2689" spans="1:24" x14ac:dyDescent="0.3">
      <c r="A2689" t="s">
        <v>626</v>
      </c>
      <c r="B2689" t="s">
        <v>627</v>
      </c>
      <c r="C2689" t="s">
        <v>2888</v>
      </c>
      <c r="D2689" s="1">
        <v>46063</v>
      </c>
      <c r="E2689" t="s">
        <v>2889</v>
      </c>
      <c r="F2689">
        <v>9</v>
      </c>
      <c r="G2689">
        <v>174</v>
      </c>
      <c r="H2689" t="str">
        <f>VLOOKUP(G2689,[1]OPERADORES!$A:$B,2,0)</f>
        <v>MIRIÃ LOBATO RODRIGUES</v>
      </c>
      <c r="I2689" t="s">
        <v>21</v>
      </c>
      <c r="J2689" t="s">
        <v>630</v>
      </c>
      <c r="K2689" t="s">
        <v>631</v>
      </c>
      <c r="L2689">
        <v>20354</v>
      </c>
      <c r="M2689" t="s">
        <v>1342</v>
      </c>
      <c r="O2689" t="s">
        <v>11</v>
      </c>
      <c r="P2689">
        <v>5403</v>
      </c>
      <c r="Q2689">
        <v>2</v>
      </c>
      <c r="R2689">
        <v>32.97</v>
      </c>
      <c r="S2689">
        <v>65.94</v>
      </c>
      <c r="T2689">
        <v>47.02</v>
      </c>
      <c r="U2689">
        <v>28.69</v>
      </c>
      <c r="V2689" t="str">
        <f>VLOOKUP(L2689,'[2]tabela de preços'!$A:$D,4,0)</f>
        <v>SHERWIN WILLIAMS</v>
      </c>
      <c r="W2689" t="str">
        <f>VLOOKUP(L2689,'[2]tabela de preços'!$A:$F,6,0)</f>
        <v>TINTAS POLIÉSTER</v>
      </c>
      <c r="X2689" t="str">
        <f>VLOOKUP(L2689,'[2]tabela de preços'!$A:$G,7,0)</f>
        <v>AUTOMOTIVO</v>
      </c>
    </row>
    <row r="2690" spans="1:24" x14ac:dyDescent="0.3">
      <c r="A2690" t="s">
        <v>626</v>
      </c>
      <c r="B2690" t="s">
        <v>627</v>
      </c>
      <c r="C2690" t="s">
        <v>2888</v>
      </c>
      <c r="D2690" s="1">
        <v>46063</v>
      </c>
      <c r="E2690" t="s">
        <v>2889</v>
      </c>
      <c r="F2690">
        <v>9</v>
      </c>
      <c r="G2690">
        <v>174</v>
      </c>
      <c r="H2690" t="str">
        <f>VLOOKUP(G2690,[1]OPERADORES!$A:$B,2,0)</f>
        <v>MIRIÃ LOBATO RODRIGUES</v>
      </c>
      <c r="I2690" t="s">
        <v>21</v>
      </c>
      <c r="J2690" t="s">
        <v>630</v>
      </c>
      <c r="K2690" t="s">
        <v>631</v>
      </c>
      <c r="L2690">
        <v>87043</v>
      </c>
      <c r="M2690" t="s">
        <v>217</v>
      </c>
      <c r="O2690" t="s">
        <v>11</v>
      </c>
      <c r="P2690">
        <v>5102</v>
      </c>
      <c r="Q2690">
        <v>32</v>
      </c>
      <c r="R2690">
        <v>21.95</v>
      </c>
      <c r="S2690">
        <v>702.4</v>
      </c>
      <c r="T2690">
        <v>576.64</v>
      </c>
      <c r="U2690">
        <v>17.899999999999999</v>
      </c>
      <c r="V2690" t="str">
        <f>VLOOKUP(L2690,'[2]tabela de preços'!$A:$D,4,0)</f>
        <v>ROBERLO</v>
      </c>
      <c r="W2690" t="str">
        <f>VLOOKUP(L2690,'[2]tabela de preços'!$A:$F,6,0)</f>
        <v>MASSA POLIÉSTER</v>
      </c>
      <c r="X2690" t="str">
        <f>VLOOKUP(L2690,'[2]tabela de preços'!$A:$G,7,0)</f>
        <v>AUTOMOTIVO</v>
      </c>
    </row>
    <row r="2691" spans="1:24" x14ac:dyDescent="0.3">
      <c r="A2691" t="s">
        <v>626</v>
      </c>
      <c r="B2691" t="s">
        <v>627</v>
      </c>
      <c r="C2691" t="s">
        <v>2888</v>
      </c>
      <c r="D2691" s="1">
        <v>46063</v>
      </c>
      <c r="E2691" t="s">
        <v>2889</v>
      </c>
      <c r="F2691">
        <v>9</v>
      </c>
      <c r="G2691">
        <v>174</v>
      </c>
      <c r="H2691" t="str">
        <f>VLOOKUP(G2691,[1]OPERADORES!$A:$B,2,0)</f>
        <v>MIRIÃ LOBATO RODRIGUES</v>
      </c>
      <c r="I2691" t="s">
        <v>21</v>
      </c>
      <c r="J2691" t="s">
        <v>630</v>
      </c>
      <c r="K2691" t="s">
        <v>631</v>
      </c>
      <c r="L2691">
        <v>23926</v>
      </c>
      <c r="M2691" t="s">
        <v>645</v>
      </c>
      <c r="O2691" t="s">
        <v>11</v>
      </c>
      <c r="P2691">
        <v>5403</v>
      </c>
      <c r="Q2691">
        <v>1</v>
      </c>
      <c r="R2691">
        <v>147.1</v>
      </c>
      <c r="S2691">
        <v>147.1</v>
      </c>
      <c r="T2691">
        <v>98.89</v>
      </c>
      <c r="U2691">
        <v>32.770000000000003</v>
      </c>
      <c r="V2691" t="str">
        <f>VLOOKUP(L2691,'[2]tabela de preços'!$A:$D,4,0)</f>
        <v>SIKKENS</v>
      </c>
      <c r="W2691" t="str">
        <f>VLOOKUP(L2691,'[2]tabela de preços'!$A:$F,6,0)</f>
        <v>PRIMER AUTOMOTIVO</v>
      </c>
      <c r="X2691" t="str">
        <f>VLOOKUP(L2691,'[2]tabela de preços'!$A:$G,7,0)</f>
        <v>AUTOMOTIVO</v>
      </c>
    </row>
    <row r="2692" spans="1:24" x14ac:dyDescent="0.3">
      <c r="A2692" t="s">
        <v>626</v>
      </c>
      <c r="B2692" t="s">
        <v>627</v>
      </c>
      <c r="C2692" t="s">
        <v>2888</v>
      </c>
      <c r="D2692" s="1">
        <v>46063</v>
      </c>
      <c r="E2692" t="s">
        <v>2889</v>
      </c>
      <c r="F2692">
        <v>9</v>
      </c>
      <c r="G2692">
        <v>174</v>
      </c>
      <c r="H2692" t="str">
        <f>VLOOKUP(G2692,[1]OPERADORES!$A:$B,2,0)</f>
        <v>MIRIÃ LOBATO RODRIGUES</v>
      </c>
      <c r="I2692" t="s">
        <v>21</v>
      </c>
      <c r="J2692" t="s">
        <v>630</v>
      </c>
      <c r="K2692" t="s">
        <v>631</v>
      </c>
      <c r="L2692">
        <v>10404</v>
      </c>
      <c r="M2692" t="s">
        <v>130</v>
      </c>
      <c r="O2692" t="s">
        <v>11</v>
      </c>
      <c r="P2692">
        <v>5102</v>
      </c>
      <c r="Q2692">
        <v>24</v>
      </c>
      <c r="R2692">
        <v>16.29</v>
      </c>
      <c r="S2692">
        <v>390.96</v>
      </c>
      <c r="T2692">
        <v>300.24</v>
      </c>
      <c r="U2692">
        <v>23.2</v>
      </c>
      <c r="V2692" t="str">
        <f>VLOOKUP(L2692,'[2]tabela de preços'!$A:$D,4,0)</f>
        <v>MAXI RUBBER</v>
      </c>
      <c r="W2692" t="str">
        <f>VLOOKUP(L2692,'[2]tabela de preços'!$A:$F,6,0)</f>
        <v>VEDADORES / SELANTES</v>
      </c>
      <c r="X2692" t="str">
        <f>VLOOKUP(L2692,'[2]tabela de preços'!$A:$G,7,0)</f>
        <v>AUTOMOTIVO</v>
      </c>
    </row>
    <row r="2693" spans="1:24" x14ac:dyDescent="0.3">
      <c r="A2693" t="s">
        <v>626</v>
      </c>
      <c r="B2693" t="s">
        <v>627</v>
      </c>
      <c r="C2693" t="s">
        <v>2890</v>
      </c>
      <c r="D2693" s="1">
        <v>46064</v>
      </c>
      <c r="E2693" t="s">
        <v>2891</v>
      </c>
      <c r="F2693">
        <v>9</v>
      </c>
      <c r="G2693">
        <v>174</v>
      </c>
      <c r="H2693" t="str">
        <f>VLOOKUP(G2693,[1]OPERADORES!$A:$B,2,0)</f>
        <v>MIRIÃ LOBATO RODRIGUES</v>
      </c>
      <c r="I2693" t="s">
        <v>21</v>
      </c>
      <c r="J2693" t="s">
        <v>630</v>
      </c>
      <c r="K2693" t="s">
        <v>631</v>
      </c>
      <c r="L2693">
        <v>21860</v>
      </c>
      <c r="M2693" t="s">
        <v>2038</v>
      </c>
      <c r="O2693" t="s">
        <v>11</v>
      </c>
      <c r="P2693">
        <v>5403</v>
      </c>
      <c r="Q2693">
        <v>1</v>
      </c>
      <c r="R2693">
        <v>61.32</v>
      </c>
      <c r="S2693">
        <v>61.32</v>
      </c>
      <c r="T2693">
        <v>46.54</v>
      </c>
      <c r="U2693">
        <v>24.1</v>
      </c>
      <c r="V2693" t="str">
        <f>VLOOKUP(L2693,'[2]tabela de preços'!$A:$D,4,0)</f>
        <v>SIKKENS</v>
      </c>
      <c r="W2693" t="str">
        <f>VLOOKUP(L2693,'[2]tabela de preços'!$A:$F,6,0)</f>
        <v>VERNIZ AUTOMOTIVO</v>
      </c>
      <c r="X2693" t="str">
        <f>VLOOKUP(L2693,'[2]tabela de preços'!$A:$G,7,0)</f>
        <v>AUTOMOTIVO</v>
      </c>
    </row>
    <row r="2694" spans="1:24" x14ac:dyDescent="0.3">
      <c r="A2694" t="s">
        <v>626</v>
      </c>
      <c r="B2694" t="s">
        <v>627</v>
      </c>
      <c r="C2694" t="s">
        <v>2890</v>
      </c>
      <c r="D2694" s="1">
        <v>46064</v>
      </c>
      <c r="E2694" t="s">
        <v>2891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21862</v>
      </c>
      <c r="M2694" t="s">
        <v>2040</v>
      </c>
      <c r="O2694" t="s">
        <v>11</v>
      </c>
      <c r="P2694">
        <v>5102</v>
      </c>
      <c r="Q2694">
        <v>1</v>
      </c>
      <c r="R2694">
        <v>29.8</v>
      </c>
      <c r="S2694">
        <v>29.8</v>
      </c>
      <c r="T2694">
        <v>22.62</v>
      </c>
      <c r="U2694">
        <v>24.09</v>
      </c>
      <c r="V2694" t="str">
        <f>VLOOKUP(L2694,'[2]tabela de preços'!$A:$D,4,0)</f>
        <v>SIKKENS</v>
      </c>
      <c r="W2694" t="str">
        <f>VLOOKUP(L2694,'[2]tabela de preços'!$A:$F,6,0)</f>
        <v>CATALISADORES INDIVIDUAS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2890</v>
      </c>
      <c r="D2695" s="1">
        <v>46064</v>
      </c>
      <c r="E2695" t="s">
        <v>2891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23076</v>
      </c>
      <c r="M2695" t="s">
        <v>97</v>
      </c>
      <c r="O2695" t="s">
        <v>11</v>
      </c>
      <c r="P2695">
        <v>5403</v>
      </c>
      <c r="Q2695">
        <v>18</v>
      </c>
      <c r="R2695">
        <v>34.89</v>
      </c>
      <c r="S2695">
        <v>628.02</v>
      </c>
      <c r="T2695">
        <v>477.54</v>
      </c>
      <c r="U2695">
        <v>23.96</v>
      </c>
      <c r="V2695" t="str">
        <f>VLOOKUP(L2695,'[2]tabela de preços'!$A:$D,4,0)</f>
        <v>WANDA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2890</v>
      </c>
      <c r="D2696" s="1">
        <v>46064</v>
      </c>
      <c r="E2696" t="s">
        <v>2891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84658</v>
      </c>
      <c r="M2696" t="s">
        <v>100</v>
      </c>
      <c r="O2696" t="s">
        <v>11</v>
      </c>
      <c r="P2696">
        <v>5102</v>
      </c>
      <c r="Q2696">
        <v>6</v>
      </c>
      <c r="R2696">
        <v>40.840000000000003</v>
      </c>
      <c r="S2696">
        <v>245.04</v>
      </c>
      <c r="T2696">
        <v>186</v>
      </c>
      <c r="U2696">
        <v>24.09</v>
      </c>
      <c r="V2696" t="str">
        <f>VLOOKUP(L2696,'[2]tabela de preços'!$A:$D,4,0)</f>
        <v>ANJO</v>
      </c>
      <c r="W2696" t="str">
        <f>VLOOKUP(L2696,'[2]tabela de preços'!$A:$F,6,0)</f>
        <v>MASSA POLIÉSTER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2890</v>
      </c>
      <c r="D2697" s="1">
        <v>46064</v>
      </c>
      <c r="E2697" t="s">
        <v>2891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20212</v>
      </c>
      <c r="M2697" t="s">
        <v>198</v>
      </c>
      <c r="O2697" t="s">
        <v>11</v>
      </c>
      <c r="P2697">
        <v>5403</v>
      </c>
      <c r="Q2697">
        <v>1</v>
      </c>
      <c r="R2697">
        <v>26.95</v>
      </c>
      <c r="S2697">
        <v>26.95</v>
      </c>
      <c r="T2697">
        <v>20.46</v>
      </c>
      <c r="U2697">
        <v>24.08</v>
      </c>
      <c r="V2697" t="str">
        <f>VLOOKUP(L2697,'[2]tabela de preços'!$A:$D,4,0)</f>
        <v>MAXI RUBBER</v>
      </c>
      <c r="W2697" t="str">
        <f>VLOOKUP(L2697,'[2]tabela de preços'!$A:$F,6,0)</f>
        <v>SELADORA P/ PLASTICO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2890</v>
      </c>
      <c r="D2698" s="1">
        <v>46064</v>
      </c>
      <c r="E2698" t="s">
        <v>2891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23287</v>
      </c>
      <c r="M2698" t="s">
        <v>273</v>
      </c>
      <c r="O2698" t="s">
        <v>11</v>
      </c>
      <c r="P2698">
        <v>5102</v>
      </c>
      <c r="Q2698">
        <v>1</v>
      </c>
      <c r="R2698">
        <v>39.979999999999997</v>
      </c>
      <c r="S2698">
        <v>39.979999999999997</v>
      </c>
      <c r="T2698">
        <v>30.35</v>
      </c>
      <c r="U2698">
        <v>24.09</v>
      </c>
      <c r="V2698" t="str">
        <f>VLOOKUP(L2698,'[2]tabela de preços'!$A:$D,4,0)</f>
        <v>AUTO AMERICA</v>
      </c>
      <c r="W2698" t="str">
        <f>VLOOKUP(L2698,'[2]tabela de preços'!$A:$F,6,0)</f>
        <v>CERA  / LIMPEZA /  POLIMENTO VEICULAR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3075</v>
      </c>
      <c r="D2699" s="1">
        <v>46065</v>
      </c>
      <c r="E2699" t="s">
        <v>3076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22955</v>
      </c>
      <c r="M2699" t="s">
        <v>3077</v>
      </c>
      <c r="O2699" t="s">
        <v>11</v>
      </c>
      <c r="P2699">
        <v>5403</v>
      </c>
      <c r="Q2699">
        <v>2</v>
      </c>
      <c r="R2699">
        <v>43.39</v>
      </c>
      <c r="S2699">
        <v>86.78</v>
      </c>
      <c r="T2699">
        <v>65.88</v>
      </c>
      <c r="U2699">
        <v>24.08</v>
      </c>
      <c r="V2699" t="str">
        <f>VLOOKUP(L2699,'[2]tabela de preços'!$A:$D,4,0)</f>
        <v>WANDA</v>
      </c>
      <c r="W2699" t="str">
        <f>VLOOKUP(L2699,'[2]tabela de preços'!$A:$F,6,0)</f>
        <v>TINTAS POLIÉSTER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3075</v>
      </c>
      <c r="D2700" s="1">
        <v>46065</v>
      </c>
      <c r="E2700" t="s">
        <v>3076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21125</v>
      </c>
      <c r="M2700" t="s">
        <v>2242</v>
      </c>
      <c r="O2700" t="s">
        <v>11</v>
      </c>
      <c r="P2700">
        <v>5102</v>
      </c>
      <c r="Q2700">
        <v>1</v>
      </c>
      <c r="R2700">
        <v>47.86</v>
      </c>
      <c r="S2700">
        <v>47.86</v>
      </c>
      <c r="T2700">
        <v>36.32</v>
      </c>
      <c r="U2700">
        <v>24.11</v>
      </c>
      <c r="V2700" t="str">
        <f>VLOOKUP(L2700,'[2]tabela de preços'!$A:$D,4,0)</f>
        <v>PURPLEX</v>
      </c>
      <c r="W2700" t="str">
        <f>VLOOKUP(L2700,'[2]tabela de preços'!$A:$F,6,0)</f>
        <v>TACO LIXADOR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3075</v>
      </c>
      <c r="D2701" s="1">
        <v>46065</v>
      </c>
      <c r="E2701" t="s">
        <v>3076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21067</v>
      </c>
      <c r="M2701" t="s">
        <v>640</v>
      </c>
      <c r="O2701" t="s">
        <v>11</v>
      </c>
      <c r="P2701">
        <v>5102</v>
      </c>
      <c r="Q2701">
        <v>2</v>
      </c>
      <c r="R2701">
        <v>36.06</v>
      </c>
      <c r="S2701">
        <v>72.12</v>
      </c>
      <c r="T2701">
        <v>54.74</v>
      </c>
      <c r="U2701">
        <v>24.1</v>
      </c>
      <c r="V2701" t="str">
        <f>VLOOKUP(L2701,'[2]tabela de preços'!$A:$D,4,0)</f>
        <v>SIKKENS</v>
      </c>
      <c r="W2701" t="str">
        <f>VLOOKUP(L2701,'[2]tabela de preços'!$A:$F,6,0)</f>
        <v>DILUENTE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3075</v>
      </c>
      <c r="D2702" s="1">
        <v>46065</v>
      </c>
      <c r="E2702" t="s">
        <v>3076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20212</v>
      </c>
      <c r="M2702" t="s">
        <v>198</v>
      </c>
      <c r="O2702" t="s">
        <v>11</v>
      </c>
      <c r="P2702">
        <v>5403</v>
      </c>
      <c r="Q2702">
        <v>2</v>
      </c>
      <c r="R2702">
        <v>26.95</v>
      </c>
      <c r="S2702">
        <v>53.9</v>
      </c>
      <c r="T2702">
        <v>40.92</v>
      </c>
      <c r="U2702">
        <v>24.08</v>
      </c>
      <c r="V2702" t="str">
        <f>VLOOKUP(L2702,'[2]tabela de preços'!$A:$D,4,0)</f>
        <v>MAXI RUBBER</v>
      </c>
      <c r="W2702" t="str">
        <f>VLOOKUP(L2702,'[2]tabela de preços'!$A:$F,6,0)</f>
        <v>SELADORA P/ PLASTICO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3075</v>
      </c>
      <c r="D2703" s="1">
        <v>46065</v>
      </c>
      <c r="E2703" t="s">
        <v>3076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84560</v>
      </c>
      <c r="M2703" t="s">
        <v>118</v>
      </c>
      <c r="O2703" t="s">
        <v>11</v>
      </c>
      <c r="P2703">
        <v>5102</v>
      </c>
      <c r="Q2703">
        <v>1</v>
      </c>
      <c r="R2703">
        <v>47.89</v>
      </c>
      <c r="S2703">
        <v>47.89</v>
      </c>
      <c r="T2703">
        <v>39.159999999999997</v>
      </c>
      <c r="U2703">
        <v>18.23</v>
      </c>
      <c r="V2703" t="str">
        <f>VLOOKUP(L2703,'[2]tabela de preços'!$A:$D,4,0)</f>
        <v>BRASILUX</v>
      </c>
      <c r="W2703" t="str">
        <f>VLOOKUP(L2703,'[2]tabela de preços'!$A:$F,6,0)</f>
        <v>THINNER DE LIMPEZA</v>
      </c>
      <c r="X2703" t="str">
        <f>VLOOKUP(L2703,'[2]tabela de preços'!$A:$G,7,0)</f>
        <v>THINNER</v>
      </c>
    </row>
    <row r="2704" spans="1:24" x14ac:dyDescent="0.3">
      <c r="A2704" t="s">
        <v>626</v>
      </c>
      <c r="B2704" t="s">
        <v>627</v>
      </c>
      <c r="C2704" t="s">
        <v>3075</v>
      </c>
      <c r="D2704" s="1">
        <v>46065</v>
      </c>
      <c r="E2704" t="s">
        <v>3076</v>
      </c>
      <c r="F2704">
        <v>9</v>
      </c>
      <c r="G2704">
        <v>174</v>
      </c>
      <c r="H2704" t="str">
        <f>VLOOKUP(G2704,[1]OPERADORES!$A:$B,2,0)</f>
        <v>MIRIÃ LOBATO RODRIGUES</v>
      </c>
      <c r="I2704" t="s">
        <v>21</v>
      </c>
      <c r="J2704" t="s">
        <v>630</v>
      </c>
      <c r="K2704" t="s">
        <v>631</v>
      </c>
      <c r="L2704">
        <v>20414</v>
      </c>
      <c r="M2704" t="s">
        <v>112</v>
      </c>
      <c r="O2704" t="s">
        <v>11</v>
      </c>
      <c r="P2704">
        <v>5102</v>
      </c>
      <c r="Q2704">
        <v>20</v>
      </c>
      <c r="R2704">
        <v>21.89</v>
      </c>
      <c r="S2704">
        <v>437.8</v>
      </c>
      <c r="T2704">
        <v>360</v>
      </c>
      <c r="U2704">
        <v>17.77</v>
      </c>
      <c r="V2704" t="str">
        <f>VLOOKUP(L2704,'[2]tabela de preços'!$A:$D,4,0)</f>
        <v>SHERWIN WILLIAMS</v>
      </c>
      <c r="W2704" t="str">
        <f>VLOOKUP(L2704,'[2]tabela de preços'!$A:$F,6,0)</f>
        <v>DILUENTE</v>
      </c>
      <c r="X2704" t="str">
        <f>VLOOKUP(L2704,'[2]tabela de preços'!$A:$G,7,0)</f>
        <v>AUTOMOTIVO</v>
      </c>
    </row>
    <row r="2705" spans="1:24" x14ac:dyDescent="0.3">
      <c r="A2705" t="s">
        <v>626</v>
      </c>
      <c r="B2705" t="s">
        <v>627</v>
      </c>
      <c r="C2705" t="s">
        <v>3078</v>
      </c>
      <c r="D2705" s="1">
        <v>46066</v>
      </c>
      <c r="E2705" t="s">
        <v>3079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630</v>
      </c>
      <c r="K2705" t="s">
        <v>631</v>
      </c>
      <c r="L2705">
        <v>84487</v>
      </c>
      <c r="M2705" t="s">
        <v>633</v>
      </c>
      <c r="O2705" t="s">
        <v>11</v>
      </c>
      <c r="P2705">
        <v>5403</v>
      </c>
      <c r="Q2705">
        <v>6</v>
      </c>
      <c r="R2705">
        <v>33.93</v>
      </c>
      <c r="S2705">
        <v>203.58</v>
      </c>
      <c r="T2705">
        <v>131.34</v>
      </c>
      <c r="U2705">
        <v>35.479999999999997</v>
      </c>
      <c r="V2705" t="str">
        <f>VLOOKUP(L2705,'[2]tabela de preços'!$A:$D,4,0)</f>
        <v>BRASILUX</v>
      </c>
      <c r="W2705" t="str">
        <f>VLOOKUP(L2705,'[2]tabela de preços'!$A:$F,6,0)</f>
        <v>TINTAS LACA</v>
      </c>
      <c r="X2705" t="str">
        <f>VLOOKUP(L2705,'[2]tabela de preços'!$A:$G,7,0)</f>
        <v>AUTOMOTIVO</v>
      </c>
    </row>
    <row r="2706" spans="1:24" x14ac:dyDescent="0.3">
      <c r="A2706" t="s">
        <v>626</v>
      </c>
      <c r="B2706" t="s">
        <v>627</v>
      </c>
      <c r="C2706" t="s">
        <v>3078</v>
      </c>
      <c r="D2706" s="1">
        <v>46066</v>
      </c>
      <c r="E2706" t="s">
        <v>3079</v>
      </c>
      <c r="F2706">
        <v>9</v>
      </c>
      <c r="G2706">
        <v>174</v>
      </c>
      <c r="H2706" t="str">
        <f>VLOOKUP(G2706,[1]OPERADORES!$A:$B,2,0)</f>
        <v>MIRIÃ LOBATO RODRIGUES</v>
      </c>
      <c r="I2706" t="s">
        <v>21</v>
      </c>
      <c r="J2706" t="s">
        <v>630</v>
      </c>
      <c r="K2706" t="s">
        <v>631</v>
      </c>
      <c r="L2706">
        <v>84108</v>
      </c>
      <c r="M2706" t="s">
        <v>144</v>
      </c>
      <c r="O2706" t="s">
        <v>11</v>
      </c>
      <c r="P2706">
        <v>5403</v>
      </c>
      <c r="Q2706">
        <v>6</v>
      </c>
      <c r="R2706">
        <v>27.29</v>
      </c>
      <c r="S2706">
        <v>163.74</v>
      </c>
      <c r="T2706">
        <v>124.26</v>
      </c>
      <c r="U2706">
        <v>24.11</v>
      </c>
      <c r="V2706" t="str">
        <f>VLOOKUP(L2706,'[2]tabela de preços'!$A:$D,4,0)</f>
        <v>BRASILUX</v>
      </c>
      <c r="W2706" t="str">
        <f>VLOOKUP(L2706,'[2]tabela de preços'!$A:$F,6,0)</f>
        <v>TINTAS LACA</v>
      </c>
      <c r="X2706" t="str">
        <f>VLOOKUP(L2706,'[2]tabela de preços'!$A:$G,7,0)</f>
        <v>AUTOMOTIVO</v>
      </c>
    </row>
    <row r="2707" spans="1:24" x14ac:dyDescent="0.3">
      <c r="A2707" t="s">
        <v>626</v>
      </c>
      <c r="B2707" t="s">
        <v>627</v>
      </c>
      <c r="C2707" t="s">
        <v>3078</v>
      </c>
      <c r="D2707" s="1">
        <v>46066</v>
      </c>
      <c r="E2707" t="s">
        <v>3079</v>
      </c>
      <c r="F2707">
        <v>9</v>
      </c>
      <c r="G2707">
        <v>174</v>
      </c>
      <c r="H2707" t="str">
        <f>VLOOKUP(G2707,[1]OPERADORES!$A:$B,2,0)</f>
        <v>MIRIÃ LOBATO RODRIGUES</v>
      </c>
      <c r="I2707" t="s">
        <v>21</v>
      </c>
      <c r="J2707" t="s">
        <v>630</v>
      </c>
      <c r="K2707" t="s">
        <v>631</v>
      </c>
      <c r="L2707">
        <v>23580</v>
      </c>
      <c r="M2707" t="s">
        <v>115</v>
      </c>
      <c r="O2707" t="s">
        <v>11</v>
      </c>
      <c r="P2707">
        <v>5102</v>
      </c>
      <c r="Q2707">
        <v>150</v>
      </c>
      <c r="R2707">
        <v>0.48</v>
      </c>
      <c r="S2707">
        <v>72</v>
      </c>
      <c r="T2707">
        <v>54</v>
      </c>
      <c r="U2707">
        <v>25</v>
      </c>
      <c r="V2707" t="str">
        <f>VLOOKUP(L2707,'[2]tabela de preços'!$A:$D,4,0)</f>
        <v>RENOVA COADORES</v>
      </c>
      <c r="W2707" t="str">
        <f>VLOOKUP(L2707,'[2]tabela de preços'!$A:$F,6,0)</f>
        <v>COADORES</v>
      </c>
      <c r="X2707" t="str">
        <f>VLOOKUP(L2707,'[2]tabela de preços'!$A:$G,7,0)</f>
        <v>AUTOMOTIVO</v>
      </c>
    </row>
    <row r="2708" spans="1:24" x14ac:dyDescent="0.3">
      <c r="A2708" t="s">
        <v>626</v>
      </c>
      <c r="B2708" t="s">
        <v>627</v>
      </c>
      <c r="C2708" t="s">
        <v>3078</v>
      </c>
      <c r="D2708" s="1">
        <v>46066</v>
      </c>
      <c r="E2708" t="s">
        <v>3079</v>
      </c>
      <c r="F2708">
        <v>9</v>
      </c>
      <c r="G2708">
        <v>174</v>
      </c>
      <c r="H2708" t="str">
        <f>VLOOKUP(G2708,[1]OPERADORES!$A:$B,2,0)</f>
        <v>MIRIÃ LOBATO RODRIGUES</v>
      </c>
      <c r="I2708" t="s">
        <v>21</v>
      </c>
      <c r="J2708" t="s">
        <v>630</v>
      </c>
      <c r="K2708" t="s">
        <v>631</v>
      </c>
      <c r="L2708">
        <v>23110</v>
      </c>
      <c r="M2708" t="s">
        <v>409</v>
      </c>
      <c r="O2708" t="s">
        <v>11</v>
      </c>
      <c r="P2708">
        <v>5102</v>
      </c>
      <c r="Q2708">
        <v>400</v>
      </c>
      <c r="R2708">
        <v>2.35</v>
      </c>
      <c r="S2708">
        <v>940</v>
      </c>
      <c r="T2708">
        <v>740</v>
      </c>
      <c r="U2708">
        <v>21.28</v>
      </c>
      <c r="V2708" t="str">
        <f>VLOOKUP(L2708,'[2]tabela de preços'!$A:$D,4,0)</f>
        <v>3M</v>
      </c>
      <c r="W2708" t="str">
        <f>VLOOKUP(L2708,'[2]tabela de preços'!$A:$F,6,0)</f>
        <v xml:space="preserve">DISCOS / LIXAS / ABRASIVOS </v>
      </c>
      <c r="X2708" t="str">
        <f>VLOOKUP(L2708,'[2]tabela de preços'!$A:$G,7,0)</f>
        <v>AUTOMOTIVO</v>
      </c>
    </row>
    <row r="2709" spans="1:24" x14ac:dyDescent="0.3">
      <c r="A2709" t="s">
        <v>626</v>
      </c>
      <c r="B2709" t="s">
        <v>627</v>
      </c>
      <c r="C2709" t="s">
        <v>3078</v>
      </c>
      <c r="D2709" s="1">
        <v>46066</v>
      </c>
      <c r="E2709" t="s">
        <v>3079</v>
      </c>
      <c r="F2709">
        <v>9</v>
      </c>
      <c r="G2709">
        <v>174</v>
      </c>
      <c r="H2709" t="str">
        <f>VLOOKUP(G2709,[1]OPERADORES!$A:$B,2,0)</f>
        <v>MIRIÃ LOBATO RODRIGUES</v>
      </c>
      <c r="I2709" t="s">
        <v>21</v>
      </c>
      <c r="J2709" t="s">
        <v>630</v>
      </c>
      <c r="K2709" t="s">
        <v>631</v>
      </c>
      <c r="L2709">
        <v>23105</v>
      </c>
      <c r="M2709" t="s">
        <v>402</v>
      </c>
      <c r="O2709" t="s">
        <v>11</v>
      </c>
      <c r="P2709">
        <v>5102</v>
      </c>
      <c r="Q2709">
        <v>100</v>
      </c>
      <c r="R2709">
        <v>2.35</v>
      </c>
      <c r="S2709">
        <v>235</v>
      </c>
      <c r="T2709">
        <v>192</v>
      </c>
      <c r="U2709">
        <v>18.3</v>
      </c>
      <c r="V2709" t="str">
        <f>VLOOKUP(L2709,'[2]tabela de preços'!$A:$D,4,0)</f>
        <v>3M</v>
      </c>
      <c r="W2709" t="str">
        <f>VLOOKUP(L2709,'[2]tabela de preços'!$A:$F,6,0)</f>
        <v xml:space="preserve">DISCOS / LIXAS / ABRASIVOS </v>
      </c>
      <c r="X2709" t="str">
        <f>VLOOKUP(L2709,'[2]tabela de preços'!$A:$G,7,0)</f>
        <v>AUTOMOTIVO</v>
      </c>
    </row>
    <row r="2710" spans="1:24" x14ac:dyDescent="0.3">
      <c r="A2710" t="s">
        <v>626</v>
      </c>
      <c r="B2710" t="s">
        <v>627</v>
      </c>
      <c r="C2710" t="s">
        <v>3078</v>
      </c>
      <c r="D2710" s="1">
        <v>46066</v>
      </c>
      <c r="E2710" t="s">
        <v>3079</v>
      </c>
      <c r="F2710">
        <v>9</v>
      </c>
      <c r="G2710">
        <v>174</v>
      </c>
      <c r="H2710" t="str">
        <f>VLOOKUP(G2710,[1]OPERADORES!$A:$B,2,0)</f>
        <v>MIRIÃ LOBATO RODRIGUES</v>
      </c>
      <c r="I2710" t="s">
        <v>21</v>
      </c>
      <c r="J2710" t="s">
        <v>630</v>
      </c>
      <c r="K2710" t="s">
        <v>631</v>
      </c>
      <c r="L2710">
        <v>23106</v>
      </c>
      <c r="M2710" t="s">
        <v>403</v>
      </c>
      <c r="O2710" t="s">
        <v>11</v>
      </c>
      <c r="P2710">
        <v>5102</v>
      </c>
      <c r="Q2710">
        <v>100</v>
      </c>
      <c r="R2710">
        <v>2.35</v>
      </c>
      <c r="S2710">
        <v>235</v>
      </c>
      <c r="T2710">
        <v>192</v>
      </c>
      <c r="U2710">
        <v>18.3</v>
      </c>
      <c r="V2710" t="str">
        <f>VLOOKUP(L2710,'[2]tabela de preços'!$A:$D,4,0)</f>
        <v>3M</v>
      </c>
      <c r="W2710" t="str">
        <f>VLOOKUP(L2710,'[2]tabela de preços'!$A:$F,6,0)</f>
        <v xml:space="preserve">DISCOS / LIXAS / ABRASIVOS </v>
      </c>
      <c r="X2710" t="str">
        <f>VLOOKUP(L2710,'[2]tabela de preços'!$A:$G,7,0)</f>
        <v>AUTOMOTIVO</v>
      </c>
    </row>
    <row r="2711" spans="1:24" x14ac:dyDescent="0.3">
      <c r="A2711" t="s">
        <v>626</v>
      </c>
      <c r="B2711" t="s">
        <v>627</v>
      </c>
      <c r="C2711" t="s">
        <v>3078</v>
      </c>
      <c r="D2711" s="1">
        <v>46066</v>
      </c>
      <c r="E2711" t="s">
        <v>3079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630</v>
      </c>
      <c r="K2711" t="s">
        <v>631</v>
      </c>
      <c r="L2711">
        <v>23107</v>
      </c>
      <c r="M2711" t="s">
        <v>247</v>
      </c>
      <c r="O2711" t="s">
        <v>11</v>
      </c>
      <c r="P2711">
        <v>5102</v>
      </c>
      <c r="Q2711">
        <v>100</v>
      </c>
      <c r="R2711">
        <v>2.35</v>
      </c>
      <c r="S2711">
        <v>235</v>
      </c>
      <c r="T2711">
        <v>185</v>
      </c>
      <c r="U2711">
        <v>21.28</v>
      </c>
      <c r="V2711" t="str">
        <f>VLOOKUP(L2711,'[2]tabela de preços'!$A:$D,4,0)</f>
        <v>3M</v>
      </c>
      <c r="W2711" t="str">
        <f>VLOOKUP(L2711,'[2]tabela de preços'!$A:$F,6,0)</f>
        <v xml:space="preserve">DISCOS / LIXAS / ABRASIVOS </v>
      </c>
      <c r="X2711" t="str">
        <f>VLOOKUP(L2711,'[2]tabela de preços'!$A:$G,7,0)</f>
        <v>AUTOMOTIVO</v>
      </c>
    </row>
    <row r="2712" spans="1:24" x14ac:dyDescent="0.3">
      <c r="A2712" t="s">
        <v>626</v>
      </c>
      <c r="B2712" t="s">
        <v>627</v>
      </c>
      <c r="C2712" t="s">
        <v>3078</v>
      </c>
      <c r="D2712" s="1">
        <v>46066</v>
      </c>
      <c r="E2712" t="s">
        <v>3079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630</v>
      </c>
      <c r="K2712" t="s">
        <v>631</v>
      </c>
      <c r="L2712">
        <v>23108</v>
      </c>
      <c r="M2712" t="s">
        <v>248</v>
      </c>
      <c r="O2712" t="s">
        <v>11</v>
      </c>
      <c r="P2712">
        <v>5102</v>
      </c>
      <c r="Q2712">
        <v>100</v>
      </c>
      <c r="R2712">
        <v>2.35</v>
      </c>
      <c r="S2712">
        <v>235</v>
      </c>
      <c r="T2712">
        <v>185</v>
      </c>
      <c r="U2712">
        <v>21.28</v>
      </c>
      <c r="V2712" t="str">
        <f>VLOOKUP(L2712,'[2]tabela de preços'!$A:$D,4,0)</f>
        <v>3M</v>
      </c>
      <c r="W2712" t="str">
        <f>VLOOKUP(L2712,'[2]tabela de preços'!$A:$F,6,0)</f>
        <v xml:space="preserve">DISCOS / LIXAS / ABRASIVOS </v>
      </c>
      <c r="X2712" t="str">
        <f>VLOOKUP(L2712,'[2]tabela de preços'!$A:$G,7,0)</f>
        <v>AUTOMOTIVO</v>
      </c>
    </row>
    <row r="2713" spans="1:24" x14ac:dyDescent="0.3">
      <c r="A2713" t="s">
        <v>626</v>
      </c>
      <c r="B2713" t="s">
        <v>627</v>
      </c>
      <c r="C2713" t="s">
        <v>3078</v>
      </c>
      <c r="D2713" s="1">
        <v>46066</v>
      </c>
      <c r="E2713" t="s">
        <v>3079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630</v>
      </c>
      <c r="K2713" t="s">
        <v>631</v>
      </c>
      <c r="L2713">
        <v>20135</v>
      </c>
      <c r="M2713" t="s">
        <v>459</v>
      </c>
      <c r="O2713" t="s">
        <v>11</v>
      </c>
      <c r="P2713">
        <v>5102</v>
      </c>
      <c r="Q2713">
        <v>30</v>
      </c>
      <c r="R2713">
        <v>25.37</v>
      </c>
      <c r="S2713">
        <v>761.1</v>
      </c>
      <c r="T2713">
        <v>577.79999999999995</v>
      </c>
      <c r="U2713">
        <v>24.08</v>
      </c>
      <c r="V2713" t="str">
        <f>VLOOKUP(L2713,'[2]tabela de preços'!$A:$D,4,0)</f>
        <v>3M</v>
      </c>
      <c r="W2713" t="str">
        <f>VLOOKUP(L2713,'[2]tabela de preços'!$A:$F,6,0)</f>
        <v>DISCO TRIZACT</v>
      </c>
      <c r="X2713" t="str">
        <f>VLOOKUP(L2713,'[2]tabela de preços'!$A:$G,7,0)</f>
        <v>AUTOMOTIVO</v>
      </c>
    </row>
    <row r="2714" spans="1:24" x14ac:dyDescent="0.3">
      <c r="A2714" t="s">
        <v>626</v>
      </c>
      <c r="B2714" t="s">
        <v>627</v>
      </c>
      <c r="C2714" t="s">
        <v>3078</v>
      </c>
      <c r="D2714" s="1">
        <v>46066</v>
      </c>
      <c r="E2714" t="s">
        <v>3079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630</v>
      </c>
      <c r="K2714" t="s">
        <v>631</v>
      </c>
      <c r="L2714">
        <v>20245</v>
      </c>
      <c r="M2714" t="s">
        <v>146</v>
      </c>
      <c r="O2714" t="s">
        <v>11</v>
      </c>
      <c r="P2714">
        <v>5102</v>
      </c>
      <c r="Q2714">
        <v>12</v>
      </c>
      <c r="R2714">
        <v>1.78</v>
      </c>
      <c r="S2714">
        <v>21.36</v>
      </c>
      <c r="T2714">
        <v>16.2</v>
      </c>
      <c r="U2714">
        <v>24.16</v>
      </c>
      <c r="V2714" t="str">
        <f>VLOOKUP(L2714,'[2]tabela de preços'!$A:$D,4,0)</f>
        <v>ATLAS</v>
      </c>
      <c r="W2714" t="str">
        <f>VLOOKUP(L2714,'[2]tabela de preços'!$A:$F,6,0)</f>
        <v>APLICADORES / ADAPTADORES / ENGATES / SUPORTES</v>
      </c>
      <c r="X2714" t="str">
        <f>VLOOKUP(L2714,'[2]tabela de preços'!$A:$G,7,0)</f>
        <v>AUTOMOTIVO</v>
      </c>
    </row>
    <row r="2715" spans="1:24" x14ac:dyDescent="0.3">
      <c r="A2715" t="s">
        <v>626</v>
      </c>
      <c r="B2715" t="s">
        <v>627</v>
      </c>
      <c r="C2715" t="s">
        <v>3078</v>
      </c>
      <c r="D2715" s="1">
        <v>46066</v>
      </c>
      <c r="E2715" t="s">
        <v>3079</v>
      </c>
      <c r="F2715">
        <v>9</v>
      </c>
      <c r="G2715">
        <v>174</v>
      </c>
      <c r="H2715" t="str">
        <f>VLOOKUP(G2715,[1]OPERADORES!$A:$B,2,0)</f>
        <v>MIRIÃ LOBATO RODRIGUES</v>
      </c>
      <c r="I2715" t="s">
        <v>21</v>
      </c>
      <c r="J2715" t="s">
        <v>630</v>
      </c>
      <c r="K2715" t="s">
        <v>631</v>
      </c>
      <c r="L2715">
        <v>5</v>
      </c>
      <c r="M2715" t="s">
        <v>147</v>
      </c>
      <c r="O2715" t="s">
        <v>11</v>
      </c>
      <c r="P2715">
        <v>5102</v>
      </c>
      <c r="Q2715">
        <v>10</v>
      </c>
      <c r="R2715">
        <v>6.06</v>
      </c>
      <c r="S2715">
        <v>60.6</v>
      </c>
      <c r="T2715">
        <v>39.1</v>
      </c>
      <c r="U2715">
        <v>35.479999999999997</v>
      </c>
      <c r="V2715" t="str">
        <f>VLOOKUP(L2715,'[2]tabela de preços'!$A:$D,4,0)</f>
        <v>BRILHO ESTOPA</v>
      </c>
      <c r="W2715" t="str">
        <f>VLOOKUP(L2715,'[2]tabela de preços'!$A:$F,6,0)</f>
        <v>ESTOPAS</v>
      </c>
      <c r="X2715" t="str">
        <f>VLOOKUP(L2715,'[2]tabela de preços'!$A:$G,7,0)</f>
        <v>AUTOMOTIVO</v>
      </c>
    </row>
    <row r="2716" spans="1:24" x14ac:dyDescent="0.3">
      <c r="A2716" t="s">
        <v>626</v>
      </c>
      <c r="B2716" t="s">
        <v>627</v>
      </c>
      <c r="C2716" t="s">
        <v>3078</v>
      </c>
      <c r="D2716" s="1">
        <v>46066</v>
      </c>
      <c r="E2716" t="s">
        <v>3079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630</v>
      </c>
      <c r="K2716" t="s">
        <v>631</v>
      </c>
      <c r="L2716">
        <v>22684</v>
      </c>
      <c r="M2716" t="s">
        <v>73</v>
      </c>
      <c r="O2716" t="s">
        <v>11</v>
      </c>
      <c r="P2716">
        <v>5102</v>
      </c>
      <c r="Q2716">
        <v>80</v>
      </c>
      <c r="R2716">
        <v>3.65</v>
      </c>
      <c r="S2716">
        <v>292</v>
      </c>
      <c r="T2716">
        <v>246.4</v>
      </c>
      <c r="U2716">
        <v>15.62</v>
      </c>
      <c r="V2716" t="str">
        <f>VLOOKUP(L2716,'[2]tabela de preços'!$A:$D,4,0)</f>
        <v>3M</v>
      </c>
      <c r="W2716" t="str">
        <f>VLOOKUP(L2716,'[2]tabela de preços'!$A:$F,6,0)</f>
        <v>FITA AUTOMOTIVA</v>
      </c>
      <c r="X2716" t="str">
        <f>VLOOKUP(L2716,'[2]tabela de preços'!$A:$G,7,0)</f>
        <v>AUTOMOTIVO</v>
      </c>
    </row>
    <row r="2717" spans="1:24" x14ac:dyDescent="0.3">
      <c r="A2717" t="s">
        <v>626</v>
      </c>
      <c r="B2717" t="s">
        <v>627</v>
      </c>
      <c r="C2717" t="s">
        <v>3078</v>
      </c>
      <c r="D2717" s="1">
        <v>46066</v>
      </c>
      <c r="E2717" t="s">
        <v>3079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630</v>
      </c>
      <c r="K2717" t="s">
        <v>631</v>
      </c>
      <c r="L2717">
        <v>23690</v>
      </c>
      <c r="M2717" t="s">
        <v>98</v>
      </c>
      <c r="O2717" t="s">
        <v>11</v>
      </c>
      <c r="P2717">
        <v>5403</v>
      </c>
      <c r="Q2717">
        <v>6</v>
      </c>
      <c r="R2717">
        <v>39.89</v>
      </c>
      <c r="S2717">
        <v>239.34</v>
      </c>
      <c r="T2717">
        <v>189.66</v>
      </c>
      <c r="U2717">
        <v>20.76</v>
      </c>
      <c r="V2717" t="str">
        <f>VLOOKUP(L2717,'[2]tabela de preços'!$A:$D,4,0)</f>
        <v>WANDA</v>
      </c>
      <c r="W2717" t="str">
        <f>VLOOKUP(L2717,'[2]tabela de preços'!$A:$F,6,0)</f>
        <v>VERNIZ AUTOMOTIVO</v>
      </c>
      <c r="X2717" t="str">
        <f>VLOOKUP(L2717,'[2]tabela de preços'!$A:$G,7,0)</f>
        <v>AUTOMOTIVO</v>
      </c>
    </row>
    <row r="2718" spans="1:24" x14ac:dyDescent="0.3">
      <c r="A2718" t="s">
        <v>626</v>
      </c>
      <c r="B2718" t="s">
        <v>627</v>
      </c>
      <c r="C2718" t="s">
        <v>3078</v>
      </c>
      <c r="D2718" s="1">
        <v>46066</v>
      </c>
      <c r="E2718" t="s">
        <v>3079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630</v>
      </c>
      <c r="K2718" t="s">
        <v>631</v>
      </c>
      <c r="L2718">
        <v>23602</v>
      </c>
      <c r="M2718" t="s">
        <v>215</v>
      </c>
      <c r="O2718" t="s">
        <v>11</v>
      </c>
      <c r="P2718">
        <v>5403</v>
      </c>
      <c r="Q2718">
        <v>9</v>
      </c>
      <c r="R2718">
        <v>35.89</v>
      </c>
      <c r="S2718">
        <v>323.01</v>
      </c>
      <c r="T2718">
        <v>263.25</v>
      </c>
      <c r="U2718">
        <v>18.5</v>
      </c>
      <c r="V2718" t="str">
        <f>VLOOKUP(L2718,'[2]tabela de preços'!$A:$D,4,0)</f>
        <v>SHERWIN WILLIAMS</v>
      </c>
      <c r="W2718" t="str">
        <f>VLOOKUP(L2718,'[2]tabela de preços'!$A:$F,6,0)</f>
        <v>VERNIZ AUTOMOTIVO</v>
      </c>
      <c r="X2718" t="str">
        <f>VLOOKUP(L2718,'[2]tabela de preços'!$A:$G,7,0)</f>
        <v>AUTOMOTIVO</v>
      </c>
    </row>
    <row r="2719" spans="1:24" x14ac:dyDescent="0.3">
      <c r="A2719" t="s">
        <v>626</v>
      </c>
      <c r="B2719" t="s">
        <v>627</v>
      </c>
      <c r="C2719" t="s">
        <v>3078</v>
      </c>
      <c r="D2719" s="1">
        <v>46066</v>
      </c>
      <c r="E2719" t="s">
        <v>3079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630</v>
      </c>
      <c r="K2719" t="s">
        <v>631</v>
      </c>
      <c r="L2719">
        <v>20431</v>
      </c>
      <c r="M2719" t="s">
        <v>202</v>
      </c>
      <c r="O2719" t="s">
        <v>11</v>
      </c>
      <c r="P2719">
        <v>5403</v>
      </c>
      <c r="Q2719">
        <v>9</v>
      </c>
      <c r="R2719">
        <v>36.89</v>
      </c>
      <c r="S2719">
        <v>332.01</v>
      </c>
      <c r="T2719">
        <v>272.33999999999997</v>
      </c>
      <c r="U2719">
        <v>17.97</v>
      </c>
      <c r="V2719" t="str">
        <f>VLOOKUP(L2719,'[2]tabela de preços'!$A:$D,4,0)</f>
        <v>SHERWIN WILLIAMS</v>
      </c>
      <c r="W2719" t="str">
        <f>VLOOKUP(L2719,'[2]tabela de preços'!$A:$F,6,0)</f>
        <v>VERNIZ AUTOMOTIVO</v>
      </c>
      <c r="X2719" t="str">
        <f>VLOOKUP(L2719,'[2]tabela de preços'!$A:$G,7,0)</f>
        <v>AUTOMOTIVO</v>
      </c>
    </row>
    <row r="2720" spans="1:24" x14ac:dyDescent="0.3">
      <c r="A2720" t="s">
        <v>626</v>
      </c>
      <c r="B2720" t="s">
        <v>627</v>
      </c>
      <c r="C2720" t="s">
        <v>3078</v>
      </c>
      <c r="D2720" s="1">
        <v>46066</v>
      </c>
      <c r="E2720" t="s">
        <v>3079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630</v>
      </c>
      <c r="K2720" t="s">
        <v>631</v>
      </c>
      <c r="L2720">
        <v>20354</v>
      </c>
      <c r="M2720" t="s">
        <v>1342</v>
      </c>
      <c r="O2720" t="s">
        <v>11</v>
      </c>
      <c r="P2720">
        <v>5403</v>
      </c>
      <c r="Q2720">
        <v>3</v>
      </c>
      <c r="R2720">
        <v>32.97</v>
      </c>
      <c r="S2720">
        <v>98.91</v>
      </c>
      <c r="T2720">
        <v>70.53</v>
      </c>
      <c r="U2720">
        <v>28.69</v>
      </c>
      <c r="V2720" t="str">
        <f>VLOOKUP(L2720,'[2]tabela de preços'!$A:$D,4,0)</f>
        <v>SHERWIN WILLIAMS</v>
      </c>
      <c r="W2720" t="str">
        <f>VLOOKUP(L2720,'[2]tabela de preços'!$A:$F,6,0)</f>
        <v>TINTAS POLIÉSTER</v>
      </c>
      <c r="X2720" t="str">
        <f>VLOOKUP(L2720,'[2]tabela de preços'!$A:$G,7,0)</f>
        <v>AUTOMOTIVO</v>
      </c>
    </row>
    <row r="2721" spans="1:24" x14ac:dyDescent="0.3">
      <c r="A2721" t="s">
        <v>626</v>
      </c>
      <c r="B2721" t="s">
        <v>627</v>
      </c>
      <c r="C2721" t="s">
        <v>3078</v>
      </c>
      <c r="D2721" s="1">
        <v>46066</v>
      </c>
      <c r="E2721" t="s">
        <v>3079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630</v>
      </c>
      <c r="K2721" t="s">
        <v>631</v>
      </c>
      <c r="L2721">
        <v>23099</v>
      </c>
      <c r="M2721" t="s">
        <v>420</v>
      </c>
      <c r="O2721" t="s">
        <v>411</v>
      </c>
      <c r="P2721">
        <v>5102</v>
      </c>
      <c r="Q2721">
        <v>100</v>
      </c>
      <c r="R2721">
        <v>2.35</v>
      </c>
      <c r="S2721">
        <v>235</v>
      </c>
      <c r="T2721">
        <v>169</v>
      </c>
      <c r="U2721">
        <v>28.09</v>
      </c>
      <c r="V2721" t="str">
        <f>VLOOKUP(L2721,'[2]tabela de preços'!$A:$D,4,0)</f>
        <v>3M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626</v>
      </c>
      <c r="B2722" t="s">
        <v>627</v>
      </c>
      <c r="C2722" t="s">
        <v>3078</v>
      </c>
      <c r="D2722" s="1">
        <v>46066</v>
      </c>
      <c r="E2722" t="s">
        <v>3079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630</v>
      </c>
      <c r="K2722" t="s">
        <v>631</v>
      </c>
      <c r="L2722">
        <v>23096</v>
      </c>
      <c r="M2722" t="s">
        <v>656</v>
      </c>
      <c r="O2722" t="s">
        <v>411</v>
      </c>
      <c r="P2722">
        <v>5102</v>
      </c>
      <c r="Q2722">
        <v>100</v>
      </c>
      <c r="R2722">
        <v>2.35</v>
      </c>
      <c r="S2722">
        <v>235</v>
      </c>
      <c r="T2722">
        <v>169</v>
      </c>
      <c r="U2722">
        <v>28.09</v>
      </c>
      <c r="V2722" t="str">
        <f>VLOOKUP(L2722,'[2]tabela de preços'!$A:$D,4,0)</f>
        <v>3M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626</v>
      </c>
      <c r="B2723" t="s">
        <v>627</v>
      </c>
      <c r="C2723" t="s">
        <v>3078</v>
      </c>
      <c r="D2723" s="1">
        <v>46066</v>
      </c>
      <c r="E2723" t="s">
        <v>3079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630</v>
      </c>
      <c r="K2723" t="s">
        <v>631</v>
      </c>
      <c r="L2723">
        <v>15</v>
      </c>
      <c r="M2723" t="s">
        <v>205</v>
      </c>
      <c r="O2723" t="s">
        <v>11</v>
      </c>
      <c r="P2723">
        <v>5102</v>
      </c>
      <c r="Q2723">
        <v>50</v>
      </c>
      <c r="R2723">
        <v>5.79</v>
      </c>
      <c r="S2723">
        <v>289.5</v>
      </c>
      <c r="T2723">
        <v>208</v>
      </c>
      <c r="U2723">
        <v>28.15</v>
      </c>
      <c r="V2723" t="str">
        <f>VLOOKUP(L2723,'[2]tabela de preços'!$A:$D,4,0)</f>
        <v>3M</v>
      </c>
      <c r="W2723" t="str">
        <f>VLOOKUP(L2723,'[2]tabela de preços'!$A:$F,6,0)</f>
        <v>LIXA DÁGUA</v>
      </c>
      <c r="X2723" t="str">
        <f>VLOOKUP(L2723,'[2]tabela de preços'!$A:$G,7,0)</f>
        <v>AUTOMOTIVO</v>
      </c>
    </row>
    <row r="2724" spans="1:24" x14ac:dyDescent="0.3">
      <c r="A2724" t="s">
        <v>626</v>
      </c>
      <c r="B2724" t="s">
        <v>627</v>
      </c>
      <c r="C2724" t="s">
        <v>3078</v>
      </c>
      <c r="D2724" s="1">
        <v>46066</v>
      </c>
      <c r="E2724" t="s">
        <v>3079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630</v>
      </c>
      <c r="K2724" t="s">
        <v>631</v>
      </c>
      <c r="L2724">
        <v>21203</v>
      </c>
      <c r="M2724" t="s">
        <v>1459</v>
      </c>
      <c r="O2724" t="s">
        <v>11</v>
      </c>
      <c r="P2724">
        <v>5102</v>
      </c>
      <c r="Q2724">
        <v>12</v>
      </c>
      <c r="R2724">
        <v>26.4</v>
      </c>
      <c r="S2724">
        <v>316.8</v>
      </c>
      <c r="T2724">
        <v>240.48</v>
      </c>
      <c r="U2724">
        <v>24.09</v>
      </c>
      <c r="V2724" t="str">
        <f>VLOOKUP(L2724,'[2]tabela de preços'!$A:$D,4,0)</f>
        <v>3M</v>
      </c>
      <c r="W2724" t="str">
        <f>VLOOKUP(L2724,'[2]tabela de preços'!$A:$F,6,0)</f>
        <v>MASSA DE POLIR</v>
      </c>
      <c r="X2724" t="str">
        <f>VLOOKUP(L2724,'[2]tabela de preços'!$A:$G,7,0)</f>
        <v>AUTOMOTIVO</v>
      </c>
    </row>
    <row r="2725" spans="1:24" x14ac:dyDescent="0.3">
      <c r="A2725" t="s">
        <v>626</v>
      </c>
      <c r="B2725" t="s">
        <v>627</v>
      </c>
      <c r="C2725" t="s">
        <v>3078</v>
      </c>
      <c r="D2725" s="1">
        <v>46066</v>
      </c>
      <c r="E2725" t="s">
        <v>3079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630</v>
      </c>
      <c r="K2725" t="s">
        <v>631</v>
      </c>
      <c r="L2725">
        <v>20817</v>
      </c>
      <c r="M2725" t="s">
        <v>153</v>
      </c>
      <c r="O2725" t="s">
        <v>11</v>
      </c>
      <c r="P2725">
        <v>5102</v>
      </c>
      <c r="Q2725">
        <v>6</v>
      </c>
      <c r="R2725">
        <v>22.89</v>
      </c>
      <c r="S2725">
        <v>137.34</v>
      </c>
      <c r="T2725">
        <v>111.72</v>
      </c>
      <c r="U2725">
        <v>18.649999999999999</v>
      </c>
      <c r="V2725" t="str">
        <f>VLOOKUP(L2725,'[2]tabela de preços'!$A:$D,4,0)</f>
        <v>AUTO AMERICA</v>
      </c>
      <c r="W2725" t="str">
        <f>VLOOKUP(L2725,'[2]tabela de preços'!$A:$F,6,0)</f>
        <v>MASSA DE POLIR</v>
      </c>
      <c r="X2725" t="str">
        <f>VLOOKUP(L2725,'[2]tabela de preços'!$A:$G,7,0)</f>
        <v>AUTOMOTIVO</v>
      </c>
    </row>
    <row r="2726" spans="1:24" x14ac:dyDescent="0.3">
      <c r="A2726" t="s">
        <v>626</v>
      </c>
      <c r="B2726" t="s">
        <v>627</v>
      </c>
      <c r="C2726" t="s">
        <v>3078</v>
      </c>
      <c r="D2726" s="1">
        <v>46066</v>
      </c>
      <c r="E2726" t="s">
        <v>3079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630</v>
      </c>
      <c r="K2726" t="s">
        <v>631</v>
      </c>
      <c r="L2726">
        <v>21077</v>
      </c>
      <c r="M2726" t="s">
        <v>207</v>
      </c>
      <c r="O2726" t="s">
        <v>11</v>
      </c>
      <c r="P2726">
        <v>5102</v>
      </c>
      <c r="Q2726">
        <v>6</v>
      </c>
      <c r="R2726">
        <v>44.68</v>
      </c>
      <c r="S2726">
        <v>268.08</v>
      </c>
      <c r="T2726">
        <v>203.52</v>
      </c>
      <c r="U2726">
        <v>24.08</v>
      </c>
      <c r="V2726" t="str">
        <f>VLOOKUP(L2726,'[2]tabela de preços'!$A:$D,4,0)</f>
        <v>SHERWIN WILLIAMS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626</v>
      </c>
      <c r="B2727" t="s">
        <v>627</v>
      </c>
      <c r="C2727" t="s">
        <v>3078</v>
      </c>
      <c r="D2727" s="1">
        <v>46066</v>
      </c>
      <c r="E2727" t="s">
        <v>3079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630</v>
      </c>
      <c r="K2727" t="s">
        <v>631</v>
      </c>
      <c r="L2727">
        <v>21067</v>
      </c>
      <c r="M2727" t="s">
        <v>640</v>
      </c>
      <c r="O2727" t="s">
        <v>11</v>
      </c>
      <c r="P2727">
        <v>5102</v>
      </c>
      <c r="Q2727">
        <v>3</v>
      </c>
      <c r="R2727">
        <v>36.06</v>
      </c>
      <c r="S2727">
        <v>108.18</v>
      </c>
      <c r="T2727">
        <v>82.11</v>
      </c>
      <c r="U2727">
        <v>24.1</v>
      </c>
      <c r="V2727" t="str">
        <f>VLOOKUP(L2727,'[2]tabela de preços'!$A:$D,4,0)</f>
        <v>SIKKENS</v>
      </c>
      <c r="W2727" t="str">
        <f>VLOOKUP(L2727,'[2]tabela de preços'!$A:$F,6,0)</f>
        <v>DILUENTE</v>
      </c>
      <c r="X2727" t="str">
        <f>VLOOKUP(L2727,'[2]tabela de preços'!$A:$G,7,0)</f>
        <v>AUTOMOTIVO</v>
      </c>
    </row>
    <row r="2728" spans="1:24" x14ac:dyDescent="0.3">
      <c r="A2728" t="s">
        <v>626</v>
      </c>
      <c r="B2728" t="s">
        <v>627</v>
      </c>
      <c r="C2728" t="s">
        <v>3078</v>
      </c>
      <c r="D2728" s="1">
        <v>46066</v>
      </c>
      <c r="E2728" t="s">
        <v>3079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630</v>
      </c>
      <c r="K2728" t="s">
        <v>631</v>
      </c>
      <c r="L2728">
        <v>9752</v>
      </c>
      <c r="M2728" t="s">
        <v>1492</v>
      </c>
      <c r="O2728" t="s">
        <v>11</v>
      </c>
      <c r="P2728">
        <v>5403</v>
      </c>
      <c r="Q2728">
        <v>2</v>
      </c>
      <c r="R2728">
        <v>38.49</v>
      </c>
      <c r="S2728">
        <v>76.98</v>
      </c>
      <c r="T2728">
        <v>58.42</v>
      </c>
      <c r="U2728">
        <v>24.11</v>
      </c>
      <c r="V2728" t="str">
        <f>VLOOKUP(L2728,'[2]tabela de preços'!$A:$D,4,0)</f>
        <v>WANDA</v>
      </c>
      <c r="W2728" t="str">
        <f>VLOOKUP(L2728,'[2]tabela de preços'!$A:$F,6,0)</f>
        <v>SELADORA P/ PLASTICO</v>
      </c>
      <c r="X2728" t="str">
        <f>VLOOKUP(L2728,'[2]tabela de preços'!$A:$G,7,0)</f>
        <v>AUTOMOTIVO</v>
      </c>
    </row>
    <row r="2729" spans="1:24" x14ac:dyDescent="0.3">
      <c r="A2729" t="s">
        <v>626</v>
      </c>
      <c r="B2729" t="s">
        <v>627</v>
      </c>
      <c r="C2729" t="s">
        <v>3078</v>
      </c>
      <c r="D2729" s="1">
        <v>46066</v>
      </c>
      <c r="E2729" t="s">
        <v>3079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630</v>
      </c>
      <c r="K2729" t="s">
        <v>631</v>
      </c>
      <c r="L2729">
        <v>23287</v>
      </c>
      <c r="M2729" t="s">
        <v>273</v>
      </c>
      <c r="O2729" t="s">
        <v>11</v>
      </c>
      <c r="P2729">
        <v>5102</v>
      </c>
      <c r="Q2729">
        <v>2</v>
      </c>
      <c r="R2729">
        <v>39.979999999999997</v>
      </c>
      <c r="S2729">
        <v>79.959999999999994</v>
      </c>
      <c r="T2729">
        <v>60.7</v>
      </c>
      <c r="U2729">
        <v>24.09</v>
      </c>
      <c r="V2729" t="str">
        <f>VLOOKUP(L2729,'[2]tabela de preços'!$A:$D,4,0)</f>
        <v>AUTO AMERICA</v>
      </c>
      <c r="W2729" t="str">
        <f>VLOOKUP(L2729,'[2]tabela de preços'!$A:$F,6,0)</f>
        <v>CERA  / LIMPEZA /  POLIMENTO VEICULAR</v>
      </c>
      <c r="X2729" t="str">
        <f>VLOOKUP(L2729,'[2]tabela de preços'!$A:$G,7,0)</f>
        <v>AUTOMOTIVO</v>
      </c>
    </row>
    <row r="2730" spans="1:24" x14ac:dyDescent="0.3">
      <c r="A2730" t="s">
        <v>626</v>
      </c>
      <c r="B2730" t="s">
        <v>627</v>
      </c>
      <c r="C2730" t="s">
        <v>3080</v>
      </c>
      <c r="D2730" s="1">
        <v>46071</v>
      </c>
      <c r="E2730" t="s">
        <v>3081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630</v>
      </c>
      <c r="K2730" t="s">
        <v>631</v>
      </c>
      <c r="L2730">
        <v>10067</v>
      </c>
      <c r="M2730" t="s">
        <v>177</v>
      </c>
      <c r="O2730" t="s">
        <v>11</v>
      </c>
      <c r="P2730">
        <v>5102</v>
      </c>
      <c r="Q2730">
        <v>3</v>
      </c>
      <c r="R2730">
        <v>96.94</v>
      </c>
      <c r="S2730">
        <v>290.82</v>
      </c>
      <c r="T2730">
        <v>220.74</v>
      </c>
      <c r="U2730">
        <v>24.1</v>
      </c>
      <c r="V2730" t="str">
        <f>VLOOKUP(L2730,'[2]tabela de preços'!$A:$D,4,0)</f>
        <v>3M</v>
      </c>
      <c r="W2730" t="str">
        <f>VLOOKUP(L2730,'[2]tabela de preços'!$A:$F,6,0)</f>
        <v>BOINAS PARA POLIMENTO</v>
      </c>
      <c r="X2730" t="str">
        <f>VLOOKUP(L2730,'[2]tabela de preços'!$A:$G,7,0)</f>
        <v>AUTOMOTIVO</v>
      </c>
    </row>
    <row r="2731" spans="1:24" x14ac:dyDescent="0.3">
      <c r="A2731" t="s">
        <v>626</v>
      </c>
      <c r="B2731" t="s">
        <v>627</v>
      </c>
      <c r="C2731" t="s">
        <v>3080</v>
      </c>
      <c r="D2731" s="1">
        <v>46071</v>
      </c>
      <c r="E2731" t="s">
        <v>3082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630</v>
      </c>
      <c r="K2731" t="s">
        <v>631</v>
      </c>
      <c r="L2731">
        <v>23580</v>
      </c>
      <c r="M2731" t="s">
        <v>115</v>
      </c>
      <c r="O2731" t="s">
        <v>11</v>
      </c>
      <c r="P2731">
        <v>5102</v>
      </c>
      <c r="Q2731">
        <v>196</v>
      </c>
      <c r="R2731">
        <v>0.48</v>
      </c>
      <c r="S2731">
        <v>94.08</v>
      </c>
      <c r="T2731">
        <v>70.56</v>
      </c>
      <c r="U2731">
        <v>25</v>
      </c>
      <c r="V2731" t="str">
        <f>VLOOKUP(L2731,'[2]tabela de preços'!$A:$D,4,0)</f>
        <v>RENOVA COADORES</v>
      </c>
      <c r="W2731" t="str">
        <f>VLOOKUP(L2731,'[2]tabela de preços'!$A:$F,6,0)</f>
        <v>COADORES</v>
      </c>
      <c r="X2731" t="str">
        <f>VLOOKUP(L2731,'[2]tabela de preços'!$A:$G,7,0)</f>
        <v>AUTOMOTIVO</v>
      </c>
    </row>
    <row r="2732" spans="1:24" x14ac:dyDescent="0.3">
      <c r="A2732" t="s">
        <v>626</v>
      </c>
      <c r="B2732" t="s">
        <v>627</v>
      </c>
      <c r="C2732" t="s">
        <v>3080</v>
      </c>
      <c r="D2732" s="1">
        <v>46071</v>
      </c>
      <c r="E2732" t="s">
        <v>3081</v>
      </c>
      <c r="F2732">
        <v>9</v>
      </c>
      <c r="G2732">
        <v>174</v>
      </c>
      <c r="H2732" t="str">
        <f>VLOOKUP(G2732,[1]OPERADORES!$A:$B,2,0)</f>
        <v>MIRIÃ LOBATO RODRIGUES</v>
      </c>
      <c r="I2732" t="s">
        <v>21</v>
      </c>
      <c r="J2732" t="s">
        <v>630</v>
      </c>
      <c r="K2732" t="s">
        <v>631</v>
      </c>
      <c r="L2732">
        <v>22684</v>
      </c>
      <c r="M2732" t="s">
        <v>73</v>
      </c>
      <c r="O2732" t="s">
        <v>11</v>
      </c>
      <c r="P2732">
        <v>5102</v>
      </c>
      <c r="Q2732">
        <v>3</v>
      </c>
      <c r="R2732">
        <v>3.65</v>
      </c>
      <c r="S2732">
        <v>10.95</v>
      </c>
      <c r="T2732">
        <v>9.24</v>
      </c>
      <c r="U2732">
        <v>15.62</v>
      </c>
      <c r="V2732" t="str">
        <f>VLOOKUP(L2732,'[2]tabela de preços'!$A:$D,4,0)</f>
        <v>3M</v>
      </c>
      <c r="W2732" t="str">
        <f>VLOOKUP(L2732,'[2]tabela de preços'!$A:$F,6,0)</f>
        <v>FITA AUTOMOTIVA</v>
      </c>
      <c r="X2732" t="str">
        <f>VLOOKUP(L2732,'[2]tabela de preços'!$A:$G,7,0)</f>
        <v>AUTOMOTIVO</v>
      </c>
    </row>
    <row r="2733" spans="1:24" x14ac:dyDescent="0.3">
      <c r="A2733" t="s">
        <v>626</v>
      </c>
      <c r="B2733" t="s">
        <v>627</v>
      </c>
      <c r="C2733" t="s">
        <v>3080</v>
      </c>
      <c r="D2733" s="1">
        <v>46071</v>
      </c>
      <c r="E2733" t="s">
        <v>3081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630</v>
      </c>
      <c r="K2733" t="s">
        <v>631</v>
      </c>
      <c r="L2733">
        <v>85621</v>
      </c>
      <c r="M2733" t="s">
        <v>1656</v>
      </c>
      <c r="O2733" t="s">
        <v>11</v>
      </c>
      <c r="P2733">
        <v>5102</v>
      </c>
      <c r="Q2733">
        <v>4</v>
      </c>
      <c r="R2733">
        <v>16.18</v>
      </c>
      <c r="S2733">
        <v>64.72</v>
      </c>
      <c r="T2733">
        <v>49.12</v>
      </c>
      <c r="U2733">
        <v>24.1</v>
      </c>
      <c r="V2733" t="str">
        <f>VLOOKUP(L2733,'[2]tabela de preços'!$A:$D,4,0)</f>
        <v>ADERE</v>
      </c>
      <c r="W2733" t="str">
        <f>VLOOKUP(L2733,'[2]tabela de preços'!$A:$F,6,0)</f>
        <v xml:space="preserve">FITA DE USO GERAL </v>
      </c>
      <c r="X2733" t="str">
        <f>VLOOKUP(L2733,'[2]tabela de preços'!$A:$G,7,0)</f>
        <v>IMOBILIÁRIO</v>
      </c>
    </row>
    <row r="2734" spans="1:24" x14ac:dyDescent="0.3">
      <c r="A2734" t="s">
        <v>626</v>
      </c>
      <c r="B2734" t="s">
        <v>627</v>
      </c>
      <c r="C2734" t="s">
        <v>3080</v>
      </c>
      <c r="D2734" s="1">
        <v>46071</v>
      </c>
      <c r="E2734" t="s">
        <v>3083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630</v>
      </c>
      <c r="K2734" t="s">
        <v>631</v>
      </c>
      <c r="L2734">
        <v>10277</v>
      </c>
      <c r="M2734" t="s">
        <v>135</v>
      </c>
      <c r="O2734" t="s">
        <v>11</v>
      </c>
      <c r="P2734">
        <v>5102</v>
      </c>
      <c r="Q2734">
        <v>1</v>
      </c>
      <c r="R2734">
        <v>15.89</v>
      </c>
      <c r="S2734">
        <v>15.89</v>
      </c>
      <c r="T2734">
        <v>12.88</v>
      </c>
      <c r="U2734">
        <v>18.940000000000001</v>
      </c>
      <c r="V2734" t="str">
        <f>VLOOKUP(L2734,'[2]tabela de preços'!$A:$D,4,0)</f>
        <v>RETOQUE</v>
      </c>
      <c r="W2734" t="str">
        <f>VLOOKUP(L2734,'[2]tabela de preços'!$A:$F,6,0)</f>
        <v xml:space="preserve">COLA  PLÁSTICA </v>
      </c>
      <c r="X2734" t="str">
        <f>VLOOKUP(L2734,'[2]tabela de preços'!$A:$G,7,0)</f>
        <v>AUTOMOTIVO</v>
      </c>
    </row>
    <row r="2735" spans="1:24" x14ac:dyDescent="0.3">
      <c r="A2735" t="s">
        <v>626</v>
      </c>
      <c r="B2735" t="s">
        <v>627</v>
      </c>
      <c r="C2735" t="s">
        <v>3080</v>
      </c>
      <c r="D2735" s="1">
        <v>46071</v>
      </c>
      <c r="E2735" t="s">
        <v>3081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630</v>
      </c>
      <c r="K2735" t="s">
        <v>631</v>
      </c>
      <c r="L2735">
        <v>23099</v>
      </c>
      <c r="M2735" t="s">
        <v>420</v>
      </c>
      <c r="O2735" t="s">
        <v>411</v>
      </c>
      <c r="P2735">
        <v>5102</v>
      </c>
      <c r="Q2735">
        <v>50</v>
      </c>
      <c r="R2735">
        <v>2.35</v>
      </c>
      <c r="S2735">
        <v>117.5</v>
      </c>
      <c r="T2735">
        <v>84.5</v>
      </c>
      <c r="U2735">
        <v>28.09</v>
      </c>
      <c r="V2735" t="str">
        <f>VLOOKUP(L2735,'[2]tabela de preços'!$A:$D,4,0)</f>
        <v>3M</v>
      </c>
      <c r="W2735" t="str">
        <f>VLOOKUP(L2735,'[2]tabela de preços'!$A:$F,6,0)</f>
        <v xml:space="preserve">DISCOS / LIXAS / ABRASIVOS </v>
      </c>
      <c r="X2735" t="str">
        <f>VLOOKUP(L2735,'[2]tabela de preços'!$A:$G,7,0)</f>
        <v>AUTOMOTIVO</v>
      </c>
    </row>
    <row r="2736" spans="1:24" x14ac:dyDescent="0.3">
      <c r="A2736" t="s">
        <v>626</v>
      </c>
      <c r="B2736" t="s">
        <v>627</v>
      </c>
      <c r="C2736" t="s">
        <v>3080</v>
      </c>
      <c r="D2736" s="1">
        <v>46071</v>
      </c>
      <c r="E2736" t="s">
        <v>3081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630</v>
      </c>
      <c r="K2736" t="s">
        <v>631</v>
      </c>
      <c r="L2736">
        <v>23096</v>
      </c>
      <c r="M2736" t="s">
        <v>656</v>
      </c>
      <c r="O2736" t="s">
        <v>411</v>
      </c>
      <c r="P2736">
        <v>5102</v>
      </c>
      <c r="Q2736">
        <v>50</v>
      </c>
      <c r="R2736">
        <v>2.35</v>
      </c>
      <c r="S2736">
        <v>117.5</v>
      </c>
      <c r="T2736">
        <v>84.5</v>
      </c>
      <c r="U2736">
        <v>28.09</v>
      </c>
      <c r="V2736" t="str">
        <f>VLOOKUP(L2736,'[2]tabela de preços'!$A:$D,4,0)</f>
        <v>3M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626</v>
      </c>
      <c r="B2737" t="s">
        <v>627</v>
      </c>
      <c r="C2737" t="s">
        <v>3084</v>
      </c>
      <c r="D2737" s="1">
        <v>46071</v>
      </c>
      <c r="E2737" t="s">
        <v>3085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630</v>
      </c>
      <c r="K2737" t="s">
        <v>631</v>
      </c>
      <c r="L2737">
        <v>24248</v>
      </c>
      <c r="M2737" t="s">
        <v>107</v>
      </c>
      <c r="O2737" t="s">
        <v>11</v>
      </c>
      <c r="P2737">
        <v>5102</v>
      </c>
      <c r="Q2737">
        <v>12</v>
      </c>
      <c r="R2737">
        <v>8</v>
      </c>
      <c r="S2737">
        <v>96</v>
      </c>
      <c r="T2737">
        <v>78</v>
      </c>
      <c r="U2737">
        <v>18.75</v>
      </c>
      <c r="V2737" t="str">
        <f>VLOOKUP(L2737,'[2]tabela de preços'!$A:$D,4,0)</f>
        <v>SHERWIN WILLIAMS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626</v>
      </c>
      <c r="B2738" t="s">
        <v>627</v>
      </c>
      <c r="C2738" t="s">
        <v>3084</v>
      </c>
      <c r="D2738" s="1">
        <v>46071</v>
      </c>
      <c r="E2738" t="s">
        <v>3085</v>
      </c>
      <c r="F2738">
        <v>9</v>
      </c>
      <c r="G2738">
        <v>174</v>
      </c>
      <c r="H2738" t="str">
        <f>VLOOKUP(G2738,[1]OPERADORES!$A:$B,2,0)</f>
        <v>MIRIÃ LOBATO RODRIGUES</v>
      </c>
      <c r="I2738" t="s">
        <v>21</v>
      </c>
      <c r="J2738" t="s">
        <v>630</v>
      </c>
      <c r="K2738" t="s">
        <v>631</v>
      </c>
      <c r="L2738">
        <v>23690</v>
      </c>
      <c r="M2738" t="s">
        <v>98</v>
      </c>
      <c r="O2738" t="s">
        <v>11</v>
      </c>
      <c r="P2738">
        <v>5403</v>
      </c>
      <c r="Q2738">
        <v>4</v>
      </c>
      <c r="R2738">
        <v>39.89</v>
      </c>
      <c r="S2738">
        <v>159.56</v>
      </c>
      <c r="T2738">
        <v>126.44</v>
      </c>
      <c r="U2738">
        <v>20.76</v>
      </c>
      <c r="V2738" t="str">
        <f>VLOOKUP(L2738,'[2]tabela de preços'!$A:$D,4,0)</f>
        <v>WANDA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626</v>
      </c>
      <c r="B2739" t="s">
        <v>627</v>
      </c>
      <c r="C2739" t="s">
        <v>3084</v>
      </c>
      <c r="D2739" s="1">
        <v>46071</v>
      </c>
      <c r="E2739" t="s">
        <v>3085</v>
      </c>
      <c r="F2739">
        <v>9</v>
      </c>
      <c r="G2739">
        <v>174</v>
      </c>
      <c r="H2739" t="str">
        <f>VLOOKUP(G2739,[1]OPERADORES!$A:$B,2,0)</f>
        <v>MIRIÃ LOBATO RODRIGUES</v>
      </c>
      <c r="I2739" t="s">
        <v>21</v>
      </c>
      <c r="J2739" t="s">
        <v>630</v>
      </c>
      <c r="K2739" t="s">
        <v>631</v>
      </c>
      <c r="L2739">
        <v>23602</v>
      </c>
      <c r="M2739" t="s">
        <v>215</v>
      </c>
      <c r="O2739" t="s">
        <v>11</v>
      </c>
      <c r="P2739">
        <v>5403</v>
      </c>
      <c r="Q2739">
        <v>4</v>
      </c>
      <c r="R2739">
        <v>35.89</v>
      </c>
      <c r="S2739">
        <v>143.56</v>
      </c>
      <c r="T2739">
        <v>117</v>
      </c>
      <c r="U2739">
        <v>18.5</v>
      </c>
      <c r="V2739" t="str">
        <f>VLOOKUP(L2739,'[2]tabela de preços'!$A:$D,4,0)</f>
        <v>SHERWIN WILLIAMS</v>
      </c>
      <c r="W2739" t="str">
        <f>VLOOKUP(L2739,'[2]tabela de preços'!$A:$F,6,0)</f>
        <v>VERNIZ AUTOMOTIVO</v>
      </c>
      <c r="X2739" t="str">
        <f>VLOOKUP(L2739,'[2]tabela de preços'!$A:$G,7,0)</f>
        <v>AUTOMOTIVO</v>
      </c>
    </row>
    <row r="2740" spans="1:24" x14ac:dyDescent="0.3">
      <c r="A2740" t="s">
        <v>626</v>
      </c>
      <c r="B2740" t="s">
        <v>627</v>
      </c>
      <c r="C2740" t="s">
        <v>3084</v>
      </c>
      <c r="D2740" s="1">
        <v>46071</v>
      </c>
      <c r="E2740" t="s">
        <v>3085</v>
      </c>
      <c r="F2740">
        <v>9</v>
      </c>
      <c r="G2740">
        <v>174</v>
      </c>
      <c r="H2740" t="str">
        <f>VLOOKUP(G2740,[1]OPERADORES!$A:$B,2,0)</f>
        <v>MIRIÃ LOBATO RODRIGUES</v>
      </c>
      <c r="I2740" t="s">
        <v>21</v>
      </c>
      <c r="J2740" t="s">
        <v>630</v>
      </c>
      <c r="K2740" t="s">
        <v>631</v>
      </c>
      <c r="L2740">
        <v>20431</v>
      </c>
      <c r="M2740" t="s">
        <v>202</v>
      </c>
      <c r="O2740" t="s">
        <v>11</v>
      </c>
      <c r="P2740">
        <v>5403</v>
      </c>
      <c r="Q2740">
        <v>4</v>
      </c>
      <c r="R2740">
        <v>36.89</v>
      </c>
      <c r="S2740">
        <v>147.56</v>
      </c>
      <c r="T2740">
        <v>121.04</v>
      </c>
      <c r="U2740">
        <v>17.97</v>
      </c>
      <c r="V2740" t="str">
        <f>VLOOKUP(L2740,'[2]tabela de preços'!$A:$D,4,0)</f>
        <v>SHERWIN WILLIAMS</v>
      </c>
      <c r="W2740" t="str">
        <f>VLOOKUP(L2740,'[2]tabela de preços'!$A:$F,6,0)</f>
        <v>VERNIZ AUTOMOTIVO</v>
      </c>
      <c r="X2740" t="str">
        <f>VLOOKUP(L2740,'[2]tabela de preços'!$A:$G,7,0)</f>
        <v>AUTOMOTIVO</v>
      </c>
    </row>
    <row r="2741" spans="1:24" x14ac:dyDescent="0.3">
      <c r="A2741" t="s">
        <v>626</v>
      </c>
      <c r="B2741" t="s">
        <v>627</v>
      </c>
      <c r="C2741" t="s">
        <v>3084</v>
      </c>
      <c r="D2741" s="1">
        <v>46071</v>
      </c>
      <c r="E2741" t="s">
        <v>3085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630</v>
      </c>
      <c r="K2741" t="s">
        <v>631</v>
      </c>
      <c r="L2741">
        <v>10240</v>
      </c>
      <c r="M2741" t="s">
        <v>81</v>
      </c>
      <c r="O2741" t="s">
        <v>11</v>
      </c>
      <c r="P2741">
        <v>5102</v>
      </c>
      <c r="Q2741">
        <v>8</v>
      </c>
      <c r="R2741">
        <v>2.79</v>
      </c>
      <c r="S2741">
        <v>22.32</v>
      </c>
      <c r="T2741">
        <v>17.920000000000002</v>
      </c>
      <c r="U2741">
        <v>19.71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626</v>
      </c>
      <c r="B2742" t="s">
        <v>627</v>
      </c>
      <c r="C2742" t="s">
        <v>3084</v>
      </c>
      <c r="D2742" s="1">
        <v>46071</v>
      </c>
      <c r="E2742" t="s">
        <v>3085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630</v>
      </c>
      <c r="K2742" t="s">
        <v>631</v>
      </c>
      <c r="L2742">
        <v>10242</v>
      </c>
      <c r="M2742" t="s">
        <v>82</v>
      </c>
      <c r="O2742" t="s">
        <v>11</v>
      </c>
      <c r="P2742">
        <v>5102</v>
      </c>
      <c r="Q2742">
        <v>8</v>
      </c>
      <c r="R2742">
        <v>2.79</v>
      </c>
      <c r="S2742">
        <v>22.32</v>
      </c>
      <c r="T2742">
        <v>17.920000000000002</v>
      </c>
      <c r="U2742">
        <v>19.71</v>
      </c>
      <c r="V2742" t="str">
        <f>VLOOKUP(L2742,'[2]tabela de preços'!$A:$D,4,0)</f>
        <v>NORTON</v>
      </c>
      <c r="W2742" t="str">
        <f>VLOOKUP(L2742,'[2]tabela de preços'!$A:$F,6,0)</f>
        <v xml:space="preserve">DISCOS / LIXAS / ABRASIVOS </v>
      </c>
      <c r="X2742" t="str">
        <f>VLOOKUP(L2742,'[2]tabela de preços'!$A:$G,7,0)</f>
        <v>AUTOMOTIVO</v>
      </c>
    </row>
    <row r="2743" spans="1:24" x14ac:dyDescent="0.3">
      <c r="A2743" t="s">
        <v>626</v>
      </c>
      <c r="B2743" t="s">
        <v>627</v>
      </c>
      <c r="C2743" t="s">
        <v>3084</v>
      </c>
      <c r="D2743" s="1">
        <v>46071</v>
      </c>
      <c r="E2743" t="s">
        <v>3085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630</v>
      </c>
      <c r="K2743" t="s">
        <v>631</v>
      </c>
      <c r="L2743">
        <v>21125</v>
      </c>
      <c r="M2743" t="s">
        <v>2242</v>
      </c>
      <c r="O2743" t="s">
        <v>11</v>
      </c>
      <c r="P2743">
        <v>5102</v>
      </c>
      <c r="Q2743">
        <v>1</v>
      </c>
      <c r="R2743">
        <v>47.86</v>
      </c>
      <c r="S2743">
        <v>47.86</v>
      </c>
      <c r="T2743">
        <v>36.32</v>
      </c>
      <c r="U2743">
        <v>24.11</v>
      </c>
      <c r="V2743" t="str">
        <f>VLOOKUP(L2743,'[2]tabela de preços'!$A:$D,4,0)</f>
        <v>PURPLEX</v>
      </c>
      <c r="W2743" t="str">
        <f>VLOOKUP(L2743,'[2]tabela de preços'!$A:$F,6,0)</f>
        <v>TACO LIXADOR</v>
      </c>
      <c r="X2743" t="str">
        <f>VLOOKUP(L2743,'[2]tabela de preços'!$A:$G,7,0)</f>
        <v>AUTOMOTIVO</v>
      </c>
    </row>
    <row r="2744" spans="1:24" x14ac:dyDescent="0.3">
      <c r="A2744" t="s">
        <v>626</v>
      </c>
      <c r="B2744" t="s">
        <v>627</v>
      </c>
      <c r="C2744" t="s">
        <v>3084</v>
      </c>
      <c r="D2744" s="1">
        <v>46071</v>
      </c>
      <c r="E2744" t="s">
        <v>3085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630</v>
      </c>
      <c r="K2744" t="s">
        <v>631</v>
      </c>
      <c r="L2744">
        <v>21130</v>
      </c>
      <c r="M2744" t="s">
        <v>3086</v>
      </c>
      <c r="O2744" t="s">
        <v>11</v>
      </c>
      <c r="P2744">
        <v>5102</v>
      </c>
      <c r="Q2744">
        <v>1</v>
      </c>
      <c r="R2744">
        <v>38.380000000000003</v>
      </c>
      <c r="S2744">
        <v>38.380000000000003</v>
      </c>
      <c r="T2744">
        <v>29.13</v>
      </c>
      <c r="U2744">
        <v>24.1</v>
      </c>
      <c r="V2744" t="str">
        <f>VLOOKUP(L2744,'[2]tabela de preços'!$A:$D,4,0)</f>
        <v>PURPLEX</v>
      </c>
      <c r="W2744" t="str">
        <f>VLOOKUP(L2744,'[2]tabela de preços'!$A:$F,6,0)</f>
        <v>TACO LIXADOR</v>
      </c>
      <c r="X2744" t="str">
        <f>VLOOKUP(L2744,'[2]tabela de preços'!$A:$G,7,0)</f>
        <v>AUTOMOTIVO</v>
      </c>
    </row>
    <row r="2745" spans="1:24" x14ac:dyDescent="0.3">
      <c r="A2745" t="s">
        <v>626</v>
      </c>
      <c r="B2745" t="s">
        <v>627</v>
      </c>
      <c r="C2745" t="s">
        <v>3084</v>
      </c>
      <c r="D2745" s="1">
        <v>46071</v>
      </c>
      <c r="E2745" t="s">
        <v>3085</v>
      </c>
      <c r="F2745">
        <v>9</v>
      </c>
      <c r="G2745">
        <v>174</v>
      </c>
      <c r="H2745" t="str">
        <f>VLOOKUP(G2745,[1]OPERADORES!$A:$B,2,0)</f>
        <v>MIRIÃ LOBATO RODRIGUES</v>
      </c>
      <c r="I2745" t="s">
        <v>21</v>
      </c>
      <c r="J2745" t="s">
        <v>630</v>
      </c>
      <c r="K2745" t="s">
        <v>631</v>
      </c>
      <c r="L2745">
        <v>23267</v>
      </c>
      <c r="M2745" t="s">
        <v>164</v>
      </c>
      <c r="O2745" t="s">
        <v>11</v>
      </c>
      <c r="P2745">
        <v>5102</v>
      </c>
      <c r="Q2745">
        <v>6</v>
      </c>
      <c r="R2745">
        <v>22.89</v>
      </c>
      <c r="S2745">
        <v>137.34</v>
      </c>
      <c r="T2745">
        <v>117.24</v>
      </c>
      <c r="U2745">
        <v>14.64</v>
      </c>
      <c r="V2745" t="str">
        <f>VLOOKUP(L2745,'[2]tabela de preços'!$A:$D,4,0)</f>
        <v>ANJO</v>
      </c>
      <c r="W2745" t="str">
        <f>VLOOKUP(L2745,'[2]tabela de preços'!$A:$F,6,0)</f>
        <v>MASSA POLIÉSTER</v>
      </c>
      <c r="X2745" t="str">
        <f>VLOOKUP(L2745,'[2]tabela de preços'!$A:$G,7,0)</f>
        <v>AUTOMOTIVO</v>
      </c>
    </row>
    <row r="2746" spans="1:24" x14ac:dyDescent="0.3">
      <c r="A2746" t="s">
        <v>626</v>
      </c>
      <c r="B2746" t="s">
        <v>627</v>
      </c>
      <c r="C2746" t="s">
        <v>3084</v>
      </c>
      <c r="D2746" s="1">
        <v>46071</v>
      </c>
      <c r="E2746" t="s">
        <v>3085</v>
      </c>
      <c r="F2746">
        <v>9</v>
      </c>
      <c r="G2746">
        <v>174</v>
      </c>
      <c r="H2746" t="str">
        <f>VLOOKUP(G2746,[1]OPERADORES!$A:$B,2,0)</f>
        <v>MIRIÃ LOBATO RODRIGUES</v>
      </c>
      <c r="I2746" t="s">
        <v>21</v>
      </c>
      <c r="J2746" t="s">
        <v>630</v>
      </c>
      <c r="K2746" t="s">
        <v>631</v>
      </c>
      <c r="L2746">
        <v>24247</v>
      </c>
      <c r="M2746" t="s">
        <v>160</v>
      </c>
      <c r="O2746" t="s">
        <v>11</v>
      </c>
      <c r="P2746">
        <v>5403</v>
      </c>
      <c r="Q2746">
        <v>12</v>
      </c>
      <c r="R2746">
        <v>21</v>
      </c>
      <c r="S2746">
        <v>252</v>
      </c>
      <c r="T2746">
        <v>202.44</v>
      </c>
      <c r="U2746">
        <v>19.670000000000002</v>
      </c>
      <c r="V2746" t="str">
        <f>VLOOKUP(L2746,'[2]tabela de preços'!$A:$D,4,0)</f>
        <v>SHERWIN WILLIAMS</v>
      </c>
      <c r="W2746" t="str">
        <f>VLOOKUP(L2746,'[2]tabela de preços'!$A:$F,6,0)</f>
        <v>PRIMER AUTOMOTIVO</v>
      </c>
      <c r="X2746" t="str">
        <f>VLOOKUP(L2746,'[2]tabela de preços'!$A:$G,7,0)</f>
        <v>AUTOMOTIVO</v>
      </c>
    </row>
    <row r="2747" spans="1:24" x14ac:dyDescent="0.3">
      <c r="A2747" t="s">
        <v>626</v>
      </c>
      <c r="B2747" t="s">
        <v>627</v>
      </c>
      <c r="C2747" t="s">
        <v>3084</v>
      </c>
      <c r="D2747" s="1">
        <v>46071</v>
      </c>
      <c r="E2747" t="s">
        <v>3085</v>
      </c>
      <c r="F2747">
        <v>9</v>
      </c>
      <c r="G2747">
        <v>174</v>
      </c>
      <c r="H2747" t="str">
        <f>VLOOKUP(G2747,[1]OPERADORES!$A:$B,2,0)</f>
        <v>MIRIÃ LOBATO RODRIGUES</v>
      </c>
      <c r="I2747" t="s">
        <v>21</v>
      </c>
      <c r="J2747" t="s">
        <v>630</v>
      </c>
      <c r="K2747" t="s">
        <v>631</v>
      </c>
      <c r="L2747">
        <v>24232</v>
      </c>
      <c r="M2747" t="s">
        <v>3087</v>
      </c>
      <c r="O2747" t="s">
        <v>11</v>
      </c>
      <c r="P2747">
        <v>5102</v>
      </c>
      <c r="Q2747">
        <v>1</v>
      </c>
      <c r="R2747">
        <v>49.59</v>
      </c>
      <c r="S2747">
        <v>49.59</v>
      </c>
      <c r="T2747">
        <v>37.64</v>
      </c>
      <c r="U2747">
        <v>24.1</v>
      </c>
      <c r="V2747" t="str">
        <f>VLOOKUP(L2747,'[2]tabela de preços'!$A:$D,4,0)</f>
        <v>VONIXX</v>
      </c>
      <c r="W2747" t="str">
        <f>VLOOKUP(L2747,'[2]tabela de preços'!$A:$F,6,0)</f>
        <v>LINHA DE HIGENIZAÇÃO E ESTÉTICA  AUTOMOTIVA</v>
      </c>
      <c r="X2747" t="str">
        <f>VLOOKUP(L2747,'[2]tabela de preços'!$A:$G,7,0)</f>
        <v>AUTOMOTIVO</v>
      </c>
    </row>
    <row r="2748" spans="1:24" x14ac:dyDescent="0.3">
      <c r="A2748" t="s">
        <v>626</v>
      </c>
      <c r="B2748" t="s">
        <v>627</v>
      </c>
      <c r="C2748" t="s">
        <v>3084</v>
      </c>
      <c r="D2748" s="1">
        <v>46071</v>
      </c>
      <c r="E2748" t="s">
        <v>3085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630</v>
      </c>
      <c r="K2748" t="s">
        <v>631</v>
      </c>
      <c r="L2748">
        <v>21316</v>
      </c>
      <c r="M2748" t="s">
        <v>1829</v>
      </c>
      <c r="O2748" t="s">
        <v>11</v>
      </c>
      <c r="P2748">
        <v>5102</v>
      </c>
      <c r="Q2748">
        <v>1</v>
      </c>
      <c r="R2748">
        <v>122.69</v>
      </c>
      <c r="S2748">
        <v>122.69</v>
      </c>
      <c r="T2748">
        <v>94.23</v>
      </c>
      <c r="U2748">
        <v>23.2</v>
      </c>
      <c r="V2748" t="str">
        <f>VLOOKUP(L2748,'[2]tabela de preços'!$A:$D,4,0)</f>
        <v>SHERWIN WILLIAMS</v>
      </c>
      <c r="W2748" t="str">
        <f>VLOOKUP(L2748,'[2]tabela de preços'!$A:$F,6,0)</f>
        <v>DILUENTE</v>
      </c>
      <c r="X2748" t="str">
        <f>VLOOKUP(L2748,'[2]tabela de preços'!$A:$G,7,0)</f>
        <v>AUTOMOTIVO</v>
      </c>
    </row>
    <row r="2749" spans="1:24" x14ac:dyDescent="0.3">
      <c r="A2749" t="s">
        <v>712</v>
      </c>
      <c r="C2749" t="s">
        <v>2892</v>
      </c>
      <c r="D2749" s="1">
        <v>46063</v>
      </c>
      <c r="E2749" t="s">
        <v>2893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715</v>
      </c>
      <c r="J2749" t="s">
        <v>716</v>
      </c>
      <c r="K2749" t="s">
        <v>717</v>
      </c>
      <c r="L2749">
        <v>20431</v>
      </c>
      <c r="M2749" t="s">
        <v>202</v>
      </c>
      <c r="O2749" t="s">
        <v>11</v>
      </c>
      <c r="P2749">
        <v>6403</v>
      </c>
      <c r="Q2749">
        <v>18</v>
      </c>
      <c r="R2749">
        <v>36.89</v>
      </c>
      <c r="S2749">
        <v>664.02</v>
      </c>
      <c r="T2749">
        <v>544.67999999999995</v>
      </c>
      <c r="U2749">
        <v>17.97</v>
      </c>
      <c r="V2749" t="str">
        <f>VLOOKUP(L2749,'[2]tabela de preços'!$A:$D,4,0)</f>
        <v>SHERWIN WILLIAMS</v>
      </c>
      <c r="W2749" t="str">
        <f>VLOOKUP(L2749,'[2]tabela de preços'!$A:$F,6,0)</f>
        <v>VERNIZ AUTOMOTIVO</v>
      </c>
      <c r="X2749" t="str">
        <f>VLOOKUP(L2749,'[2]tabela de preços'!$A:$G,7,0)</f>
        <v>AUTOMOTIVO</v>
      </c>
    </row>
    <row r="2750" spans="1:24" x14ac:dyDescent="0.3">
      <c r="A2750" t="s">
        <v>712</v>
      </c>
      <c r="C2750" t="s">
        <v>2892</v>
      </c>
      <c r="D2750" s="1">
        <v>46063</v>
      </c>
      <c r="E2750" t="s">
        <v>2893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715</v>
      </c>
      <c r="J2750" t="s">
        <v>716</v>
      </c>
      <c r="K2750" t="s">
        <v>717</v>
      </c>
      <c r="L2750">
        <v>10238</v>
      </c>
      <c r="M2750" t="s">
        <v>79</v>
      </c>
      <c r="O2750" t="s">
        <v>11</v>
      </c>
      <c r="P2750">
        <v>6102</v>
      </c>
      <c r="Q2750">
        <v>50</v>
      </c>
      <c r="R2750">
        <v>2.79</v>
      </c>
      <c r="S2750">
        <v>139.5</v>
      </c>
      <c r="T2750">
        <v>112</v>
      </c>
      <c r="U2750">
        <v>19.71</v>
      </c>
      <c r="V2750" t="str">
        <f>VLOOKUP(L2750,'[2]tabela de preços'!$A:$D,4,0)</f>
        <v>NORTON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712</v>
      </c>
      <c r="C2751" t="s">
        <v>2892</v>
      </c>
      <c r="D2751" s="1">
        <v>46063</v>
      </c>
      <c r="E2751" t="s">
        <v>2893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715</v>
      </c>
      <c r="J2751" t="s">
        <v>716</v>
      </c>
      <c r="K2751" t="s">
        <v>717</v>
      </c>
      <c r="L2751">
        <v>20525</v>
      </c>
      <c r="M2751" t="s">
        <v>137</v>
      </c>
      <c r="O2751" t="s">
        <v>11</v>
      </c>
      <c r="P2751">
        <v>6102</v>
      </c>
      <c r="Q2751">
        <v>12</v>
      </c>
      <c r="R2751">
        <v>13.65</v>
      </c>
      <c r="S2751">
        <v>163.80000000000001</v>
      </c>
      <c r="T2751">
        <v>124.32</v>
      </c>
      <c r="U2751">
        <v>24.1</v>
      </c>
      <c r="V2751" t="str">
        <f>VLOOKUP(L2751,'[2]tabela de preços'!$A:$D,4,0)</f>
        <v>SHERWIN WILLIAMS</v>
      </c>
      <c r="W2751" t="str">
        <f>VLOOKUP(L2751,'[2]tabela de preços'!$A:$F,6,0)</f>
        <v>MASSA DE PEQUENOS REPAROS</v>
      </c>
      <c r="X2751" t="str">
        <f>VLOOKUP(L2751,'[2]tabela de preços'!$A:$G,7,0)</f>
        <v>AUTOMOTIVO</v>
      </c>
    </row>
    <row r="2752" spans="1:24" x14ac:dyDescent="0.3">
      <c r="A2752" t="s">
        <v>3088</v>
      </c>
      <c r="C2752" t="s">
        <v>3089</v>
      </c>
      <c r="D2752" s="1">
        <v>46072</v>
      </c>
      <c r="E2752" t="s">
        <v>3090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843</v>
      </c>
      <c r="K2752" t="s">
        <v>3091</v>
      </c>
      <c r="L2752">
        <v>84498</v>
      </c>
      <c r="M2752" t="s">
        <v>533</v>
      </c>
      <c r="O2752" t="s">
        <v>11</v>
      </c>
      <c r="P2752">
        <v>5403</v>
      </c>
      <c r="Q2752">
        <v>1</v>
      </c>
      <c r="R2752">
        <v>449.7</v>
      </c>
      <c r="S2752">
        <v>449.7</v>
      </c>
      <c r="T2752">
        <v>341.33</v>
      </c>
      <c r="U2752">
        <v>24.1</v>
      </c>
      <c r="V2752" t="str">
        <f>VLOOKUP(L2752,'[2]tabela de preços'!$A:$D,4,0)</f>
        <v>BRASILUX</v>
      </c>
      <c r="W2752" t="str">
        <f>VLOOKUP(L2752,'[2]tabela de preços'!$A:$F,6,0)</f>
        <v>ESMALTES</v>
      </c>
      <c r="X2752" t="str">
        <f>VLOOKUP(L2752,'[2]tabela de preços'!$A:$G,7,0)</f>
        <v>INDUSTRIAL</v>
      </c>
    </row>
    <row r="2753" spans="1:24" x14ac:dyDescent="0.3">
      <c r="A2753" t="s">
        <v>2753</v>
      </c>
      <c r="C2753" t="s">
        <v>2754</v>
      </c>
      <c r="D2753" s="1">
        <v>46059</v>
      </c>
      <c r="E2753" t="s">
        <v>2755</v>
      </c>
      <c r="F2753">
        <v>9</v>
      </c>
      <c r="G2753">
        <v>231</v>
      </c>
      <c r="H2753" t="str">
        <f>VLOOKUP(G2753,[1]OPERADORES!$A:$B,2,0)</f>
        <v>EDIJANE</v>
      </c>
      <c r="I2753" t="s">
        <v>21</v>
      </c>
      <c r="J2753" t="s">
        <v>2756</v>
      </c>
      <c r="K2753" t="s">
        <v>2757</v>
      </c>
      <c r="L2753">
        <v>85320</v>
      </c>
      <c r="M2753" t="s">
        <v>2758</v>
      </c>
      <c r="O2753" t="s">
        <v>11</v>
      </c>
      <c r="P2753">
        <v>5102</v>
      </c>
      <c r="Q2753">
        <v>4</v>
      </c>
      <c r="R2753">
        <v>513</v>
      </c>
      <c r="S2753" s="2">
        <v>2052</v>
      </c>
      <c r="T2753" s="2">
        <v>1615.16</v>
      </c>
      <c r="U2753">
        <v>21.29</v>
      </c>
      <c r="V2753" t="str">
        <f>VLOOKUP(L2753,'[2]tabela de preços'!$A:$D,4,0)</f>
        <v>BRASILUX</v>
      </c>
      <c r="W2753" t="str">
        <f>VLOOKUP(L2753,'[2]tabela de preços'!$A:$F,6,0)</f>
        <v>TINTA EM PÓ</v>
      </c>
      <c r="X2753" t="str">
        <f>VLOOKUP(L2753,'[2]tabela de preços'!$A:$G,7,0)</f>
        <v>INDUSTRIAL</v>
      </c>
    </row>
    <row r="2754" spans="1:24" x14ac:dyDescent="0.3">
      <c r="A2754" t="s">
        <v>2759</v>
      </c>
      <c r="C2754" t="s">
        <v>2760</v>
      </c>
      <c r="D2754" s="1">
        <v>46059</v>
      </c>
      <c r="E2754" t="s">
        <v>2761</v>
      </c>
      <c r="F2754">
        <v>9</v>
      </c>
      <c r="G2754">
        <v>236</v>
      </c>
      <c r="H2754" t="str">
        <f>VLOOKUP(G2754,[1]OPERADORES!$A:$B,2,0)</f>
        <v>DANIEL</v>
      </c>
      <c r="I2754" t="s">
        <v>21</v>
      </c>
      <c r="J2754" t="s">
        <v>66</v>
      </c>
      <c r="K2754" t="s">
        <v>2762</v>
      </c>
      <c r="L2754">
        <v>86541</v>
      </c>
      <c r="M2754" t="s">
        <v>2763</v>
      </c>
      <c r="O2754" t="s">
        <v>11</v>
      </c>
      <c r="P2754">
        <v>5102</v>
      </c>
      <c r="Q2754">
        <v>1</v>
      </c>
      <c r="R2754">
        <v>219.22</v>
      </c>
      <c r="S2754">
        <v>219.22</v>
      </c>
      <c r="T2754">
        <v>172.48</v>
      </c>
      <c r="U2754">
        <v>21.32</v>
      </c>
      <c r="V2754" t="str">
        <f>VLOOKUP(L2754,'[2]tabela de preços'!$A:$D,4,0)</f>
        <v>CORAL</v>
      </c>
      <c r="W2754" t="str">
        <f>VLOOKUP(L2754,'[2]tabela de preços'!$A:$F,6,0)</f>
        <v>MASSA CORRIDA / ACRÍLICA</v>
      </c>
      <c r="X2754" t="str">
        <f>VLOOKUP(L2754,'[2]tabela de preços'!$A:$G,7,0)</f>
        <v>IMOBILIÁRIO</v>
      </c>
    </row>
    <row r="2755" spans="1:24" x14ac:dyDescent="0.3">
      <c r="A2755" t="s">
        <v>2759</v>
      </c>
      <c r="C2755" t="s">
        <v>2760</v>
      </c>
      <c r="D2755" s="1">
        <v>46059</v>
      </c>
      <c r="E2755" t="s">
        <v>2761</v>
      </c>
      <c r="F2755">
        <v>9</v>
      </c>
      <c r="G2755">
        <v>236</v>
      </c>
      <c r="H2755" t="str">
        <f>VLOOKUP(G2755,[1]OPERADORES!$A:$B,2,0)</f>
        <v>DANIEL</v>
      </c>
      <c r="I2755" t="s">
        <v>21</v>
      </c>
      <c r="J2755" t="s">
        <v>66</v>
      </c>
      <c r="K2755" t="s">
        <v>2762</v>
      </c>
      <c r="L2755">
        <v>24241</v>
      </c>
      <c r="M2755" t="s">
        <v>233</v>
      </c>
      <c r="O2755" t="s">
        <v>11</v>
      </c>
      <c r="P2755">
        <v>5102</v>
      </c>
      <c r="Q2755">
        <v>3</v>
      </c>
      <c r="R2755">
        <v>12.2</v>
      </c>
      <c r="S2755">
        <v>36.6</v>
      </c>
      <c r="T2755">
        <v>27.78</v>
      </c>
      <c r="U2755">
        <v>24.1</v>
      </c>
      <c r="V2755" t="str">
        <f>VLOOKUP(L2755,'[2]tabela de preços'!$A:$D,4,0)</f>
        <v>ADERE</v>
      </c>
      <c r="W2755" t="str">
        <f>VLOOKUP(L2755,'[2]tabela de preços'!$A:$F,6,0)</f>
        <v>FITA AUTOMOTIVA</v>
      </c>
      <c r="X2755" t="str">
        <f>VLOOKUP(L2755,'[2]tabela de preços'!$A:$G,7,0)</f>
        <v>AUTOMOTIVO</v>
      </c>
    </row>
    <row r="2756" spans="1:24" x14ac:dyDescent="0.3">
      <c r="A2756" t="s">
        <v>2759</v>
      </c>
      <c r="C2756" t="s">
        <v>2760</v>
      </c>
      <c r="D2756" s="1">
        <v>46059</v>
      </c>
      <c r="E2756" t="s">
        <v>2761</v>
      </c>
      <c r="F2756">
        <v>9</v>
      </c>
      <c r="G2756">
        <v>236</v>
      </c>
      <c r="H2756" t="str">
        <f>VLOOKUP(G2756,[1]OPERADORES!$A:$B,2,0)</f>
        <v>DANIEL</v>
      </c>
      <c r="I2756" t="s">
        <v>21</v>
      </c>
      <c r="J2756" t="s">
        <v>66</v>
      </c>
      <c r="K2756" t="s">
        <v>2762</v>
      </c>
      <c r="L2756">
        <v>84020</v>
      </c>
      <c r="M2756" t="s">
        <v>518</v>
      </c>
      <c r="O2756" t="s">
        <v>11</v>
      </c>
      <c r="P2756">
        <v>5102</v>
      </c>
      <c r="Q2756">
        <v>4</v>
      </c>
      <c r="R2756">
        <v>0.96</v>
      </c>
      <c r="S2756">
        <v>3.84</v>
      </c>
      <c r="T2756">
        <v>2.76</v>
      </c>
      <c r="U2756">
        <v>28.13</v>
      </c>
      <c r="V2756" t="str">
        <f>VLOOKUP(L2756,'[2]tabela de preços'!$A:$D,4,0)</f>
        <v>3M</v>
      </c>
      <c r="W2756" t="str">
        <f>VLOOKUP(L2756,'[2]tabela de preços'!$A:$F,6,0)</f>
        <v>LIXA MASSA  /MADEIRA / PAREDE</v>
      </c>
      <c r="X2756" t="str">
        <f>VLOOKUP(L2756,'[2]tabela de preços'!$A:$G,7,0)</f>
        <v>IMOBILIÁRIO</v>
      </c>
    </row>
    <row r="2757" spans="1:24" x14ac:dyDescent="0.3">
      <c r="A2757" t="s">
        <v>2759</v>
      </c>
      <c r="C2757" t="s">
        <v>2760</v>
      </c>
      <c r="D2757" s="1">
        <v>46059</v>
      </c>
      <c r="E2757" t="s">
        <v>2761</v>
      </c>
      <c r="F2757">
        <v>9</v>
      </c>
      <c r="G2757">
        <v>236</v>
      </c>
      <c r="H2757" t="str">
        <f>VLOOKUP(G2757,[1]OPERADORES!$A:$B,2,0)</f>
        <v>DANIEL</v>
      </c>
      <c r="I2757" t="s">
        <v>21</v>
      </c>
      <c r="J2757" t="s">
        <v>66</v>
      </c>
      <c r="K2757" t="s">
        <v>2762</v>
      </c>
      <c r="L2757">
        <v>85139</v>
      </c>
      <c r="M2757" t="s">
        <v>45</v>
      </c>
      <c r="O2757" t="s">
        <v>46</v>
      </c>
      <c r="P2757">
        <v>5403</v>
      </c>
      <c r="Q2757">
        <v>1</v>
      </c>
      <c r="R2757">
        <v>106.91</v>
      </c>
      <c r="S2757">
        <v>106.91</v>
      </c>
      <c r="T2757">
        <v>78.38</v>
      </c>
      <c r="U2757">
        <v>26.69</v>
      </c>
      <c r="V2757" t="str">
        <f>VLOOKUP(L2757,'[2]tabela de preços'!$A:$D,4,0)</f>
        <v>MULTILONA</v>
      </c>
      <c r="W2757" t="str">
        <f>VLOOKUP(L2757,'[2]tabela de preços'!$A:$F,6,0)</f>
        <v>LONAS</v>
      </c>
      <c r="X2757" t="str">
        <f>VLOOKUP(L2757,'[2]tabela de preços'!$A:$G,7,0)</f>
        <v>IMOBILIÁRIO</v>
      </c>
    </row>
    <row r="2758" spans="1:24" x14ac:dyDescent="0.3">
      <c r="A2758" t="s">
        <v>727</v>
      </c>
      <c r="C2758" t="s">
        <v>2606</v>
      </c>
      <c r="D2758" s="1">
        <v>46057</v>
      </c>
      <c r="E2758" t="s">
        <v>2607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730</v>
      </c>
      <c r="K2758" t="s">
        <v>731</v>
      </c>
      <c r="L2758">
        <v>84113</v>
      </c>
      <c r="M2758" t="s">
        <v>737</v>
      </c>
      <c r="O2758" t="s">
        <v>11</v>
      </c>
      <c r="P2758">
        <v>5403</v>
      </c>
      <c r="Q2758">
        <v>10</v>
      </c>
      <c r="R2758">
        <v>153.99</v>
      </c>
      <c r="S2758" s="2">
        <v>1539.9</v>
      </c>
      <c r="T2758" s="2">
        <v>1168.8</v>
      </c>
      <c r="U2758">
        <v>24.1</v>
      </c>
      <c r="V2758" t="str">
        <f>VLOOKUP(L2758,'[2]tabela de preços'!$A:$D,4,0)</f>
        <v>BRASILUX</v>
      </c>
      <c r="W2758" t="str">
        <f>VLOOKUP(L2758,'[2]tabela de preços'!$A:$F,6,0)</f>
        <v>EPOXI</v>
      </c>
      <c r="X2758" t="str">
        <f>VLOOKUP(L2758,'[2]tabela de preços'!$A:$G,7,0)</f>
        <v>INDUSTRIAL</v>
      </c>
    </row>
    <row r="2759" spans="1:24" x14ac:dyDescent="0.3">
      <c r="A2759" t="s">
        <v>727</v>
      </c>
      <c r="C2759" t="s">
        <v>2813</v>
      </c>
      <c r="D2759" s="1">
        <v>46062</v>
      </c>
      <c r="E2759" t="s">
        <v>2814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730</v>
      </c>
      <c r="K2759" t="s">
        <v>731</v>
      </c>
      <c r="L2759">
        <v>86891</v>
      </c>
      <c r="M2759" t="s">
        <v>1726</v>
      </c>
      <c r="O2759" t="s">
        <v>11</v>
      </c>
      <c r="P2759">
        <v>5403</v>
      </c>
      <c r="Q2759">
        <v>3</v>
      </c>
      <c r="R2759">
        <v>229.22</v>
      </c>
      <c r="S2759">
        <v>687.66</v>
      </c>
      <c r="T2759">
        <v>577.86</v>
      </c>
      <c r="U2759">
        <v>15.97</v>
      </c>
      <c r="V2759" t="str">
        <f>VLOOKUP(L2759,'[2]tabela de preços'!$A:$D,4,0)</f>
        <v>VEDACIT</v>
      </c>
      <c r="W2759" t="str">
        <f>VLOOKUP(L2759,'[2]tabela de preços'!$A:$F,6,0)</f>
        <v>IMPERMEABILIZANTES</v>
      </c>
      <c r="X2759" t="str">
        <f>VLOOKUP(L2759,'[2]tabela de preços'!$A:$G,7,0)</f>
        <v>IMOBILIÁRIO</v>
      </c>
    </row>
    <row r="2760" spans="1:24" x14ac:dyDescent="0.3">
      <c r="A2760" t="s">
        <v>727</v>
      </c>
      <c r="C2760" t="s">
        <v>2813</v>
      </c>
      <c r="D2760" s="1">
        <v>46062</v>
      </c>
      <c r="E2760" t="s">
        <v>2814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730</v>
      </c>
      <c r="K2760" t="s">
        <v>731</v>
      </c>
      <c r="L2760">
        <v>85164</v>
      </c>
      <c r="M2760" t="s">
        <v>278</v>
      </c>
      <c r="O2760" t="s">
        <v>11</v>
      </c>
      <c r="P2760">
        <v>5102</v>
      </c>
      <c r="Q2760">
        <v>48</v>
      </c>
      <c r="R2760">
        <v>13.29</v>
      </c>
      <c r="S2760">
        <v>637.91999999999996</v>
      </c>
      <c r="T2760">
        <v>484.32</v>
      </c>
      <c r="U2760">
        <v>24.08</v>
      </c>
      <c r="V2760" t="str">
        <f>VLOOKUP(L2760,'[2]tabela de preços'!$A:$D,4,0)</f>
        <v>BRASILUX</v>
      </c>
      <c r="W2760" t="str">
        <f>VLOOKUP(L2760,'[2]tabela de preços'!$A:$F,6,0)</f>
        <v>QUEROSENE</v>
      </c>
      <c r="X2760" t="str">
        <f>VLOOKUP(L2760,'[2]tabela de preços'!$A:$G,7,0)</f>
        <v>AUTOMOTIVO</v>
      </c>
    </row>
    <row r="2761" spans="1:24" x14ac:dyDescent="0.3">
      <c r="A2761" t="s">
        <v>727</v>
      </c>
      <c r="C2761" t="s">
        <v>2813</v>
      </c>
      <c r="D2761" s="1">
        <v>46062</v>
      </c>
      <c r="E2761" t="s">
        <v>2814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730</v>
      </c>
      <c r="K2761" t="s">
        <v>731</v>
      </c>
      <c r="L2761">
        <v>10297</v>
      </c>
      <c r="M2761" t="s">
        <v>41</v>
      </c>
      <c r="O2761" t="s">
        <v>11</v>
      </c>
      <c r="P2761">
        <v>5102</v>
      </c>
      <c r="Q2761">
        <v>48</v>
      </c>
      <c r="R2761">
        <v>10.89</v>
      </c>
      <c r="S2761">
        <v>522.72</v>
      </c>
      <c r="T2761">
        <v>440.16</v>
      </c>
      <c r="U2761">
        <v>15.79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727</v>
      </c>
      <c r="C2762" t="s">
        <v>2894</v>
      </c>
      <c r="D2762" s="1">
        <v>46063</v>
      </c>
      <c r="E2762" t="s">
        <v>2895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730</v>
      </c>
      <c r="K2762" t="s">
        <v>731</v>
      </c>
      <c r="L2762">
        <v>84350</v>
      </c>
      <c r="M2762" t="s">
        <v>2282</v>
      </c>
      <c r="O2762" t="s">
        <v>11</v>
      </c>
      <c r="P2762">
        <v>5403</v>
      </c>
      <c r="Q2762">
        <v>6</v>
      </c>
      <c r="R2762">
        <v>25.22</v>
      </c>
      <c r="S2762">
        <v>151.32</v>
      </c>
      <c r="T2762">
        <v>114.84</v>
      </c>
      <c r="U2762">
        <v>24.11</v>
      </c>
      <c r="V2762" t="str">
        <f>VLOOKUP(L2762,'[2]tabela de preços'!$A:$D,4,0)</f>
        <v>BRASILUX</v>
      </c>
      <c r="W2762" t="str">
        <f>VLOOKUP(L2762,'[2]tabela de preços'!$A:$F,6,0)</f>
        <v>ESMALTES</v>
      </c>
      <c r="X2762" t="str">
        <f>VLOOKUP(L2762,'[2]tabela de preços'!$A:$G,7,0)</f>
        <v>INDUSTRIAL</v>
      </c>
    </row>
    <row r="2763" spans="1:24" x14ac:dyDescent="0.3">
      <c r="A2763" t="s">
        <v>727</v>
      </c>
      <c r="C2763" t="s">
        <v>2894</v>
      </c>
      <c r="D2763" s="1">
        <v>46063</v>
      </c>
      <c r="E2763" t="s">
        <v>2895</v>
      </c>
      <c r="F2763">
        <v>9</v>
      </c>
      <c r="G2763">
        <v>231</v>
      </c>
      <c r="H2763" t="str">
        <f>VLOOKUP(G2763,[1]OPERADORES!$A:$B,2,0)</f>
        <v>EDIJANE</v>
      </c>
      <c r="I2763" t="s">
        <v>21</v>
      </c>
      <c r="J2763" t="s">
        <v>730</v>
      </c>
      <c r="K2763" t="s">
        <v>731</v>
      </c>
      <c r="L2763">
        <v>84144</v>
      </c>
      <c r="M2763" t="s">
        <v>1287</v>
      </c>
      <c r="O2763" t="s">
        <v>11</v>
      </c>
      <c r="P2763">
        <v>5403</v>
      </c>
      <c r="Q2763">
        <v>8</v>
      </c>
      <c r="R2763">
        <v>68.510000000000005</v>
      </c>
      <c r="S2763">
        <v>548.08000000000004</v>
      </c>
      <c r="T2763">
        <v>416</v>
      </c>
      <c r="U2763">
        <v>24.1</v>
      </c>
      <c r="V2763" t="str">
        <f>VLOOKUP(L2763,'[2]tabela de preços'!$A:$D,4,0)</f>
        <v>BRASILUX</v>
      </c>
      <c r="W2763" t="str">
        <f>VLOOKUP(L2763,'[2]tabela de preços'!$A:$F,6,0)</f>
        <v>ESMALTES</v>
      </c>
      <c r="X2763" t="str">
        <f>VLOOKUP(L2763,'[2]tabela de preços'!$A:$G,7,0)</f>
        <v>INDUSTRIAL</v>
      </c>
    </row>
    <row r="2764" spans="1:24" x14ac:dyDescent="0.3">
      <c r="A2764" t="s">
        <v>727</v>
      </c>
      <c r="C2764" t="s">
        <v>2894</v>
      </c>
      <c r="D2764" s="1">
        <v>46063</v>
      </c>
      <c r="E2764" t="s">
        <v>2895</v>
      </c>
      <c r="F2764">
        <v>9</v>
      </c>
      <c r="G2764">
        <v>231</v>
      </c>
      <c r="H2764" t="str">
        <f>VLOOKUP(G2764,[1]OPERADORES!$A:$B,2,0)</f>
        <v>EDIJANE</v>
      </c>
      <c r="I2764" t="s">
        <v>21</v>
      </c>
      <c r="J2764" t="s">
        <v>730</v>
      </c>
      <c r="K2764" t="s">
        <v>731</v>
      </c>
      <c r="L2764">
        <v>84146</v>
      </c>
      <c r="M2764" t="s">
        <v>1707</v>
      </c>
      <c r="O2764" t="s">
        <v>11</v>
      </c>
      <c r="P2764">
        <v>5403</v>
      </c>
      <c r="Q2764">
        <v>6</v>
      </c>
      <c r="R2764">
        <v>21.56</v>
      </c>
      <c r="S2764">
        <v>129.36000000000001</v>
      </c>
      <c r="T2764">
        <v>98.22</v>
      </c>
      <c r="U2764">
        <v>24.07</v>
      </c>
      <c r="V2764" t="str">
        <f>VLOOKUP(L2764,'[2]tabela de preços'!$A:$D,4,0)</f>
        <v>BRASILUX</v>
      </c>
      <c r="W2764" t="str">
        <f>VLOOKUP(L2764,'[2]tabela de preços'!$A:$F,6,0)</f>
        <v>ESMALTES</v>
      </c>
      <c r="X2764" t="str">
        <f>VLOOKUP(L2764,'[2]tabela de preços'!$A:$G,7,0)</f>
        <v>INDUSTRIAL</v>
      </c>
    </row>
    <row r="2765" spans="1:24" x14ac:dyDescent="0.3">
      <c r="A2765" t="s">
        <v>727</v>
      </c>
      <c r="C2765" t="s">
        <v>2894</v>
      </c>
      <c r="D2765" s="1">
        <v>46063</v>
      </c>
      <c r="E2765" t="s">
        <v>2895</v>
      </c>
      <c r="F2765">
        <v>9</v>
      </c>
      <c r="G2765">
        <v>231</v>
      </c>
      <c r="H2765" t="str">
        <f>VLOOKUP(G2765,[1]OPERADORES!$A:$B,2,0)</f>
        <v>EDIJANE</v>
      </c>
      <c r="I2765" t="s">
        <v>21</v>
      </c>
      <c r="J2765" t="s">
        <v>730</v>
      </c>
      <c r="K2765" t="s">
        <v>731</v>
      </c>
      <c r="L2765">
        <v>84128</v>
      </c>
      <c r="M2765" t="s">
        <v>1710</v>
      </c>
      <c r="O2765" t="s">
        <v>11</v>
      </c>
      <c r="P2765">
        <v>5403</v>
      </c>
      <c r="Q2765">
        <v>6</v>
      </c>
      <c r="R2765">
        <v>20.87</v>
      </c>
      <c r="S2765">
        <v>125.22</v>
      </c>
      <c r="T2765">
        <v>95.04</v>
      </c>
      <c r="U2765">
        <v>24.1</v>
      </c>
      <c r="V2765" t="str">
        <f>VLOOKUP(L2765,'[2]tabela de preços'!$A:$D,4,0)</f>
        <v>BRASILUX</v>
      </c>
      <c r="W2765" t="str">
        <f>VLOOKUP(L2765,'[2]tabela de preços'!$A:$F,6,0)</f>
        <v>ESMALTES</v>
      </c>
      <c r="X2765" t="str">
        <f>VLOOKUP(L2765,'[2]tabela de preços'!$A:$G,7,0)</f>
        <v>INDUSTRIAL</v>
      </c>
    </row>
    <row r="2766" spans="1:24" x14ac:dyDescent="0.3">
      <c r="A2766" t="s">
        <v>727</v>
      </c>
      <c r="C2766" t="s">
        <v>2894</v>
      </c>
      <c r="D2766" s="1">
        <v>46063</v>
      </c>
      <c r="E2766" t="s">
        <v>2895</v>
      </c>
      <c r="F2766">
        <v>9</v>
      </c>
      <c r="G2766">
        <v>231</v>
      </c>
      <c r="H2766" t="str">
        <f>VLOOKUP(G2766,[1]OPERADORES!$A:$B,2,0)</f>
        <v>EDIJANE</v>
      </c>
      <c r="I2766" t="s">
        <v>21</v>
      </c>
      <c r="J2766" t="s">
        <v>730</v>
      </c>
      <c r="K2766" t="s">
        <v>731</v>
      </c>
      <c r="L2766">
        <v>20960</v>
      </c>
      <c r="M2766" t="s">
        <v>1734</v>
      </c>
      <c r="O2766" t="s">
        <v>11</v>
      </c>
      <c r="P2766">
        <v>5403</v>
      </c>
      <c r="Q2766">
        <v>3</v>
      </c>
      <c r="R2766">
        <v>79.56</v>
      </c>
      <c r="S2766">
        <v>238.68</v>
      </c>
      <c r="T2766">
        <v>181.17</v>
      </c>
      <c r="U2766">
        <v>24.1</v>
      </c>
      <c r="V2766" t="str">
        <f>VLOOKUP(L2766,'[2]tabela de preços'!$A:$D,4,0)</f>
        <v>SHERWIN WILLIAMS</v>
      </c>
      <c r="W2766" t="str">
        <f>VLOOKUP(L2766,'[2]tabela de preços'!$A:$F,6,0)</f>
        <v>VERNIZ AUTOMOTIVO</v>
      </c>
      <c r="X2766" t="str">
        <f>VLOOKUP(L2766,'[2]tabela de preços'!$A:$G,7,0)</f>
        <v>AUTOMOTIVO</v>
      </c>
    </row>
    <row r="2767" spans="1:24" x14ac:dyDescent="0.3">
      <c r="A2767" t="s">
        <v>727</v>
      </c>
      <c r="C2767" t="s">
        <v>2894</v>
      </c>
      <c r="D2767" s="1">
        <v>46063</v>
      </c>
      <c r="E2767" t="s">
        <v>2895</v>
      </c>
      <c r="F2767">
        <v>9</v>
      </c>
      <c r="G2767">
        <v>231</v>
      </c>
      <c r="H2767" t="str">
        <f>VLOOKUP(G2767,[1]OPERADORES!$A:$B,2,0)</f>
        <v>EDIJANE</v>
      </c>
      <c r="I2767" t="s">
        <v>21</v>
      </c>
      <c r="J2767" t="s">
        <v>730</v>
      </c>
      <c r="K2767" t="s">
        <v>731</v>
      </c>
      <c r="L2767">
        <v>85140</v>
      </c>
      <c r="M2767" t="s">
        <v>625</v>
      </c>
      <c r="O2767" t="s">
        <v>46</v>
      </c>
      <c r="P2767">
        <v>5405</v>
      </c>
      <c r="Q2767">
        <v>2</v>
      </c>
      <c r="R2767">
        <v>206.54</v>
      </c>
      <c r="S2767">
        <v>413.08</v>
      </c>
      <c r="T2767">
        <v>313.54000000000002</v>
      </c>
      <c r="U2767">
        <v>24.1</v>
      </c>
      <c r="V2767" t="str">
        <f>VLOOKUP(L2767,'[2]tabela de preços'!$A:$D,4,0)</f>
        <v>MULTILONA</v>
      </c>
      <c r="W2767" t="str">
        <f>VLOOKUP(L2767,'[2]tabela de preços'!$A:$F,6,0)</f>
        <v>LONAS</v>
      </c>
      <c r="X2767" t="str">
        <f>VLOOKUP(L2767,'[2]tabela de preços'!$A:$G,7,0)</f>
        <v>IMOBILIÁRIO</v>
      </c>
    </row>
    <row r="2768" spans="1:24" x14ac:dyDescent="0.3">
      <c r="A2768" t="s">
        <v>727</v>
      </c>
      <c r="C2768" t="s">
        <v>2894</v>
      </c>
      <c r="D2768" s="1">
        <v>46063</v>
      </c>
      <c r="E2768" t="s">
        <v>2895</v>
      </c>
      <c r="F2768">
        <v>9</v>
      </c>
      <c r="G2768">
        <v>231</v>
      </c>
      <c r="H2768" t="str">
        <f>VLOOKUP(G2768,[1]OPERADORES!$A:$B,2,0)</f>
        <v>EDIJANE</v>
      </c>
      <c r="I2768" t="s">
        <v>21</v>
      </c>
      <c r="J2768" t="s">
        <v>730</v>
      </c>
      <c r="K2768" t="s">
        <v>731</v>
      </c>
      <c r="L2768">
        <v>85698</v>
      </c>
      <c r="M2768" t="s">
        <v>1946</v>
      </c>
      <c r="O2768" t="s">
        <v>11</v>
      </c>
      <c r="P2768">
        <v>5102</v>
      </c>
      <c r="Q2768">
        <v>4</v>
      </c>
      <c r="R2768">
        <v>129</v>
      </c>
      <c r="S2768">
        <v>516</v>
      </c>
      <c r="T2768">
        <v>415.44</v>
      </c>
      <c r="U2768">
        <v>19.489999999999998</v>
      </c>
      <c r="V2768" t="str">
        <f>VLOOKUP(L2768,'[2]tabela de preços'!$A:$D,4,0)</f>
        <v>SIMAPPEL</v>
      </c>
      <c r="W2768" t="str">
        <f>VLOOKUP(L2768,'[2]tabela de preços'!$A:$F,6,0)</f>
        <v>PAPELAO ONDULADO</v>
      </c>
      <c r="X2768" t="str">
        <f>VLOOKUP(L2768,'[2]tabela de preços'!$A:$G,7,0)</f>
        <v>IMOBILIÁRIO</v>
      </c>
    </row>
    <row r="2769" spans="1:24" x14ac:dyDescent="0.3">
      <c r="A2769" t="s">
        <v>727</v>
      </c>
      <c r="C2769" t="s">
        <v>2896</v>
      </c>
      <c r="D2769" s="1">
        <v>46063</v>
      </c>
      <c r="E2769" t="s">
        <v>2897</v>
      </c>
      <c r="F2769">
        <v>9</v>
      </c>
      <c r="G2769">
        <v>231</v>
      </c>
      <c r="H2769" t="str">
        <f>VLOOKUP(G2769,[1]OPERADORES!$A:$B,2,0)</f>
        <v>EDIJANE</v>
      </c>
      <c r="I2769" t="s">
        <v>21</v>
      </c>
      <c r="J2769" t="s">
        <v>730</v>
      </c>
      <c r="K2769" t="s">
        <v>731</v>
      </c>
      <c r="L2769">
        <v>84014</v>
      </c>
      <c r="M2769" t="s">
        <v>1152</v>
      </c>
      <c r="O2769" t="s">
        <v>11</v>
      </c>
      <c r="P2769">
        <v>5102</v>
      </c>
      <c r="Q2769">
        <v>100</v>
      </c>
      <c r="R2769">
        <v>2.2000000000000002</v>
      </c>
      <c r="S2769">
        <v>220</v>
      </c>
      <c r="T2769">
        <v>167</v>
      </c>
      <c r="U2769">
        <v>24.09</v>
      </c>
      <c r="V2769" t="str">
        <f>VLOOKUP(L2769,'[2]tabela de preços'!$A:$D,4,0)</f>
        <v>3M</v>
      </c>
      <c r="W2769" t="str">
        <f>VLOOKUP(L2769,'[2]tabela de preços'!$A:$F,6,0)</f>
        <v>LIXA FERRO</v>
      </c>
      <c r="X2769" t="str">
        <f>VLOOKUP(L2769,'[2]tabela de preços'!$A:$G,7,0)</f>
        <v>IMOBILIÁRIO</v>
      </c>
    </row>
    <row r="2770" spans="1:24" x14ac:dyDescent="0.3">
      <c r="A2770" t="s">
        <v>727</v>
      </c>
      <c r="C2770" t="s">
        <v>2896</v>
      </c>
      <c r="D2770" s="1">
        <v>46063</v>
      </c>
      <c r="E2770" t="s">
        <v>2897</v>
      </c>
      <c r="F2770">
        <v>9</v>
      </c>
      <c r="G2770">
        <v>231</v>
      </c>
      <c r="H2770" t="str">
        <f>VLOOKUP(G2770,[1]OPERADORES!$A:$B,2,0)</f>
        <v>EDIJANE</v>
      </c>
      <c r="I2770" t="s">
        <v>21</v>
      </c>
      <c r="J2770" t="s">
        <v>730</v>
      </c>
      <c r="K2770" t="s">
        <v>731</v>
      </c>
      <c r="L2770">
        <v>85415</v>
      </c>
      <c r="M2770" t="s">
        <v>755</v>
      </c>
      <c r="O2770" t="s">
        <v>11</v>
      </c>
      <c r="P2770">
        <v>5102</v>
      </c>
      <c r="Q2770">
        <v>12</v>
      </c>
      <c r="R2770">
        <v>8.9</v>
      </c>
      <c r="S2770">
        <v>106.8</v>
      </c>
      <c r="T2770">
        <v>87.84</v>
      </c>
      <c r="U2770">
        <v>17.75</v>
      </c>
      <c r="V2770" t="str">
        <f>VLOOKUP(L2770,'[2]tabela de preços'!$A:$D,4,0)</f>
        <v>IBERÊ</v>
      </c>
      <c r="W2770" t="str">
        <f>VLOOKUP(L2770,'[2]tabela de preços'!$A:$F,6,0)</f>
        <v xml:space="preserve">COLA  PLÁSTICA </v>
      </c>
      <c r="X2770" t="str">
        <f>VLOOKUP(L2770,'[2]tabela de preços'!$A:$G,7,0)</f>
        <v>AUTOMOTIVO</v>
      </c>
    </row>
    <row r="2771" spans="1:24" x14ac:dyDescent="0.3">
      <c r="A2771" t="s">
        <v>727</v>
      </c>
      <c r="C2771" t="s">
        <v>2896</v>
      </c>
      <c r="D2771" s="1">
        <v>46063</v>
      </c>
      <c r="E2771" t="s">
        <v>2897</v>
      </c>
      <c r="F2771">
        <v>9</v>
      </c>
      <c r="G2771">
        <v>231</v>
      </c>
      <c r="H2771" t="str">
        <f>VLOOKUP(G2771,[1]OPERADORES!$A:$B,2,0)</f>
        <v>EDIJANE</v>
      </c>
      <c r="I2771" t="s">
        <v>21</v>
      </c>
      <c r="J2771" t="s">
        <v>730</v>
      </c>
      <c r="K2771" t="s">
        <v>731</v>
      </c>
      <c r="L2771">
        <v>85626</v>
      </c>
      <c r="M2771" t="s">
        <v>1040</v>
      </c>
      <c r="O2771" t="s">
        <v>11</v>
      </c>
      <c r="P2771">
        <v>5102</v>
      </c>
      <c r="Q2771">
        <v>6</v>
      </c>
      <c r="R2771">
        <v>34.9</v>
      </c>
      <c r="S2771">
        <v>209.4</v>
      </c>
      <c r="T2771">
        <v>172.08</v>
      </c>
      <c r="U2771">
        <v>17.82</v>
      </c>
      <c r="V2771" t="str">
        <f>VLOOKUP(L2771,'[2]tabela de preços'!$A:$D,4,0)</f>
        <v>WD-40</v>
      </c>
      <c r="W2771" t="str">
        <f>VLOOKUP(L2771,'[2]tabela de preços'!$A:$F,6,0)</f>
        <v>DESENGRIPANTE</v>
      </c>
      <c r="X2771" t="str">
        <f>VLOOKUP(L2771,'[2]tabela de preços'!$A:$G,7,0)</f>
        <v>AUTOMOTIVO</v>
      </c>
    </row>
    <row r="2772" spans="1:24" x14ac:dyDescent="0.3">
      <c r="A2772" t="s">
        <v>727</v>
      </c>
      <c r="C2772" t="s">
        <v>2896</v>
      </c>
      <c r="D2772" s="1">
        <v>46063</v>
      </c>
      <c r="E2772" t="s">
        <v>2897</v>
      </c>
      <c r="F2772">
        <v>9</v>
      </c>
      <c r="G2772">
        <v>231</v>
      </c>
      <c r="H2772" t="str">
        <f>VLOOKUP(G2772,[1]OPERADORES!$A:$B,2,0)</f>
        <v>EDIJANE</v>
      </c>
      <c r="I2772" t="s">
        <v>21</v>
      </c>
      <c r="J2772" t="s">
        <v>730</v>
      </c>
      <c r="K2772" t="s">
        <v>731</v>
      </c>
      <c r="L2772">
        <v>85683</v>
      </c>
      <c r="M2772" t="s">
        <v>521</v>
      </c>
      <c r="O2772" t="s">
        <v>11</v>
      </c>
      <c r="P2772">
        <v>5102</v>
      </c>
      <c r="Q2772">
        <v>60</v>
      </c>
      <c r="R2772">
        <v>8.2899999999999991</v>
      </c>
      <c r="S2772">
        <v>497.4</v>
      </c>
      <c r="T2772">
        <v>370.2</v>
      </c>
      <c r="U2772">
        <v>25.57</v>
      </c>
      <c r="V2772" t="str">
        <f>VLOOKUP(L2772,'[2]tabela de preços'!$A:$D,4,0)</f>
        <v>UNIPEGA</v>
      </c>
      <c r="W2772" t="str">
        <f>VLOOKUP(L2772,'[2]tabela de preços'!$A:$F,6,0)</f>
        <v>SILICONE</v>
      </c>
      <c r="X2772" t="str">
        <f>VLOOKUP(L2772,'[2]tabela de preços'!$A:$G,7,0)</f>
        <v>IMOBILIÁRIO</v>
      </c>
    </row>
    <row r="2773" spans="1:24" x14ac:dyDescent="0.3">
      <c r="A2773" t="s">
        <v>727</v>
      </c>
      <c r="C2773" t="s">
        <v>2898</v>
      </c>
      <c r="D2773" s="1">
        <v>46064</v>
      </c>
      <c r="E2773" t="s">
        <v>2899</v>
      </c>
      <c r="F2773">
        <v>9</v>
      </c>
      <c r="G2773">
        <v>231</v>
      </c>
      <c r="H2773" t="str">
        <f>VLOOKUP(G2773,[1]OPERADORES!$A:$B,2,0)</f>
        <v>EDIJANE</v>
      </c>
      <c r="I2773" t="s">
        <v>21</v>
      </c>
      <c r="J2773" t="s">
        <v>730</v>
      </c>
      <c r="K2773" t="s">
        <v>731</v>
      </c>
      <c r="L2773">
        <v>84785</v>
      </c>
      <c r="M2773" t="s">
        <v>944</v>
      </c>
      <c r="O2773" t="s">
        <v>11</v>
      </c>
      <c r="P2773">
        <v>5403</v>
      </c>
      <c r="Q2773">
        <v>10</v>
      </c>
      <c r="R2773">
        <v>172.23</v>
      </c>
      <c r="S2773" s="2">
        <v>1722.3</v>
      </c>
      <c r="T2773" s="2">
        <v>1307.2</v>
      </c>
      <c r="U2773">
        <v>24.1</v>
      </c>
      <c r="V2773" t="str">
        <f>VLOOKUP(L2773,'[2]tabela de preços'!$A:$D,4,0)</f>
        <v>BRASILUX</v>
      </c>
      <c r="W2773" t="str">
        <f>VLOOKUP(L2773,'[2]tabela de preços'!$A:$F,6,0)</f>
        <v>EPOXI</v>
      </c>
      <c r="X2773" t="str">
        <f>VLOOKUP(L2773,'[2]tabela de preços'!$A:$G,7,0)</f>
        <v>INDUSTRIAL</v>
      </c>
    </row>
    <row r="2774" spans="1:24" x14ac:dyDescent="0.3">
      <c r="A2774" t="s">
        <v>727</v>
      </c>
      <c r="C2774" t="s">
        <v>3092</v>
      </c>
      <c r="D2774" s="1">
        <v>46072</v>
      </c>
      <c r="E2774" t="s">
        <v>3093</v>
      </c>
      <c r="F2774">
        <v>9</v>
      </c>
      <c r="G2774">
        <v>231</v>
      </c>
      <c r="H2774" t="str">
        <f>VLOOKUP(G2774,[1]OPERADORES!$A:$B,2,0)</f>
        <v>EDIJANE</v>
      </c>
      <c r="I2774" t="s">
        <v>21</v>
      </c>
      <c r="J2774" t="s">
        <v>730</v>
      </c>
      <c r="K2774" t="s">
        <v>731</v>
      </c>
      <c r="L2774">
        <v>84785</v>
      </c>
      <c r="M2774" t="s">
        <v>944</v>
      </c>
      <c r="O2774" t="s">
        <v>11</v>
      </c>
      <c r="P2774">
        <v>5403</v>
      </c>
      <c r="Q2774">
        <v>20</v>
      </c>
      <c r="R2774">
        <v>172.23</v>
      </c>
      <c r="S2774" s="2">
        <v>3444.6</v>
      </c>
      <c r="T2774" s="2">
        <v>2614.4</v>
      </c>
      <c r="U2774">
        <v>24.1</v>
      </c>
      <c r="V2774" t="str">
        <f>VLOOKUP(L2774,'[2]tabela de preços'!$A:$D,4,0)</f>
        <v>BRASILUX</v>
      </c>
      <c r="W2774" t="str">
        <f>VLOOKUP(L2774,'[2]tabela de preços'!$A:$F,6,0)</f>
        <v>EPOXI</v>
      </c>
      <c r="X2774" t="str">
        <f>VLOOKUP(L2774,'[2]tabela de preços'!$A:$G,7,0)</f>
        <v>INDUSTRIAL</v>
      </c>
    </row>
    <row r="2775" spans="1:24" x14ac:dyDescent="0.3">
      <c r="A2775" t="s">
        <v>727</v>
      </c>
      <c r="C2775" t="s">
        <v>3092</v>
      </c>
      <c r="D2775" s="1">
        <v>46072</v>
      </c>
      <c r="E2775" t="s">
        <v>3093</v>
      </c>
      <c r="F2775">
        <v>9</v>
      </c>
      <c r="G2775">
        <v>231</v>
      </c>
      <c r="H2775" t="str">
        <f>VLOOKUP(G2775,[1]OPERADORES!$A:$B,2,0)</f>
        <v>EDIJANE</v>
      </c>
      <c r="I2775" t="s">
        <v>21</v>
      </c>
      <c r="J2775" t="s">
        <v>730</v>
      </c>
      <c r="K2775" t="s">
        <v>731</v>
      </c>
      <c r="L2775">
        <v>10298</v>
      </c>
      <c r="M2775" t="s">
        <v>85</v>
      </c>
      <c r="O2775" t="s">
        <v>11</v>
      </c>
      <c r="P2775">
        <v>5102</v>
      </c>
      <c r="Q2775">
        <v>20</v>
      </c>
      <c r="R2775">
        <v>54.9</v>
      </c>
      <c r="S2775" s="2">
        <v>1098</v>
      </c>
      <c r="T2775">
        <v>947.6</v>
      </c>
      <c r="U2775">
        <v>13.7</v>
      </c>
      <c r="V2775" t="str">
        <f>VLOOKUP(L2775,'[2]tabela de preços'!$A:$D,4,0)</f>
        <v>ANJO</v>
      </c>
      <c r="W2775" t="str">
        <f>VLOOKUP(L2775,'[2]tabela de preços'!$A:$F,6,0)</f>
        <v>THINNER DE LIMPEZA</v>
      </c>
      <c r="X2775" t="str">
        <f>VLOOKUP(L2775,'[2]tabela de preços'!$A:$G,7,0)</f>
        <v>THINNER</v>
      </c>
    </row>
    <row r="2776" spans="1:24" x14ac:dyDescent="0.3">
      <c r="A2776" t="s">
        <v>727</v>
      </c>
      <c r="C2776" t="s">
        <v>3094</v>
      </c>
      <c r="D2776" s="1">
        <v>46072</v>
      </c>
      <c r="E2776" t="s">
        <v>3095</v>
      </c>
      <c r="F2776">
        <v>9</v>
      </c>
      <c r="G2776">
        <v>231</v>
      </c>
      <c r="H2776" t="str">
        <f>VLOOKUP(G2776,[1]OPERADORES!$A:$B,2,0)</f>
        <v>EDIJANE</v>
      </c>
      <c r="I2776" t="s">
        <v>21</v>
      </c>
      <c r="J2776" t="s">
        <v>730</v>
      </c>
      <c r="K2776" t="s">
        <v>731</v>
      </c>
      <c r="L2776">
        <v>84142</v>
      </c>
      <c r="M2776" t="s">
        <v>1594</v>
      </c>
      <c r="O2776" t="s">
        <v>11</v>
      </c>
      <c r="P2776">
        <v>5403</v>
      </c>
      <c r="Q2776">
        <v>8</v>
      </c>
      <c r="R2776">
        <v>74.94</v>
      </c>
      <c r="S2776">
        <v>599.52</v>
      </c>
      <c r="T2776">
        <v>455.04</v>
      </c>
      <c r="U2776">
        <v>24.1</v>
      </c>
      <c r="V2776" t="str">
        <f>VLOOKUP(L2776,'[2]tabela de preços'!$A:$D,4,0)</f>
        <v>BRASILUX</v>
      </c>
      <c r="W2776" t="str">
        <f>VLOOKUP(L2776,'[2]tabela de preços'!$A:$F,6,0)</f>
        <v>ESMALTES</v>
      </c>
      <c r="X2776" t="str">
        <f>VLOOKUP(L2776,'[2]tabela de preços'!$A:$G,7,0)</f>
        <v>INDUSTRIAL</v>
      </c>
    </row>
    <row r="2777" spans="1:24" x14ac:dyDescent="0.3">
      <c r="A2777" t="s">
        <v>727</v>
      </c>
      <c r="C2777" t="s">
        <v>3094</v>
      </c>
      <c r="D2777" s="1">
        <v>46072</v>
      </c>
      <c r="E2777" t="s">
        <v>3095</v>
      </c>
      <c r="F2777">
        <v>9</v>
      </c>
      <c r="G2777">
        <v>231</v>
      </c>
      <c r="H2777" t="str">
        <f>VLOOKUP(G2777,[1]OPERADORES!$A:$B,2,0)</f>
        <v>EDIJANE</v>
      </c>
      <c r="I2777" t="s">
        <v>21</v>
      </c>
      <c r="J2777" t="s">
        <v>730</v>
      </c>
      <c r="K2777" t="s">
        <v>731</v>
      </c>
      <c r="L2777">
        <v>84144</v>
      </c>
      <c r="M2777" t="s">
        <v>1287</v>
      </c>
      <c r="O2777" t="s">
        <v>11</v>
      </c>
      <c r="P2777">
        <v>5403</v>
      </c>
      <c r="Q2777">
        <v>8</v>
      </c>
      <c r="R2777">
        <v>59.98</v>
      </c>
      <c r="S2777">
        <v>479.84</v>
      </c>
      <c r="T2777">
        <v>416</v>
      </c>
      <c r="U2777">
        <v>13.3</v>
      </c>
      <c r="V2777" t="str">
        <f>VLOOKUP(L2777,'[2]tabela de preços'!$A:$D,4,0)</f>
        <v>BRASILUX</v>
      </c>
      <c r="W2777" t="str">
        <f>VLOOKUP(L2777,'[2]tabela de preços'!$A:$F,6,0)</f>
        <v>ESMALTES</v>
      </c>
      <c r="X2777" t="str">
        <f>VLOOKUP(L2777,'[2]tabela de preços'!$A:$G,7,0)</f>
        <v>INDUSTRIAL</v>
      </c>
    </row>
    <row r="2778" spans="1:24" x14ac:dyDescent="0.3">
      <c r="A2778" t="s">
        <v>727</v>
      </c>
      <c r="C2778" t="s">
        <v>3094</v>
      </c>
      <c r="D2778" s="1">
        <v>46072</v>
      </c>
      <c r="E2778" t="s">
        <v>3095</v>
      </c>
      <c r="F2778">
        <v>9</v>
      </c>
      <c r="G2778">
        <v>231</v>
      </c>
      <c r="H2778" t="str">
        <f>VLOOKUP(G2778,[1]OPERADORES!$A:$B,2,0)</f>
        <v>EDIJANE</v>
      </c>
      <c r="I2778" t="s">
        <v>21</v>
      </c>
      <c r="J2778" t="s">
        <v>730</v>
      </c>
      <c r="K2778" t="s">
        <v>731</v>
      </c>
      <c r="L2778">
        <v>10298</v>
      </c>
      <c r="M2778" t="s">
        <v>85</v>
      </c>
      <c r="O2778" t="s">
        <v>11</v>
      </c>
      <c r="P2778">
        <v>5102</v>
      </c>
      <c r="Q2778">
        <v>20</v>
      </c>
      <c r="R2778">
        <v>54.9</v>
      </c>
      <c r="S2778" s="2">
        <v>1098</v>
      </c>
      <c r="T2778">
        <v>947.6</v>
      </c>
      <c r="U2778">
        <v>13.7</v>
      </c>
      <c r="V2778" t="str">
        <f>VLOOKUP(L2778,'[2]tabela de preços'!$A:$D,4,0)</f>
        <v>ANJO</v>
      </c>
      <c r="W2778" t="str">
        <f>VLOOKUP(L2778,'[2]tabela de preços'!$A:$F,6,0)</f>
        <v>THINNER DE LIMPEZA</v>
      </c>
      <c r="X2778" t="str">
        <f>VLOOKUP(L2778,'[2]tabela de preços'!$A:$G,7,0)</f>
        <v>THINNER</v>
      </c>
    </row>
    <row r="2779" spans="1:24" x14ac:dyDescent="0.3">
      <c r="A2779" t="s">
        <v>747</v>
      </c>
      <c r="C2779" t="s">
        <v>2900</v>
      </c>
      <c r="D2779" s="1">
        <v>46064</v>
      </c>
      <c r="E2779" t="s">
        <v>2901</v>
      </c>
      <c r="F2779">
        <v>9</v>
      </c>
      <c r="G2779">
        <v>197</v>
      </c>
      <c r="H2779" t="str">
        <f>VLOOKUP(G2779,[1]OPERADORES!$A:$B,2,0)</f>
        <v xml:space="preserve">POLIANA LORRANE DE AMORIM </v>
      </c>
      <c r="I2779" t="s">
        <v>21</v>
      </c>
      <c r="J2779" t="s">
        <v>750</v>
      </c>
      <c r="K2779" t="s">
        <v>751</v>
      </c>
      <c r="L2779">
        <v>85692</v>
      </c>
      <c r="M2779" t="s">
        <v>969</v>
      </c>
      <c r="O2779" t="s">
        <v>11</v>
      </c>
      <c r="P2779">
        <v>5102</v>
      </c>
      <c r="Q2779">
        <v>6</v>
      </c>
      <c r="R2779">
        <v>7.89</v>
      </c>
      <c r="S2779">
        <v>47.34</v>
      </c>
      <c r="T2779">
        <v>39.06</v>
      </c>
      <c r="U2779">
        <v>17.489999999999998</v>
      </c>
      <c r="V2779" t="str">
        <f>VLOOKUP(L2779,'[2]tabela de preços'!$A:$D,4,0)</f>
        <v>UNIPEGA</v>
      </c>
      <c r="W2779" t="str">
        <f>VLOOKUP(L2779,'[2]tabela de preços'!$A:$F,6,0)</f>
        <v>PU 40</v>
      </c>
      <c r="X2779" t="str">
        <f>VLOOKUP(L2779,'[2]tabela de preços'!$A:$G,7,0)</f>
        <v>IMOBILIÁRIO</v>
      </c>
    </row>
    <row r="2780" spans="1:24" x14ac:dyDescent="0.3">
      <c r="A2780" t="s">
        <v>747</v>
      </c>
      <c r="C2780" t="s">
        <v>2900</v>
      </c>
      <c r="D2780" s="1">
        <v>46064</v>
      </c>
      <c r="E2780" t="s">
        <v>2901</v>
      </c>
      <c r="F2780">
        <v>9</v>
      </c>
      <c r="G2780">
        <v>197</v>
      </c>
      <c r="H2780" t="str">
        <f>VLOOKUP(G2780,[1]OPERADORES!$A:$B,2,0)</f>
        <v xml:space="preserve">POLIANA LORRANE DE AMORIM </v>
      </c>
      <c r="I2780" t="s">
        <v>21</v>
      </c>
      <c r="J2780" t="s">
        <v>750</v>
      </c>
      <c r="K2780" t="s">
        <v>751</v>
      </c>
      <c r="L2780">
        <v>84134</v>
      </c>
      <c r="M2780" t="s">
        <v>589</v>
      </c>
      <c r="O2780" t="s">
        <v>11</v>
      </c>
      <c r="P2780">
        <v>5403</v>
      </c>
      <c r="Q2780">
        <v>6</v>
      </c>
      <c r="R2780">
        <v>7.55</v>
      </c>
      <c r="S2780">
        <v>45.3</v>
      </c>
      <c r="T2780">
        <v>34.380000000000003</v>
      </c>
      <c r="U2780">
        <v>24.11</v>
      </c>
      <c r="V2780" t="str">
        <f>VLOOKUP(L2780,'[2]tabela de preços'!$A:$D,4,0)</f>
        <v>BRASILUX</v>
      </c>
      <c r="W2780" t="str">
        <f>VLOOKUP(L2780,'[2]tabela de preços'!$A:$F,6,0)</f>
        <v>ESMALTES</v>
      </c>
      <c r="X2780" t="str">
        <f>VLOOKUP(L2780,'[2]tabela de preços'!$A:$G,7,0)</f>
        <v>INDUSTRIAL</v>
      </c>
    </row>
    <row r="2781" spans="1:24" x14ac:dyDescent="0.3">
      <c r="A2781" t="s">
        <v>747</v>
      </c>
      <c r="C2781" t="s">
        <v>2900</v>
      </c>
      <c r="D2781" s="1">
        <v>46064</v>
      </c>
      <c r="E2781" t="s">
        <v>2901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24241</v>
      </c>
      <c r="M2781" t="s">
        <v>233</v>
      </c>
      <c r="O2781" t="s">
        <v>11</v>
      </c>
      <c r="P2781">
        <v>5102</v>
      </c>
      <c r="Q2781">
        <v>12</v>
      </c>
      <c r="R2781">
        <v>12.2</v>
      </c>
      <c r="S2781">
        <v>146.4</v>
      </c>
      <c r="T2781">
        <v>111.12</v>
      </c>
      <c r="U2781">
        <v>24.1</v>
      </c>
      <c r="V2781" t="str">
        <f>VLOOKUP(L2781,'[2]tabela de preços'!$A:$D,4,0)</f>
        <v>ADERE</v>
      </c>
      <c r="W2781" t="str">
        <f>VLOOKUP(L2781,'[2]tabela de preços'!$A:$F,6,0)</f>
        <v>FITA AUTOMOTIVA</v>
      </c>
      <c r="X2781" t="str">
        <f>VLOOKUP(L2781,'[2]tabela de preços'!$A:$G,7,0)</f>
        <v>AUTOMOTIVO</v>
      </c>
    </row>
    <row r="2782" spans="1:24" x14ac:dyDescent="0.3">
      <c r="A2782" t="s">
        <v>747</v>
      </c>
      <c r="C2782" t="s">
        <v>2900</v>
      </c>
      <c r="D2782" s="1">
        <v>46064</v>
      </c>
      <c r="E2782" t="s">
        <v>2901</v>
      </c>
      <c r="F2782">
        <v>9</v>
      </c>
      <c r="G2782">
        <v>197</v>
      </c>
      <c r="H2782" t="str">
        <f>VLOOKUP(G2782,[1]OPERADORES!$A:$B,2,0)</f>
        <v xml:space="preserve">POLIANA LORRANE DE AMORIM </v>
      </c>
      <c r="I2782" t="s">
        <v>21</v>
      </c>
      <c r="J2782" t="s">
        <v>750</v>
      </c>
      <c r="K2782" t="s">
        <v>751</v>
      </c>
      <c r="L2782">
        <v>86995</v>
      </c>
      <c r="M2782" t="s">
        <v>2817</v>
      </c>
      <c r="O2782" t="s">
        <v>11</v>
      </c>
      <c r="P2782">
        <v>5102</v>
      </c>
      <c r="Q2782">
        <v>10</v>
      </c>
      <c r="R2782">
        <v>7.29</v>
      </c>
      <c r="S2782">
        <v>72.900000000000006</v>
      </c>
      <c r="T2782">
        <v>58.3</v>
      </c>
      <c r="U2782">
        <v>20.03</v>
      </c>
      <c r="V2782" t="str">
        <f>VLOOKUP(L2782,'[2]tabela de preços'!$A:$D,4,0)</f>
        <v>AUTOAMERICA</v>
      </c>
      <c r="W2782" t="str">
        <f>VLOOKUP(L2782,'[2]tabela de preços'!$A:$F,6,0)</f>
        <v>FLANELAS / PANOS</v>
      </c>
      <c r="X2782" t="str">
        <f>VLOOKUP(L2782,'[2]tabela de preços'!$A:$G,7,0)</f>
        <v>AUTOMOTIVO</v>
      </c>
    </row>
    <row r="2783" spans="1:24" x14ac:dyDescent="0.3">
      <c r="A2783" t="s">
        <v>747</v>
      </c>
      <c r="C2783" t="s">
        <v>2900</v>
      </c>
      <c r="D2783" s="1">
        <v>46064</v>
      </c>
      <c r="E2783" t="s">
        <v>2901</v>
      </c>
      <c r="F2783">
        <v>9</v>
      </c>
      <c r="G2783">
        <v>197</v>
      </c>
      <c r="H2783" t="str">
        <f>VLOOKUP(G2783,[1]OPERADORES!$A:$B,2,0)</f>
        <v xml:space="preserve">POLIANA LORRANE DE AMORIM </v>
      </c>
      <c r="I2783" t="s">
        <v>21</v>
      </c>
      <c r="J2783" t="s">
        <v>750</v>
      </c>
      <c r="K2783" t="s">
        <v>751</v>
      </c>
      <c r="L2783">
        <v>86891</v>
      </c>
      <c r="M2783" t="s">
        <v>1726</v>
      </c>
      <c r="O2783" t="s">
        <v>11</v>
      </c>
      <c r="P2783">
        <v>5403</v>
      </c>
      <c r="Q2783">
        <v>4</v>
      </c>
      <c r="R2783">
        <v>235</v>
      </c>
      <c r="S2783">
        <v>940</v>
      </c>
      <c r="T2783">
        <v>770.48</v>
      </c>
      <c r="U2783">
        <v>18.03</v>
      </c>
      <c r="V2783" t="str">
        <f>VLOOKUP(L2783,'[2]tabela de preços'!$A:$D,4,0)</f>
        <v>VEDACIT</v>
      </c>
      <c r="W2783" t="str">
        <f>VLOOKUP(L2783,'[2]tabela de preços'!$A:$F,6,0)</f>
        <v>IMPERMEABILIZANTES</v>
      </c>
      <c r="X2783" t="str">
        <f>VLOOKUP(L2783,'[2]tabela de preços'!$A:$G,7,0)</f>
        <v>IMOBILIÁRIO</v>
      </c>
    </row>
    <row r="2784" spans="1:24" x14ac:dyDescent="0.3">
      <c r="A2784" t="s">
        <v>747</v>
      </c>
      <c r="C2784" t="s">
        <v>2900</v>
      </c>
      <c r="D2784" s="1">
        <v>46064</v>
      </c>
      <c r="E2784" t="s">
        <v>2901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21</v>
      </c>
      <c r="J2784" t="s">
        <v>750</v>
      </c>
      <c r="K2784" t="s">
        <v>751</v>
      </c>
      <c r="L2784">
        <v>85683</v>
      </c>
      <c r="M2784" t="s">
        <v>521</v>
      </c>
      <c r="O2784" t="s">
        <v>11</v>
      </c>
      <c r="P2784">
        <v>5102</v>
      </c>
      <c r="Q2784">
        <v>6</v>
      </c>
      <c r="R2784">
        <v>8.2899999999999991</v>
      </c>
      <c r="S2784">
        <v>49.74</v>
      </c>
      <c r="T2784">
        <v>37.020000000000003</v>
      </c>
      <c r="U2784">
        <v>25.57</v>
      </c>
      <c r="V2784" t="str">
        <f>VLOOKUP(L2784,'[2]tabela de preços'!$A:$D,4,0)</f>
        <v>UNIPEGA</v>
      </c>
      <c r="W2784" t="str">
        <f>VLOOKUP(L2784,'[2]tabela de preços'!$A:$F,6,0)</f>
        <v>SILICONE</v>
      </c>
      <c r="X2784" t="str">
        <f>VLOOKUP(L2784,'[2]tabela de preços'!$A:$G,7,0)</f>
        <v>IMOBILIÁRIO</v>
      </c>
    </row>
    <row r="2785" spans="1:24" x14ac:dyDescent="0.3">
      <c r="A2785" t="s">
        <v>759</v>
      </c>
      <c r="C2785" t="s">
        <v>3096</v>
      </c>
      <c r="D2785" s="1">
        <v>46066</v>
      </c>
      <c r="E2785" t="s">
        <v>3097</v>
      </c>
      <c r="F2785">
        <v>9</v>
      </c>
      <c r="G2785">
        <v>231</v>
      </c>
      <c r="H2785" t="str">
        <f>VLOOKUP(G2785,[1]OPERADORES!$A:$B,2,0)</f>
        <v>EDIJANE</v>
      </c>
      <c r="I2785" t="s">
        <v>21</v>
      </c>
      <c r="J2785" t="s">
        <v>762</v>
      </c>
      <c r="K2785" t="s">
        <v>763</v>
      </c>
      <c r="L2785">
        <v>24240</v>
      </c>
      <c r="M2785" t="s">
        <v>240</v>
      </c>
      <c r="O2785" t="s">
        <v>11</v>
      </c>
      <c r="P2785">
        <v>5102</v>
      </c>
      <c r="Q2785">
        <v>18</v>
      </c>
      <c r="R2785">
        <v>3.81</v>
      </c>
      <c r="S2785">
        <v>68.58</v>
      </c>
      <c r="T2785">
        <v>59.04</v>
      </c>
      <c r="U2785">
        <v>13.91</v>
      </c>
      <c r="V2785" t="str">
        <f>VLOOKUP(L2785,'[2]tabela de preços'!$A:$D,4,0)</f>
        <v>ADERE</v>
      </c>
      <c r="W2785" t="str">
        <f>VLOOKUP(L2785,'[2]tabela de preços'!$A:$F,6,0)</f>
        <v>FITA AUTOMOTIVA</v>
      </c>
      <c r="X2785" t="str">
        <f>VLOOKUP(L2785,'[2]tabela de preços'!$A:$G,7,0)</f>
        <v>AUTOMOTIVO</v>
      </c>
    </row>
    <row r="2786" spans="1:24" x14ac:dyDescent="0.3">
      <c r="A2786" t="s">
        <v>759</v>
      </c>
      <c r="C2786" t="s">
        <v>3096</v>
      </c>
      <c r="D2786" s="1">
        <v>46066</v>
      </c>
      <c r="E2786" t="s">
        <v>3097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762</v>
      </c>
      <c r="K2786" t="s">
        <v>763</v>
      </c>
      <c r="L2786">
        <v>84013</v>
      </c>
      <c r="M2786" t="s">
        <v>3098</v>
      </c>
      <c r="O2786" t="s">
        <v>11</v>
      </c>
      <c r="P2786">
        <v>5102</v>
      </c>
      <c r="Q2786">
        <v>46</v>
      </c>
      <c r="R2786">
        <v>2.9</v>
      </c>
      <c r="S2786">
        <v>133.4</v>
      </c>
      <c r="T2786">
        <v>101.2</v>
      </c>
      <c r="U2786">
        <v>24.14</v>
      </c>
      <c r="V2786" t="str">
        <f>VLOOKUP(L2786,'[2]tabela de preços'!$A:$D,4,0)</f>
        <v>3M</v>
      </c>
      <c r="W2786" t="str">
        <f>VLOOKUP(L2786,'[2]tabela de preços'!$A:$F,6,0)</f>
        <v>LIXA FERRO</v>
      </c>
      <c r="X2786" t="str">
        <f>VLOOKUP(L2786,'[2]tabela de preços'!$A:$G,7,0)</f>
        <v>IMOBILIÁRIO</v>
      </c>
    </row>
    <row r="2787" spans="1:24" x14ac:dyDescent="0.3">
      <c r="A2787" t="s">
        <v>759</v>
      </c>
      <c r="C2787" t="s">
        <v>3096</v>
      </c>
      <c r="D2787" s="1">
        <v>46066</v>
      </c>
      <c r="E2787" t="s">
        <v>3097</v>
      </c>
      <c r="F2787">
        <v>9</v>
      </c>
      <c r="G2787">
        <v>231</v>
      </c>
      <c r="H2787" t="str">
        <f>VLOOKUP(G2787,[1]OPERADORES!$A:$B,2,0)</f>
        <v>EDIJANE</v>
      </c>
      <c r="I2787" t="s">
        <v>21</v>
      </c>
      <c r="J2787" t="s">
        <v>762</v>
      </c>
      <c r="K2787" t="s">
        <v>763</v>
      </c>
      <c r="L2787">
        <v>10242</v>
      </c>
      <c r="M2787" t="s">
        <v>82</v>
      </c>
      <c r="O2787" t="s">
        <v>11</v>
      </c>
      <c r="P2787">
        <v>5102</v>
      </c>
      <c r="Q2787">
        <v>50</v>
      </c>
      <c r="R2787">
        <v>2.79</v>
      </c>
      <c r="S2787">
        <v>139.5</v>
      </c>
      <c r="T2787">
        <v>112</v>
      </c>
      <c r="U2787">
        <v>19.71</v>
      </c>
      <c r="V2787" t="str">
        <f>VLOOKUP(L2787,'[2]tabela de preços'!$A:$D,4,0)</f>
        <v>NORTON</v>
      </c>
      <c r="W2787" t="str">
        <f>VLOOKUP(L2787,'[2]tabela de preços'!$A:$F,6,0)</f>
        <v xml:space="preserve">DISCOS / LIXAS / ABRASIVOS </v>
      </c>
      <c r="X2787" t="str">
        <f>VLOOKUP(L2787,'[2]tabela de preços'!$A:$G,7,0)</f>
        <v>AUTOMOTIVO</v>
      </c>
    </row>
    <row r="2788" spans="1:24" x14ac:dyDescent="0.3">
      <c r="A2788" t="s">
        <v>759</v>
      </c>
      <c r="C2788" t="s">
        <v>3096</v>
      </c>
      <c r="D2788" s="1">
        <v>46066</v>
      </c>
      <c r="E2788" t="s">
        <v>3097</v>
      </c>
      <c r="F2788">
        <v>9</v>
      </c>
      <c r="G2788">
        <v>231</v>
      </c>
      <c r="H2788" t="str">
        <f>VLOOKUP(G2788,[1]OPERADORES!$A:$B,2,0)</f>
        <v>EDIJANE</v>
      </c>
      <c r="I2788" t="s">
        <v>21</v>
      </c>
      <c r="J2788" t="s">
        <v>762</v>
      </c>
      <c r="K2788" t="s">
        <v>763</v>
      </c>
      <c r="L2788">
        <v>10297</v>
      </c>
      <c r="M2788" t="s">
        <v>41</v>
      </c>
      <c r="O2788" t="s">
        <v>11</v>
      </c>
      <c r="P2788">
        <v>5102</v>
      </c>
      <c r="Q2788">
        <v>12</v>
      </c>
      <c r="R2788">
        <v>10.89</v>
      </c>
      <c r="S2788">
        <v>130.68</v>
      </c>
      <c r="T2788">
        <v>110.04</v>
      </c>
      <c r="U2788">
        <v>15.79</v>
      </c>
      <c r="V2788" t="str">
        <f>VLOOKUP(L2788,'[2]tabela de preços'!$A:$D,4,0)</f>
        <v>ANJO</v>
      </c>
      <c r="W2788" t="str">
        <f>VLOOKUP(L2788,'[2]tabela de preços'!$A:$F,6,0)</f>
        <v>THINNER DE LIMPEZA</v>
      </c>
      <c r="X2788" t="str">
        <f>VLOOKUP(L2788,'[2]tabela de preços'!$A:$G,7,0)</f>
        <v>THINNER</v>
      </c>
    </row>
    <row r="2789" spans="1:24" x14ac:dyDescent="0.3">
      <c r="A2789" t="s">
        <v>770</v>
      </c>
      <c r="C2789" t="s">
        <v>2608</v>
      </c>
      <c r="D2789" s="1">
        <v>46058</v>
      </c>
      <c r="E2789" t="s">
        <v>2609</v>
      </c>
      <c r="F2789">
        <v>9</v>
      </c>
      <c r="G2789">
        <v>230</v>
      </c>
      <c r="H2789" t="str">
        <f>VLOOKUP(G2789,[1]OPERADORES!$A:$B,2,0)</f>
        <v>SÔNIA</v>
      </c>
      <c r="I2789" t="s">
        <v>21</v>
      </c>
      <c r="J2789" t="s">
        <v>397</v>
      </c>
      <c r="K2789" t="s">
        <v>773</v>
      </c>
      <c r="L2789">
        <v>84557</v>
      </c>
      <c r="M2789" t="s">
        <v>116</v>
      </c>
      <c r="O2789" t="s">
        <v>11</v>
      </c>
      <c r="P2789">
        <v>5102</v>
      </c>
      <c r="Q2789">
        <v>3</v>
      </c>
      <c r="R2789">
        <v>17.489999999999998</v>
      </c>
      <c r="S2789">
        <v>52.47</v>
      </c>
      <c r="T2789">
        <v>41.88</v>
      </c>
      <c r="U2789">
        <v>20.18</v>
      </c>
      <c r="V2789" t="str">
        <f>VLOOKUP(L2789,'[2]tabela de preços'!$A:$D,4,0)</f>
        <v>BRASILUX</v>
      </c>
      <c r="W2789" t="str">
        <f>VLOOKUP(L2789,'[2]tabela de preços'!$A:$F,6,0)</f>
        <v>DILUENTE</v>
      </c>
      <c r="X2789" t="str">
        <f>VLOOKUP(L2789,'[2]tabela de preços'!$A:$G,7,0)</f>
        <v>AUTOMOTIVO</v>
      </c>
    </row>
    <row r="2790" spans="1:24" x14ac:dyDescent="0.3">
      <c r="A2790" t="s">
        <v>770</v>
      </c>
      <c r="C2790" t="s">
        <v>2608</v>
      </c>
      <c r="D2790" s="1">
        <v>46058</v>
      </c>
      <c r="E2790" t="s">
        <v>2609</v>
      </c>
      <c r="F2790">
        <v>9</v>
      </c>
      <c r="G2790">
        <v>230</v>
      </c>
      <c r="H2790" t="str">
        <f>VLOOKUP(G2790,[1]OPERADORES!$A:$B,2,0)</f>
        <v>SÔNIA</v>
      </c>
      <c r="I2790" t="s">
        <v>21</v>
      </c>
      <c r="J2790" t="s">
        <v>397</v>
      </c>
      <c r="K2790" t="s">
        <v>773</v>
      </c>
      <c r="L2790">
        <v>23653</v>
      </c>
      <c r="M2790" t="s">
        <v>644</v>
      </c>
      <c r="O2790" t="s">
        <v>11</v>
      </c>
      <c r="P2790">
        <v>5102</v>
      </c>
      <c r="Q2790">
        <v>2</v>
      </c>
      <c r="R2790">
        <v>67.150000000000006</v>
      </c>
      <c r="S2790">
        <v>134.30000000000001</v>
      </c>
      <c r="T2790">
        <v>101.94</v>
      </c>
      <c r="U2790">
        <v>24.1</v>
      </c>
      <c r="V2790" t="str">
        <f>VLOOKUP(L2790,'[2]tabela de preços'!$A:$D,4,0)</f>
        <v>SIKKENS</v>
      </c>
      <c r="W2790" t="str">
        <f>VLOOKUP(L2790,'[2]tabela de preços'!$A:$F,6,0)</f>
        <v>CATALISADORES INDIVIDUAS</v>
      </c>
      <c r="X2790" t="str">
        <f>VLOOKUP(L2790,'[2]tabela de preços'!$A:$G,7,0)</f>
        <v>AUTOMOTIVO</v>
      </c>
    </row>
    <row r="2791" spans="1:24" x14ac:dyDescent="0.3">
      <c r="A2791" t="s">
        <v>770</v>
      </c>
      <c r="C2791" t="s">
        <v>2608</v>
      </c>
      <c r="D2791" s="1">
        <v>46058</v>
      </c>
      <c r="E2791" t="s">
        <v>2609</v>
      </c>
      <c r="F2791">
        <v>9</v>
      </c>
      <c r="G2791">
        <v>230</v>
      </c>
      <c r="H2791" t="str">
        <f>VLOOKUP(G2791,[1]OPERADORES!$A:$B,2,0)</f>
        <v>SÔNIA</v>
      </c>
      <c r="I2791" t="s">
        <v>21</v>
      </c>
      <c r="J2791" t="s">
        <v>397</v>
      </c>
      <c r="K2791" t="s">
        <v>773</v>
      </c>
      <c r="L2791">
        <v>23926</v>
      </c>
      <c r="M2791" t="s">
        <v>645</v>
      </c>
      <c r="O2791" t="s">
        <v>11</v>
      </c>
      <c r="P2791">
        <v>5403</v>
      </c>
      <c r="Q2791">
        <v>1</v>
      </c>
      <c r="R2791">
        <v>147.1</v>
      </c>
      <c r="S2791">
        <v>147.1</v>
      </c>
      <c r="T2791">
        <v>98.89</v>
      </c>
      <c r="U2791">
        <v>32.770000000000003</v>
      </c>
      <c r="V2791" t="str">
        <f>VLOOKUP(L2791,'[2]tabela de preços'!$A:$D,4,0)</f>
        <v>SIKKENS</v>
      </c>
      <c r="W2791" t="str">
        <f>VLOOKUP(L2791,'[2]tabela de preços'!$A:$F,6,0)</f>
        <v>PRIMER AUTOMOTIVO</v>
      </c>
      <c r="X2791" t="str">
        <f>VLOOKUP(L2791,'[2]tabela de preços'!$A:$G,7,0)</f>
        <v>AUTOMOTIVO</v>
      </c>
    </row>
    <row r="2792" spans="1:24" x14ac:dyDescent="0.3">
      <c r="A2792" t="s">
        <v>770</v>
      </c>
      <c r="C2792" t="s">
        <v>3099</v>
      </c>
      <c r="D2792" s="1">
        <v>46071</v>
      </c>
      <c r="E2792" t="s">
        <v>3100</v>
      </c>
      <c r="F2792">
        <v>9</v>
      </c>
      <c r="G2792">
        <v>231</v>
      </c>
      <c r="H2792" t="str">
        <f>VLOOKUP(G2792,[1]OPERADORES!$A:$B,2,0)</f>
        <v>EDIJANE</v>
      </c>
      <c r="I2792" t="s">
        <v>21</v>
      </c>
      <c r="J2792" t="s">
        <v>397</v>
      </c>
      <c r="K2792" t="s">
        <v>773</v>
      </c>
      <c r="L2792">
        <v>23108</v>
      </c>
      <c r="M2792" t="s">
        <v>248</v>
      </c>
      <c r="O2792" t="s">
        <v>11</v>
      </c>
      <c r="P2792">
        <v>5102</v>
      </c>
      <c r="Q2792">
        <v>100</v>
      </c>
      <c r="R2792">
        <v>2.35</v>
      </c>
      <c r="S2792">
        <v>235</v>
      </c>
      <c r="T2792">
        <v>185</v>
      </c>
      <c r="U2792">
        <v>21.28</v>
      </c>
      <c r="V2792" t="str">
        <f>VLOOKUP(L2792,'[2]tabela de preços'!$A:$D,4,0)</f>
        <v>3M</v>
      </c>
      <c r="W2792" t="str">
        <f>VLOOKUP(L2792,'[2]tabela de preços'!$A:$F,6,0)</f>
        <v xml:space="preserve">DISCOS / LIXAS / ABRASIVOS </v>
      </c>
      <c r="X2792" t="str">
        <f>VLOOKUP(L2792,'[2]tabela de preços'!$A:$G,7,0)</f>
        <v>AUTOMOTIVO</v>
      </c>
    </row>
    <row r="2793" spans="1:24" x14ac:dyDescent="0.3">
      <c r="A2793" t="s">
        <v>770</v>
      </c>
      <c r="C2793" t="s">
        <v>3099</v>
      </c>
      <c r="D2793" s="1">
        <v>46071</v>
      </c>
      <c r="E2793" t="s">
        <v>3100</v>
      </c>
      <c r="F2793">
        <v>9</v>
      </c>
      <c r="G2793">
        <v>231</v>
      </c>
      <c r="H2793" t="str">
        <f>VLOOKUP(G2793,[1]OPERADORES!$A:$B,2,0)</f>
        <v>EDIJANE</v>
      </c>
      <c r="I2793" t="s">
        <v>21</v>
      </c>
      <c r="J2793" t="s">
        <v>397</v>
      </c>
      <c r="K2793" t="s">
        <v>773</v>
      </c>
      <c r="L2793">
        <v>24240</v>
      </c>
      <c r="M2793" t="s">
        <v>240</v>
      </c>
      <c r="O2793" t="s">
        <v>11</v>
      </c>
      <c r="P2793">
        <v>5102</v>
      </c>
      <c r="Q2793">
        <v>10</v>
      </c>
      <c r="R2793">
        <v>3.81</v>
      </c>
      <c r="S2793">
        <v>38.1</v>
      </c>
      <c r="T2793">
        <v>32.799999999999997</v>
      </c>
      <c r="U2793">
        <v>13.91</v>
      </c>
      <c r="V2793" t="str">
        <f>VLOOKUP(L2793,'[2]tabela de preços'!$A:$D,4,0)</f>
        <v>ADERE</v>
      </c>
      <c r="W2793" t="str">
        <f>VLOOKUP(L2793,'[2]tabela de preços'!$A:$F,6,0)</f>
        <v>FITA AUTOMOTIVA</v>
      </c>
      <c r="X2793" t="str">
        <f>VLOOKUP(L2793,'[2]tabela de preços'!$A:$G,7,0)</f>
        <v>AUTOMOTIVO</v>
      </c>
    </row>
    <row r="2794" spans="1:24" x14ac:dyDescent="0.3">
      <c r="A2794" t="s">
        <v>770</v>
      </c>
      <c r="C2794" t="s">
        <v>3099</v>
      </c>
      <c r="D2794" s="1">
        <v>46071</v>
      </c>
      <c r="E2794" t="s">
        <v>3100</v>
      </c>
      <c r="F2794">
        <v>9</v>
      </c>
      <c r="G2794">
        <v>231</v>
      </c>
      <c r="H2794" t="str">
        <f>VLOOKUP(G2794,[1]OPERADORES!$A:$B,2,0)</f>
        <v>EDIJANE</v>
      </c>
      <c r="I2794" t="s">
        <v>21</v>
      </c>
      <c r="J2794" t="s">
        <v>397</v>
      </c>
      <c r="K2794" t="s">
        <v>773</v>
      </c>
      <c r="L2794">
        <v>24241</v>
      </c>
      <c r="M2794" t="s">
        <v>233</v>
      </c>
      <c r="O2794" t="s">
        <v>11</v>
      </c>
      <c r="P2794">
        <v>5102</v>
      </c>
      <c r="Q2794">
        <v>1</v>
      </c>
      <c r="R2794">
        <v>12.2</v>
      </c>
      <c r="S2794">
        <v>12.2</v>
      </c>
      <c r="T2794">
        <v>9.26</v>
      </c>
      <c r="U2794">
        <v>24.1</v>
      </c>
      <c r="V2794" t="str">
        <f>VLOOKUP(L2794,'[2]tabela de preços'!$A:$D,4,0)</f>
        <v>ADERE</v>
      </c>
      <c r="W2794" t="str">
        <f>VLOOKUP(L2794,'[2]tabela de preços'!$A:$F,6,0)</f>
        <v>FITA AUTOMOTIVA</v>
      </c>
      <c r="X2794" t="str">
        <f>VLOOKUP(L2794,'[2]tabela de preços'!$A:$G,7,0)</f>
        <v>AUTOMOTIVO</v>
      </c>
    </row>
    <row r="2795" spans="1:24" x14ac:dyDescent="0.3">
      <c r="A2795" t="s">
        <v>770</v>
      </c>
      <c r="C2795" t="s">
        <v>3099</v>
      </c>
      <c r="D2795" s="1">
        <v>46071</v>
      </c>
      <c r="E2795" t="s">
        <v>3100</v>
      </c>
      <c r="F2795">
        <v>9</v>
      </c>
      <c r="G2795">
        <v>231</v>
      </c>
      <c r="H2795" t="str">
        <f>VLOOKUP(G2795,[1]OPERADORES!$A:$B,2,0)</f>
        <v>EDIJANE</v>
      </c>
      <c r="I2795" t="s">
        <v>21</v>
      </c>
      <c r="J2795" t="s">
        <v>397</v>
      </c>
      <c r="K2795" t="s">
        <v>773</v>
      </c>
      <c r="L2795">
        <v>20817</v>
      </c>
      <c r="M2795" t="s">
        <v>153</v>
      </c>
      <c r="O2795" t="s">
        <v>11</v>
      </c>
      <c r="P2795">
        <v>5102</v>
      </c>
      <c r="Q2795">
        <v>1</v>
      </c>
      <c r="R2795">
        <v>22.89</v>
      </c>
      <c r="S2795">
        <v>22.89</v>
      </c>
      <c r="T2795">
        <v>18.62</v>
      </c>
      <c r="U2795">
        <v>18.649999999999999</v>
      </c>
      <c r="V2795" t="str">
        <f>VLOOKUP(L2795,'[2]tabela de preços'!$A:$D,4,0)</f>
        <v>AUTO AMERICA</v>
      </c>
      <c r="W2795" t="str">
        <f>VLOOKUP(L2795,'[2]tabela de preços'!$A:$F,6,0)</f>
        <v>MASSA DE POLIR</v>
      </c>
      <c r="X2795" t="str">
        <f>VLOOKUP(L2795,'[2]tabela de preços'!$A:$G,7,0)</f>
        <v>AUTOMOTIVO</v>
      </c>
    </row>
    <row r="2796" spans="1:24" x14ac:dyDescent="0.3">
      <c r="A2796" t="s">
        <v>770</v>
      </c>
      <c r="C2796" t="s">
        <v>3099</v>
      </c>
      <c r="D2796" s="1">
        <v>46071</v>
      </c>
      <c r="E2796" t="s">
        <v>3100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397</v>
      </c>
      <c r="K2796" t="s">
        <v>773</v>
      </c>
      <c r="L2796">
        <v>84560</v>
      </c>
      <c r="M2796" t="s">
        <v>118</v>
      </c>
      <c r="O2796" t="s">
        <v>11</v>
      </c>
      <c r="P2796">
        <v>5102</v>
      </c>
      <c r="Q2796">
        <v>1</v>
      </c>
      <c r="R2796">
        <v>47.89</v>
      </c>
      <c r="S2796">
        <v>47.89</v>
      </c>
      <c r="T2796">
        <v>39.159999999999997</v>
      </c>
      <c r="U2796">
        <v>18.23</v>
      </c>
      <c r="V2796" t="str">
        <f>VLOOKUP(L2796,'[2]tabela de preços'!$A:$D,4,0)</f>
        <v>BRASILUX</v>
      </c>
      <c r="W2796" t="str">
        <f>VLOOKUP(L2796,'[2]tabela de preços'!$A:$F,6,0)</f>
        <v>THINNER DE LIMPEZA</v>
      </c>
      <c r="X2796" t="str">
        <f>VLOOKUP(L2796,'[2]tabela de preços'!$A:$G,7,0)</f>
        <v>THINNER</v>
      </c>
    </row>
    <row r="2797" spans="1:24" x14ac:dyDescent="0.3">
      <c r="A2797" t="s">
        <v>770</v>
      </c>
      <c r="C2797" t="s">
        <v>3099</v>
      </c>
      <c r="D2797" s="1">
        <v>46071</v>
      </c>
      <c r="E2797" t="s">
        <v>3100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397</v>
      </c>
      <c r="K2797" t="s">
        <v>773</v>
      </c>
      <c r="L2797">
        <v>20414</v>
      </c>
      <c r="M2797" t="s">
        <v>112</v>
      </c>
      <c r="O2797" t="s">
        <v>11</v>
      </c>
      <c r="P2797">
        <v>5102</v>
      </c>
      <c r="Q2797">
        <v>3</v>
      </c>
      <c r="R2797">
        <v>21.89</v>
      </c>
      <c r="S2797">
        <v>65.67</v>
      </c>
      <c r="T2797">
        <v>54</v>
      </c>
      <c r="U2797">
        <v>17.77</v>
      </c>
      <c r="V2797" t="str">
        <f>VLOOKUP(L2797,'[2]tabela de preços'!$A:$D,4,0)</f>
        <v>SHERWIN WILLIAMS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811</v>
      </c>
      <c r="C2798" t="s">
        <v>3101</v>
      </c>
      <c r="D2798" s="1">
        <v>46071</v>
      </c>
      <c r="E2798" t="s">
        <v>3102</v>
      </c>
      <c r="F2798">
        <v>9</v>
      </c>
      <c r="G2798">
        <v>236</v>
      </c>
      <c r="H2798" t="str">
        <f>VLOOKUP(G2798,[1]OPERADORES!$A:$B,2,0)</f>
        <v>DANIEL</v>
      </c>
      <c r="I2798" t="s">
        <v>282</v>
      </c>
      <c r="J2798" t="s">
        <v>814</v>
      </c>
      <c r="K2798" t="s">
        <v>815</v>
      </c>
      <c r="L2798">
        <v>84029</v>
      </c>
      <c r="M2798" t="s">
        <v>29</v>
      </c>
      <c r="O2798" t="s">
        <v>11</v>
      </c>
      <c r="P2798">
        <v>6102</v>
      </c>
      <c r="Q2798">
        <v>24</v>
      </c>
      <c r="R2798">
        <v>11.45</v>
      </c>
      <c r="S2798">
        <v>274.8</v>
      </c>
      <c r="T2798">
        <v>208.56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AGUARRAS</v>
      </c>
      <c r="X2798" t="str">
        <f>VLOOKUP(L2798,'[2]tabela de preços'!$A:$G,7,0)</f>
        <v>IMOBILIÁRIO</v>
      </c>
    </row>
    <row r="2799" spans="1:24" x14ac:dyDescent="0.3">
      <c r="A2799" t="s">
        <v>811</v>
      </c>
      <c r="C2799" t="s">
        <v>3101</v>
      </c>
      <c r="D2799" s="1">
        <v>46071</v>
      </c>
      <c r="E2799" t="s">
        <v>3102</v>
      </c>
      <c r="F2799">
        <v>9</v>
      </c>
      <c r="G2799">
        <v>236</v>
      </c>
      <c r="H2799" t="str">
        <f>VLOOKUP(G2799,[1]OPERADORES!$A:$B,2,0)</f>
        <v>DANIEL</v>
      </c>
      <c r="I2799" t="s">
        <v>282</v>
      </c>
      <c r="J2799" t="s">
        <v>814</v>
      </c>
      <c r="K2799" t="s">
        <v>815</v>
      </c>
      <c r="L2799">
        <v>84324</v>
      </c>
      <c r="M2799" t="s">
        <v>359</v>
      </c>
      <c r="O2799" t="s">
        <v>11</v>
      </c>
      <c r="P2799">
        <v>6403</v>
      </c>
      <c r="Q2799">
        <v>4</v>
      </c>
      <c r="R2799">
        <v>91.84</v>
      </c>
      <c r="S2799">
        <v>367.36</v>
      </c>
      <c r="T2799">
        <v>278.83999999999997</v>
      </c>
      <c r="U2799">
        <v>24.1</v>
      </c>
      <c r="V2799" t="str">
        <f>VLOOKUP(L2799,'[2]tabela de preços'!$A:$D,4,0)</f>
        <v>BRASILUX</v>
      </c>
      <c r="W2799" t="str">
        <f>VLOOKUP(L2799,'[2]tabela de preços'!$A:$F,6,0)</f>
        <v>ESMALTES</v>
      </c>
      <c r="X2799" t="str">
        <f>VLOOKUP(L2799,'[2]tabela de preços'!$A:$G,7,0)</f>
        <v>INDUSTRIAL</v>
      </c>
    </row>
    <row r="2800" spans="1:24" x14ac:dyDescent="0.3">
      <c r="A2800" t="s">
        <v>811</v>
      </c>
      <c r="C2800" t="s">
        <v>3101</v>
      </c>
      <c r="D2800" s="1">
        <v>46071</v>
      </c>
      <c r="E2800" t="s">
        <v>3102</v>
      </c>
      <c r="F2800">
        <v>9</v>
      </c>
      <c r="G2800">
        <v>236</v>
      </c>
      <c r="H2800" t="str">
        <f>VLOOKUP(G2800,[1]OPERADORES!$A:$B,2,0)</f>
        <v>DANIEL</v>
      </c>
      <c r="I2800" t="s">
        <v>282</v>
      </c>
      <c r="J2800" t="s">
        <v>814</v>
      </c>
      <c r="K2800" t="s">
        <v>815</v>
      </c>
      <c r="L2800">
        <v>84349</v>
      </c>
      <c r="M2800" t="s">
        <v>3103</v>
      </c>
      <c r="O2800" t="s">
        <v>11</v>
      </c>
      <c r="P2800">
        <v>6403</v>
      </c>
      <c r="Q2800">
        <v>6</v>
      </c>
      <c r="R2800">
        <v>28.42</v>
      </c>
      <c r="S2800">
        <v>170.52</v>
      </c>
      <c r="T2800">
        <v>129.41999999999999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ESMALTES</v>
      </c>
      <c r="X2800" t="str">
        <f>VLOOKUP(L2800,'[2]tabela de preços'!$A:$G,7,0)</f>
        <v>INDUSTRIAL</v>
      </c>
    </row>
    <row r="2801" spans="1:24" x14ac:dyDescent="0.3">
      <c r="A2801" t="s">
        <v>811</v>
      </c>
      <c r="C2801" t="s">
        <v>3101</v>
      </c>
      <c r="D2801" s="1">
        <v>46071</v>
      </c>
      <c r="E2801" t="s">
        <v>3102</v>
      </c>
      <c r="F2801">
        <v>9</v>
      </c>
      <c r="G2801">
        <v>236</v>
      </c>
      <c r="H2801" t="str">
        <f>VLOOKUP(G2801,[1]OPERADORES!$A:$B,2,0)</f>
        <v>DANIEL</v>
      </c>
      <c r="I2801" t="s">
        <v>282</v>
      </c>
      <c r="J2801" t="s">
        <v>814</v>
      </c>
      <c r="K2801" t="s">
        <v>815</v>
      </c>
      <c r="L2801">
        <v>84026</v>
      </c>
      <c r="M2801" t="s">
        <v>816</v>
      </c>
      <c r="O2801" t="s">
        <v>11</v>
      </c>
      <c r="P2801">
        <v>6102</v>
      </c>
      <c r="Q2801">
        <v>12</v>
      </c>
      <c r="R2801">
        <v>9.48</v>
      </c>
      <c r="S2801">
        <v>113.76</v>
      </c>
      <c r="T2801">
        <v>83.4</v>
      </c>
      <c r="U2801">
        <v>26.69</v>
      </c>
      <c r="V2801" t="str">
        <f>VLOOKUP(L2801,'[2]tabela de preços'!$A:$D,4,0)</f>
        <v>BRASILUX</v>
      </c>
      <c r="W2801" t="str">
        <f>VLOOKUP(L2801,'[2]tabela de preços'!$A:$F,6,0)</f>
        <v>CATALISADORES INDIVIDUAIS</v>
      </c>
      <c r="X2801" t="str">
        <f>VLOOKUP(L2801,'[2]tabela de preços'!$A:$G,7,0)</f>
        <v>IMOBILIÁRIO</v>
      </c>
    </row>
    <row r="2802" spans="1:24" x14ac:dyDescent="0.3">
      <c r="A2802" t="s">
        <v>811</v>
      </c>
      <c r="C2802" t="s">
        <v>3101</v>
      </c>
      <c r="D2802" s="1">
        <v>46071</v>
      </c>
      <c r="E2802" t="s">
        <v>3102</v>
      </c>
      <c r="F2802">
        <v>9</v>
      </c>
      <c r="G2802">
        <v>236</v>
      </c>
      <c r="H2802" t="str">
        <f>VLOOKUP(G2802,[1]OPERADORES!$A:$B,2,0)</f>
        <v>DANIEL</v>
      </c>
      <c r="I2802" t="s">
        <v>282</v>
      </c>
      <c r="J2802" t="s">
        <v>814</v>
      </c>
      <c r="K2802" t="s">
        <v>815</v>
      </c>
      <c r="L2802">
        <v>84823</v>
      </c>
      <c r="M2802" t="s">
        <v>331</v>
      </c>
      <c r="O2802" t="s">
        <v>11</v>
      </c>
      <c r="P2802">
        <v>6102</v>
      </c>
      <c r="Q2802">
        <v>4</v>
      </c>
      <c r="R2802">
        <v>97.98</v>
      </c>
      <c r="S2802">
        <v>391.92</v>
      </c>
      <c r="T2802">
        <v>287.32</v>
      </c>
      <c r="U2802">
        <v>26.69</v>
      </c>
      <c r="V2802" t="str">
        <f>VLOOKUP(L2802,'[2]tabela de preços'!$A:$D,4,0)</f>
        <v>BRASILUX</v>
      </c>
      <c r="W2802" t="str">
        <f>VLOOKUP(L2802,'[2]tabela de preços'!$A:$F,6,0)</f>
        <v>DILUENTE</v>
      </c>
      <c r="X2802" t="str">
        <f>VLOOKUP(L2802,'[2]tabela de preços'!$A:$G,7,0)</f>
        <v>AUTOMOTIVO</v>
      </c>
    </row>
    <row r="2803" spans="1:24" x14ac:dyDescent="0.3">
      <c r="A2803" t="s">
        <v>811</v>
      </c>
      <c r="C2803" t="s">
        <v>3101</v>
      </c>
      <c r="D2803" s="1">
        <v>46071</v>
      </c>
      <c r="E2803" t="s">
        <v>3102</v>
      </c>
      <c r="F2803">
        <v>9</v>
      </c>
      <c r="G2803">
        <v>236</v>
      </c>
      <c r="H2803" t="str">
        <f>VLOOKUP(G2803,[1]OPERADORES!$A:$B,2,0)</f>
        <v>DANIEL</v>
      </c>
      <c r="I2803" t="s">
        <v>282</v>
      </c>
      <c r="J2803" t="s">
        <v>814</v>
      </c>
      <c r="K2803" t="s">
        <v>815</v>
      </c>
      <c r="L2803">
        <v>84411</v>
      </c>
      <c r="M2803" t="s">
        <v>35</v>
      </c>
      <c r="O2803" t="s">
        <v>11</v>
      </c>
      <c r="P2803">
        <v>6102</v>
      </c>
      <c r="Q2803">
        <v>180</v>
      </c>
      <c r="R2803">
        <v>4.29</v>
      </c>
      <c r="S2803">
        <v>772.2</v>
      </c>
      <c r="T2803">
        <v>637.20000000000005</v>
      </c>
      <c r="U2803">
        <v>17.48</v>
      </c>
      <c r="V2803" t="str">
        <f>VLOOKUP(L2803,'[2]tabela de preços'!$A:$D,4,0)</f>
        <v>ADERE</v>
      </c>
      <c r="W2803" t="str">
        <f>VLOOKUP(L2803,'[2]tabela de preços'!$A:$F,6,0)</f>
        <v xml:space="preserve">FITA DE USO GERAL </v>
      </c>
      <c r="X2803" t="str">
        <f>VLOOKUP(L2803,'[2]tabela de preços'!$A:$G,7,0)</f>
        <v>IMOBILIÁRIO</v>
      </c>
    </row>
    <row r="2804" spans="1:24" x14ac:dyDescent="0.3">
      <c r="A2804" t="s">
        <v>811</v>
      </c>
      <c r="C2804" t="s">
        <v>3101</v>
      </c>
      <c r="D2804" s="1">
        <v>46071</v>
      </c>
      <c r="E2804" t="s">
        <v>3102</v>
      </c>
      <c r="F2804">
        <v>9</v>
      </c>
      <c r="G2804">
        <v>236</v>
      </c>
      <c r="H2804" t="str">
        <f>VLOOKUP(G2804,[1]OPERADORES!$A:$B,2,0)</f>
        <v>DANIEL</v>
      </c>
      <c r="I2804" t="s">
        <v>282</v>
      </c>
      <c r="J2804" t="s">
        <v>814</v>
      </c>
      <c r="K2804" t="s">
        <v>815</v>
      </c>
      <c r="L2804">
        <v>84408</v>
      </c>
      <c r="M2804" t="s">
        <v>3104</v>
      </c>
      <c r="O2804" t="s">
        <v>11</v>
      </c>
      <c r="P2804">
        <v>6102</v>
      </c>
      <c r="Q2804">
        <v>180</v>
      </c>
      <c r="R2804">
        <v>7.92</v>
      </c>
      <c r="S2804" s="2">
        <v>1425.6</v>
      </c>
      <c r="T2804" s="2">
        <v>1056.5999999999999</v>
      </c>
      <c r="U2804">
        <v>25.88</v>
      </c>
      <c r="V2804" t="str">
        <f>VLOOKUP(L2804,'[2]tabela de preços'!$A:$D,4,0)</f>
        <v>ADERE</v>
      </c>
      <c r="W2804" t="str">
        <f>VLOOKUP(L2804,'[2]tabela de preços'!$A:$F,6,0)</f>
        <v xml:space="preserve">FITA DE USO GERAL </v>
      </c>
      <c r="X2804" t="str">
        <f>VLOOKUP(L2804,'[2]tabela de preços'!$A:$G,7,0)</f>
        <v>IMOBILIÁRIO</v>
      </c>
    </row>
    <row r="2805" spans="1:24" x14ac:dyDescent="0.3">
      <c r="A2805" t="s">
        <v>811</v>
      </c>
      <c r="C2805" t="s">
        <v>3101</v>
      </c>
      <c r="D2805" s="1">
        <v>46071</v>
      </c>
      <c r="E2805" t="s">
        <v>3102</v>
      </c>
      <c r="F2805">
        <v>9</v>
      </c>
      <c r="G2805">
        <v>236</v>
      </c>
      <c r="H2805" t="str">
        <f>VLOOKUP(G2805,[1]OPERADORES!$A:$B,2,0)</f>
        <v>DANIEL</v>
      </c>
      <c r="I2805" t="s">
        <v>282</v>
      </c>
      <c r="J2805" t="s">
        <v>814</v>
      </c>
      <c r="K2805" t="s">
        <v>815</v>
      </c>
      <c r="L2805">
        <v>84182</v>
      </c>
      <c r="M2805" t="s">
        <v>3105</v>
      </c>
      <c r="O2805" t="s">
        <v>11</v>
      </c>
      <c r="P2805">
        <v>6403</v>
      </c>
      <c r="Q2805">
        <v>4</v>
      </c>
      <c r="R2805">
        <v>107.58</v>
      </c>
      <c r="S2805">
        <v>430.32</v>
      </c>
      <c r="T2805">
        <v>326.60000000000002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ESMALTES</v>
      </c>
      <c r="X2805" t="str">
        <f>VLOOKUP(L2805,'[2]tabela de preços'!$A:$G,7,0)</f>
        <v>INDUSTRIAL</v>
      </c>
    </row>
    <row r="2806" spans="1:24" x14ac:dyDescent="0.3">
      <c r="A2806" t="s">
        <v>811</v>
      </c>
      <c r="C2806" t="s">
        <v>3101</v>
      </c>
      <c r="D2806" s="1">
        <v>46071</v>
      </c>
      <c r="E2806" t="s">
        <v>3102</v>
      </c>
      <c r="F2806">
        <v>9</v>
      </c>
      <c r="G2806">
        <v>236</v>
      </c>
      <c r="H2806" t="str">
        <f>VLOOKUP(G2806,[1]OPERADORES!$A:$B,2,0)</f>
        <v>DANIEL</v>
      </c>
      <c r="I2806" t="s">
        <v>282</v>
      </c>
      <c r="J2806" t="s">
        <v>814</v>
      </c>
      <c r="K2806" t="s">
        <v>815</v>
      </c>
      <c r="L2806">
        <v>84560</v>
      </c>
      <c r="M2806" t="s">
        <v>118</v>
      </c>
      <c r="O2806" t="s">
        <v>11</v>
      </c>
      <c r="P2806">
        <v>6102</v>
      </c>
      <c r="Q2806">
        <v>20</v>
      </c>
      <c r="R2806">
        <v>47.89</v>
      </c>
      <c r="S2806">
        <v>957.8</v>
      </c>
      <c r="T2806">
        <v>783.2</v>
      </c>
      <c r="U2806">
        <v>18.23</v>
      </c>
      <c r="V2806" t="str">
        <f>VLOOKUP(L2806,'[2]tabela de preços'!$A:$D,4,0)</f>
        <v>BRASILUX</v>
      </c>
      <c r="W2806" t="str">
        <f>VLOOKUP(L2806,'[2]tabela de preços'!$A:$F,6,0)</f>
        <v>THINNER DE LIMPEZA</v>
      </c>
      <c r="X2806" t="str">
        <f>VLOOKUP(L2806,'[2]tabela de preços'!$A:$G,7,0)</f>
        <v>THINNER</v>
      </c>
    </row>
    <row r="2807" spans="1:24" x14ac:dyDescent="0.3">
      <c r="A2807" t="s">
        <v>2488</v>
      </c>
      <c r="B2807" t="s">
        <v>2489</v>
      </c>
      <c r="C2807" t="s">
        <v>2490</v>
      </c>
      <c r="D2807" s="1">
        <v>46056</v>
      </c>
      <c r="E2807" t="s">
        <v>2491</v>
      </c>
      <c r="F2807">
        <v>9</v>
      </c>
      <c r="G2807">
        <v>197</v>
      </c>
      <c r="H2807" t="str">
        <f>VLOOKUP(G2807,[1]OPERADORES!$A:$B,2,0)</f>
        <v xml:space="preserve">POLIANA LORRANE DE AMORIM </v>
      </c>
      <c r="I2807" t="s">
        <v>282</v>
      </c>
      <c r="J2807" t="s">
        <v>2492</v>
      </c>
      <c r="K2807" t="s">
        <v>2493</v>
      </c>
      <c r="L2807">
        <v>85135</v>
      </c>
      <c r="M2807" t="s">
        <v>2494</v>
      </c>
      <c r="O2807" t="s">
        <v>11</v>
      </c>
      <c r="P2807">
        <v>6403</v>
      </c>
      <c r="Q2807">
        <v>16</v>
      </c>
      <c r="R2807">
        <v>147.53</v>
      </c>
      <c r="S2807" s="2">
        <v>2360.48</v>
      </c>
      <c r="T2807" s="2">
        <v>1430.56</v>
      </c>
      <c r="U2807">
        <v>39.4</v>
      </c>
      <c r="V2807" t="str">
        <f>VLOOKUP(L2807,'[2]tabela de preços'!$A:$D,4,0)</f>
        <v>BRASILUX</v>
      </c>
      <c r="W2807" t="str">
        <f>VLOOKUP(L2807,'[2]tabela de preços'!$A:$F,6,0)</f>
        <v>TINTA DE LABORATÓRIO</v>
      </c>
      <c r="X2807" t="str">
        <f>VLOOKUP(L2807,'[2]tabela de preços'!$A:$G,7,0)</f>
        <v>AUTOMOTIVO</v>
      </c>
    </row>
    <row r="2808" spans="1:24" x14ac:dyDescent="0.3">
      <c r="A2808" t="s">
        <v>2488</v>
      </c>
      <c r="B2808" t="s">
        <v>2489</v>
      </c>
      <c r="C2808" t="s">
        <v>2490</v>
      </c>
      <c r="D2808" s="1">
        <v>46056</v>
      </c>
      <c r="E2808" t="s">
        <v>2491</v>
      </c>
      <c r="F2808">
        <v>9</v>
      </c>
      <c r="G2808">
        <v>197</v>
      </c>
      <c r="H2808" t="str">
        <f>VLOOKUP(G2808,[1]OPERADORES!$A:$B,2,0)</f>
        <v xml:space="preserve">POLIANA LORRANE DE AMORIM </v>
      </c>
      <c r="I2808" t="s">
        <v>282</v>
      </c>
      <c r="J2808" t="s">
        <v>2492</v>
      </c>
      <c r="K2808" t="s">
        <v>2493</v>
      </c>
      <c r="L2808">
        <v>85280</v>
      </c>
      <c r="M2808" t="s">
        <v>943</v>
      </c>
      <c r="O2808" t="s">
        <v>11</v>
      </c>
      <c r="P2808">
        <v>6102</v>
      </c>
      <c r="Q2808">
        <v>16</v>
      </c>
      <c r="R2808">
        <v>55.72</v>
      </c>
      <c r="S2808">
        <v>891.52</v>
      </c>
      <c r="T2808">
        <v>676.64</v>
      </c>
      <c r="U2808">
        <v>24.1</v>
      </c>
      <c r="V2808" t="str">
        <f>VLOOKUP(L2808,'[2]tabela de preços'!$A:$D,4,0)</f>
        <v>BRASILUX</v>
      </c>
      <c r="W2808" t="str">
        <f>VLOOKUP(L2808,'[2]tabela de preços'!$A:$F,6,0)</f>
        <v>CATALISADORES INDIVIDUAIS</v>
      </c>
      <c r="X2808" t="str">
        <f>VLOOKUP(L2808,'[2]tabela de preços'!$A:$G,7,0)</f>
        <v>IMOBILIÁRIO</v>
      </c>
    </row>
    <row r="2809" spans="1:24" x14ac:dyDescent="0.3">
      <c r="A2809" t="s">
        <v>2488</v>
      </c>
      <c r="B2809" t="s">
        <v>2489</v>
      </c>
      <c r="C2809" t="s">
        <v>2490</v>
      </c>
      <c r="D2809" s="1">
        <v>46056</v>
      </c>
      <c r="E2809" t="s">
        <v>2491</v>
      </c>
      <c r="F2809">
        <v>9</v>
      </c>
      <c r="G2809">
        <v>197</v>
      </c>
      <c r="H2809" t="str">
        <f>VLOOKUP(G2809,[1]OPERADORES!$A:$B,2,0)</f>
        <v xml:space="preserve">POLIANA LORRANE DE AMORIM </v>
      </c>
      <c r="I2809" t="s">
        <v>282</v>
      </c>
      <c r="J2809" t="s">
        <v>2492</v>
      </c>
      <c r="K2809" t="s">
        <v>2493</v>
      </c>
      <c r="L2809">
        <v>10277</v>
      </c>
      <c r="M2809" t="s">
        <v>135</v>
      </c>
      <c r="O2809" t="s">
        <v>11</v>
      </c>
      <c r="P2809">
        <v>6102</v>
      </c>
      <c r="Q2809">
        <v>30</v>
      </c>
      <c r="R2809">
        <v>15.89</v>
      </c>
      <c r="S2809">
        <v>476.7</v>
      </c>
      <c r="T2809">
        <v>386.4</v>
      </c>
      <c r="U2809">
        <v>18.940000000000001</v>
      </c>
      <c r="V2809" t="str">
        <f>VLOOKUP(L2809,'[2]tabela de preços'!$A:$D,4,0)</f>
        <v>RETOQUE</v>
      </c>
      <c r="W2809" t="str">
        <f>VLOOKUP(L2809,'[2]tabela de preços'!$A:$F,6,0)</f>
        <v xml:space="preserve">COLA  PLÁSTICA </v>
      </c>
      <c r="X2809" t="str">
        <f>VLOOKUP(L2809,'[2]tabela de preços'!$A:$G,7,0)</f>
        <v>AUTOMOTIVO</v>
      </c>
    </row>
    <row r="2810" spans="1:24" x14ac:dyDescent="0.3">
      <c r="A2810" t="s">
        <v>2488</v>
      </c>
      <c r="B2810" t="s">
        <v>2489</v>
      </c>
      <c r="C2810" t="s">
        <v>3106</v>
      </c>
      <c r="D2810" s="1">
        <v>46072</v>
      </c>
      <c r="E2810" t="s">
        <v>3107</v>
      </c>
      <c r="F2810">
        <v>9</v>
      </c>
      <c r="G2810">
        <v>197</v>
      </c>
      <c r="H2810" t="str">
        <f>VLOOKUP(G2810,[1]OPERADORES!$A:$B,2,0)</f>
        <v xml:space="preserve">POLIANA LORRANE DE AMORIM </v>
      </c>
      <c r="I2810" t="s">
        <v>282</v>
      </c>
      <c r="J2810" t="s">
        <v>2492</v>
      </c>
      <c r="K2810" t="s">
        <v>2493</v>
      </c>
      <c r="L2810">
        <v>84823</v>
      </c>
      <c r="M2810" t="s">
        <v>331</v>
      </c>
      <c r="O2810" t="s">
        <v>11</v>
      </c>
      <c r="P2810">
        <v>6102</v>
      </c>
      <c r="Q2810">
        <v>5</v>
      </c>
      <c r="R2810">
        <v>94.64</v>
      </c>
      <c r="S2810">
        <v>473.2</v>
      </c>
      <c r="T2810">
        <v>359.15</v>
      </c>
      <c r="U2810">
        <v>24.1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2488</v>
      </c>
      <c r="B2811" t="s">
        <v>2489</v>
      </c>
      <c r="C2811" t="s">
        <v>3106</v>
      </c>
      <c r="D2811" s="1">
        <v>46072</v>
      </c>
      <c r="E2811" t="s">
        <v>3107</v>
      </c>
      <c r="F2811">
        <v>9</v>
      </c>
      <c r="G2811">
        <v>197</v>
      </c>
      <c r="H2811" t="str">
        <f>VLOOKUP(G2811,[1]OPERADORES!$A:$B,2,0)</f>
        <v xml:space="preserve">POLIANA LORRANE DE AMORIM </v>
      </c>
      <c r="I2811" t="s">
        <v>282</v>
      </c>
      <c r="J2811" t="s">
        <v>2492</v>
      </c>
      <c r="K2811" t="s">
        <v>2493</v>
      </c>
      <c r="L2811">
        <v>84785</v>
      </c>
      <c r="M2811" t="s">
        <v>944</v>
      </c>
      <c r="O2811" t="s">
        <v>11</v>
      </c>
      <c r="P2811">
        <v>6403</v>
      </c>
      <c r="Q2811">
        <v>10</v>
      </c>
      <c r="R2811">
        <v>182.36</v>
      </c>
      <c r="S2811" s="2">
        <v>1823.6</v>
      </c>
      <c r="T2811" s="2">
        <v>1307.2</v>
      </c>
      <c r="U2811">
        <v>28.32</v>
      </c>
      <c r="V2811" t="str">
        <f>VLOOKUP(L2811,'[2]tabela de preços'!$A:$D,4,0)</f>
        <v>BRASILUX</v>
      </c>
      <c r="W2811" t="str">
        <f>VLOOKUP(L2811,'[2]tabela de preços'!$A:$F,6,0)</f>
        <v>EPOXI</v>
      </c>
      <c r="X2811" t="str">
        <f>VLOOKUP(L2811,'[2]tabela de preços'!$A:$G,7,0)</f>
        <v>INDUSTRIAL</v>
      </c>
    </row>
    <row r="2812" spans="1:24" x14ac:dyDescent="0.3">
      <c r="A2812" t="s">
        <v>2488</v>
      </c>
      <c r="B2812" t="s">
        <v>2489</v>
      </c>
      <c r="C2812" t="s">
        <v>3106</v>
      </c>
      <c r="D2812" s="1">
        <v>46072</v>
      </c>
      <c r="E2812" t="s">
        <v>3107</v>
      </c>
      <c r="F2812">
        <v>9</v>
      </c>
      <c r="G2812">
        <v>197</v>
      </c>
      <c r="H2812" t="str">
        <f>VLOOKUP(G2812,[1]OPERADORES!$A:$B,2,0)</f>
        <v xml:space="preserve">POLIANA LORRANE DE AMORIM </v>
      </c>
      <c r="I2812" t="s">
        <v>282</v>
      </c>
      <c r="J2812" t="s">
        <v>2492</v>
      </c>
      <c r="K2812" t="s">
        <v>2493</v>
      </c>
      <c r="L2812">
        <v>10396</v>
      </c>
      <c r="M2812" t="s">
        <v>2624</v>
      </c>
      <c r="O2812" t="s">
        <v>11</v>
      </c>
      <c r="P2812">
        <v>6102</v>
      </c>
      <c r="Q2812">
        <v>8</v>
      </c>
      <c r="R2812">
        <v>35.76</v>
      </c>
      <c r="S2812">
        <v>286.08</v>
      </c>
      <c r="T2812">
        <v>184.56</v>
      </c>
      <c r="U2812">
        <v>35.49</v>
      </c>
      <c r="V2812" t="str">
        <f>VLOOKUP(L2812,'[2]tabela de preços'!$A:$D,4,0)</f>
        <v>MAXI RUBBER</v>
      </c>
      <c r="W2812" t="str">
        <f>VLOOKUP(L2812,'[2]tabela de preços'!$A:$F,6,0)</f>
        <v>MASSA POLIÉSTER</v>
      </c>
      <c r="X2812" t="str">
        <f>VLOOKUP(L2812,'[2]tabela de preços'!$A:$G,7,0)</f>
        <v>AUTOMOTIVO</v>
      </c>
    </row>
    <row r="2813" spans="1:24" x14ac:dyDescent="0.3">
      <c r="A2813" t="s">
        <v>2495</v>
      </c>
      <c r="C2813" t="s">
        <v>2496</v>
      </c>
      <c r="D2813" s="1">
        <v>46056</v>
      </c>
      <c r="E2813" t="s">
        <v>2497</v>
      </c>
      <c r="F2813">
        <v>9</v>
      </c>
      <c r="G2813">
        <v>236</v>
      </c>
      <c r="H2813" t="str">
        <f>VLOOKUP(G2813,[1]OPERADORES!$A:$B,2,0)</f>
        <v>DANIEL</v>
      </c>
      <c r="I2813" t="s">
        <v>21</v>
      </c>
      <c r="J2813" t="s">
        <v>2498</v>
      </c>
      <c r="K2813" t="s">
        <v>2499</v>
      </c>
      <c r="L2813">
        <v>23069</v>
      </c>
      <c r="M2813" t="s">
        <v>2500</v>
      </c>
      <c r="O2813" t="s">
        <v>11</v>
      </c>
      <c r="P2813">
        <v>5403</v>
      </c>
      <c r="Q2813">
        <v>6</v>
      </c>
      <c r="R2813">
        <v>46.54</v>
      </c>
      <c r="S2813">
        <v>279.24</v>
      </c>
      <c r="T2813">
        <v>204.72</v>
      </c>
      <c r="U2813">
        <v>26.69</v>
      </c>
      <c r="V2813" t="str">
        <f>VLOOKUP(L2813,'[2]tabela de preços'!$A:$D,4,0)</f>
        <v>WANDA</v>
      </c>
      <c r="W2813" t="str">
        <f>VLOOKUP(L2813,'[2]tabela de preços'!$A:$F,6,0)</f>
        <v>PRIMER AUTOMOTIVO</v>
      </c>
      <c r="X2813" t="str">
        <f>VLOOKUP(L2813,'[2]tabela de preços'!$A:$G,7,0)</f>
        <v>AUTOMOTIVO</v>
      </c>
    </row>
    <row r="2814" spans="1:24" x14ac:dyDescent="0.3">
      <c r="A2814" t="s">
        <v>2495</v>
      </c>
      <c r="C2814" t="s">
        <v>2764</v>
      </c>
      <c r="D2814" s="1">
        <v>46059</v>
      </c>
      <c r="E2814" t="s">
        <v>2765</v>
      </c>
      <c r="F2814">
        <v>9</v>
      </c>
      <c r="G2814">
        <v>236</v>
      </c>
      <c r="H2814" t="str">
        <f>VLOOKUP(G2814,[1]OPERADORES!$A:$B,2,0)</f>
        <v>DANIEL</v>
      </c>
      <c r="I2814" t="s">
        <v>21</v>
      </c>
      <c r="J2814" t="s">
        <v>2498</v>
      </c>
      <c r="K2814" t="s">
        <v>2499</v>
      </c>
      <c r="L2814">
        <v>84565</v>
      </c>
      <c r="M2814" t="s">
        <v>236</v>
      </c>
      <c r="O2814" t="s">
        <v>11</v>
      </c>
      <c r="P2814">
        <v>5102</v>
      </c>
      <c r="Q2814">
        <v>1</v>
      </c>
      <c r="R2814">
        <v>9.24</v>
      </c>
      <c r="S2814">
        <v>9.24</v>
      </c>
      <c r="T2814">
        <v>7.01</v>
      </c>
      <c r="U2814">
        <v>24.13</v>
      </c>
      <c r="V2814" t="str">
        <f>VLOOKUP(L2814,'[2]tabela de preços'!$A:$D,4,0)</f>
        <v>BRASILUX</v>
      </c>
      <c r="W2814" t="str">
        <f>VLOOKUP(L2814,'[2]tabela de preços'!$A:$F,6,0)</f>
        <v>PRETO FOSCO VINÍLICO</v>
      </c>
      <c r="X2814" t="str">
        <f>VLOOKUP(L2814,'[2]tabela de preços'!$A:$G,7,0)</f>
        <v>AUTOMOTIVO</v>
      </c>
    </row>
    <row r="2815" spans="1:24" x14ac:dyDescent="0.3">
      <c r="A2815" t="s">
        <v>2495</v>
      </c>
      <c r="C2815" t="s">
        <v>2764</v>
      </c>
      <c r="D2815" s="1">
        <v>46059</v>
      </c>
      <c r="E2815" t="s">
        <v>2765</v>
      </c>
      <c r="F2815">
        <v>9</v>
      </c>
      <c r="G2815">
        <v>236</v>
      </c>
      <c r="H2815" t="str">
        <f>VLOOKUP(G2815,[1]OPERADORES!$A:$B,2,0)</f>
        <v>DANIEL</v>
      </c>
      <c r="I2815" t="s">
        <v>21</v>
      </c>
      <c r="J2815" t="s">
        <v>2498</v>
      </c>
      <c r="K2815" t="s">
        <v>2499</v>
      </c>
      <c r="L2815">
        <v>20461</v>
      </c>
      <c r="M2815" t="s">
        <v>1085</v>
      </c>
      <c r="O2815" t="s">
        <v>11</v>
      </c>
      <c r="P2815">
        <v>5102</v>
      </c>
      <c r="Q2815">
        <v>6</v>
      </c>
      <c r="R2815">
        <v>57.23</v>
      </c>
      <c r="S2815">
        <v>343.38</v>
      </c>
      <c r="T2815">
        <v>260.64</v>
      </c>
      <c r="U2815">
        <v>24.1</v>
      </c>
      <c r="V2815" t="str">
        <f>VLOOKUP(L2815,'[2]tabela de preços'!$A:$D,4,0)</f>
        <v>SHERWIN WILLIAMS</v>
      </c>
      <c r="W2815" t="str">
        <f>VLOOKUP(L2815,'[2]tabela de preços'!$A:$F,6,0)</f>
        <v>VERNIZ AUTOMOTIVO</v>
      </c>
      <c r="X2815" t="str">
        <f>VLOOKUP(L2815,'[2]tabela de preços'!$A:$G,7,0)</f>
        <v>AUTOMOTIVO</v>
      </c>
    </row>
    <row r="2816" spans="1:24" x14ac:dyDescent="0.3">
      <c r="A2816" t="s">
        <v>2495</v>
      </c>
      <c r="C2816" t="s">
        <v>2764</v>
      </c>
      <c r="D2816" s="1">
        <v>46059</v>
      </c>
      <c r="E2816" t="s">
        <v>2765</v>
      </c>
      <c r="F2816">
        <v>9</v>
      </c>
      <c r="G2816">
        <v>236</v>
      </c>
      <c r="H2816" t="str">
        <f>VLOOKUP(G2816,[1]OPERADORES!$A:$B,2,0)</f>
        <v>DANIEL</v>
      </c>
      <c r="I2816" t="s">
        <v>21</v>
      </c>
      <c r="J2816" t="s">
        <v>2498</v>
      </c>
      <c r="K2816" t="s">
        <v>2499</v>
      </c>
      <c r="L2816">
        <v>84864</v>
      </c>
      <c r="M2816" t="s">
        <v>2766</v>
      </c>
      <c r="O2816" t="s">
        <v>11</v>
      </c>
      <c r="P2816">
        <v>5403</v>
      </c>
      <c r="Q2816">
        <v>2</v>
      </c>
      <c r="R2816">
        <v>22.04</v>
      </c>
      <c r="S2816">
        <v>44.08</v>
      </c>
      <c r="T2816">
        <v>33.46</v>
      </c>
      <c r="U2816">
        <v>24.09</v>
      </c>
      <c r="V2816" t="str">
        <f>VLOOKUP(L2816,'[2]tabela de preços'!$A:$D,4,0)</f>
        <v>BRASILUX</v>
      </c>
      <c r="W2816" t="str">
        <f>VLOOKUP(L2816,'[2]tabela de preços'!$A:$F,6,0)</f>
        <v>ESMALTES</v>
      </c>
      <c r="X2816" t="str">
        <f>VLOOKUP(L2816,'[2]tabela de preços'!$A:$G,7,0)</f>
        <v>INDUSTRIAL</v>
      </c>
    </row>
    <row r="2817" spans="1:24" x14ac:dyDescent="0.3">
      <c r="A2817" t="s">
        <v>2495</v>
      </c>
      <c r="C2817" t="s">
        <v>2764</v>
      </c>
      <c r="D2817" s="1">
        <v>46059</v>
      </c>
      <c r="E2817" t="s">
        <v>2765</v>
      </c>
      <c r="F2817">
        <v>9</v>
      </c>
      <c r="G2817">
        <v>236</v>
      </c>
      <c r="H2817" t="str">
        <f>VLOOKUP(G2817,[1]OPERADORES!$A:$B,2,0)</f>
        <v>DANIEL</v>
      </c>
      <c r="I2817" t="s">
        <v>21</v>
      </c>
      <c r="J2817" t="s">
        <v>2498</v>
      </c>
      <c r="K2817" t="s">
        <v>2499</v>
      </c>
      <c r="L2817">
        <v>21037</v>
      </c>
      <c r="M2817" t="s">
        <v>108</v>
      </c>
      <c r="O2817" t="s">
        <v>11</v>
      </c>
      <c r="P2817">
        <v>5102</v>
      </c>
      <c r="Q2817">
        <v>4</v>
      </c>
      <c r="R2817">
        <v>17.03</v>
      </c>
      <c r="S2817">
        <v>68.12</v>
      </c>
      <c r="T2817">
        <v>51.68</v>
      </c>
      <c r="U2817">
        <v>24.13</v>
      </c>
      <c r="V2817" t="str">
        <f>VLOOKUP(L2817,'[2]tabela de preços'!$A:$D,4,0)</f>
        <v>SHERWIN WILLIAMS</v>
      </c>
      <c r="W2817" t="str">
        <f>VLOOKUP(L2817,'[2]tabela de preços'!$A:$F,6,0)</f>
        <v>CATALISADORES INDIVIDUAS</v>
      </c>
      <c r="X2817" t="str">
        <f>VLOOKUP(L2817,'[2]tabela de preços'!$A:$G,7,0)</f>
        <v>AUTOMOTIVO</v>
      </c>
    </row>
    <row r="2818" spans="1:24" x14ac:dyDescent="0.3">
      <c r="A2818" t="s">
        <v>2495</v>
      </c>
      <c r="C2818" t="s">
        <v>2764</v>
      </c>
      <c r="D2818" s="1">
        <v>46059</v>
      </c>
      <c r="E2818" t="s">
        <v>2765</v>
      </c>
      <c r="F2818">
        <v>9</v>
      </c>
      <c r="G2818">
        <v>236</v>
      </c>
      <c r="H2818" t="str">
        <f>VLOOKUP(G2818,[1]OPERADORES!$A:$B,2,0)</f>
        <v>DANIEL</v>
      </c>
      <c r="I2818" t="s">
        <v>21</v>
      </c>
      <c r="J2818" t="s">
        <v>2498</v>
      </c>
      <c r="K2818" t="s">
        <v>2499</v>
      </c>
      <c r="L2818">
        <v>20321</v>
      </c>
      <c r="M2818" t="s">
        <v>639</v>
      </c>
      <c r="O2818" t="s">
        <v>11</v>
      </c>
      <c r="P2818">
        <v>5403</v>
      </c>
      <c r="Q2818">
        <v>10</v>
      </c>
      <c r="R2818">
        <v>34.6</v>
      </c>
      <c r="S2818">
        <v>346</v>
      </c>
      <c r="T2818">
        <v>246.7</v>
      </c>
      <c r="U2818">
        <v>28.7</v>
      </c>
      <c r="V2818" t="str">
        <f>VLOOKUP(L2818,'[2]tabela de preços'!$A:$D,4,0)</f>
        <v>SHERWIN WILLIAMS</v>
      </c>
      <c r="W2818" t="str">
        <f>VLOOKUP(L2818,'[2]tabela de preços'!$A:$F,6,0)</f>
        <v>TINTAS POLIÉSTER</v>
      </c>
      <c r="X2818" t="str">
        <f>VLOOKUP(L2818,'[2]tabela de preços'!$A:$G,7,0)</f>
        <v>AUTOMOTIVO</v>
      </c>
    </row>
    <row r="2819" spans="1:24" x14ac:dyDescent="0.3">
      <c r="A2819" t="s">
        <v>2495</v>
      </c>
      <c r="C2819" t="s">
        <v>2764</v>
      </c>
      <c r="D2819" s="1">
        <v>46059</v>
      </c>
      <c r="E2819" t="s">
        <v>2765</v>
      </c>
      <c r="F2819">
        <v>9</v>
      </c>
      <c r="G2819">
        <v>236</v>
      </c>
      <c r="H2819" t="str">
        <f>VLOOKUP(G2819,[1]OPERADORES!$A:$B,2,0)</f>
        <v>DANIEL</v>
      </c>
      <c r="I2819" t="s">
        <v>21</v>
      </c>
      <c r="J2819" t="s">
        <v>2498</v>
      </c>
      <c r="K2819" t="s">
        <v>2499</v>
      </c>
      <c r="L2819">
        <v>87105</v>
      </c>
      <c r="M2819" t="s">
        <v>2767</v>
      </c>
      <c r="O2819" t="s">
        <v>11</v>
      </c>
      <c r="P2819">
        <v>5102</v>
      </c>
      <c r="Q2819">
        <v>4</v>
      </c>
      <c r="R2819">
        <v>35.049999999999997</v>
      </c>
      <c r="S2819">
        <v>140.19999999999999</v>
      </c>
      <c r="T2819">
        <v>106.4</v>
      </c>
      <c r="U2819">
        <v>24.11</v>
      </c>
      <c r="V2819" t="str">
        <f>VLOOKUP(L2819,'[2]tabela de preços'!$A:$D,4,0)</f>
        <v>SHERWIN WILLIAMS</v>
      </c>
      <c r="W2819" t="str">
        <f>VLOOKUP(L2819,'[2]tabela de preços'!$A:$F,6,0)</f>
        <v>TINTAS POLIÉSTER</v>
      </c>
      <c r="X2819" t="str">
        <f>VLOOKUP(L2819,'[2]tabela de preços'!$A:$G,7,0)</f>
        <v>AUTOMOTIVO</v>
      </c>
    </row>
    <row r="2820" spans="1:24" x14ac:dyDescent="0.3">
      <c r="A2820" t="s">
        <v>2495</v>
      </c>
      <c r="C2820" t="s">
        <v>2764</v>
      </c>
      <c r="D2820" s="1">
        <v>46059</v>
      </c>
      <c r="E2820" t="s">
        <v>2765</v>
      </c>
      <c r="F2820">
        <v>9</v>
      </c>
      <c r="G2820">
        <v>236</v>
      </c>
      <c r="H2820" t="str">
        <f>VLOOKUP(G2820,[1]OPERADORES!$A:$B,2,0)</f>
        <v>DANIEL</v>
      </c>
      <c r="I2820" t="s">
        <v>21</v>
      </c>
      <c r="J2820" t="s">
        <v>2498</v>
      </c>
      <c r="K2820" t="s">
        <v>2499</v>
      </c>
      <c r="L2820">
        <v>20454</v>
      </c>
      <c r="M2820" t="s">
        <v>1086</v>
      </c>
      <c r="O2820" t="s">
        <v>11</v>
      </c>
      <c r="P2820">
        <v>5403</v>
      </c>
      <c r="Q2820">
        <v>2</v>
      </c>
      <c r="R2820">
        <v>184.14</v>
      </c>
      <c r="S2820">
        <v>368.28</v>
      </c>
      <c r="T2820">
        <v>279.54000000000002</v>
      </c>
      <c r="U2820">
        <v>24.1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2495</v>
      </c>
      <c r="C2821" t="s">
        <v>2764</v>
      </c>
      <c r="D2821" s="1">
        <v>46059</v>
      </c>
      <c r="E2821" t="s">
        <v>2765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2498</v>
      </c>
      <c r="K2821" t="s">
        <v>2499</v>
      </c>
      <c r="L2821">
        <v>85363</v>
      </c>
      <c r="M2821" t="s">
        <v>237</v>
      </c>
      <c r="O2821" t="s">
        <v>11</v>
      </c>
      <c r="P2821">
        <v>5102</v>
      </c>
      <c r="Q2821">
        <v>1</v>
      </c>
      <c r="R2821">
        <v>23.95</v>
      </c>
      <c r="S2821">
        <v>23.95</v>
      </c>
      <c r="T2821">
        <v>18.18</v>
      </c>
      <c r="U2821">
        <v>24.09</v>
      </c>
      <c r="V2821" t="str">
        <f>VLOOKUP(L2821,'[2]tabela de preços'!$A:$D,4,0)</f>
        <v>BRASILUX</v>
      </c>
      <c r="W2821" t="str">
        <f>VLOOKUP(L2821,'[2]tabela de preços'!$A:$F,6,0)</f>
        <v>PRETO FOSCO VINÍLICO</v>
      </c>
      <c r="X2821" t="str">
        <f>VLOOKUP(L2821,'[2]tabela de preços'!$A:$G,7,0)</f>
        <v>AUTOMOTIVO</v>
      </c>
    </row>
    <row r="2822" spans="1:24" x14ac:dyDescent="0.3">
      <c r="A2822" t="s">
        <v>2495</v>
      </c>
      <c r="C2822" t="s">
        <v>3108</v>
      </c>
      <c r="D2822" s="1">
        <v>46072</v>
      </c>
      <c r="E2822" t="s">
        <v>3109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2498</v>
      </c>
      <c r="K2822" t="s">
        <v>2499</v>
      </c>
      <c r="L2822">
        <v>85357</v>
      </c>
      <c r="M2822" t="s">
        <v>2987</v>
      </c>
      <c r="O2822" t="s">
        <v>11</v>
      </c>
      <c r="P2822">
        <v>5102</v>
      </c>
      <c r="Q2822">
        <v>1</v>
      </c>
      <c r="R2822">
        <v>16.29</v>
      </c>
      <c r="S2822">
        <v>16.29</v>
      </c>
      <c r="T2822">
        <v>12.36</v>
      </c>
      <c r="U2822">
        <v>24.13</v>
      </c>
      <c r="V2822" t="str">
        <f>VLOOKUP(L2822,'[2]tabela de preços'!$A:$D,4,0)</f>
        <v>RHAI</v>
      </c>
      <c r="W2822" t="str">
        <f>VLOOKUP(L2822,'[2]tabela de preços'!$A:$F,6,0)</f>
        <v xml:space="preserve">COLA  PLÁSTICA </v>
      </c>
      <c r="X2822" t="str">
        <f>VLOOKUP(L2822,'[2]tabela de preços'!$A:$G,7,0)</f>
        <v>AUTOMOTIVO</v>
      </c>
    </row>
    <row r="2823" spans="1:24" x14ac:dyDescent="0.3">
      <c r="A2823" t="s">
        <v>2495</v>
      </c>
      <c r="C2823" t="s">
        <v>3108</v>
      </c>
      <c r="D2823" s="1">
        <v>46072</v>
      </c>
      <c r="E2823" t="s">
        <v>3109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2498</v>
      </c>
      <c r="K2823" t="s">
        <v>2499</v>
      </c>
      <c r="L2823">
        <v>20245</v>
      </c>
      <c r="M2823" t="s">
        <v>146</v>
      </c>
      <c r="O2823" t="s">
        <v>11</v>
      </c>
      <c r="P2823">
        <v>5102</v>
      </c>
      <c r="Q2823">
        <v>1</v>
      </c>
      <c r="R2823">
        <v>2.11</v>
      </c>
      <c r="S2823">
        <v>2.11</v>
      </c>
      <c r="T2823">
        <v>1.35</v>
      </c>
      <c r="U2823">
        <v>36.020000000000003</v>
      </c>
      <c r="V2823" t="str">
        <f>VLOOKUP(L2823,'[2]tabela de preços'!$A:$D,4,0)</f>
        <v>ATLAS</v>
      </c>
      <c r="W2823" t="str">
        <f>VLOOKUP(L2823,'[2]tabela de preços'!$A:$F,6,0)</f>
        <v>APLICADORES / ADAPTADORES / ENGATES / SUPORTES</v>
      </c>
      <c r="X2823" t="str">
        <f>VLOOKUP(L2823,'[2]tabela de preços'!$A:$G,7,0)</f>
        <v>AUTOMOTIVO</v>
      </c>
    </row>
    <row r="2824" spans="1:24" x14ac:dyDescent="0.3">
      <c r="A2824" t="s">
        <v>2495</v>
      </c>
      <c r="C2824" t="s">
        <v>3108</v>
      </c>
      <c r="D2824" s="1">
        <v>46072</v>
      </c>
      <c r="E2824" t="s">
        <v>3109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2498</v>
      </c>
      <c r="K2824" t="s">
        <v>2499</v>
      </c>
      <c r="L2824">
        <v>22684</v>
      </c>
      <c r="M2824" t="s">
        <v>73</v>
      </c>
      <c r="O2824" t="s">
        <v>11</v>
      </c>
      <c r="P2824">
        <v>5102</v>
      </c>
      <c r="Q2824">
        <v>1</v>
      </c>
      <c r="R2824">
        <v>3.65</v>
      </c>
      <c r="S2824">
        <v>3.65</v>
      </c>
      <c r="T2824">
        <v>3.08</v>
      </c>
      <c r="U2824">
        <v>15.62</v>
      </c>
      <c r="V2824" t="str">
        <f>VLOOKUP(L2824,'[2]tabela de preços'!$A:$D,4,0)</f>
        <v>3M</v>
      </c>
      <c r="W2824" t="str">
        <f>VLOOKUP(L2824,'[2]tabela de preços'!$A:$F,6,0)</f>
        <v>FITA AUTOMOTIVA</v>
      </c>
      <c r="X2824" t="str">
        <f>VLOOKUP(L2824,'[2]tabela de preços'!$A:$G,7,0)</f>
        <v>AUTOMOTIVO</v>
      </c>
    </row>
    <row r="2825" spans="1:24" x14ac:dyDescent="0.3">
      <c r="A2825" t="s">
        <v>2495</v>
      </c>
      <c r="C2825" t="s">
        <v>3108</v>
      </c>
      <c r="D2825" s="1">
        <v>46072</v>
      </c>
      <c r="E2825" t="s">
        <v>3109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2498</v>
      </c>
      <c r="K2825" t="s">
        <v>2499</v>
      </c>
      <c r="L2825">
        <v>22188</v>
      </c>
      <c r="M2825" t="s">
        <v>78</v>
      </c>
      <c r="O2825" t="s">
        <v>11</v>
      </c>
      <c r="P2825">
        <v>5102</v>
      </c>
      <c r="Q2825">
        <v>3</v>
      </c>
      <c r="R2825">
        <v>14.35</v>
      </c>
      <c r="S2825">
        <v>43.05</v>
      </c>
      <c r="T2825">
        <v>32.67</v>
      </c>
      <c r="U2825">
        <v>24.11</v>
      </c>
      <c r="V2825" t="str">
        <f>VLOOKUP(L2825,'[2]tabela de preços'!$A:$D,4,0)</f>
        <v>3M</v>
      </c>
      <c r="W2825" t="str">
        <f>VLOOKUP(L2825,'[2]tabela de preços'!$A:$F,6,0)</f>
        <v>FITA AUTOMOTIVA</v>
      </c>
      <c r="X2825" t="str">
        <f>VLOOKUP(L2825,'[2]tabela de preços'!$A:$G,7,0)</f>
        <v>AUTOMOTIVO</v>
      </c>
    </row>
    <row r="2826" spans="1:24" x14ac:dyDescent="0.3">
      <c r="A2826" t="s">
        <v>2495</v>
      </c>
      <c r="C2826" t="s">
        <v>3108</v>
      </c>
      <c r="D2826" s="1">
        <v>46072</v>
      </c>
      <c r="E2826" t="s">
        <v>3109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2498</v>
      </c>
      <c r="K2826" t="s">
        <v>2499</v>
      </c>
      <c r="L2826">
        <v>20321</v>
      </c>
      <c r="M2826" t="s">
        <v>639</v>
      </c>
      <c r="O2826" t="s">
        <v>11</v>
      </c>
      <c r="P2826">
        <v>5403</v>
      </c>
      <c r="Q2826">
        <v>1</v>
      </c>
      <c r="R2826">
        <v>34.6</v>
      </c>
      <c r="S2826">
        <v>34.6</v>
      </c>
      <c r="T2826">
        <v>24.67</v>
      </c>
      <c r="U2826">
        <v>28.7</v>
      </c>
      <c r="V2826" t="str">
        <f>VLOOKUP(L2826,'[2]tabela de preços'!$A:$D,4,0)</f>
        <v>SHERWIN WILLIAMS</v>
      </c>
      <c r="W2826" t="str">
        <f>VLOOKUP(L2826,'[2]tabela de preços'!$A:$F,6,0)</f>
        <v>TINTAS POLIÉSTER</v>
      </c>
      <c r="X2826" t="str">
        <f>VLOOKUP(L2826,'[2]tabela de preços'!$A:$G,7,0)</f>
        <v>AUTOMOTIVO</v>
      </c>
    </row>
    <row r="2827" spans="1:24" x14ac:dyDescent="0.3">
      <c r="A2827" t="s">
        <v>2495</v>
      </c>
      <c r="C2827" t="s">
        <v>3108</v>
      </c>
      <c r="D2827" s="1">
        <v>46072</v>
      </c>
      <c r="E2827" t="s">
        <v>3109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2498</v>
      </c>
      <c r="K2827" t="s">
        <v>2499</v>
      </c>
      <c r="L2827">
        <v>84032</v>
      </c>
      <c r="M2827" t="s">
        <v>1573</v>
      </c>
      <c r="O2827" t="s">
        <v>11</v>
      </c>
      <c r="P2827">
        <v>5102</v>
      </c>
      <c r="Q2827">
        <v>1</v>
      </c>
      <c r="R2827">
        <v>99.38</v>
      </c>
      <c r="S2827">
        <v>99.38</v>
      </c>
      <c r="T2827">
        <v>75.430000000000007</v>
      </c>
      <c r="U2827">
        <v>24.1</v>
      </c>
      <c r="V2827" t="str">
        <f>VLOOKUP(L2827,'[2]tabela de preços'!$A:$D,4,0)</f>
        <v>BRASILUX</v>
      </c>
      <c r="W2827" t="str">
        <f>VLOOKUP(L2827,'[2]tabela de preços'!$A:$F,6,0)</f>
        <v>MASSA CORRIDA / ACRÍLICA</v>
      </c>
      <c r="X2827" t="str">
        <f>VLOOKUP(L2827,'[2]tabela de preços'!$A:$G,7,0)</f>
        <v>IMOBILIÁRIO</v>
      </c>
    </row>
    <row r="2828" spans="1:24" x14ac:dyDescent="0.3">
      <c r="A2828" t="s">
        <v>2495</v>
      </c>
      <c r="C2828" t="s">
        <v>3108</v>
      </c>
      <c r="D2828" s="1">
        <v>46072</v>
      </c>
      <c r="E2828" t="s">
        <v>3109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2498</v>
      </c>
      <c r="K2828" t="s">
        <v>2499</v>
      </c>
      <c r="L2828">
        <v>21968</v>
      </c>
      <c r="M2828" t="s">
        <v>2256</v>
      </c>
      <c r="O2828" t="s">
        <v>11</v>
      </c>
      <c r="P2828">
        <v>5403</v>
      </c>
      <c r="Q2828">
        <v>1</v>
      </c>
      <c r="R2828">
        <v>19.16</v>
      </c>
      <c r="S2828">
        <v>19.16</v>
      </c>
      <c r="T2828">
        <v>12.36</v>
      </c>
      <c r="U2828">
        <v>35.49</v>
      </c>
      <c r="V2828" t="str">
        <f>VLOOKUP(L2828,'[2]tabela de preços'!$A:$D,4,0)</f>
        <v>SHERWIN WILLIAMS</v>
      </c>
      <c r="W2828" t="str">
        <f>VLOOKUP(L2828,'[2]tabela de preços'!$A:$F,6,0)</f>
        <v xml:space="preserve">SPRAYS </v>
      </c>
      <c r="X2828" t="str">
        <f>VLOOKUP(L2828,'[2]tabela de preços'!$A:$G,7,0)</f>
        <v>AUTOMOTIVO</v>
      </c>
    </row>
    <row r="2829" spans="1:24" x14ac:dyDescent="0.3">
      <c r="A2829" t="s">
        <v>2610</v>
      </c>
      <c r="C2829" t="s">
        <v>2611</v>
      </c>
      <c r="D2829" s="1">
        <v>46057</v>
      </c>
      <c r="E2829" t="s">
        <v>2612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372</v>
      </c>
      <c r="K2829" t="s">
        <v>2613</v>
      </c>
      <c r="L2829">
        <v>84384</v>
      </c>
      <c r="M2829" t="s">
        <v>1529</v>
      </c>
      <c r="O2829" t="s">
        <v>11</v>
      </c>
      <c r="P2829">
        <v>5403</v>
      </c>
      <c r="Q2829">
        <v>6</v>
      </c>
      <c r="R2829">
        <v>159.9</v>
      </c>
      <c r="S2829">
        <v>959.4</v>
      </c>
      <c r="T2829">
        <v>825.66</v>
      </c>
      <c r="U2829">
        <v>13.94</v>
      </c>
      <c r="V2829" t="str">
        <f>VLOOKUP(L2829,'[2]tabela de preços'!$A:$D,4,0)</f>
        <v>BRASILUX</v>
      </c>
      <c r="W2829" t="str">
        <f>VLOOKUP(L2829,'[2]tabela de preços'!$A:$F,6,0)</f>
        <v>TINTA PARA PISO</v>
      </c>
      <c r="X2829" t="str">
        <f>VLOOKUP(L2829,'[2]tabela de preços'!$A:$G,7,0)</f>
        <v>IMOBILIÁRIO</v>
      </c>
    </row>
    <row r="2830" spans="1:24" x14ac:dyDescent="0.3">
      <c r="A2830" t="s">
        <v>2610</v>
      </c>
      <c r="C2830" t="s">
        <v>2768</v>
      </c>
      <c r="D2830" s="1">
        <v>46059</v>
      </c>
      <c r="E2830" t="s">
        <v>2769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372</v>
      </c>
      <c r="K2830" t="s">
        <v>2613</v>
      </c>
      <c r="L2830">
        <v>84382</v>
      </c>
      <c r="M2830" t="s">
        <v>835</v>
      </c>
      <c r="O2830" t="s">
        <v>11</v>
      </c>
      <c r="P2830">
        <v>5403</v>
      </c>
      <c r="Q2830">
        <v>5</v>
      </c>
      <c r="R2830">
        <v>159.9</v>
      </c>
      <c r="S2830">
        <v>799.5</v>
      </c>
      <c r="T2830">
        <v>688.05</v>
      </c>
      <c r="U2830">
        <v>13.94</v>
      </c>
      <c r="V2830" t="str">
        <f>VLOOKUP(L2830,'[2]tabela de preços'!$A:$D,4,0)</f>
        <v>BRASILUX</v>
      </c>
      <c r="W2830" t="str">
        <f>VLOOKUP(L2830,'[2]tabela de preços'!$A:$F,6,0)</f>
        <v>TINTA PARA PISO</v>
      </c>
      <c r="X2830" t="str">
        <f>VLOOKUP(L2830,'[2]tabela de preços'!$A:$G,7,0)</f>
        <v>IMOBILIÁRIO</v>
      </c>
    </row>
    <row r="2831" spans="1:24" x14ac:dyDescent="0.3">
      <c r="A2831" t="s">
        <v>2610</v>
      </c>
      <c r="C2831" t="s">
        <v>2768</v>
      </c>
      <c r="D2831" s="1">
        <v>46059</v>
      </c>
      <c r="E2831" t="s">
        <v>2769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372</v>
      </c>
      <c r="K2831" t="s">
        <v>2613</v>
      </c>
      <c r="L2831">
        <v>84824</v>
      </c>
      <c r="M2831" t="s">
        <v>1242</v>
      </c>
      <c r="O2831" t="s">
        <v>11</v>
      </c>
      <c r="P2831">
        <v>5102</v>
      </c>
      <c r="Q2831">
        <v>3</v>
      </c>
      <c r="R2831">
        <v>335.76</v>
      </c>
      <c r="S2831" s="2">
        <v>1007.28</v>
      </c>
      <c r="T2831">
        <v>738.48</v>
      </c>
      <c r="U2831">
        <v>26.69</v>
      </c>
      <c r="V2831" t="str">
        <f>VLOOKUP(L2831,'[2]tabela de preços'!$A:$D,4,0)</f>
        <v>BRASILUX</v>
      </c>
      <c r="W2831" t="str">
        <f>VLOOKUP(L2831,'[2]tabela de preços'!$A:$F,6,0)</f>
        <v>DILUENTE</v>
      </c>
      <c r="X2831" t="str">
        <f>VLOOKUP(L2831,'[2]tabela de preços'!$A:$G,7,0)</f>
        <v>AUTOMOTIVO</v>
      </c>
    </row>
    <row r="2832" spans="1:24" x14ac:dyDescent="0.3">
      <c r="A2832" t="s">
        <v>2610</v>
      </c>
      <c r="C2832" t="s">
        <v>2768</v>
      </c>
      <c r="D2832" s="1">
        <v>46059</v>
      </c>
      <c r="E2832" t="s">
        <v>2769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372</v>
      </c>
      <c r="K2832" t="s">
        <v>2613</v>
      </c>
      <c r="L2832">
        <v>84928</v>
      </c>
      <c r="M2832" t="s">
        <v>36</v>
      </c>
      <c r="O2832" t="s">
        <v>11</v>
      </c>
      <c r="P2832">
        <v>5102</v>
      </c>
      <c r="Q2832">
        <v>35</v>
      </c>
      <c r="R2832">
        <v>9.7200000000000006</v>
      </c>
      <c r="S2832">
        <v>340.2</v>
      </c>
      <c r="T2832">
        <v>249.55</v>
      </c>
      <c r="U2832">
        <v>26.65</v>
      </c>
      <c r="V2832" t="str">
        <f>VLOOKUP(L2832,'[2]tabela de preços'!$A:$D,4,0)</f>
        <v>ADERE</v>
      </c>
      <c r="W2832" t="str">
        <f>VLOOKUP(L2832,'[2]tabela de preços'!$A:$F,6,0)</f>
        <v xml:space="preserve">FITA DE USO GERAL </v>
      </c>
      <c r="X2832" t="str">
        <f>VLOOKUP(L2832,'[2]tabela de preços'!$A:$G,7,0)</f>
        <v>IMOBILIÁRIO</v>
      </c>
    </row>
    <row r="2833" spans="1:24" x14ac:dyDescent="0.3">
      <c r="A2833" t="s">
        <v>2610</v>
      </c>
      <c r="C2833" t="s">
        <v>2768</v>
      </c>
      <c r="D2833" s="1">
        <v>46059</v>
      </c>
      <c r="E2833" t="s">
        <v>2769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21</v>
      </c>
      <c r="J2833" t="s">
        <v>372</v>
      </c>
      <c r="K2833" t="s">
        <v>2613</v>
      </c>
      <c r="L2833">
        <v>23878</v>
      </c>
      <c r="M2833" t="s">
        <v>851</v>
      </c>
      <c r="O2833" t="s">
        <v>11</v>
      </c>
      <c r="P2833">
        <v>5102</v>
      </c>
      <c r="Q2833">
        <v>23</v>
      </c>
      <c r="R2833">
        <v>8.6999999999999993</v>
      </c>
      <c r="S2833">
        <v>200.1</v>
      </c>
      <c r="T2833">
        <v>134.32</v>
      </c>
      <c r="U2833">
        <v>32.869999999999997</v>
      </c>
      <c r="V2833" t="str">
        <f>VLOOKUP(L2833,'[2]tabela de preços'!$A:$D,4,0)</f>
        <v>ATLAS</v>
      </c>
      <c r="W2833" t="str">
        <f>VLOOKUP(L2833,'[2]tabela de preços'!$A:$F,6,0)</f>
        <v>ROLOS / TRINCHAS / PINCÉIS / ESPÁTULAS</v>
      </c>
      <c r="X2833" t="str">
        <f>VLOOKUP(L2833,'[2]tabela de preços'!$A:$G,7,0)</f>
        <v>IMOBILIÁRIO</v>
      </c>
    </row>
    <row r="2834" spans="1:24" x14ac:dyDescent="0.3">
      <c r="A2834" t="s">
        <v>2610</v>
      </c>
      <c r="C2834" t="s">
        <v>2768</v>
      </c>
      <c r="D2834" s="1">
        <v>46059</v>
      </c>
      <c r="E2834" t="s">
        <v>2769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21</v>
      </c>
      <c r="J2834" t="s">
        <v>372</v>
      </c>
      <c r="K2834" t="s">
        <v>2613</v>
      </c>
      <c r="L2834">
        <v>84785</v>
      </c>
      <c r="M2834" t="s">
        <v>944</v>
      </c>
      <c r="O2834" t="s">
        <v>11</v>
      </c>
      <c r="P2834">
        <v>5403</v>
      </c>
      <c r="Q2834">
        <v>24</v>
      </c>
      <c r="R2834">
        <v>178.31</v>
      </c>
      <c r="S2834" s="2">
        <v>4279.4399999999996</v>
      </c>
      <c r="T2834" s="2">
        <v>3137.28</v>
      </c>
      <c r="U2834">
        <v>26.69</v>
      </c>
      <c r="V2834" t="str">
        <f>VLOOKUP(L2834,'[2]tabela de preços'!$A:$D,4,0)</f>
        <v>BRASILUX</v>
      </c>
      <c r="W2834" t="str">
        <f>VLOOKUP(L2834,'[2]tabela de preços'!$A:$F,6,0)</f>
        <v>EPOXI</v>
      </c>
      <c r="X2834" t="str">
        <f>VLOOKUP(L2834,'[2]tabela de preços'!$A:$G,7,0)</f>
        <v>INDUSTRIAL</v>
      </c>
    </row>
    <row r="2835" spans="1:24" x14ac:dyDescent="0.3">
      <c r="A2835" t="s">
        <v>2610</v>
      </c>
      <c r="C2835" t="s">
        <v>2768</v>
      </c>
      <c r="D2835" s="1">
        <v>46059</v>
      </c>
      <c r="E2835" t="s">
        <v>2769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372</v>
      </c>
      <c r="K2835" t="s">
        <v>2613</v>
      </c>
      <c r="L2835">
        <v>84423</v>
      </c>
      <c r="M2835" t="s">
        <v>1198</v>
      </c>
      <c r="O2835" t="s">
        <v>11</v>
      </c>
      <c r="P2835">
        <v>5102</v>
      </c>
      <c r="Q2835">
        <v>10</v>
      </c>
      <c r="R2835">
        <v>18.440000000000001</v>
      </c>
      <c r="S2835">
        <v>184.4</v>
      </c>
      <c r="T2835">
        <v>135.19999999999999</v>
      </c>
      <c r="U2835">
        <v>26.68</v>
      </c>
      <c r="V2835" t="str">
        <f>VLOOKUP(L2835,'[2]tabela de preços'!$A:$D,4,0)</f>
        <v>ATLAS</v>
      </c>
      <c r="W2835" t="str">
        <f>VLOOKUP(L2835,'[2]tabela de preços'!$A:$F,6,0)</f>
        <v>ROLOS / TRINCHAS / PINCÉIS / ESPÁTULAS</v>
      </c>
      <c r="X2835" t="str">
        <f>VLOOKUP(L2835,'[2]tabela de preços'!$A:$G,7,0)</f>
        <v>IMOBILIÁRIO</v>
      </c>
    </row>
    <row r="2836" spans="1:24" x14ac:dyDescent="0.3">
      <c r="A2836" t="s">
        <v>2610</v>
      </c>
      <c r="C2836" t="s">
        <v>2768</v>
      </c>
      <c r="D2836" s="1">
        <v>46059</v>
      </c>
      <c r="E2836" t="s">
        <v>2769</v>
      </c>
      <c r="F2836">
        <v>9</v>
      </c>
      <c r="G2836">
        <v>174</v>
      </c>
      <c r="H2836" t="str">
        <f>VLOOKUP(G2836,[1]OPERADORES!$A:$B,2,0)</f>
        <v>MIRIÃ LOBATO RODRIGUES</v>
      </c>
      <c r="I2836" t="s">
        <v>21</v>
      </c>
      <c r="J2836" t="s">
        <v>372</v>
      </c>
      <c r="K2836" t="s">
        <v>2613</v>
      </c>
      <c r="L2836">
        <v>84422</v>
      </c>
      <c r="M2836" t="s">
        <v>569</v>
      </c>
      <c r="O2836" t="s">
        <v>11</v>
      </c>
      <c r="P2836">
        <v>5102</v>
      </c>
      <c r="Q2836">
        <v>4</v>
      </c>
      <c r="R2836">
        <v>9.65</v>
      </c>
      <c r="S2836">
        <v>38.6</v>
      </c>
      <c r="T2836">
        <v>28.32</v>
      </c>
      <c r="U2836">
        <v>26.63</v>
      </c>
      <c r="V2836" t="str">
        <f>VLOOKUP(L2836,'[2]tabela de preços'!$A:$D,4,0)</f>
        <v>ATLAS</v>
      </c>
      <c r="W2836" t="str">
        <f>VLOOKUP(L2836,'[2]tabela de preços'!$A:$F,6,0)</f>
        <v>ROLOS / TRINCHAS / PINCÉIS / ESPÁTULAS</v>
      </c>
      <c r="X2836" t="str">
        <f>VLOOKUP(L2836,'[2]tabela de preços'!$A:$G,7,0)</f>
        <v>IMOBILIÁRIO</v>
      </c>
    </row>
    <row r="2837" spans="1:24" x14ac:dyDescent="0.3">
      <c r="A2837" t="s">
        <v>2610</v>
      </c>
      <c r="C2837" t="s">
        <v>2768</v>
      </c>
      <c r="D2837" s="1">
        <v>46059</v>
      </c>
      <c r="E2837" t="s">
        <v>2769</v>
      </c>
      <c r="F2837">
        <v>9</v>
      </c>
      <c r="G2837">
        <v>174</v>
      </c>
      <c r="H2837" t="str">
        <f>VLOOKUP(G2837,[1]OPERADORES!$A:$B,2,0)</f>
        <v>MIRIÃ LOBATO RODRIGUES</v>
      </c>
      <c r="I2837" t="s">
        <v>21</v>
      </c>
      <c r="J2837" t="s">
        <v>372</v>
      </c>
      <c r="K2837" t="s">
        <v>2613</v>
      </c>
      <c r="L2837">
        <v>84897</v>
      </c>
      <c r="M2837" t="s">
        <v>852</v>
      </c>
      <c r="O2837" t="s">
        <v>11</v>
      </c>
      <c r="P2837">
        <v>5403</v>
      </c>
      <c r="Q2837">
        <v>6</v>
      </c>
      <c r="R2837">
        <v>239.02</v>
      </c>
      <c r="S2837" s="2">
        <v>1434.12</v>
      </c>
      <c r="T2837" s="2">
        <v>1051.3800000000001</v>
      </c>
      <c r="U2837">
        <v>26.69</v>
      </c>
      <c r="V2837" t="str">
        <f>VLOOKUP(L2837,'[2]tabela de preços'!$A:$D,4,0)</f>
        <v>BRASILUX</v>
      </c>
      <c r="W2837" t="str">
        <f>VLOOKUP(L2837,'[2]tabela de preços'!$A:$F,6,0)</f>
        <v>EPOXI</v>
      </c>
      <c r="X2837" t="str">
        <f>VLOOKUP(L2837,'[2]tabela de preços'!$A:$G,7,0)</f>
        <v>INDUSTRIAL</v>
      </c>
    </row>
    <row r="2838" spans="1:24" x14ac:dyDescent="0.3">
      <c r="A2838" t="s">
        <v>2610</v>
      </c>
      <c r="C2838" t="s">
        <v>2768</v>
      </c>
      <c r="D2838" s="1">
        <v>46059</v>
      </c>
      <c r="E2838" t="s">
        <v>2769</v>
      </c>
      <c r="F2838">
        <v>9</v>
      </c>
      <c r="G2838">
        <v>174</v>
      </c>
      <c r="H2838" t="str">
        <f>VLOOKUP(G2838,[1]OPERADORES!$A:$B,2,0)</f>
        <v>MIRIÃ LOBATO RODRIGUES</v>
      </c>
      <c r="I2838" t="s">
        <v>21</v>
      </c>
      <c r="J2838" t="s">
        <v>372</v>
      </c>
      <c r="K2838" t="s">
        <v>2613</v>
      </c>
      <c r="L2838">
        <v>84898</v>
      </c>
      <c r="M2838" t="s">
        <v>853</v>
      </c>
      <c r="O2838" t="s">
        <v>11</v>
      </c>
      <c r="P2838">
        <v>5403</v>
      </c>
      <c r="Q2838">
        <v>9</v>
      </c>
      <c r="R2838">
        <v>216.41</v>
      </c>
      <c r="S2838" s="2">
        <v>1947.69</v>
      </c>
      <c r="T2838" s="2">
        <v>1157.1300000000001</v>
      </c>
      <c r="U2838">
        <v>40.590000000000003</v>
      </c>
      <c r="V2838" t="str">
        <f>VLOOKUP(L2838,'[2]tabela de preços'!$A:$D,4,0)</f>
        <v>BRASILUX</v>
      </c>
      <c r="W2838" t="str">
        <f>VLOOKUP(L2838,'[2]tabela de preços'!$A:$F,6,0)</f>
        <v>EPOXI</v>
      </c>
      <c r="X2838" t="str">
        <f>VLOOKUP(L2838,'[2]tabela de preços'!$A:$G,7,0)</f>
        <v>INDUSTRIAL</v>
      </c>
    </row>
    <row r="2839" spans="1:24" x14ac:dyDescent="0.3">
      <c r="A2839" t="s">
        <v>2610</v>
      </c>
      <c r="C2839" t="s">
        <v>2768</v>
      </c>
      <c r="D2839" s="1">
        <v>46059</v>
      </c>
      <c r="E2839" t="s">
        <v>2769</v>
      </c>
      <c r="F2839">
        <v>9</v>
      </c>
      <c r="G2839">
        <v>174</v>
      </c>
      <c r="H2839" t="str">
        <f>VLOOKUP(G2839,[1]OPERADORES!$A:$B,2,0)</f>
        <v>MIRIÃ LOBATO RODRIGUES</v>
      </c>
      <c r="I2839" t="s">
        <v>21</v>
      </c>
      <c r="J2839" t="s">
        <v>372</v>
      </c>
      <c r="K2839" t="s">
        <v>2613</v>
      </c>
      <c r="L2839">
        <v>84899</v>
      </c>
      <c r="M2839" t="s">
        <v>854</v>
      </c>
      <c r="O2839" t="s">
        <v>11</v>
      </c>
      <c r="P2839">
        <v>5403</v>
      </c>
      <c r="Q2839">
        <v>3</v>
      </c>
      <c r="R2839">
        <v>175.37</v>
      </c>
      <c r="S2839">
        <v>526.11</v>
      </c>
      <c r="T2839">
        <v>385.71</v>
      </c>
      <c r="U2839">
        <v>26.69</v>
      </c>
      <c r="V2839" t="str">
        <f>VLOOKUP(L2839,'[2]tabela de preços'!$A:$D,4,0)</f>
        <v>BRASILUX</v>
      </c>
      <c r="W2839" t="str">
        <f>VLOOKUP(L2839,'[2]tabela de preços'!$A:$F,6,0)</f>
        <v>EPOXI</v>
      </c>
      <c r="X2839" t="str">
        <f>VLOOKUP(L2839,'[2]tabela de preços'!$A:$G,7,0)</f>
        <v>INDUSTRIAL</v>
      </c>
    </row>
    <row r="2840" spans="1:24" x14ac:dyDescent="0.3">
      <c r="A2840" t="s">
        <v>2610</v>
      </c>
      <c r="C2840" t="s">
        <v>2768</v>
      </c>
      <c r="D2840" s="1">
        <v>46059</v>
      </c>
      <c r="E2840" t="s">
        <v>2769</v>
      </c>
      <c r="F2840">
        <v>9</v>
      </c>
      <c r="G2840">
        <v>174</v>
      </c>
      <c r="H2840" t="str">
        <f>VLOOKUP(G2840,[1]OPERADORES!$A:$B,2,0)</f>
        <v>MIRIÃ LOBATO RODRIGUES</v>
      </c>
      <c r="I2840" t="s">
        <v>21</v>
      </c>
      <c r="J2840" t="s">
        <v>372</v>
      </c>
      <c r="K2840" t="s">
        <v>2613</v>
      </c>
      <c r="L2840">
        <v>84900</v>
      </c>
      <c r="M2840" t="s">
        <v>1261</v>
      </c>
      <c r="O2840" t="s">
        <v>11</v>
      </c>
      <c r="P2840">
        <v>5403</v>
      </c>
      <c r="Q2840">
        <v>24</v>
      </c>
      <c r="R2840">
        <v>175.37</v>
      </c>
      <c r="S2840" s="2">
        <v>4208.88</v>
      </c>
      <c r="T2840" s="2">
        <v>3085.68</v>
      </c>
      <c r="U2840">
        <v>26.69</v>
      </c>
      <c r="V2840" t="str">
        <f>VLOOKUP(L2840,'[2]tabela de preços'!$A:$D,4,0)</f>
        <v>BRASILUX</v>
      </c>
      <c r="W2840" t="str">
        <f>VLOOKUP(L2840,'[2]tabela de preços'!$A:$F,6,0)</f>
        <v>EPOXI</v>
      </c>
      <c r="X2840" t="str">
        <f>VLOOKUP(L2840,'[2]tabela de preços'!$A:$G,7,0)</f>
        <v>INDUSTRIAL</v>
      </c>
    </row>
    <row r="2841" spans="1:24" x14ac:dyDescent="0.3">
      <c r="A2841" t="s">
        <v>2610</v>
      </c>
      <c r="C2841" t="s">
        <v>2768</v>
      </c>
      <c r="D2841" s="1">
        <v>46059</v>
      </c>
      <c r="E2841" t="s">
        <v>2769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372</v>
      </c>
      <c r="K2841" t="s">
        <v>2613</v>
      </c>
      <c r="L2841">
        <v>84901</v>
      </c>
      <c r="M2841" t="s">
        <v>2432</v>
      </c>
      <c r="O2841" t="s">
        <v>11</v>
      </c>
      <c r="P2841">
        <v>5403</v>
      </c>
      <c r="Q2841">
        <v>16</v>
      </c>
      <c r="R2841">
        <v>223.23</v>
      </c>
      <c r="S2841" s="2">
        <v>3571.68</v>
      </c>
      <c r="T2841" s="2">
        <v>2618.56</v>
      </c>
      <c r="U2841">
        <v>26.69</v>
      </c>
      <c r="V2841" t="str">
        <f>VLOOKUP(L2841,'[2]tabela de preços'!$A:$D,4,0)</f>
        <v>BRASILUX</v>
      </c>
      <c r="W2841" t="str">
        <f>VLOOKUP(L2841,'[2]tabela de preços'!$A:$F,6,0)</f>
        <v>EPOXI</v>
      </c>
      <c r="X2841" t="str">
        <f>VLOOKUP(L2841,'[2]tabela de preços'!$A:$G,7,0)</f>
        <v>INDUSTRIAL</v>
      </c>
    </row>
    <row r="2842" spans="1:24" x14ac:dyDescent="0.3">
      <c r="A2842" t="s">
        <v>2610</v>
      </c>
      <c r="C2842" t="s">
        <v>2770</v>
      </c>
      <c r="D2842" s="1">
        <v>46059</v>
      </c>
      <c r="E2842" t="s">
        <v>2771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372</v>
      </c>
      <c r="K2842" t="s">
        <v>2613</v>
      </c>
      <c r="L2842">
        <v>84382</v>
      </c>
      <c r="M2842" t="s">
        <v>835</v>
      </c>
      <c r="O2842" t="s">
        <v>11</v>
      </c>
      <c r="P2842">
        <v>5403</v>
      </c>
      <c r="Q2842">
        <v>5</v>
      </c>
      <c r="R2842">
        <v>159.9</v>
      </c>
      <c r="S2842">
        <v>799.5</v>
      </c>
      <c r="T2842">
        <v>688.05</v>
      </c>
      <c r="U2842">
        <v>13.94</v>
      </c>
      <c r="V2842" t="str">
        <f>VLOOKUP(L2842,'[2]tabela de preços'!$A:$D,4,0)</f>
        <v>BRASILUX</v>
      </c>
      <c r="W2842" t="str">
        <f>VLOOKUP(L2842,'[2]tabela de preços'!$A:$F,6,0)</f>
        <v>TINTA PARA PISO</v>
      </c>
      <c r="X2842" t="str">
        <f>VLOOKUP(L2842,'[2]tabela de preços'!$A:$G,7,0)</f>
        <v>IMOBILIÁRIO</v>
      </c>
    </row>
    <row r="2843" spans="1:24" x14ac:dyDescent="0.3">
      <c r="A2843" t="s">
        <v>2610</v>
      </c>
      <c r="C2843" t="s">
        <v>2770</v>
      </c>
      <c r="D2843" s="1">
        <v>46059</v>
      </c>
      <c r="E2843" t="s">
        <v>2771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372</v>
      </c>
      <c r="K2843" t="s">
        <v>2613</v>
      </c>
      <c r="L2843">
        <v>84824</v>
      </c>
      <c r="M2843" t="s">
        <v>1242</v>
      </c>
      <c r="O2843" t="s">
        <v>11</v>
      </c>
      <c r="P2843">
        <v>5102</v>
      </c>
      <c r="Q2843">
        <v>3</v>
      </c>
      <c r="R2843">
        <v>335.76</v>
      </c>
      <c r="S2843" s="2">
        <v>1007.28</v>
      </c>
      <c r="T2843">
        <v>738.48</v>
      </c>
      <c r="U2843">
        <v>26.69</v>
      </c>
      <c r="V2843" t="str">
        <f>VLOOKUP(L2843,'[2]tabela de preços'!$A:$D,4,0)</f>
        <v>BRASILUX</v>
      </c>
      <c r="W2843" t="str">
        <f>VLOOKUP(L2843,'[2]tabela de preços'!$A:$F,6,0)</f>
        <v>DILUENTE</v>
      </c>
      <c r="X2843" t="str">
        <f>VLOOKUP(L2843,'[2]tabela de preços'!$A:$G,7,0)</f>
        <v>AUTOMOTIVO</v>
      </c>
    </row>
    <row r="2844" spans="1:24" x14ac:dyDescent="0.3">
      <c r="A2844" t="s">
        <v>2610</v>
      </c>
      <c r="C2844" t="s">
        <v>2770</v>
      </c>
      <c r="D2844" s="1">
        <v>46059</v>
      </c>
      <c r="E2844" t="s">
        <v>2771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372</v>
      </c>
      <c r="K2844" t="s">
        <v>2613</v>
      </c>
      <c r="L2844">
        <v>84928</v>
      </c>
      <c r="M2844" t="s">
        <v>36</v>
      </c>
      <c r="O2844" t="s">
        <v>11</v>
      </c>
      <c r="P2844">
        <v>5102</v>
      </c>
      <c r="Q2844">
        <v>35</v>
      </c>
      <c r="R2844">
        <v>9.7200000000000006</v>
      </c>
      <c r="S2844">
        <v>340.2</v>
      </c>
      <c r="T2844">
        <v>249.55</v>
      </c>
      <c r="U2844">
        <v>26.65</v>
      </c>
      <c r="V2844" t="str">
        <f>VLOOKUP(L2844,'[2]tabela de preços'!$A:$D,4,0)</f>
        <v>ADERE</v>
      </c>
      <c r="W2844" t="str">
        <f>VLOOKUP(L2844,'[2]tabela de preços'!$A:$F,6,0)</f>
        <v xml:space="preserve">FITA DE USO GERAL </v>
      </c>
      <c r="X2844" t="str">
        <f>VLOOKUP(L2844,'[2]tabela de preços'!$A:$G,7,0)</f>
        <v>IMOBILIÁRIO</v>
      </c>
    </row>
    <row r="2845" spans="1:24" x14ac:dyDescent="0.3">
      <c r="A2845" t="s">
        <v>2610</v>
      </c>
      <c r="C2845" t="s">
        <v>2770</v>
      </c>
      <c r="D2845" s="1">
        <v>46059</v>
      </c>
      <c r="E2845" t="s">
        <v>2771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372</v>
      </c>
      <c r="K2845" t="s">
        <v>2613</v>
      </c>
      <c r="L2845">
        <v>23878</v>
      </c>
      <c r="M2845" t="s">
        <v>851</v>
      </c>
      <c r="O2845" t="s">
        <v>11</v>
      </c>
      <c r="P2845">
        <v>5102</v>
      </c>
      <c r="Q2845">
        <v>23</v>
      </c>
      <c r="R2845">
        <v>8.6999999999999993</v>
      </c>
      <c r="S2845">
        <v>200.1</v>
      </c>
      <c r="T2845">
        <v>134.32</v>
      </c>
      <c r="U2845">
        <v>32.869999999999997</v>
      </c>
      <c r="V2845" t="str">
        <f>VLOOKUP(L2845,'[2]tabela de preços'!$A:$D,4,0)</f>
        <v>ATLAS</v>
      </c>
      <c r="W2845" t="str">
        <f>VLOOKUP(L2845,'[2]tabela de preços'!$A:$F,6,0)</f>
        <v>ROLOS / TRINCHAS / PINCÉIS / ESPÁTULAS</v>
      </c>
      <c r="X2845" t="str">
        <f>VLOOKUP(L2845,'[2]tabela de preços'!$A:$G,7,0)</f>
        <v>IMOBILIÁRIO</v>
      </c>
    </row>
    <row r="2846" spans="1:24" x14ac:dyDescent="0.3">
      <c r="A2846" t="s">
        <v>2610</v>
      </c>
      <c r="C2846" t="s">
        <v>2770</v>
      </c>
      <c r="D2846" s="1">
        <v>46059</v>
      </c>
      <c r="E2846" t="s">
        <v>2771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372</v>
      </c>
      <c r="K2846" t="s">
        <v>2613</v>
      </c>
      <c r="L2846">
        <v>84785</v>
      </c>
      <c r="M2846" t="s">
        <v>944</v>
      </c>
      <c r="O2846" t="s">
        <v>11</v>
      </c>
      <c r="P2846">
        <v>5403</v>
      </c>
      <c r="Q2846">
        <v>24</v>
      </c>
      <c r="R2846">
        <v>178.31</v>
      </c>
      <c r="S2846" s="2">
        <v>4279.4399999999996</v>
      </c>
      <c r="T2846" s="2">
        <v>3137.28</v>
      </c>
      <c r="U2846">
        <v>26.69</v>
      </c>
      <c r="V2846" t="str">
        <f>VLOOKUP(L2846,'[2]tabela de preços'!$A:$D,4,0)</f>
        <v>BRASILUX</v>
      </c>
      <c r="W2846" t="str">
        <f>VLOOKUP(L2846,'[2]tabela de preços'!$A:$F,6,0)</f>
        <v>EPOXI</v>
      </c>
      <c r="X2846" t="str">
        <f>VLOOKUP(L2846,'[2]tabela de preços'!$A:$G,7,0)</f>
        <v>INDUSTRIAL</v>
      </c>
    </row>
    <row r="2847" spans="1:24" x14ac:dyDescent="0.3">
      <c r="A2847" t="s">
        <v>2610</v>
      </c>
      <c r="C2847" t="s">
        <v>2770</v>
      </c>
      <c r="D2847" s="1">
        <v>46059</v>
      </c>
      <c r="E2847" t="s">
        <v>2771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372</v>
      </c>
      <c r="K2847" t="s">
        <v>2613</v>
      </c>
      <c r="L2847">
        <v>84423</v>
      </c>
      <c r="M2847" t="s">
        <v>1198</v>
      </c>
      <c r="O2847" t="s">
        <v>11</v>
      </c>
      <c r="P2847">
        <v>5102</v>
      </c>
      <c r="Q2847">
        <v>10</v>
      </c>
      <c r="R2847">
        <v>18.440000000000001</v>
      </c>
      <c r="S2847">
        <v>184.4</v>
      </c>
      <c r="T2847">
        <v>135.19999999999999</v>
      </c>
      <c r="U2847">
        <v>26.68</v>
      </c>
      <c r="V2847" t="str">
        <f>VLOOKUP(L2847,'[2]tabela de preços'!$A:$D,4,0)</f>
        <v>ATLAS</v>
      </c>
      <c r="W2847" t="str">
        <f>VLOOKUP(L2847,'[2]tabela de preços'!$A:$F,6,0)</f>
        <v>ROLOS / TRINCHAS / PINCÉIS / ESPÁTULAS</v>
      </c>
      <c r="X2847" t="str">
        <f>VLOOKUP(L2847,'[2]tabela de preços'!$A:$G,7,0)</f>
        <v>IMOBILIÁRIO</v>
      </c>
    </row>
    <row r="2848" spans="1:24" x14ac:dyDescent="0.3">
      <c r="A2848" t="s">
        <v>2610</v>
      </c>
      <c r="C2848" t="s">
        <v>2770</v>
      </c>
      <c r="D2848" s="1">
        <v>46059</v>
      </c>
      <c r="E2848" t="s">
        <v>2771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372</v>
      </c>
      <c r="K2848" t="s">
        <v>2613</v>
      </c>
      <c r="L2848">
        <v>84422</v>
      </c>
      <c r="M2848" t="s">
        <v>569</v>
      </c>
      <c r="O2848" t="s">
        <v>11</v>
      </c>
      <c r="P2848">
        <v>5102</v>
      </c>
      <c r="Q2848">
        <v>4</v>
      </c>
      <c r="R2848">
        <v>9.65</v>
      </c>
      <c r="S2848">
        <v>38.6</v>
      </c>
      <c r="T2848">
        <v>28.32</v>
      </c>
      <c r="U2848">
        <v>26.63</v>
      </c>
      <c r="V2848" t="str">
        <f>VLOOKUP(L2848,'[2]tabela de preços'!$A:$D,4,0)</f>
        <v>ATLAS</v>
      </c>
      <c r="W2848" t="str">
        <f>VLOOKUP(L2848,'[2]tabela de preços'!$A:$F,6,0)</f>
        <v>ROLOS / TRINCHAS / PINCÉIS / ESPÁTULAS</v>
      </c>
      <c r="X2848" t="str">
        <f>VLOOKUP(L2848,'[2]tabela de preços'!$A:$G,7,0)</f>
        <v>IMOBILIÁRIO</v>
      </c>
    </row>
    <row r="2849" spans="1:24" x14ac:dyDescent="0.3">
      <c r="A2849" t="s">
        <v>2610</v>
      </c>
      <c r="C2849" t="s">
        <v>2770</v>
      </c>
      <c r="D2849" s="1">
        <v>46059</v>
      </c>
      <c r="E2849" t="s">
        <v>2771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372</v>
      </c>
      <c r="K2849" t="s">
        <v>2613</v>
      </c>
      <c r="L2849">
        <v>84897</v>
      </c>
      <c r="M2849" t="s">
        <v>852</v>
      </c>
      <c r="O2849" t="s">
        <v>11</v>
      </c>
      <c r="P2849">
        <v>5403</v>
      </c>
      <c r="Q2849">
        <v>6</v>
      </c>
      <c r="R2849">
        <v>239.02</v>
      </c>
      <c r="S2849" s="2">
        <v>1434.12</v>
      </c>
      <c r="T2849" s="2">
        <v>1051.3800000000001</v>
      </c>
      <c r="U2849">
        <v>26.69</v>
      </c>
      <c r="V2849" t="str">
        <f>VLOOKUP(L2849,'[2]tabela de preços'!$A:$D,4,0)</f>
        <v>BRASILUX</v>
      </c>
      <c r="W2849" t="str">
        <f>VLOOKUP(L2849,'[2]tabela de preços'!$A:$F,6,0)</f>
        <v>EPOXI</v>
      </c>
      <c r="X2849" t="str">
        <f>VLOOKUP(L2849,'[2]tabela de preços'!$A:$G,7,0)</f>
        <v>INDUSTRIAL</v>
      </c>
    </row>
    <row r="2850" spans="1:24" x14ac:dyDescent="0.3">
      <c r="A2850" t="s">
        <v>2610</v>
      </c>
      <c r="C2850" t="s">
        <v>2770</v>
      </c>
      <c r="D2850" s="1">
        <v>46059</v>
      </c>
      <c r="E2850" t="s">
        <v>2771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372</v>
      </c>
      <c r="K2850" t="s">
        <v>2613</v>
      </c>
      <c r="L2850">
        <v>84898</v>
      </c>
      <c r="M2850" t="s">
        <v>853</v>
      </c>
      <c r="O2850" t="s">
        <v>11</v>
      </c>
      <c r="P2850">
        <v>5403</v>
      </c>
      <c r="Q2850">
        <v>9</v>
      </c>
      <c r="R2850">
        <v>216.41</v>
      </c>
      <c r="S2850" s="2">
        <v>1947.69</v>
      </c>
      <c r="T2850" s="2">
        <v>1157.1300000000001</v>
      </c>
      <c r="U2850">
        <v>40.590000000000003</v>
      </c>
      <c r="V2850" t="str">
        <f>VLOOKUP(L2850,'[2]tabela de preços'!$A:$D,4,0)</f>
        <v>BRASILUX</v>
      </c>
      <c r="W2850" t="str">
        <f>VLOOKUP(L2850,'[2]tabela de preços'!$A:$F,6,0)</f>
        <v>EPOXI</v>
      </c>
      <c r="X2850" t="str">
        <f>VLOOKUP(L2850,'[2]tabela de preços'!$A:$G,7,0)</f>
        <v>INDUSTRIAL</v>
      </c>
    </row>
    <row r="2851" spans="1:24" x14ac:dyDescent="0.3">
      <c r="A2851" t="s">
        <v>2610</v>
      </c>
      <c r="C2851" t="s">
        <v>2770</v>
      </c>
      <c r="D2851" s="1">
        <v>46059</v>
      </c>
      <c r="E2851" t="s">
        <v>2771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372</v>
      </c>
      <c r="K2851" t="s">
        <v>2613</v>
      </c>
      <c r="L2851">
        <v>84899</v>
      </c>
      <c r="M2851" t="s">
        <v>854</v>
      </c>
      <c r="O2851" t="s">
        <v>11</v>
      </c>
      <c r="P2851">
        <v>5403</v>
      </c>
      <c r="Q2851">
        <v>3</v>
      </c>
      <c r="R2851">
        <v>175.37</v>
      </c>
      <c r="S2851">
        <v>526.11</v>
      </c>
      <c r="T2851">
        <v>385.71</v>
      </c>
      <c r="U2851">
        <v>26.69</v>
      </c>
      <c r="V2851" t="str">
        <f>VLOOKUP(L2851,'[2]tabela de preços'!$A:$D,4,0)</f>
        <v>BRASILUX</v>
      </c>
      <c r="W2851" t="str">
        <f>VLOOKUP(L2851,'[2]tabela de preços'!$A:$F,6,0)</f>
        <v>EPOXI</v>
      </c>
      <c r="X2851" t="str">
        <f>VLOOKUP(L2851,'[2]tabela de preços'!$A:$G,7,0)</f>
        <v>INDUSTRIAL</v>
      </c>
    </row>
    <row r="2852" spans="1:24" x14ac:dyDescent="0.3">
      <c r="A2852" t="s">
        <v>2610</v>
      </c>
      <c r="C2852" t="s">
        <v>2770</v>
      </c>
      <c r="D2852" s="1">
        <v>46059</v>
      </c>
      <c r="E2852" t="s">
        <v>2771</v>
      </c>
      <c r="F2852">
        <v>9</v>
      </c>
      <c r="G2852">
        <v>174</v>
      </c>
      <c r="H2852" t="str">
        <f>VLOOKUP(G2852,[1]OPERADORES!$A:$B,2,0)</f>
        <v>MIRIÃ LOBATO RODRIGUES</v>
      </c>
      <c r="I2852" t="s">
        <v>21</v>
      </c>
      <c r="J2852" t="s">
        <v>372</v>
      </c>
      <c r="K2852" t="s">
        <v>2613</v>
      </c>
      <c r="L2852">
        <v>84900</v>
      </c>
      <c r="M2852" t="s">
        <v>1261</v>
      </c>
      <c r="O2852" t="s">
        <v>11</v>
      </c>
      <c r="P2852">
        <v>5403</v>
      </c>
      <c r="Q2852">
        <v>24</v>
      </c>
      <c r="R2852">
        <v>175.37</v>
      </c>
      <c r="S2852" s="2">
        <v>4208.88</v>
      </c>
      <c r="T2852" s="2">
        <v>3085.68</v>
      </c>
      <c r="U2852">
        <v>26.69</v>
      </c>
      <c r="V2852" t="str">
        <f>VLOOKUP(L2852,'[2]tabela de preços'!$A:$D,4,0)</f>
        <v>BRASILUX</v>
      </c>
      <c r="W2852" t="str">
        <f>VLOOKUP(L2852,'[2]tabela de preços'!$A:$F,6,0)</f>
        <v>EPOXI</v>
      </c>
      <c r="X2852" t="str">
        <f>VLOOKUP(L2852,'[2]tabela de preços'!$A:$G,7,0)</f>
        <v>INDUSTRIAL</v>
      </c>
    </row>
    <row r="2853" spans="1:24" x14ac:dyDescent="0.3">
      <c r="A2853" t="s">
        <v>2610</v>
      </c>
      <c r="C2853" t="s">
        <v>2770</v>
      </c>
      <c r="D2853" s="1">
        <v>46059</v>
      </c>
      <c r="E2853" t="s">
        <v>2771</v>
      </c>
      <c r="F2853">
        <v>9</v>
      </c>
      <c r="G2853">
        <v>174</v>
      </c>
      <c r="H2853" t="str">
        <f>VLOOKUP(G2853,[1]OPERADORES!$A:$B,2,0)</f>
        <v>MIRIÃ LOBATO RODRIGUES</v>
      </c>
      <c r="I2853" t="s">
        <v>21</v>
      </c>
      <c r="J2853" t="s">
        <v>372</v>
      </c>
      <c r="K2853" t="s">
        <v>2613</v>
      </c>
      <c r="L2853">
        <v>84901</v>
      </c>
      <c r="M2853" t="s">
        <v>2432</v>
      </c>
      <c r="O2853" t="s">
        <v>11</v>
      </c>
      <c r="P2853">
        <v>5403</v>
      </c>
      <c r="Q2853">
        <v>16</v>
      </c>
      <c r="R2853">
        <v>223.23</v>
      </c>
      <c r="S2853" s="2">
        <v>3571.68</v>
      </c>
      <c r="T2853" s="2">
        <v>2618.56</v>
      </c>
      <c r="U2853">
        <v>26.69</v>
      </c>
      <c r="V2853" t="str">
        <f>VLOOKUP(L2853,'[2]tabela de preços'!$A:$D,4,0)</f>
        <v>BRASILUX</v>
      </c>
      <c r="W2853" t="str">
        <f>VLOOKUP(L2853,'[2]tabela de preços'!$A:$F,6,0)</f>
        <v>EPOXI</v>
      </c>
      <c r="X2853" t="str">
        <f>VLOOKUP(L2853,'[2]tabela de preços'!$A:$G,7,0)</f>
        <v>INDUSTRIAL</v>
      </c>
    </row>
    <row r="2854" spans="1:24" x14ac:dyDescent="0.3">
      <c r="A2854" t="s">
        <v>2610</v>
      </c>
      <c r="C2854" t="s">
        <v>2772</v>
      </c>
      <c r="D2854" s="1">
        <v>46059</v>
      </c>
      <c r="E2854" t="s">
        <v>2773</v>
      </c>
      <c r="F2854">
        <v>9</v>
      </c>
      <c r="G2854">
        <v>174</v>
      </c>
      <c r="H2854" t="str">
        <f>VLOOKUP(G2854,[1]OPERADORES!$A:$B,2,0)</f>
        <v>MIRIÃ LOBATO RODRIGUES</v>
      </c>
      <c r="I2854" t="s">
        <v>21</v>
      </c>
      <c r="J2854" t="s">
        <v>372</v>
      </c>
      <c r="K2854" t="s">
        <v>2613</v>
      </c>
      <c r="L2854">
        <v>84382</v>
      </c>
      <c r="M2854" t="s">
        <v>835</v>
      </c>
      <c r="O2854" t="s">
        <v>11</v>
      </c>
      <c r="P2854">
        <v>5403</v>
      </c>
      <c r="Q2854">
        <v>5</v>
      </c>
      <c r="R2854">
        <v>159.9</v>
      </c>
      <c r="S2854">
        <v>799.5</v>
      </c>
      <c r="T2854">
        <v>688.05</v>
      </c>
      <c r="U2854">
        <v>13.94</v>
      </c>
      <c r="V2854" t="str">
        <f>VLOOKUP(L2854,'[2]tabela de preços'!$A:$D,4,0)</f>
        <v>BRASILUX</v>
      </c>
      <c r="W2854" t="str">
        <f>VLOOKUP(L2854,'[2]tabela de preços'!$A:$F,6,0)</f>
        <v>TINTA PARA PISO</v>
      </c>
      <c r="X2854" t="str">
        <f>VLOOKUP(L2854,'[2]tabela de preços'!$A:$G,7,0)</f>
        <v>IMOBILIÁRIO</v>
      </c>
    </row>
    <row r="2855" spans="1:24" x14ac:dyDescent="0.3">
      <c r="A2855" t="s">
        <v>2610</v>
      </c>
      <c r="C2855" t="s">
        <v>2772</v>
      </c>
      <c r="D2855" s="1">
        <v>46059</v>
      </c>
      <c r="E2855" t="s">
        <v>2773</v>
      </c>
      <c r="F2855">
        <v>9</v>
      </c>
      <c r="G2855">
        <v>174</v>
      </c>
      <c r="H2855" t="str">
        <f>VLOOKUP(G2855,[1]OPERADORES!$A:$B,2,0)</f>
        <v>MIRIÃ LOBATO RODRIGUES</v>
      </c>
      <c r="I2855" t="s">
        <v>21</v>
      </c>
      <c r="J2855" t="s">
        <v>372</v>
      </c>
      <c r="K2855" t="s">
        <v>2613</v>
      </c>
      <c r="L2855">
        <v>84824</v>
      </c>
      <c r="M2855" t="s">
        <v>1242</v>
      </c>
      <c r="O2855" t="s">
        <v>11</v>
      </c>
      <c r="P2855">
        <v>5102</v>
      </c>
      <c r="Q2855">
        <v>3</v>
      </c>
      <c r="R2855">
        <v>335.76</v>
      </c>
      <c r="S2855" s="2">
        <v>1007.28</v>
      </c>
      <c r="T2855">
        <v>738.48</v>
      </c>
      <c r="U2855">
        <v>26.69</v>
      </c>
      <c r="V2855" t="str">
        <f>VLOOKUP(L2855,'[2]tabela de preços'!$A:$D,4,0)</f>
        <v>BRASILUX</v>
      </c>
      <c r="W2855" t="str">
        <f>VLOOKUP(L2855,'[2]tabela de preços'!$A:$F,6,0)</f>
        <v>DILUENTE</v>
      </c>
      <c r="X2855" t="str">
        <f>VLOOKUP(L2855,'[2]tabela de preços'!$A:$G,7,0)</f>
        <v>AUTOMOTIVO</v>
      </c>
    </row>
    <row r="2856" spans="1:24" x14ac:dyDescent="0.3">
      <c r="A2856" t="s">
        <v>2610</v>
      </c>
      <c r="C2856" t="s">
        <v>2772</v>
      </c>
      <c r="D2856" s="1">
        <v>46059</v>
      </c>
      <c r="E2856" t="s">
        <v>2773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372</v>
      </c>
      <c r="K2856" t="s">
        <v>2613</v>
      </c>
      <c r="L2856">
        <v>84928</v>
      </c>
      <c r="M2856" t="s">
        <v>36</v>
      </c>
      <c r="O2856" t="s">
        <v>11</v>
      </c>
      <c r="P2856">
        <v>5102</v>
      </c>
      <c r="Q2856">
        <v>35</v>
      </c>
      <c r="R2856">
        <v>9.39</v>
      </c>
      <c r="S2856">
        <v>328.65</v>
      </c>
      <c r="T2856">
        <v>249.55</v>
      </c>
      <c r="U2856">
        <v>24.07</v>
      </c>
      <c r="V2856" t="str">
        <f>VLOOKUP(L2856,'[2]tabela de preços'!$A:$D,4,0)</f>
        <v>ADERE</v>
      </c>
      <c r="W2856" t="str">
        <f>VLOOKUP(L2856,'[2]tabela de preços'!$A:$F,6,0)</f>
        <v xml:space="preserve">FITA DE USO GERAL </v>
      </c>
      <c r="X2856" t="str">
        <f>VLOOKUP(L2856,'[2]tabela de preços'!$A:$G,7,0)</f>
        <v>IMOBILIÁRIO</v>
      </c>
    </row>
    <row r="2857" spans="1:24" x14ac:dyDescent="0.3">
      <c r="A2857" t="s">
        <v>2610</v>
      </c>
      <c r="C2857" t="s">
        <v>2772</v>
      </c>
      <c r="D2857" s="1">
        <v>46059</v>
      </c>
      <c r="E2857" t="s">
        <v>2773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372</v>
      </c>
      <c r="K2857" t="s">
        <v>2613</v>
      </c>
      <c r="L2857">
        <v>23878</v>
      </c>
      <c r="M2857" t="s">
        <v>851</v>
      </c>
      <c r="O2857" t="s">
        <v>11</v>
      </c>
      <c r="P2857">
        <v>5102</v>
      </c>
      <c r="Q2857">
        <v>10</v>
      </c>
      <c r="R2857">
        <v>8.6999999999999993</v>
      </c>
      <c r="S2857">
        <v>87</v>
      </c>
      <c r="T2857">
        <v>58.4</v>
      </c>
      <c r="U2857">
        <v>32.869999999999997</v>
      </c>
      <c r="V2857" t="str">
        <f>VLOOKUP(L2857,'[2]tabela de preços'!$A:$D,4,0)</f>
        <v>ATLAS</v>
      </c>
      <c r="W2857" t="str">
        <f>VLOOKUP(L2857,'[2]tabela de preços'!$A:$F,6,0)</f>
        <v>ROLOS / TRINCHAS / PINCÉIS / ESPÁTULAS</v>
      </c>
      <c r="X2857" t="str">
        <f>VLOOKUP(L2857,'[2]tabela de preços'!$A:$G,7,0)</f>
        <v>IMOBILIÁRIO</v>
      </c>
    </row>
    <row r="2858" spans="1:24" x14ac:dyDescent="0.3">
      <c r="A2858" t="s">
        <v>2610</v>
      </c>
      <c r="C2858" t="s">
        <v>2772</v>
      </c>
      <c r="D2858" s="1">
        <v>46059</v>
      </c>
      <c r="E2858" t="s">
        <v>2773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372</v>
      </c>
      <c r="K2858" t="s">
        <v>2613</v>
      </c>
      <c r="L2858">
        <v>84785</v>
      </c>
      <c r="M2858" t="s">
        <v>944</v>
      </c>
      <c r="O2858" t="s">
        <v>11</v>
      </c>
      <c r="P2858">
        <v>5403</v>
      </c>
      <c r="Q2858">
        <v>24</v>
      </c>
      <c r="R2858">
        <v>182.36</v>
      </c>
      <c r="S2858" s="2">
        <v>4376.6400000000003</v>
      </c>
      <c r="T2858" s="2">
        <v>3137.28</v>
      </c>
      <c r="U2858">
        <v>28.32</v>
      </c>
      <c r="V2858" t="str">
        <f>VLOOKUP(L2858,'[2]tabela de preços'!$A:$D,4,0)</f>
        <v>BRASILUX</v>
      </c>
      <c r="W2858" t="str">
        <f>VLOOKUP(L2858,'[2]tabela de preços'!$A:$F,6,0)</f>
        <v>EPOXI</v>
      </c>
      <c r="X2858" t="str">
        <f>VLOOKUP(L2858,'[2]tabela de preços'!$A:$G,7,0)</f>
        <v>INDUSTRIAL</v>
      </c>
    </row>
    <row r="2859" spans="1:24" x14ac:dyDescent="0.3">
      <c r="A2859" t="s">
        <v>2610</v>
      </c>
      <c r="C2859" t="s">
        <v>2772</v>
      </c>
      <c r="D2859" s="1">
        <v>46059</v>
      </c>
      <c r="E2859" t="s">
        <v>2773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372</v>
      </c>
      <c r="K2859" t="s">
        <v>2613</v>
      </c>
      <c r="L2859">
        <v>84423</v>
      </c>
      <c r="M2859" t="s">
        <v>1198</v>
      </c>
      <c r="O2859" t="s">
        <v>11</v>
      </c>
      <c r="P2859">
        <v>5102</v>
      </c>
      <c r="Q2859">
        <v>10</v>
      </c>
      <c r="R2859">
        <v>18.86</v>
      </c>
      <c r="S2859">
        <v>188.6</v>
      </c>
      <c r="T2859">
        <v>135.19999999999999</v>
      </c>
      <c r="U2859">
        <v>28.31</v>
      </c>
      <c r="V2859" t="str">
        <f>VLOOKUP(L2859,'[2]tabela de preços'!$A:$D,4,0)</f>
        <v>ATLAS</v>
      </c>
      <c r="W2859" t="str">
        <f>VLOOKUP(L2859,'[2]tabela de preços'!$A:$F,6,0)</f>
        <v>ROLOS / TRINCHAS / PINCÉIS / ESPÁTULAS</v>
      </c>
      <c r="X2859" t="str">
        <f>VLOOKUP(L2859,'[2]tabela de preços'!$A:$G,7,0)</f>
        <v>IMOBILIÁRIO</v>
      </c>
    </row>
    <row r="2860" spans="1:24" x14ac:dyDescent="0.3">
      <c r="A2860" t="s">
        <v>2610</v>
      </c>
      <c r="C2860" t="s">
        <v>2772</v>
      </c>
      <c r="D2860" s="1">
        <v>46059</v>
      </c>
      <c r="E2860" t="s">
        <v>2773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372</v>
      </c>
      <c r="K2860" t="s">
        <v>2613</v>
      </c>
      <c r="L2860">
        <v>84422</v>
      </c>
      <c r="M2860" t="s">
        <v>569</v>
      </c>
      <c r="O2860" t="s">
        <v>11</v>
      </c>
      <c r="P2860">
        <v>5102</v>
      </c>
      <c r="Q2860">
        <v>4</v>
      </c>
      <c r="R2860">
        <v>9.8699999999999992</v>
      </c>
      <c r="S2860">
        <v>39.479999999999997</v>
      </c>
      <c r="T2860">
        <v>28.32</v>
      </c>
      <c r="U2860">
        <v>28.27</v>
      </c>
      <c r="V2860" t="str">
        <f>VLOOKUP(L2860,'[2]tabela de preços'!$A:$D,4,0)</f>
        <v>ATLAS</v>
      </c>
      <c r="W2860" t="str">
        <f>VLOOKUP(L2860,'[2]tabela de preços'!$A:$F,6,0)</f>
        <v>ROLOS / TRINCHAS / PINCÉIS / ESPÁTULAS</v>
      </c>
      <c r="X2860" t="str">
        <f>VLOOKUP(L2860,'[2]tabela de preços'!$A:$G,7,0)</f>
        <v>IMOBILIÁRIO</v>
      </c>
    </row>
    <row r="2861" spans="1:24" x14ac:dyDescent="0.3">
      <c r="A2861" t="s">
        <v>2610</v>
      </c>
      <c r="C2861" t="s">
        <v>2772</v>
      </c>
      <c r="D2861" s="1">
        <v>46059</v>
      </c>
      <c r="E2861" t="s">
        <v>2773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372</v>
      </c>
      <c r="K2861" t="s">
        <v>2613</v>
      </c>
      <c r="L2861">
        <v>84897</v>
      </c>
      <c r="M2861" t="s">
        <v>852</v>
      </c>
      <c r="O2861" t="s">
        <v>11</v>
      </c>
      <c r="P2861">
        <v>5403</v>
      </c>
      <c r="Q2861">
        <v>6</v>
      </c>
      <c r="R2861">
        <v>239.02</v>
      </c>
      <c r="S2861" s="2">
        <v>1434.12</v>
      </c>
      <c r="T2861" s="2">
        <v>1051.3800000000001</v>
      </c>
      <c r="U2861">
        <v>26.69</v>
      </c>
      <c r="V2861" t="str">
        <f>VLOOKUP(L2861,'[2]tabela de preços'!$A:$D,4,0)</f>
        <v>BRASILUX</v>
      </c>
      <c r="W2861" t="str">
        <f>VLOOKUP(L2861,'[2]tabela de preços'!$A:$F,6,0)</f>
        <v>EPOXI</v>
      </c>
      <c r="X2861" t="str">
        <f>VLOOKUP(L2861,'[2]tabela de preços'!$A:$G,7,0)</f>
        <v>INDUSTRIAL</v>
      </c>
    </row>
    <row r="2862" spans="1:24" x14ac:dyDescent="0.3">
      <c r="A2862" t="s">
        <v>2610</v>
      </c>
      <c r="C2862" t="s">
        <v>2772</v>
      </c>
      <c r="D2862" s="1">
        <v>46059</v>
      </c>
      <c r="E2862" t="s">
        <v>2773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372</v>
      </c>
      <c r="K2862" t="s">
        <v>2613</v>
      </c>
      <c r="L2862">
        <v>84898</v>
      </c>
      <c r="M2862" t="s">
        <v>853</v>
      </c>
      <c r="O2862" t="s">
        <v>11</v>
      </c>
      <c r="P2862">
        <v>5403</v>
      </c>
      <c r="Q2862">
        <v>9</v>
      </c>
      <c r="R2862">
        <v>216.41</v>
      </c>
      <c r="S2862" s="2">
        <v>1947.69</v>
      </c>
      <c r="T2862" s="2">
        <v>1157.1300000000001</v>
      </c>
      <c r="U2862">
        <v>40.590000000000003</v>
      </c>
      <c r="V2862" t="str">
        <f>VLOOKUP(L2862,'[2]tabela de preços'!$A:$D,4,0)</f>
        <v>BRASILUX</v>
      </c>
      <c r="W2862" t="str">
        <f>VLOOKUP(L2862,'[2]tabela de preços'!$A:$F,6,0)</f>
        <v>EPOXI</v>
      </c>
      <c r="X2862" t="str">
        <f>VLOOKUP(L2862,'[2]tabela de preços'!$A:$G,7,0)</f>
        <v>INDUSTRIAL</v>
      </c>
    </row>
    <row r="2863" spans="1:24" x14ac:dyDescent="0.3">
      <c r="A2863" t="s">
        <v>2610</v>
      </c>
      <c r="C2863" t="s">
        <v>2772</v>
      </c>
      <c r="D2863" s="1">
        <v>46059</v>
      </c>
      <c r="E2863" t="s">
        <v>2773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372</v>
      </c>
      <c r="K2863" t="s">
        <v>2613</v>
      </c>
      <c r="L2863">
        <v>84899</v>
      </c>
      <c r="M2863" t="s">
        <v>854</v>
      </c>
      <c r="O2863" t="s">
        <v>11</v>
      </c>
      <c r="P2863">
        <v>5403</v>
      </c>
      <c r="Q2863">
        <v>3</v>
      </c>
      <c r="R2863">
        <v>175.37</v>
      </c>
      <c r="S2863">
        <v>526.11</v>
      </c>
      <c r="T2863">
        <v>385.71</v>
      </c>
      <c r="U2863">
        <v>26.69</v>
      </c>
      <c r="V2863" t="str">
        <f>VLOOKUP(L2863,'[2]tabela de preços'!$A:$D,4,0)</f>
        <v>BRASILUX</v>
      </c>
      <c r="W2863" t="str">
        <f>VLOOKUP(L2863,'[2]tabela de preços'!$A:$F,6,0)</f>
        <v>EPOXI</v>
      </c>
      <c r="X2863" t="str">
        <f>VLOOKUP(L2863,'[2]tabela de preços'!$A:$G,7,0)</f>
        <v>INDUSTRIAL</v>
      </c>
    </row>
    <row r="2864" spans="1:24" x14ac:dyDescent="0.3">
      <c r="A2864" t="s">
        <v>2610</v>
      </c>
      <c r="C2864" t="s">
        <v>2772</v>
      </c>
      <c r="D2864" s="1">
        <v>46059</v>
      </c>
      <c r="E2864" t="s">
        <v>2773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372</v>
      </c>
      <c r="K2864" t="s">
        <v>2613</v>
      </c>
      <c r="L2864">
        <v>84900</v>
      </c>
      <c r="M2864" t="s">
        <v>1261</v>
      </c>
      <c r="O2864" t="s">
        <v>11</v>
      </c>
      <c r="P2864">
        <v>5403</v>
      </c>
      <c r="Q2864">
        <v>24</v>
      </c>
      <c r="R2864">
        <v>175.37</v>
      </c>
      <c r="S2864" s="2">
        <v>4208.88</v>
      </c>
      <c r="T2864" s="2">
        <v>3085.68</v>
      </c>
      <c r="U2864">
        <v>26.69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2610</v>
      </c>
      <c r="C2865" t="s">
        <v>2772</v>
      </c>
      <c r="D2865" s="1">
        <v>46059</v>
      </c>
      <c r="E2865" t="s">
        <v>2773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372</v>
      </c>
      <c r="K2865" t="s">
        <v>2613</v>
      </c>
      <c r="L2865">
        <v>84901</v>
      </c>
      <c r="M2865" t="s">
        <v>2432</v>
      </c>
      <c r="O2865" t="s">
        <v>11</v>
      </c>
      <c r="P2865">
        <v>5403</v>
      </c>
      <c r="Q2865">
        <v>16</v>
      </c>
      <c r="R2865">
        <v>223.23</v>
      </c>
      <c r="S2865" s="2">
        <v>3571.68</v>
      </c>
      <c r="T2865" s="2">
        <v>2618.56</v>
      </c>
      <c r="U2865">
        <v>26.69</v>
      </c>
      <c r="V2865" t="str">
        <f>VLOOKUP(L2865,'[2]tabela de preços'!$A:$D,4,0)</f>
        <v>BRASILUX</v>
      </c>
      <c r="W2865" t="str">
        <f>VLOOKUP(L2865,'[2]tabela de preços'!$A:$F,6,0)</f>
        <v>EPOXI</v>
      </c>
      <c r="X2865" t="str">
        <f>VLOOKUP(L2865,'[2]tabela de preços'!$A:$G,7,0)</f>
        <v>INDUSTRIAL</v>
      </c>
    </row>
    <row r="2866" spans="1:24" x14ac:dyDescent="0.3">
      <c r="A2866" t="s">
        <v>846</v>
      </c>
      <c r="C2866" t="s">
        <v>2429</v>
      </c>
      <c r="D2866" s="1">
        <v>46055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339</v>
      </c>
      <c r="K2866" t="s">
        <v>849</v>
      </c>
      <c r="L2866">
        <v>84898</v>
      </c>
      <c r="M2866" t="s">
        <v>853</v>
      </c>
      <c r="N2866" t="s">
        <v>857</v>
      </c>
      <c r="O2866" t="s">
        <v>11</v>
      </c>
      <c r="P2866">
        <v>1411</v>
      </c>
      <c r="Q2866">
        <v>-2</v>
      </c>
      <c r="R2866">
        <v>209.03</v>
      </c>
      <c r="S2866">
        <v>-418.06</v>
      </c>
      <c r="T2866">
        <v>-317.32</v>
      </c>
      <c r="U2866">
        <v>24.1</v>
      </c>
      <c r="V2866" t="str">
        <f>VLOOKUP(L2866,'[2]tabela de preços'!$A:$D,4,0)</f>
        <v>BRASILUX</v>
      </c>
      <c r="W2866" t="str">
        <f>VLOOKUP(L2866,'[2]tabela de preços'!$A:$F,6,0)</f>
        <v>EPOXI</v>
      </c>
      <c r="X2866" t="str">
        <f>VLOOKUP(L2866,'[2]tabela de preços'!$A:$G,7,0)</f>
        <v>INDUSTRIAL</v>
      </c>
    </row>
    <row r="2867" spans="1:24" x14ac:dyDescent="0.3">
      <c r="A2867" t="s">
        <v>846</v>
      </c>
      <c r="C2867" t="s">
        <v>2430</v>
      </c>
      <c r="D2867" s="1">
        <v>46055</v>
      </c>
      <c r="E2867" t="s">
        <v>2431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339</v>
      </c>
      <c r="K2867" t="s">
        <v>849</v>
      </c>
      <c r="L2867">
        <v>84328</v>
      </c>
      <c r="M2867" t="s">
        <v>496</v>
      </c>
      <c r="O2867" t="s">
        <v>11</v>
      </c>
      <c r="P2867">
        <v>5403</v>
      </c>
      <c r="Q2867">
        <v>3</v>
      </c>
      <c r="R2867">
        <v>60.85</v>
      </c>
      <c r="S2867">
        <v>182.55</v>
      </c>
      <c r="T2867">
        <v>138.57</v>
      </c>
      <c r="U2867">
        <v>24.09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846</v>
      </c>
      <c r="C2868" t="s">
        <v>2430</v>
      </c>
      <c r="D2868" s="1">
        <v>46055</v>
      </c>
      <c r="E2868" t="s">
        <v>2431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339</v>
      </c>
      <c r="K2868" t="s">
        <v>849</v>
      </c>
      <c r="L2868">
        <v>86627</v>
      </c>
      <c r="M2868" t="s">
        <v>1419</v>
      </c>
      <c r="O2868" t="s">
        <v>11</v>
      </c>
      <c r="P2868">
        <v>5403</v>
      </c>
      <c r="Q2868">
        <v>2</v>
      </c>
      <c r="R2868">
        <v>285.87</v>
      </c>
      <c r="S2868">
        <v>571.74</v>
      </c>
      <c r="T2868">
        <v>433.96</v>
      </c>
      <c r="U2868">
        <v>24.1</v>
      </c>
      <c r="V2868" t="str">
        <f>VLOOKUP(L2868,'[2]tabela de preços'!$A:$D,4,0)</f>
        <v>CORAL</v>
      </c>
      <c r="W2868" t="str">
        <f>VLOOKUP(L2868,'[2]tabela de preços'!$A:$F,6,0)</f>
        <v>TINTA PAREDE</v>
      </c>
      <c r="X2868" t="str">
        <f>VLOOKUP(L2868,'[2]tabela de preços'!$A:$G,7,0)</f>
        <v>IMOBILIÁRIO</v>
      </c>
    </row>
    <row r="2869" spans="1:24" x14ac:dyDescent="0.3">
      <c r="A2869" t="s">
        <v>846</v>
      </c>
      <c r="C2869" t="s">
        <v>2430</v>
      </c>
      <c r="D2869" s="1">
        <v>46055</v>
      </c>
      <c r="E2869" t="s">
        <v>2431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339</v>
      </c>
      <c r="K2869" t="s">
        <v>849</v>
      </c>
      <c r="L2869">
        <v>84823</v>
      </c>
      <c r="M2869" t="s">
        <v>331</v>
      </c>
      <c r="O2869" t="s">
        <v>11</v>
      </c>
      <c r="P2869">
        <v>5102</v>
      </c>
      <c r="Q2869">
        <v>2</v>
      </c>
      <c r="R2869">
        <v>94.64</v>
      </c>
      <c r="S2869">
        <v>189.28</v>
      </c>
      <c r="T2869">
        <v>143.66</v>
      </c>
      <c r="U2869">
        <v>24.1</v>
      </c>
      <c r="V2869" t="str">
        <f>VLOOKUP(L2869,'[2]tabela de preços'!$A:$D,4,0)</f>
        <v>BRASILUX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846</v>
      </c>
      <c r="C2870" t="s">
        <v>2430</v>
      </c>
      <c r="D2870" s="1">
        <v>46055</v>
      </c>
      <c r="E2870" t="s">
        <v>2431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339</v>
      </c>
      <c r="K2870" t="s">
        <v>849</v>
      </c>
      <c r="L2870">
        <v>5</v>
      </c>
      <c r="M2870" t="s">
        <v>147</v>
      </c>
      <c r="O2870" t="s">
        <v>11</v>
      </c>
      <c r="P2870">
        <v>5102</v>
      </c>
      <c r="Q2870">
        <v>2</v>
      </c>
      <c r="R2870">
        <v>5.15</v>
      </c>
      <c r="S2870">
        <v>10.3</v>
      </c>
      <c r="T2870">
        <v>7.82</v>
      </c>
      <c r="U2870">
        <v>24.08</v>
      </c>
      <c r="V2870" t="str">
        <f>VLOOKUP(L2870,'[2]tabela de preços'!$A:$D,4,0)</f>
        <v>BRILHO ESTOPA</v>
      </c>
      <c r="W2870" t="str">
        <f>VLOOKUP(L2870,'[2]tabela de preços'!$A:$F,6,0)</f>
        <v>ESTOPAS</v>
      </c>
      <c r="X2870" t="str">
        <f>VLOOKUP(L2870,'[2]tabela de preços'!$A:$G,7,0)</f>
        <v>AUTOMOTIVO</v>
      </c>
    </row>
    <row r="2871" spans="1:24" x14ac:dyDescent="0.3">
      <c r="A2871" t="s">
        <v>846</v>
      </c>
      <c r="C2871" t="s">
        <v>2430</v>
      </c>
      <c r="D2871" s="1">
        <v>46055</v>
      </c>
      <c r="E2871" t="s">
        <v>2431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339</v>
      </c>
      <c r="K2871" t="s">
        <v>849</v>
      </c>
      <c r="L2871">
        <v>84411</v>
      </c>
      <c r="M2871" t="s">
        <v>35</v>
      </c>
      <c r="O2871" t="s">
        <v>11</v>
      </c>
      <c r="P2871">
        <v>5102</v>
      </c>
      <c r="Q2871">
        <v>6</v>
      </c>
      <c r="R2871">
        <v>4.67</v>
      </c>
      <c r="S2871">
        <v>28.02</v>
      </c>
      <c r="T2871">
        <v>21.24</v>
      </c>
      <c r="U2871">
        <v>24.2</v>
      </c>
      <c r="V2871" t="str">
        <f>VLOOKUP(L2871,'[2]tabela de preços'!$A:$D,4,0)</f>
        <v>ADERE</v>
      </c>
      <c r="W2871" t="str">
        <f>VLOOKUP(L2871,'[2]tabela de preços'!$A:$F,6,0)</f>
        <v xml:space="preserve">FITA DE USO GERAL </v>
      </c>
      <c r="X2871" t="str">
        <f>VLOOKUP(L2871,'[2]tabela de preços'!$A:$G,7,0)</f>
        <v>IMOBILIÁRIO</v>
      </c>
    </row>
    <row r="2872" spans="1:24" x14ac:dyDescent="0.3">
      <c r="A2872" t="s">
        <v>846</v>
      </c>
      <c r="C2872" t="s">
        <v>2430</v>
      </c>
      <c r="D2872" s="1">
        <v>46055</v>
      </c>
      <c r="E2872" t="s">
        <v>2431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339</v>
      </c>
      <c r="K2872" t="s">
        <v>849</v>
      </c>
      <c r="L2872">
        <v>84928</v>
      </c>
      <c r="M2872" t="s">
        <v>36</v>
      </c>
      <c r="O2872" t="s">
        <v>11</v>
      </c>
      <c r="P2872">
        <v>5102</v>
      </c>
      <c r="Q2872">
        <v>3</v>
      </c>
      <c r="R2872">
        <v>9.39</v>
      </c>
      <c r="S2872">
        <v>28.17</v>
      </c>
      <c r="T2872">
        <v>21.39</v>
      </c>
      <c r="U2872">
        <v>24.07</v>
      </c>
      <c r="V2872" t="str">
        <f>VLOOKUP(L2872,'[2]tabela de preços'!$A:$D,4,0)</f>
        <v>ADERE</v>
      </c>
      <c r="W2872" t="str">
        <f>VLOOKUP(L2872,'[2]tabela de preços'!$A:$F,6,0)</f>
        <v xml:space="preserve">FITA DE USO GERAL </v>
      </c>
      <c r="X2872" t="str">
        <f>VLOOKUP(L2872,'[2]tabela de preços'!$A:$G,7,0)</f>
        <v>IMOBILIÁRIO</v>
      </c>
    </row>
    <row r="2873" spans="1:24" x14ac:dyDescent="0.3">
      <c r="A2873" t="s">
        <v>846</v>
      </c>
      <c r="C2873" t="s">
        <v>2430</v>
      </c>
      <c r="D2873" s="1">
        <v>46055</v>
      </c>
      <c r="E2873" t="s">
        <v>2431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339</v>
      </c>
      <c r="K2873" t="s">
        <v>849</v>
      </c>
      <c r="L2873">
        <v>23878</v>
      </c>
      <c r="M2873" t="s">
        <v>851</v>
      </c>
      <c r="O2873" t="s">
        <v>11</v>
      </c>
      <c r="P2873">
        <v>5102</v>
      </c>
      <c r="Q2873">
        <v>5</v>
      </c>
      <c r="R2873">
        <v>7.69</v>
      </c>
      <c r="S2873">
        <v>38.450000000000003</v>
      </c>
      <c r="T2873">
        <v>29.2</v>
      </c>
      <c r="U2873">
        <v>24.06</v>
      </c>
      <c r="V2873" t="str">
        <f>VLOOKUP(L2873,'[2]tabela de preços'!$A:$D,4,0)</f>
        <v>ATLAS</v>
      </c>
      <c r="W2873" t="str">
        <f>VLOOKUP(L2873,'[2]tabela de preços'!$A:$F,6,0)</f>
        <v>ROLOS / TRINCHAS / PINCÉIS / ESPÁTULAS</v>
      </c>
      <c r="X2873" t="str">
        <f>VLOOKUP(L2873,'[2]tabela de preços'!$A:$G,7,0)</f>
        <v>IMOBILIÁRIO</v>
      </c>
    </row>
    <row r="2874" spans="1:24" x14ac:dyDescent="0.3">
      <c r="A2874" t="s">
        <v>846</v>
      </c>
      <c r="C2874" t="s">
        <v>2430</v>
      </c>
      <c r="D2874" s="1">
        <v>46055</v>
      </c>
      <c r="E2874" t="s">
        <v>2431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339</v>
      </c>
      <c r="K2874" t="s">
        <v>849</v>
      </c>
      <c r="L2874">
        <v>84785</v>
      </c>
      <c r="M2874" t="s">
        <v>944</v>
      </c>
      <c r="O2874" t="s">
        <v>11</v>
      </c>
      <c r="P2874">
        <v>5403</v>
      </c>
      <c r="Q2874">
        <v>2</v>
      </c>
      <c r="R2874">
        <v>172.23</v>
      </c>
      <c r="S2874">
        <v>344.46</v>
      </c>
      <c r="T2874">
        <v>261.44</v>
      </c>
      <c r="U2874">
        <v>24.1</v>
      </c>
      <c r="V2874" t="str">
        <f>VLOOKUP(L2874,'[2]tabela de preços'!$A:$D,4,0)</f>
        <v>BRASILUX</v>
      </c>
      <c r="W2874" t="str">
        <f>VLOOKUP(L2874,'[2]tabela de preços'!$A:$F,6,0)</f>
        <v>EPOXI</v>
      </c>
      <c r="X2874" t="str">
        <f>VLOOKUP(L2874,'[2]tabela de preços'!$A:$G,7,0)</f>
        <v>INDUSTRIAL</v>
      </c>
    </row>
    <row r="2875" spans="1:24" x14ac:dyDescent="0.3">
      <c r="A2875" t="s">
        <v>846</v>
      </c>
      <c r="C2875" t="s">
        <v>2430</v>
      </c>
      <c r="D2875" s="1">
        <v>46055</v>
      </c>
      <c r="E2875" t="s">
        <v>2431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339</v>
      </c>
      <c r="K2875" t="s">
        <v>849</v>
      </c>
      <c r="L2875">
        <v>85139</v>
      </c>
      <c r="M2875" t="s">
        <v>45</v>
      </c>
      <c r="O2875" t="s">
        <v>46</v>
      </c>
      <c r="P2875">
        <v>5403</v>
      </c>
      <c r="Q2875">
        <v>1</v>
      </c>
      <c r="R2875">
        <v>103.27</v>
      </c>
      <c r="S2875">
        <v>103.27</v>
      </c>
      <c r="T2875">
        <v>78.38</v>
      </c>
      <c r="U2875">
        <v>24.1</v>
      </c>
      <c r="V2875" t="str">
        <f>VLOOKUP(L2875,'[2]tabela de preços'!$A:$D,4,0)</f>
        <v>MULTILONA</v>
      </c>
      <c r="W2875" t="str">
        <f>VLOOKUP(L2875,'[2]tabela de preços'!$A:$F,6,0)</f>
        <v>LONAS</v>
      </c>
      <c r="X2875" t="str">
        <f>VLOOKUP(L2875,'[2]tabela de preços'!$A:$G,7,0)</f>
        <v>IMOBILIÁRIO</v>
      </c>
    </row>
    <row r="2876" spans="1:24" x14ac:dyDescent="0.3">
      <c r="A2876" t="s">
        <v>846</v>
      </c>
      <c r="C2876" t="s">
        <v>2430</v>
      </c>
      <c r="D2876" s="1">
        <v>46055</v>
      </c>
      <c r="E2876" t="s">
        <v>2431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339</v>
      </c>
      <c r="K2876" t="s">
        <v>849</v>
      </c>
      <c r="L2876">
        <v>84423</v>
      </c>
      <c r="M2876" t="s">
        <v>1198</v>
      </c>
      <c r="O2876" t="s">
        <v>11</v>
      </c>
      <c r="P2876">
        <v>5102</v>
      </c>
      <c r="Q2876">
        <v>4</v>
      </c>
      <c r="R2876">
        <v>17.82</v>
      </c>
      <c r="S2876">
        <v>71.28</v>
      </c>
      <c r="T2876">
        <v>54.08</v>
      </c>
      <c r="U2876">
        <v>24.13</v>
      </c>
      <c r="V2876" t="str">
        <f>VLOOKUP(L2876,'[2]tabela de preços'!$A:$D,4,0)</f>
        <v>ATLAS</v>
      </c>
      <c r="W2876" t="str">
        <f>VLOOKUP(L2876,'[2]tabela de preços'!$A:$F,6,0)</f>
        <v>ROLOS / TRINCHAS / PINCÉIS / ESPÁTULAS</v>
      </c>
      <c r="X2876" t="str">
        <f>VLOOKUP(L2876,'[2]tabela de preços'!$A:$G,7,0)</f>
        <v>IMOBILIÁRIO</v>
      </c>
    </row>
    <row r="2877" spans="1:24" x14ac:dyDescent="0.3">
      <c r="A2877" t="s">
        <v>846</v>
      </c>
      <c r="C2877" t="s">
        <v>2430</v>
      </c>
      <c r="D2877" s="1">
        <v>46055</v>
      </c>
      <c r="E2877" t="s">
        <v>2431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339</v>
      </c>
      <c r="K2877" t="s">
        <v>849</v>
      </c>
      <c r="L2877">
        <v>84421</v>
      </c>
      <c r="M2877" t="s">
        <v>568</v>
      </c>
      <c r="O2877" t="s">
        <v>11</v>
      </c>
      <c r="P2877">
        <v>5102</v>
      </c>
      <c r="Q2877">
        <v>2</v>
      </c>
      <c r="R2877">
        <v>6.35</v>
      </c>
      <c r="S2877">
        <v>12.7</v>
      </c>
      <c r="T2877">
        <v>9.64</v>
      </c>
      <c r="U2877">
        <v>24.09</v>
      </c>
      <c r="V2877" t="str">
        <f>VLOOKUP(L2877,'[2]tabela de preços'!$A:$D,4,0)</f>
        <v>ATLAS</v>
      </c>
      <c r="W2877" t="str">
        <f>VLOOKUP(L2877,'[2]tabela de preços'!$A:$F,6,0)</f>
        <v>ROLOS / TRINCHAS / PINCÉIS / ESPÁTULAS</v>
      </c>
      <c r="X2877" t="str">
        <f>VLOOKUP(L2877,'[2]tabela de preços'!$A:$G,7,0)</f>
        <v>IMOBILIÁRIO</v>
      </c>
    </row>
    <row r="2878" spans="1:24" x14ac:dyDescent="0.3">
      <c r="A2878" t="s">
        <v>846</v>
      </c>
      <c r="C2878" t="s">
        <v>2430</v>
      </c>
      <c r="D2878" s="1">
        <v>46055</v>
      </c>
      <c r="E2878" t="s">
        <v>2431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339</v>
      </c>
      <c r="K2878" t="s">
        <v>849</v>
      </c>
      <c r="L2878">
        <v>86939</v>
      </c>
      <c r="M2878" t="s">
        <v>346</v>
      </c>
      <c r="O2878" t="s">
        <v>11</v>
      </c>
      <c r="P2878">
        <v>5102</v>
      </c>
      <c r="Q2878">
        <v>1</v>
      </c>
      <c r="R2878">
        <v>52.92</v>
      </c>
      <c r="S2878">
        <v>52.92</v>
      </c>
      <c r="T2878">
        <v>40.17</v>
      </c>
      <c r="U2878">
        <v>24.09</v>
      </c>
      <c r="V2878" t="str">
        <f>VLOOKUP(L2878,'[2]tabela de preços'!$A:$D,4,0)</f>
        <v>ATLAS</v>
      </c>
      <c r="W2878" t="str">
        <f>VLOOKUP(L2878,'[2]tabela de preços'!$A:$F,6,0)</f>
        <v>ROLOS / TRINCHAS / PINCÉIS / ESPÁTULAS</v>
      </c>
      <c r="X2878" t="str">
        <f>VLOOKUP(L2878,'[2]tabela de preços'!$A:$G,7,0)</f>
        <v>IMOBILIÁRIO</v>
      </c>
    </row>
    <row r="2879" spans="1:24" x14ac:dyDescent="0.3">
      <c r="A2879" t="s">
        <v>846</v>
      </c>
      <c r="C2879" t="s">
        <v>2430</v>
      </c>
      <c r="D2879" s="1">
        <v>46055</v>
      </c>
      <c r="E2879" t="s">
        <v>2431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339</v>
      </c>
      <c r="K2879" t="s">
        <v>849</v>
      </c>
      <c r="L2879">
        <v>84703</v>
      </c>
      <c r="M2879" t="s">
        <v>1423</v>
      </c>
      <c r="O2879" t="s">
        <v>11</v>
      </c>
      <c r="P2879">
        <v>5102</v>
      </c>
      <c r="Q2879">
        <v>1</v>
      </c>
      <c r="R2879">
        <v>16.03</v>
      </c>
      <c r="S2879">
        <v>16.03</v>
      </c>
      <c r="T2879">
        <v>12.17</v>
      </c>
      <c r="U2879">
        <v>24.08</v>
      </c>
      <c r="V2879" t="str">
        <f>VLOOKUP(L2879,'[2]tabela de preços'!$A:$D,4,0)</f>
        <v>ATLAS</v>
      </c>
      <c r="W2879" t="str">
        <f>VLOOKUP(L2879,'[2]tabela de preços'!$A:$F,6,0)</f>
        <v>ROLOS / TRINCHAS / PINCÉIS / ESPÁTULAS</v>
      </c>
      <c r="X2879" t="str">
        <f>VLOOKUP(L2879,'[2]tabela de preços'!$A:$G,7,0)</f>
        <v>IMOBILIÁRIO</v>
      </c>
    </row>
    <row r="2880" spans="1:24" x14ac:dyDescent="0.3">
      <c r="A2880" t="s">
        <v>846</v>
      </c>
      <c r="C2880" t="s">
        <v>2430</v>
      </c>
      <c r="D2880" s="1">
        <v>46055</v>
      </c>
      <c r="E2880" t="s">
        <v>2431</v>
      </c>
      <c r="F2880">
        <v>9</v>
      </c>
      <c r="G2880">
        <v>174</v>
      </c>
      <c r="H2880" t="str">
        <f>VLOOKUP(G2880,[1]OPERADORES!$A:$B,2,0)</f>
        <v>MIRIÃ LOBATO RODRIGUES</v>
      </c>
      <c r="I2880" t="s">
        <v>21</v>
      </c>
      <c r="J2880" t="s">
        <v>339</v>
      </c>
      <c r="K2880" t="s">
        <v>849</v>
      </c>
      <c r="L2880">
        <v>84898</v>
      </c>
      <c r="M2880" t="s">
        <v>853</v>
      </c>
      <c r="O2880" t="s">
        <v>11</v>
      </c>
      <c r="P2880">
        <v>5403</v>
      </c>
      <c r="Q2880">
        <v>2</v>
      </c>
      <c r="R2880">
        <v>169.39</v>
      </c>
      <c r="S2880">
        <v>338.78</v>
      </c>
      <c r="T2880">
        <v>257.14</v>
      </c>
      <c r="U2880">
        <v>24.1</v>
      </c>
      <c r="V2880" t="str">
        <f>VLOOKUP(L2880,'[2]tabela de preços'!$A:$D,4,0)</f>
        <v>BRASILUX</v>
      </c>
      <c r="W2880" t="str">
        <f>VLOOKUP(L2880,'[2]tabela de preços'!$A:$F,6,0)</f>
        <v>EPOXI</v>
      </c>
      <c r="X2880" t="str">
        <f>VLOOKUP(L2880,'[2]tabela de preços'!$A:$G,7,0)</f>
        <v>INDUSTRIAL</v>
      </c>
    </row>
    <row r="2881" spans="1:24" x14ac:dyDescent="0.3">
      <c r="A2881" t="s">
        <v>846</v>
      </c>
      <c r="C2881" t="s">
        <v>2430</v>
      </c>
      <c r="D2881" s="1">
        <v>46055</v>
      </c>
      <c r="E2881" t="s">
        <v>2431</v>
      </c>
      <c r="F2881">
        <v>9</v>
      </c>
      <c r="G2881">
        <v>174</v>
      </c>
      <c r="H2881" t="str">
        <f>VLOOKUP(G2881,[1]OPERADORES!$A:$B,2,0)</f>
        <v>MIRIÃ LOBATO RODRIGUES</v>
      </c>
      <c r="I2881" t="s">
        <v>21</v>
      </c>
      <c r="J2881" t="s">
        <v>339</v>
      </c>
      <c r="K2881" t="s">
        <v>849</v>
      </c>
      <c r="L2881">
        <v>84899</v>
      </c>
      <c r="M2881" t="s">
        <v>854</v>
      </c>
      <c r="O2881" t="s">
        <v>11</v>
      </c>
      <c r="P2881">
        <v>5403</v>
      </c>
      <c r="Q2881">
        <v>1</v>
      </c>
      <c r="R2881">
        <v>169.39</v>
      </c>
      <c r="S2881">
        <v>169.39</v>
      </c>
      <c r="T2881">
        <v>128.57</v>
      </c>
      <c r="U2881">
        <v>24.1</v>
      </c>
      <c r="V2881" t="str">
        <f>VLOOKUP(L2881,'[2]tabela de preços'!$A:$D,4,0)</f>
        <v>BRASILUX</v>
      </c>
      <c r="W2881" t="str">
        <f>VLOOKUP(L2881,'[2]tabela de preços'!$A:$F,6,0)</f>
        <v>EPOXI</v>
      </c>
      <c r="X2881" t="str">
        <f>VLOOKUP(L2881,'[2]tabela de preços'!$A:$G,7,0)</f>
        <v>INDUSTRIAL</v>
      </c>
    </row>
    <row r="2882" spans="1:24" x14ac:dyDescent="0.3">
      <c r="A2882" t="s">
        <v>846</v>
      </c>
      <c r="C2882" t="s">
        <v>2430</v>
      </c>
      <c r="D2882" s="1">
        <v>46055</v>
      </c>
      <c r="E2882" t="s">
        <v>2431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339</v>
      </c>
      <c r="K2882" t="s">
        <v>849</v>
      </c>
      <c r="L2882">
        <v>84901</v>
      </c>
      <c r="M2882" t="s">
        <v>2432</v>
      </c>
      <c r="O2882" t="s">
        <v>11</v>
      </c>
      <c r="P2882">
        <v>5403</v>
      </c>
      <c r="Q2882">
        <v>5</v>
      </c>
      <c r="R2882">
        <v>215.62</v>
      </c>
      <c r="S2882" s="2">
        <v>1078.0999999999999</v>
      </c>
      <c r="T2882">
        <v>818.3</v>
      </c>
      <c r="U2882">
        <v>24.1</v>
      </c>
      <c r="V2882" t="str">
        <f>VLOOKUP(L2882,'[2]tabela de preços'!$A:$D,4,0)</f>
        <v>BRASILUX</v>
      </c>
      <c r="W2882" t="str">
        <f>VLOOKUP(L2882,'[2]tabela de preços'!$A:$F,6,0)</f>
        <v>EPOXI</v>
      </c>
      <c r="X2882" t="str">
        <f>VLOOKUP(L2882,'[2]tabela de preços'!$A:$G,7,0)</f>
        <v>INDUSTRIAL</v>
      </c>
    </row>
    <row r="2883" spans="1:24" x14ac:dyDescent="0.3">
      <c r="A2883" t="s">
        <v>846</v>
      </c>
      <c r="C2883" t="s">
        <v>2430</v>
      </c>
      <c r="D2883" s="1">
        <v>46055</v>
      </c>
      <c r="E2883" t="s">
        <v>2431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339</v>
      </c>
      <c r="K2883" t="s">
        <v>849</v>
      </c>
      <c r="L2883">
        <v>10118</v>
      </c>
      <c r="M2883" t="s">
        <v>572</v>
      </c>
      <c r="O2883" t="s">
        <v>11</v>
      </c>
      <c r="P2883">
        <v>5102</v>
      </c>
      <c r="Q2883">
        <v>4</v>
      </c>
      <c r="R2883">
        <v>5.0199999999999996</v>
      </c>
      <c r="S2883">
        <v>20.079999999999998</v>
      </c>
      <c r="T2883">
        <v>15.24</v>
      </c>
      <c r="U2883">
        <v>24.1</v>
      </c>
      <c r="V2883" t="str">
        <f>VLOOKUP(L2883,'[2]tabela de preços'!$A:$D,4,0)</f>
        <v>ATLAS</v>
      </c>
      <c r="W2883" t="str">
        <f>VLOOKUP(L2883,'[2]tabela de preços'!$A:$F,6,0)</f>
        <v>ROLOS / TRINCHAS / PINCÉIS / ESPÁTULAS</v>
      </c>
      <c r="X2883" t="str">
        <f>VLOOKUP(L2883,'[2]tabela de preços'!$A:$G,7,0)</f>
        <v>IMOBILIÁRIO</v>
      </c>
    </row>
    <row r="2884" spans="1:24" x14ac:dyDescent="0.3">
      <c r="A2884" t="s">
        <v>846</v>
      </c>
      <c r="C2884" t="s">
        <v>2815</v>
      </c>
      <c r="D2884" s="1">
        <v>46062</v>
      </c>
      <c r="E2884" t="s">
        <v>2816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339</v>
      </c>
      <c r="K2884" t="s">
        <v>849</v>
      </c>
      <c r="L2884">
        <v>86995</v>
      </c>
      <c r="M2884" t="s">
        <v>2817</v>
      </c>
      <c r="O2884" t="s">
        <v>11</v>
      </c>
      <c r="P2884">
        <v>5102</v>
      </c>
      <c r="Q2884">
        <v>11</v>
      </c>
      <c r="R2884">
        <v>7.4</v>
      </c>
      <c r="S2884">
        <v>81.400000000000006</v>
      </c>
      <c r="T2884">
        <v>64.13</v>
      </c>
      <c r="U2884">
        <v>21.22</v>
      </c>
      <c r="V2884" t="str">
        <f>VLOOKUP(L2884,'[2]tabela de preços'!$A:$D,4,0)</f>
        <v>AUTOAMERICA</v>
      </c>
      <c r="W2884" t="str">
        <f>VLOOKUP(L2884,'[2]tabela de preços'!$A:$F,6,0)</f>
        <v>FLANELAS / PANOS</v>
      </c>
      <c r="X2884" t="str">
        <f>VLOOKUP(L2884,'[2]tabela de preços'!$A:$G,7,0)</f>
        <v>AUTOMOTIVO</v>
      </c>
    </row>
    <row r="2885" spans="1:24" x14ac:dyDescent="0.3">
      <c r="A2885" t="s">
        <v>846</v>
      </c>
      <c r="C2885" t="s">
        <v>2815</v>
      </c>
      <c r="D2885" s="1">
        <v>46062</v>
      </c>
      <c r="E2885" t="s">
        <v>2816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339</v>
      </c>
      <c r="K2885" t="s">
        <v>849</v>
      </c>
      <c r="L2885">
        <v>85590</v>
      </c>
      <c r="M2885" t="s">
        <v>2818</v>
      </c>
      <c r="O2885" t="s">
        <v>11</v>
      </c>
      <c r="P2885">
        <v>5102</v>
      </c>
      <c r="Q2885">
        <v>1</v>
      </c>
      <c r="R2885">
        <v>115.81</v>
      </c>
      <c r="S2885">
        <v>115.81</v>
      </c>
      <c r="T2885">
        <v>85.39</v>
      </c>
      <c r="U2885">
        <v>26.27</v>
      </c>
      <c r="V2885" t="str">
        <f>VLOOKUP(L2885,'[2]tabela de preços'!$A:$D,4,0)</f>
        <v>VONIXX</v>
      </c>
      <c r="W2885" t="str">
        <f>VLOOKUP(L2885,'[2]tabela de preços'!$A:$F,6,0)</f>
        <v>LINHA DE HIGENIZAÇÃO E ESTÉTICA  AUTOMOTIVA</v>
      </c>
      <c r="X2885" t="str">
        <f>VLOOKUP(L2885,'[2]tabela de preços'!$A:$G,7,0)</f>
        <v>AUTOMOTIVO</v>
      </c>
    </row>
    <row r="2886" spans="1:24" x14ac:dyDescent="0.3">
      <c r="A2886" t="s">
        <v>3110</v>
      </c>
      <c r="C2886" t="s">
        <v>3111</v>
      </c>
      <c r="D2886" s="1">
        <v>46071</v>
      </c>
      <c r="E2886" t="s">
        <v>3112</v>
      </c>
      <c r="F2886">
        <v>9</v>
      </c>
      <c r="G2886">
        <v>145</v>
      </c>
      <c r="H2886" t="str">
        <f>VLOOKUP(G2886,[1]OPERADORES!$A:$B,2,0)</f>
        <v xml:space="preserve">FABRICIA </v>
      </c>
      <c r="I2886" t="s">
        <v>21</v>
      </c>
      <c r="J2886" t="s">
        <v>372</v>
      </c>
      <c r="K2886" t="s">
        <v>3113</v>
      </c>
      <c r="L2886">
        <v>10298</v>
      </c>
      <c r="M2886" t="s">
        <v>85</v>
      </c>
      <c r="O2886" t="s">
        <v>11</v>
      </c>
      <c r="P2886">
        <v>5102</v>
      </c>
      <c r="Q2886">
        <v>2</v>
      </c>
      <c r="R2886">
        <v>56.89</v>
      </c>
      <c r="S2886">
        <v>113.78</v>
      </c>
      <c r="T2886">
        <v>94.76</v>
      </c>
      <c r="U2886">
        <v>16.72</v>
      </c>
      <c r="V2886" t="str">
        <f>VLOOKUP(L2886,'[2]tabela de preços'!$A:$D,4,0)</f>
        <v>ANJO</v>
      </c>
      <c r="W2886" t="str">
        <f>VLOOKUP(L2886,'[2]tabela de preços'!$A:$F,6,0)</f>
        <v>THINNER DE LIMPEZA</v>
      </c>
      <c r="X2886" t="str">
        <f>VLOOKUP(L2886,'[2]tabela de preços'!$A:$G,7,0)</f>
        <v>THINNER</v>
      </c>
    </row>
    <row r="2887" spans="1:24" x14ac:dyDescent="0.3">
      <c r="A2887" t="s">
        <v>868</v>
      </c>
      <c r="B2887" t="s">
        <v>869</v>
      </c>
      <c r="C2887" t="s">
        <v>2433</v>
      </c>
      <c r="D2887" s="1">
        <v>46055</v>
      </c>
      <c r="E2887" t="s">
        <v>2434</v>
      </c>
      <c r="F2887">
        <v>9</v>
      </c>
      <c r="G2887">
        <v>197</v>
      </c>
      <c r="H2887" t="str">
        <f>VLOOKUP(G2887,[1]OPERADORES!$A:$B,2,0)</f>
        <v xml:space="preserve">POLIANA LORRANE DE AMORIM </v>
      </c>
      <c r="I2887" t="s">
        <v>21</v>
      </c>
      <c r="J2887" t="s">
        <v>872</v>
      </c>
      <c r="K2887" t="s">
        <v>873</v>
      </c>
      <c r="L2887">
        <v>10298</v>
      </c>
      <c r="M2887" t="s">
        <v>85</v>
      </c>
      <c r="O2887" t="s">
        <v>11</v>
      </c>
      <c r="P2887">
        <v>5102</v>
      </c>
      <c r="Q2887">
        <v>40</v>
      </c>
      <c r="R2887">
        <v>54.9</v>
      </c>
      <c r="S2887" s="2">
        <v>2196</v>
      </c>
      <c r="T2887" s="2">
        <v>1895.2</v>
      </c>
      <c r="U2887">
        <v>13.7</v>
      </c>
      <c r="V2887" t="str">
        <f>VLOOKUP(L2887,'[2]tabela de preços'!$A:$D,4,0)</f>
        <v>ANJO</v>
      </c>
      <c r="W2887" t="str">
        <f>VLOOKUP(L2887,'[2]tabela de preços'!$A:$F,6,0)</f>
        <v>THINNER DE LIMPEZA</v>
      </c>
      <c r="X2887" t="str">
        <f>VLOOKUP(L2887,'[2]tabela de preços'!$A:$G,7,0)</f>
        <v>THINNER</v>
      </c>
    </row>
    <row r="2888" spans="1:24" x14ac:dyDescent="0.3">
      <c r="A2888" t="s">
        <v>868</v>
      </c>
      <c r="B2888" t="s">
        <v>869</v>
      </c>
      <c r="C2888" t="s">
        <v>2433</v>
      </c>
      <c r="D2888" s="1">
        <v>46055</v>
      </c>
      <c r="E2888" t="s">
        <v>2434</v>
      </c>
      <c r="F2888">
        <v>9</v>
      </c>
      <c r="G2888">
        <v>197</v>
      </c>
      <c r="H2888" t="str">
        <f>VLOOKUP(G2888,[1]OPERADORES!$A:$B,2,0)</f>
        <v xml:space="preserve">POLIANA LORRANE DE AMORIM </v>
      </c>
      <c r="I2888" t="s">
        <v>21</v>
      </c>
      <c r="J2888" t="s">
        <v>872</v>
      </c>
      <c r="K2888" t="s">
        <v>873</v>
      </c>
      <c r="L2888">
        <v>10297</v>
      </c>
      <c r="M2888" t="s">
        <v>41</v>
      </c>
      <c r="O2888" t="s">
        <v>11</v>
      </c>
      <c r="P2888">
        <v>5102</v>
      </c>
      <c r="Q2888">
        <v>36</v>
      </c>
      <c r="R2888">
        <v>10.49</v>
      </c>
      <c r="S2888">
        <v>377.64</v>
      </c>
      <c r="T2888">
        <v>330.12</v>
      </c>
      <c r="U2888">
        <v>12.58</v>
      </c>
      <c r="V2888" t="str">
        <f>VLOOKUP(L2888,'[2]tabela de preços'!$A:$D,4,0)</f>
        <v>ANJO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868</v>
      </c>
      <c r="B2889" t="s">
        <v>869</v>
      </c>
      <c r="C2889" t="s">
        <v>2614</v>
      </c>
      <c r="D2889" s="1">
        <v>46058</v>
      </c>
      <c r="E2889" t="s">
        <v>2615</v>
      </c>
      <c r="F2889">
        <v>9</v>
      </c>
      <c r="G2889">
        <v>197</v>
      </c>
      <c r="H2889" t="str">
        <f>VLOOKUP(G2889,[1]OPERADORES!$A:$B,2,0)</f>
        <v xml:space="preserve">POLIANA LORRANE DE AMORIM </v>
      </c>
      <c r="I2889" t="s">
        <v>21</v>
      </c>
      <c r="J2889" t="s">
        <v>872</v>
      </c>
      <c r="K2889" t="s">
        <v>873</v>
      </c>
      <c r="L2889">
        <v>84217</v>
      </c>
      <c r="M2889" t="s">
        <v>882</v>
      </c>
      <c r="O2889" t="s">
        <v>11</v>
      </c>
      <c r="P2889">
        <v>5403</v>
      </c>
      <c r="Q2889">
        <v>4</v>
      </c>
      <c r="R2889">
        <v>51.16</v>
      </c>
      <c r="S2889">
        <v>204.64</v>
      </c>
      <c r="T2889">
        <v>155.32</v>
      </c>
      <c r="U2889">
        <v>24.1</v>
      </c>
      <c r="V2889" t="str">
        <f>VLOOKUP(L2889,'[2]tabela de preços'!$A:$D,4,0)</f>
        <v>BRASILUX</v>
      </c>
      <c r="W2889" t="str">
        <f>VLOOKUP(L2889,'[2]tabela de preços'!$A:$F,6,0)</f>
        <v>ESMALTES</v>
      </c>
      <c r="X2889" t="str">
        <f>VLOOKUP(L2889,'[2]tabela de preços'!$A:$G,7,0)</f>
        <v>INDUSTRIAL</v>
      </c>
    </row>
    <row r="2890" spans="1:24" x14ac:dyDescent="0.3">
      <c r="A2890" t="s">
        <v>868</v>
      </c>
      <c r="B2890" t="s">
        <v>869</v>
      </c>
      <c r="C2890" t="s">
        <v>2614</v>
      </c>
      <c r="D2890" s="1">
        <v>46058</v>
      </c>
      <c r="E2890" t="s">
        <v>2615</v>
      </c>
      <c r="F2890">
        <v>9</v>
      </c>
      <c r="G2890">
        <v>197</v>
      </c>
      <c r="H2890" t="str">
        <f>VLOOKUP(G2890,[1]OPERADORES!$A:$B,2,0)</f>
        <v xml:space="preserve">POLIANA LORRANE DE AMORIM </v>
      </c>
      <c r="I2890" t="s">
        <v>21</v>
      </c>
      <c r="J2890" t="s">
        <v>872</v>
      </c>
      <c r="K2890" t="s">
        <v>873</v>
      </c>
      <c r="L2890">
        <v>84331</v>
      </c>
      <c r="M2890" t="s">
        <v>497</v>
      </c>
      <c r="O2890" t="s">
        <v>11</v>
      </c>
      <c r="P2890">
        <v>5403</v>
      </c>
      <c r="Q2890">
        <v>8</v>
      </c>
      <c r="R2890">
        <v>59.98</v>
      </c>
      <c r="S2890">
        <v>479.84</v>
      </c>
      <c r="T2890">
        <v>416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868</v>
      </c>
      <c r="B2891" t="s">
        <v>869</v>
      </c>
      <c r="C2891" t="s">
        <v>2614</v>
      </c>
      <c r="D2891" s="1">
        <v>46058</v>
      </c>
      <c r="E2891" t="s">
        <v>2615</v>
      </c>
      <c r="F2891">
        <v>9</v>
      </c>
      <c r="G2891">
        <v>197</v>
      </c>
      <c r="H2891" t="str">
        <f>VLOOKUP(G2891,[1]OPERADORES!$A:$B,2,0)</f>
        <v xml:space="preserve">POLIANA LORRANE DE AMORIM </v>
      </c>
      <c r="I2891" t="s">
        <v>21</v>
      </c>
      <c r="J2891" t="s">
        <v>872</v>
      </c>
      <c r="K2891" t="s">
        <v>873</v>
      </c>
      <c r="L2891">
        <v>23076</v>
      </c>
      <c r="M2891" t="s">
        <v>97</v>
      </c>
      <c r="O2891" t="s">
        <v>11</v>
      </c>
      <c r="P2891">
        <v>5403</v>
      </c>
      <c r="Q2891">
        <v>10</v>
      </c>
      <c r="R2891">
        <v>34.89</v>
      </c>
      <c r="S2891">
        <v>348.9</v>
      </c>
      <c r="T2891">
        <v>265.3</v>
      </c>
      <c r="U2891">
        <v>23.96</v>
      </c>
      <c r="V2891" t="str">
        <f>VLOOKUP(L2891,'[2]tabela de preços'!$A:$D,4,0)</f>
        <v>WANDA</v>
      </c>
      <c r="W2891" t="str">
        <f>VLOOKUP(L2891,'[2]tabela de preços'!$A:$F,6,0)</f>
        <v>PRIMER AUTOMOTIVO</v>
      </c>
      <c r="X2891" t="str">
        <f>VLOOKUP(L2891,'[2]tabela de preços'!$A:$G,7,0)</f>
        <v>AUTOMOTIVO</v>
      </c>
    </row>
    <row r="2892" spans="1:24" x14ac:dyDescent="0.3">
      <c r="A2892" t="s">
        <v>868</v>
      </c>
      <c r="B2892" t="s">
        <v>869</v>
      </c>
      <c r="C2892" t="s">
        <v>2614</v>
      </c>
      <c r="D2892" s="1">
        <v>46058</v>
      </c>
      <c r="E2892" t="s">
        <v>2615</v>
      </c>
      <c r="F2892">
        <v>9</v>
      </c>
      <c r="G2892">
        <v>197</v>
      </c>
      <c r="H2892" t="str">
        <f>VLOOKUP(G2892,[1]OPERADORES!$A:$B,2,0)</f>
        <v xml:space="preserve">POLIANA LORRANE DE AMORIM </v>
      </c>
      <c r="I2892" t="s">
        <v>21</v>
      </c>
      <c r="J2892" t="s">
        <v>872</v>
      </c>
      <c r="K2892" t="s">
        <v>873</v>
      </c>
      <c r="L2892">
        <v>84034</v>
      </c>
      <c r="M2892" t="s">
        <v>890</v>
      </c>
      <c r="O2892" t="s">
        <v>11</v>
      </c>
      <c r="P2892">
        <v>5102</v>
      </c>
      <c r="Q2892">
        <v>4</v>
      </c>
      <c r="R2892">
        <v>26</v>
      </c>
      <c r="S2892">
        <v>104</v>
      </c>
      <c r="T2892">
        <v>76.239999999999995</v>
      </c>
      <c r="U2892">
        <v>26.69</v>
      </c>
      <c r="V2892" t="str">
        <f>VLOOKUP(L2892,'[2]tabela de preços'!$A:$D,4,0)</f>
        <v>BRASILUX</v>
      </c>
      <c r="W2892" t="str">
        <f>VLOOKUP(L2892,'[2]tabela de preços'!$A:$F,6,0)</f>
        <v>MASSA CORRIDA / ACRÍLICA</v>
      </c>
      <c r="X2892" t="str">
        <f>VLOOKUP(L2892,'[2]tabela de preços'!$A:$G,7,0)</f>
        <v>IMOBILIÁRIO</v>
      </c>
    </row>
    <row r="2893" spans="1:24" x14ac:dyDescent="0.3">
      <c r="A2893" t="s">
        <v>868</v>
      </c>
      <c r="B2893" t="s">
        <v>869</v>
      </c>
      <c r="C2893" t="s">
        <v>2614</v>
      </c>
      <c r="D2893" s="1">
        <v>46058</v>
      </c>
      <c r="E2893" t="s">
        <v>2615</v>
      </c>
      <c r="F2893">
        <v>9</v>
      </c>
      <c r="G2893">
        <v>197</v>
      </c>
      <c r="H2893" t="str">
        <f>VLOOKUP(G2893,[1]OPERADORES!$A:$B,2,0)</f>
        <v xml:space="preserve">POLIANA LORRANE DE AMORIM </v>
      </c>
      <c r="I2893" t="s">
        <v>21</v>
      </c>
      <c r="J2893" t="s">
        <v>872</v>
      </c>
      <c r="K2893" t="s">
        <v>873</v>
      </c>
      <c r="L2893">
        <v>84039</v>
      </c>
      <c r="M2893" t="s">
        <v>594</v>
      </c>
      <c r="O2893" t="s">
        <v>11</v>
      </c>
      <c r="P2893">
        <v>5102</v>
      </c>
      <c r="Q2893">
        <v>6</v>
      </c>
      <c r="R2893">
        <v>6.55</v>
      </c>
      <c r="S2893">
        <v>39.299999999999997</v>
      </c>
      <c r="T2893">
        <v>28.8</v>
      </c>
      <c r="U2893">
        <v>26.72</v>
      </c>
      <c r="V2893" t="str">
        <f>VLOOKUP(L2893,'[2]tabela de preços'!$A:$D,4,0)</f>
        <v>BRASILUX</v>
      </c>
      <c r="W2893" t="str">
        <f>VLOOKUP(L2893,'[2]tabela de preços'!$A:$F,6,0)</f>
        <v>MASSA CORRIDA / ACRÍLICA</v>
      </c>
      <c r="X2893" t="str">
        <f>VLOOKUP(L2893,'[2]tabela de preços'!$A:$G,7,0)</f>
        <v>IMOBILIÁRIO</v>
      </c>
    </row>
    <row r="2894" spans="1:24" x14ac:dyDescent="0.3">
      <c r="A2894" t="s">
        <v>868</v>
      </c>
      <c r="B2894" t="s">
        <v>869</v>
      </c>
      <c r="C2894" t="s">
        <v>2902</v>
      </c>
      <c r="D2894" s="1">
        <v>46063</v>
      </c>
      <c r="E2894" t="s">
        <v>2903</v>
      </c>
      <c r="F2894">
        <v>9</v>
      </c>
      <c r="G2894">
        <v>197</v>
      </c>
      <c r="H2894" t="str">
        <f>VLOOKUP(G2894,[1]OPERADORES!$A:$B,2,0)</f>
        <v xml:space="preserve">POLIANA LORRANE DE AMORIM </v>
      </c>
      <c r="I2894" t="s">
        <v>21</v>
      </c>
      <c r="J2894" t="s">
        <v>872</v>
      </c>
      <c r="K2894" t="s">
        <v>873</v>
      </c>
      <c r="L2894">
        <v>84025</v>
      </c>
      <c r="M2894" t="s">
        <v>1520</v>
      </c>
      <c r="O2894" t="s">
        <v>11</v>
      </c>
      <c r="P2894">
        <v>5102</v>
      </c>
      <c r="Q2894">
        <v>2</v>
      </c>
      <c r="R2894">
        <v>80.42</v>
      </c>
      <c r="S2894">
        <v>160.84</v>
      </c>
      <c r="T2894">
        <v>122.08</v>
      </c>
      <c r="U2894">
        <v>24.1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868</v>
      </c>
      <c r="B2895" t="s">
        <v>869</v>
      </c>
      <c r="C2895" t="s">
        <v>2902</v>
      </c>
      <c r="D2895" s="1">
        <v>46063</v>
      </c>
      <c r="E2895" t="s">
        <v>2903</v>
      </c>
      <c r="F2895">
        <v>9</v>
      </c>
      <c r="G2895">
        <v>197</v>
      </c>
      <c r="H2895" t="str">
        <f>VLOOKUP(G2895,[1]OPERADORES!$A:$B,2,0)</f>
        <v xml:space="preserve">POLIANA LORRANE DE AMORIM </v>
      </c>
      <c r="I2895" t="s">
        <v>21</v>
      </c>
      <c r="J2895" t="s">
        <v>872</v>
      </c>
      <c r="K2895" t="s">
        <v>873</v>
      </c>
      <c r="L2895">
        <v>84110</v>
      </c>
      <c r="M2895" t="s">
        <v>2416</v>
      </c>
      <c r="O2895" t="s">
        <v>11</v>
      </c>
      <c r="P2895">
        <v>5403</v>
      </c>
      <c r="Q2895">
        <v>5</v>
      </c>
      <c r="R2895">
        <v>153.99</v>
      </c>
      <c r="S2895">
        <v>769.95</v>
      </c>
      <c r="T2895">
        <v>584.4</v>
      </c>
      <c r="U2895">
        <v>24.1</v>
      </c>
      <c r="V2895" t="str">
        <f>VLOOKUP(L2895,'[2]tabela de preços'!$A:$D,4,0)</f>
        <v>BRASILUX</v>
      </c>
      <c r="W2895" t="str">
        <f>VLOOKUP(L2895,'[2]tabela de preços'!$A:$F,6,0)</f>
        <v>EPOXI</v>
      </c>
      <c r="X2895" t="str">
        <f>VLOOKUP(L2895,'[2]tabela de preços'!$A:$G,7,0)</f>
        <v>INDUSTRIAL</v>
      </c>
    </row>
    <row r="2896" spans="1:24" x14ac:dyDescent="0.3">
      <c r="A2896" t="s">
        <v>868</v>
      </c>
      <c r="B2896" t="s">
        <v>869</v>
      </c>
      <c r="C2896" t="s">
        <v>2902</v>
      </c>
      <c r="D2896" s="1">
        <v>46063</v>
      </c>
      <c r="E2896" t="s">
        <v>2903</v>
      </c>
      <c r="F2896">
        <v>9</v>
      </c>
      <c r="G2896">
        <v>197</v>
      </c>
      <c r="H2896" t="str">
        <f>VLOOKUP(G2896,[1]OPERADORES!$A:$B,2,0)</f>
        <v xml:space="preserve">POLIANA LORRANE DE AMORIM </v>
      </c>
      <c r="I2896" t="s">
        <v>21</v>
      </c>
      <c r="J2896" t="s">
        <v>872</v>
      </c>
      <c r="K2896" t="s">
        <v>873</v>
      </c>
      <c r="L2896">
        <v>84114</v>
      </c>
      <c r="M2896" t="s">
        <v>292</v>
      </c>
      <c r="O2896" t="s">
        <v>11</v>
      </c>
      <c r="P2896">
        <v>5403</v>
      </c>
      <c r="Q2896">
        <v>12</v>
      </c>
      <c r="R2896">
        <v>153.99</v>
      </c>
      <c r="S2896" s="2">
        <v>1847.88</v>
      </c>
      <c r="T2896" s="2">
        <v>1402.56</v>
      </c>
      <c r="U2896">
        <v>24.1</v>
      </c>
      <c r="V2896" t="str">
        <f>VLOOKUP(L2896,'[2]tabela de preços'!$A:$D,4,0)</f>
        <v>BRASILUX</v>
      </c>
      <c r="W2896" t="str">
        <f>VLOOKUP(L2896,'[2]tabela de preços'!$A:$F,6,0)</f>
        <v>EPOXI</v>
      </c>
      <c r="X2896" t="str">
        <f>VLOOKUP(L2896,'[2]tabela de preços'!$A:$G,7,0)</f>
        <v>INDUSTRIAL</v>
      </c>
    </row>
    <row r="2897" spans="1:24" x14ac:dyDescent="0.3">
      <c r="A2897" t="s">
        <v>868</v>
      </c>
      <c r="B2897" t="s">
        <v>869</v>
      </c>
      <c r="C2897" t="s">
        <v>2902</v>
      </c>
      <c r="D2897" s="1">
        <v>46063</v>
      </c>
      <c r="E2897" t="s">
        <v>2903</v>
      </c>
      <c r="F2897">
        <v>9</v>
      </c>
      <c r="G2897">
        <v>197</v>
      </c>
      <c r="H2897" t="str">
        <f>VLOOKUP(G2897,[1]OPERADORES!$A:$B,2,0)</f>
        <v xml:space="preserve">POLIANA LORRANE DE AMORIM </v>
      </c>
      <c r="I2897" t="s">
        <v>21</v>
      </c>
      <c r="J2897" t="s">
        <v>872</v>
      </c>
      <c r="K2897" t="s">
        <v>873</v>
      </c>
      <c r="L2897">
        <v>84113</v>
      </c>
      <c r="M2897" t="s">
        <v>737</v>
      </c>
      <c r="O2897" t="s">
        <v>11</v>
      </c>
      <c r="P2897">
        <v>5403</v>
      </c>
      <c r="Q2897">
        <v>4</v>
      </c>
      <c r="R2897">
        <v>153.99</v>
      </c>
      <c r="S2897">
        <v>615.96</v>
      </c>
      <c r="T2897">
        <v>467.52</v>
      </c>
      <c r="U2897">
        <v>24.1</v>
      </c>
      <c r="V2897" t="str">
        <f>VLOOKUP(L2897,'[2]tabela de preços'!$A:$D,4,0)</f>
        <v>BRASILUX</v>
      </c>
      <c r="W2897" t="str">
        <f>VLOOKUP(L2897,'[2]tabela de preços'!$A:$F,6,0)</f>
        <v>EPOXI</v>
      </c>
      <c r="X2897" t="str">
        <f>VLOOKUP(L2897,'[2]tabela de preços'!$A:$G,7,0)</f>
        <v>INDUSTRIAL</v>
      </c>
    </row>
    <row r="2898" spans="1:24" x14ac:dyDescent="0.3">
      <c r="A2898" t="s">
        <v>868</v>
      </c>
      <c r="B2898" t="s">
        <v>869</v>
      </c>
      <c r="C2898" t="s">
        <v>3114</v>
      </c>
      <c r="D2898" s="1">
        <v>46065</v>
      </c>
      <c r="E2898" t="s">
        <v>3115</v>
      </c>
      <c r="F2898">
        <v>9</v>
      </c>
      <c r="G2898">
        <v>197</v>
      </c>
      <c r="H2898" t="str">
        <f>VLOOKUP(G2898,[1]OPERADORES!$A:$B,2,0)</f>
        <v xml:space="preserve">POLIANA LORRANE DE AMORIM </v>
      </c>
      <c r="I2898" t="s">
        <v>21</v>
      </c>
      <c r="J2898" t="s">
        <v>872</v>
      </c>
      <c r="K2898" t="s">
        <v>873</v>
      </c>
      <c r="L2898">
        <v>84113</v>
      </c>
      <c r="M2898" t="s">
        <v>737</v>
      </c>
      <c r="O2898" t="s">
        <v>11</v>
      </c>
      <c r="P2898">
        <v>5403</v>
      </c>
      <c r="Q2898">
        <v>2</v>
      </c>
      <c r="R2898">
        <v>153.99</v>
      </c>
      <c r="S2898">
        <v>307.98</v>
      </c>
      <c r="T2898">
        <v>233.76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EPOXI</v>
      </c>
      <c r="X2898" t="str">
        <f>VLOOKUP(L2898,'[2]tabela de preços'!$A:$G,7,0)</f>
        <v>INDUSTRIAL</v>
      </c>
    </row>
    <row r="2899" spans="1:24" x14ac:dyDescent="0.3">
      <c r="A2899" t="s">
        <v>868</v>
      </c>
      <c r="B2899" t="s">
        <v>869</v>
      </c>
      <c r="C2899" t="s">
        <v>3116</v>
      </c>
      <c r="D2899" s="1">
        <v>46066</v>
      </c>
      <c r="E2899" t="s">
        <v>3117</v>
      </c>
      <c r="F2899">
        <v>9</v>
      </c>
      <c r="G2899">
        <v>197</v>
      </c>
      <c r="H2899" t="str">
        <f>VLOOKUP(G2899,[1]OPERADORES!$A:$B,2,0)</f>
        <v xml:space="preserve">POLIANA LORRANE DE AMORIM </v>
      </c>
      <c r="I2899" t="s">
        <v>21</v>
      </c>
      <c r="J2899" t="s">
        <v>872</v>
      </c>
      <c r="K2899" t="s">
        <v>873</v>
      </c>
      <c r="L2899">
        <v>84111</v>
      </c>
      <c r="M2899" t="s">
        <v>1393</v>
      </c>
      <c r="O2899" t="s">
        <v>11</v>
      </c>
      <c r="P2899">
        <v>5403</v>
      </c>
      <c r="Q2899">
        <v>3</v>
      </c>
      <c r="R2899">
        <v>153.99</v>
      </c>
      <c r="S2899">
        <v>461.97</v>
      </c>
      <c r="T2899">
        <v>350.64</v>
      </c>
      <c r="U2899">
        <v>24.1</v>
      </c>
      <c r="V2899" t="str">
        <f>VLOOKUP(L2899,'[2]tabela de preços'!$A:$D,4,0)</f>
        <v>BRASILUX</v>
      </c>
      <c r="W2899" t="str">
        <f>VLOOKUP(L2899,'[2]tabela de preços'!$A:$F,6,0)</f>
        <v>EPOXI</v>
      </c>
      <c r="X2899" t="str">
        <f>VLOOKUP(L2899,'[2]tabela de preços'!$A:$G,7,0)</f>
        <v>INDUSTRIAL</v>
      </c>
    </row>
    <row r="2900" spans="1:24" x14ac:dyDescent="0.3">
      <c r="A2900" t="s">
        <v>868</v>
      </c>
      <c r="B2900" t="s">
        <v>869</v>
      </c>
      <c r="C2900" t="s">
        <v>3118</v>
      </c>
      <c r="D2900" s="1">
        <v>46072</v>
      </c>
      <c r="E2900" t="s">
        <v>3119</v>
      </c>
      <c r="F2900">
        <v>9</v>
      </c>
      <c r="G2900">
        <v>197</v>
      </c>
      <c r="H2900" t="str">
        <f>VLOOKUP(G2900,[1]OPERADORES!$A:$B,2,0)</f>
        <v xml:space="preserve">POLIANA LORRANE DE AMORIM </v>
      </c>
      <c r="I2900" t="s">
        <v>21</v>
      </c>
      <c r="J2900" t="s">
        <v>872</v>
      </c>
      <c r="K2900" t="s">
        <v>873</v>
      </c>
      <c r="L2900">
        <v>85182</v>
      </c>
      <c r="M2900" t="s">
        <v>3120</v>
      </c>
      <c r="O2900" t="s">
        <v>11</v>
      </c>
      <c r="P2900">
        <v>5403</v>
      </c>
      <c r="Q2900">
        <v>10</v>
      </c>
      <c r="R2900">
        <v>81.430000000000007</v>
      </c>
      <c r="S2900">
        <v>814.3</v>
      </c>
      <c r="T2900">
        <v>583.79999999999995</v>
      </c>
      <c r="U2900">
        <v>28.31</v>
      </c>
      <c r="V2900" t="str">
        <f>VLOOKUP(L2900,'[2]tabela de preços'!$A:$D,4,0)</f>
        <v>BRASILUX</v>
      </c>
      <c r="W2900" t="str">
        <f>VLOOKUP(L2900,'[2]tabela de preços'!$A:$F,6,0)</f>
        <v>ESMALTES</v>
      </c>
      <c r="X2900" t="str">
        <f>VLOOKUP(L2900,'[2]tabela de preços'!$A:$G,7,0)</f>
        <v>INDUSTRIAL</v>
      </c>
    </row>
    <row r="2901" spans="1:24" x14ac:dyDescent="0.3">
      <c r="A2901" t="s">
        <v>868</v>
      </c>
      <c r="B2901" t="s">
        <v>869</v>
      </c>
      <c r="C2901" t="s">
        <v>3118</v>
      </c>
      <c r="D2901" s="1">
        <v>46072</v>
      </c>
      <c r="E2901" t="s">
        <v>3121</v>
      </c>
      <c r="F2901">
        <v>9</v>
      </c>
      <c r="G2901">
        <v>197</v>
      </c>
      <c r="H2901" t="str">
        <f>VLOOKUP(G2901,[1]OPERADORES!$A:$B,2,0)</f>
        <v xml:space="preserve">POLIANA LORRANE DE AMORIM </v>
      </c>
      <c r="I2901" t="s">
        <v>21</v>
      </c>
      <c r="J2901" t="s">
        <v>872</v>
      </c>
      <c r="K2901" t="s">
        <v>873</v>
      </c>
      <c r="L2901">
        <v>84331</v>
      </c>
      <c r="M2901" t="s">
        <v>497</v>
      </c>
      <c r="O2901" t="s">
        <v>11</v>
      </c>
      <c r="P2901">
        <v>5403</v>
      </c>
      <c r="Q2901">
        <v>12</v>
      </c>
      <c r="R2901">
        <v>59.98</v>
      </c>
      <c r="S2901">
        <v>719.76</v>
      </c>
      <c r="T2901">
        <v>624</v>
      </c>
      <c r="U2901">
        <v>13.3</v>
      </c>
      <c r="V2901" t="str">
        <f>VLOOKUP(L2901,'[2]tabela de preços'!$A:$D,4,0)</f>
        <v>BRASILUX</v>
      </c>
      <c r="W2901" t="str">
        <f>VLOOKUP(L2901,'[2]tabela de preços'!$A:$F,6,0)</f>
        <v>ESMALTES</v>
      </c>
      <c r="X2901" t="str">
        <f>VLOOKUP(L2901,'[2]tabela de preços'!$A:$G,7,0)</f>
        <v>INDUSTRIAL</v>
      </c>
    </row>
    <row r="2902" spans="1:24" x14ac:dyDescent="0.3">
      <c r="A2902" t="s">
        <v>868</v>
      </c>
      <c r="B2902" t="s">
        <v>869</v>
      </c>
      <c r="C2902" t="s">
        <v>3118</v>
      </c>
      <c r="D2902" s="1">
        <v>46072</v>
      </c>
      <c r="E2902" t="s">
        <v>3121</v>
      </c>
      <c r="F2902">
        <v>9</v>
      </c>
      <c r="G2902">
        <v>197</v>
      </c>
      <c r="H2902" t="str">
        <f>VLOOKUP(G2902,[1]OPERADORES!$A:$B,2,0)</f>
        <v xml:space="preserve">POLIANA LORRANE DE AMORIM </v>
      </c>
      <c r="I2902" t="s">
        <v>21</v>
      </c>
      <c r="J2902" t="s">
        <v>872</v>
      </c>
      <c r="K2902" t="s">
        <v>873</v>
      </c>
      <c r="L2902">
        <v>84036</v>
      </c>
      <c r="M2902" t="s">
        <v>289</v>
      </c>
      <c r="O2902" t="s">
        <v>11</v>
      </c>
      <c r="P2902">
        <v>5102</v>
      </c>
      <c r="Q2902">
        <v>4</v>
      </c>
      <c r="R2902">
        <v>47.9</v>
      </c>
      <c r="S2902">
        <v>191.6</v>
      </c>
      <c r="T2902">
        <v>166.52</v>
      </c>
      <c r="U2902">
        <v>13.09</v>
      </c>
      <c r="V2902" t="str">
        <f>VLOOKUP(L2902,'[2]tabela de preços'!$A:$D,4,0)</f>
        <v>BRASILUX</v>
      </c>
      <c r="W2902" t="str">
        <f>VLOOKUP(L2902,'[2]tabela de preços'!$A:$F,6,0)</f>
        <v>MASSA CORRIDA / ACRÍLICA</v>
      </c>
      <c r="X2902" t="str">
        <f>VLOOKUP(L2902,'[2]tabela de preços'!$A:$G,7,0)</f>
        <v>IMOBILIÁRIO</v>
      </c>
    </row>
    <row r="2903" spans="1:24" x14ac:dyDescent="0.3">
      <c r="A2903" t="s">
        <v>2904</v>
      </c>
      <c r="C2903" t="s">
        <v>2905</v>
      </c>
      <c r="D2903" s="1">
        <v>46064</v>
      </c>
      <c r="E2903" t="s">
        <v>2906</v>
      </c>
      <c r="F2903">
        <v>9</v>
      </c>
      <c r="G2903">
        <v>236</v>
      </c>
      <c r="H2903" t="str">
        <f>VLOOKUP(G2903,[1]OPERADORES!$A:$B,2,0)</f>
        <v>DANIEL</v>
      </c>
      <c r="I2903" t="s">
        <v>2907</v>
      </c>
      <c r="J2903" t="s">
        <v>2908</v>
      </c>
      <c r="K2903" t="s">
        <v>2909</v>
      </c>
      <c r="L2903">
        <v>23580</v>
      </c>
      <c r="M2903" t="s">
        <v>115</v>
      </c>
      <c r="O2903" t="s">
        <v>11</v>
      </c>
      <c r="P2903">
        <v>6102</v>
      </c>
      <c r="Q2903">
        <v>100</v>
      </c>
      <c r="R2903">
        <v>0.39</v>
      </c>
      <c r="S2903">
        <v>39</v>
      </c>
      <c r="T2903">
        <v>36</v>
      </c>
      <c r="U2903">
        <v>7.69</v>
      </c>
      <c r="V2903" t="str">
        <f>VLOOKUP(L2903,'[2]tabela de preços'!$A:$D,4,0)</f>
        <v>RENOVA COADORES</v>
      </c>
      <c r="W2903" t="str">
        <f>VLOOKUP(L2903,'[2]tabela de preços'!$A:$F,6,0)</f>
        <v>COADORES</v>
      </c>
      <c r="X2903" t="str">
        <f>VLOOKUP(L2903,'[2]tabela de preços'!$A:$G,7,0)</f>
        <v>AUTOMOTIVO</v>
      </c>
    </row>
    <row r="2904" spans="1:24" x14ac:dyDescent="0.3">
      <c r="A2904" t="s">
        <v>2904</v>
      </c>
      <c r="C2904" t="s">
        <v>2905</v>
      </c>
      <c r="D2904" s="1">
        <v>46064</v>
      </c>
      <c r="E2904" t="s">
        <v>2906</v>
      </c>
      <c r="F2904">
        <v>9</v>
      </c>
      <c r="G2904">
        <v>236</v>
      </c>
      <c r="H2904" t="str">
        <f>VLOOKUP(G2904,[1]OPERADORES!$A:$B,2,0)</f>
        <v>DANIEL</v>
      </c>
      <c r="I2904" t="s">
        <v>2907</v>
      </c>
      <c r="J2904" t="s">
        <v>2908</v>
      </c>
      <c r="K2904" t="s">
        <v>2909</v>
      </c>
      <c r="L2904">
        <v>20817</v>
      </c>
      <c r="M2904" t="s">
        <v>153</v>
      </c>
      <c r="O2904" t="s">
        <v>11</v>
      </c>
      <c r="P2904">
        <v>6102</v>
      </c>
      <c r="Q2904">
        <v>24</v>
      </c>
      <c r="R2904">
        <v>20.13</v>
      </c>
      <c r="S2904">
        <v>483.12</v>
      </c>
      <c r="T2904">
        <v>446.88</v>
      </c>
      <c r="U2904">
        <v>7.5</v>
      </c>
      <c r="V2904" t="str">
        <f>VLOOKUP(L2904,'[2]tabela de preços'!$A:$D,4,0)</f>
        <v>AUTO AMERICA</v>
      </c>
      <c r="W2904" t="str">
        <f>VLOOKUP(L2904,'[2]tabela de preços'!$A:$F,6,0)</f>
        <v>MASSA DE POLIR</v>
      </c>
      <c r="X2904" t="str">
        <f>VLOOKUP(L2904,'[2]tabela de preços'!$A:$G,7,0)</f>
        <v>AUTOMOTIVO</v>
      </c>
    </row>
    <row r="2905" spans="1:24" x14ac:dyDescent="0.3">
      <c r="A2905" t="s">
        <v>2904</v>
      </c>
      <c r="C2905" t="s">
        <v>2905</v>
      </c>
      <c r="D2905" s="1">
        <v>46064</v>
      </c>
      <c r="E2905" t="s">
        <v>2906</v>
      </c>
      <c r="F2905">
        <v>9</v>
      </c>
      <c r="G2905">
        <v>236</v>
      </c>
      <c r="H2905" t="str">
        <f>VLOOKUP(G2905,[1]OPERADORES!$A:$B,2,0)</f>
        <v>DANIEL</v>
      </c>
      <c r="I2905" t="s">
        <v>2907</v>
      </c>
      <c r="J2905" t="s">
        <v>2908</v>
      </c>
      <c r="K2905" t="s">
        <v>2909</v>
      </c>
      <c r="L2905">
        <v>84445</v>
      </c>
      <c r="M2905" t="s">
        <v>463</v>
      </c>
      <c r="O2905" t="s">
        <v>11</v>
      </c>
      <c r="P2905">
        <v>6102</v>
      </c>
      <c r="Q2905">
        <v>20</v>
      </c>
      <c r="R2905">
        <v>41.29</v>
      </c>
      <c r="S2905">
        <v>825.8</v>
      </c>
      <c r="T2905">
        <v>789</v>
      </c>
      <c r="U2905">
        <v>4.46</v>
      </c>
      <c r="V2905" t="str">
        <f>VLOOKUP(L2905,'[2]tabela de preços'!$A:$D,4,0)</f>
        <v>ALEC</v>
      </c>
      <c r="W2905" t="str">
        <f>VLOOKUP(L2905,'[2]tabela de preços'!$A:$F,6,0)</f>
        <v>PAPEL DE MASCARAMENTO</v>
      </c>
      <c r="X2905" t="str">
        <f>VLOOKUP(L2905,'[2]tabela de preços'!$A:$G,7,0)</f>
        <v>AUTOMOTIVO</v>
      </c>
    </row>
    <row r="2906" spans="1:24" x14ac:dyDescent="0.3">
      <c r="A2906" t="s">
        <v>3122</v>
      </c>
      <c r="C2906" t="s">
        <v>3123</v>
      </c>
      <c r="D2906" s="1">
        <v>46065</v>
      </c>
      <c r="E2906" t="s">
        <v>3124</v>
      </c>
      <c r="F2906">
        <v>9</v>
      </c>
      <c r="G2906">
        <v>230</v>
      </c>
      <c r="H2906" t="str">
        <f>VLOOKUP(G2906,[1]OPERADORES!$A:$B,2,0)</f>
        <v>SÔNIA</v>
      </c>
      <c r="I2906" t="s">
        <v>715</v>
      </c>
      <c r="J2906" t="s">
        <v>716</v>
      </c>
      <c r="K2906" t="s">
        <v>3125</v>
      </c>
      <c r="L2906">
        <v>21849</v>
      </c>
      <c r="M2906" t="s">
        <v>3126</v>
      </c>
      <c r="O2906" t="s">
        <v>11</v>
      </c>
      <c r="P2906">
        <v>6102</v>
      </c>
      <c r="Q2906">
        <v>1</v>
      </c>
      <c r="R2906">
        <v>93.5</v>
      </c>
      <c r="S2906">
        <v>93.5</v>
      </c>
      <c r="T2906">
        <v>70.97</v>
      </c>
      <c r="U2906">
        <v>24.1</v>
      </c>
      <c r="V2906" t="str">
        <f>VLOOKUP(L2906,'[2]tabela de preços'!$A:$D,4,0)</f>
        <v>NORTON</v>
      </c>
      <c r="W2906" t="str">
        <f>VLOOKUP(L2906,'[2]tabela de preços'!$A:$F,6,0)</f>
        <v>BOINAS PARA POLIMENTO</v>
      </c>
      <c r="X2906" t="str">
        <f>VLOOKUP(L2906,'[2]tabela de preços'!$A:$G,7,0)</f>
        <v>AUTOMOTIVO</v>
      </c>
    </row>
    <row r="2907" spans="1:24" x14ac:dyDescent="0.3">
      <c r="A2907" t="s">
        <v>3122</v>
      </c>
      <c r="C2907" t="s">
        <v>3123</v>
      </c>
      <c r="D2907" s="1">
        <v>46065</v>
      </c>
      <c r="E2907" t="s">
        <v>3124</v>
      </c>
      <c r="F2907">
        <v>9</v>
      </c>
      <c r="G2907">
        <v>230</v>
      </c>
      <c r="H2907" t="str">
        <f>VLOOKUP(G2907,[1]OPERADORES!$A:$B,2,0)</f>
        <v>SÔNIA</v>
      </c>
      <c r="I2907" t="s">
        <v>715</v>
      </c>
      <c r="J2907" t="s">
        <v>716</v>
      </c>
      <c r="K2907" t="s">
        <v>3125</v>
      </c>
      <c r="L2907">
        <v>84388</v>
      </c>
      <c r="M2907" t="s">
        <v>1417</v>
      </c>
      <c r="O2907" t="s">
        <v>11</v>
      </c>
      <c r="P2907">
        <v>6403</v>
      </c>
      <c r="Q2907">
        <v>1</v>
      </c>
      <c r="R2907">
        <v>159.9</v>
      </c>
      <c r="S2907">
        <v>159.9</v>
      </c>
      <c r="T2907">
        <v>137.61000000000001</v>
      </c>
      <c r="U2907">
        <v>13.94</v>
      </c>
      <c r="V2907" t="str">
        <f>VLOOKUP(L2907,'[2]tabela de preços'!$A:$D,4,0)</f>
        <v>BRASILUX</v>
      </c>
      <c r="W2907" t="str">
        <f>VLOOKUP(L2907,'[2]tabela de preços'!$A:$F,6,0)</f>
        <v>TINTA PARA PISO</v>
      </c>
      <c r="X2907" t="str">
        <f>VLOOKUP(L2907,'[2]tabela de preços'!$A:$G,7,0)</f>
        <v>IMOBILIÁRIO</v>
      </c>
    </row>
    <row r="2908" spans="1:24" x14ac:dyDescent="0.3">
      <c r="A2908" t="s">
        <v>3122</v>
      </c>
      <c r="C2908" t="s">
        <v>3123</v>
      </c>
      <c r="D2908" s="1">
        <v>46065</v>
      </c>
      <c r="E2908" t="s">
        <v>3124</v>
      </c>
      <c r="F2908">
        <v>9</v>
      </c>
      <c r="G2908">
        <v>230</v>
      </c>
      <c r="H2908" t="str">
        <f>VLOOKUP(G2908,[1]OPERADORES!$A:$B,2,0)</f>
        <v>SÔNIA</v>
      </c>
      <c r="I2908" t="s">
        <v>715</v>
      </c>
      <c r="J2908" t="s">
        <v>716</v>
      </c>
      <c r="K2908" t="s">
        <v>3125</v>
      </c>
      <c r="L2908">
        <v>23365</v>
      </c>
      <c r="M2908" t="s">
        <v>3007</v>
      </c>
      <c r="O2908" t="s">
        <v>11</v>
      </c>
      <c r="P2908">
        <v>6102</v>
      </c>
      <c r="Q2908">
        <v>3</v>
      </c>
      <c r="R2908">
        <v>60.66</v>
      </c>
      <c r="S2908">
        <v>181.98</v>
      </c>
      <c r="T2908">
        <v>138.12</v>
      </c>
      <c r="U2908">
        <v>24.1</v>
      </c>
      <c r="V2908" t="str">
        <f>VLOOKUP(L2908,'[2]tabela de preços'!$A:$D,4,0)</f>
        <v>SHERWIN WILLIAMS</v>
      </c>
      <c r="W2908" t="str">
        <f>VLOOKUP(L2908,'[2]tabela de preços'!$A:$F,6,0)</f>
        <v>CATALISADORES INDIVIDUAS</v>
      </c>
      <c r="X2908" t="str">
        <f>VLOOKUP(L2908,'[2]tabela de preços'!$A:$G,7,0)</f>
        <v>AUTOMOTIVO</v>
      </c>
    </row>
    <row r="2909" spans="1:24" x14ac:dyDescent="0.3">
      <c r="A2909" t="s">
        <v>3122</v>
      </c>
      <c r="C2909" t="s">
        <v>3123</v>
      </c>
      <c r="D2909" s="1">
        <v>46065</v>
      </c>
      <c r="E2909" t="s">
        <v>3124</v>
      </c>
      <c r="F2909">
        <v>9</v>
      </c>
      <c r="G2909">
        <v>230</v>
      </c>
      <c r="H2909" t="str">
        <f>VLOOKUP(G2909,[1]OPERADORES!$A:$B,2,0)</f>
        <v>SÔNIA</v>
      </c>
      <c r="I2909" t="s">
        <v>715</v>
      </c>
      <c r="J2909" t="s">
        <v>716</v>
      </c>
      <c r="K2909" t="s">
        <v>3125</v>
      </c>
      <c r="L2909">
        <v>24248</v>
      </c>
      <c r="M2909" t="s">
        <v>107</v>
      </c>
      <c r="O2909" t="s">
        <v>11</v>
      </c>
      <c r="P2909">
        <v>6102</v>
      </c>
      <c r="Q2909">
        <v>12</v>
      </c>
      <c r="R2909">
        <v>8</v>
      </c>
      <c r="S2909">
        <v>96</v>
      </c>
      <c r="T2909">
        <v>78</v>
      </c>
      <c r="U2909">
        <v>18.75</v>
      </c>
      <c r="V2909" t="str">
        <f>VLOOKUP(L2909,'[2]tabela de preços'!$A:$D,4,0)</f>
        <v>SHERWIN WILLIAMS</v>
      </c>
      <c r="W2909" t="str">
        <f>VLOOKUP(L2909,'[2]tabela de preços'!$A:$F,6,0)</f>
        <v>PRIMER AUTOMOTIVO</v>
      </c>
      <c r="X2909" t="str">
        <f>VLOOKUP(L2909,'[2]tabela de preços'!$A:$G,7,0)</f>
        <v>AUTOMOTIVO</v>
      </c>
    </row>
    <row r="2910" spans="1:24" x14ac:dyDescent="0.3">
      <c r="A2910" t="s">
        <v>3122</v>
      </c>
      <c r="C2910" t="s">
        <v>3123</v>
      </c>
      <c r="D2910" s="1">
        <v>46065</v>
      </c>
      <c r="E2910" t="s">
        <v>3124</v>
      </c>
      <c r="F2910">
        <v>9</v>
      </c>
      <c r="G2910">
        <v>230</v>
      </c>
      <c r="H2910" t="str">
        <f>VLOOKUP(G2910,[1]OPERADORES!$A:$B,2,0)</f>
        <v>SÔNIA</v>
      </c>
      <c r="I2910" t="s">
        <v>715</v>
      </c>
      <c r="J2910" t="s">
        <v>716</v>
      </c>
      <c r="K2910" t="s">
        <v>3125</v>
      </c>
      <c r="L2910">
        <v>5</v>
      </c>
      <c r="M2910" t="s">
        <v>147</v>
      </c>
      <c r="O2910" t="s">
        <v>11</v>
      </c>
      <c r="P2910">
        <v>6102</v>
      </c>
      <c r="Q2910">
        <v>4</v>
      </c>
      <c r="R2910">
        <v>5.15</v>
      </c>
      <c r="S2910">
        <v>20.6</v>
      </c>
      <c r="T2910">
        <v>15.64</v>
      </c>
      <c r="U2910">
        <v>24.08</v>
      </c>
      <c r="V2910" t="str">
        <f>VLOOKUP(L2910,'[2]tabela de preços'!$A:$D,4,0)</f>
        <v>BRILHO ESTOPA</v>
      </c>
      <c r="W2910" t="str">
        <f>VLOOKUP(L2910,'[2]tabela de preços'!$A:$F,6,0)</f>
        <v>ESTOPAS</v>
      </c>
      <c r="X2910" t="str">
        <f>VLOOKUP(L2910,'[2]tabela de preços'!$A:$G,7,0)</f>
        <v>AUTOMOTIVO</v>
      </c>
    </row>
    <row r="2911" spans="1:24" x14ac:dyDescent="0.3">
      <c r="A2911" t="s">
        <v>3122</v>
      </c>
      <c r="C2911" t="s">
        <v>3123</v>
      </c>
      <c r="D2911" s="1">
        <v>46065</v>
      </c>
      <c r="E2911" t="s">
        <v>3124</v>
      </c>
      <c r="F2911">
        <v>9</v>
      </c>
      <c r="G2911">
        <v>230</v>
      </c>
      <c r="H2911" t="str">
        <f>VLOOKUP(G2911,[1]OPERADORES!$A:$B,2,0)</f>
        <v>SÔNIA</v>
      </c>
      <c r="I2911" t="s">
        <v>715</v>
      </c>
      <c r="J2911" t="s">
        <v>716</v>
      </c>
      <c r="K2911" t="s">
        <v>3125</v>
      </c>
      <c r="L2911">
        <v>24240</v>
      </c>
      <c r="M2911" t="s">
        <v>240</v>
      </c>
      <c r="O2911" t="s">
        <v>11</v>
      </c>
      <c r="P2911">
        <v>6102</v>
      </c>
      <c r="Q2911">
        <v>32</v>
      </c>
      <c r="R2911">
        <v>3.81</v>
      </c>
      <c r="S2911">
        <v>121.92</v>
      </c>
      <c r="T2911">
        <v>104.96</v>
      </c>
      <c r="U2911">
        <v>13.91</v>
      </c>
      <c r="V2911" t="str">
        <f>VLOOKUP(L2911,'[2]tabela de preços'!$A:$D,4,0)</f>
        <v>ADERE</v>
      </c>
      <c r="W2911" t="str">
        <f>VLOOKUP(L2911,'[2]tabela de preços'!$A:$F,6,0)</f>
        <v>FITA AUTOMOTIVA</v>
      </c>
      <c r="X2911" t="str">
        <f>VLOOKUP(L2911,'[2]tabela de preços'!$A:$G,7,0)</f>
        <v>AUTOMOTIVO</v>
      </c>
    </row>
    <row r="2912" spans="1:24" x14ac:dyDescent="0.3">
      <c r="A2912" t="s">
        <v>3122</v>
      </c>
      <c r="C2912" t="s">
        <v>3123</v>
      </c>
      <c r="D2912" s="1">
        <v>46065</v>
      </c>
      <c r="E2912" t="s">
        <v>3124</v>
      </c>
      <c r="F2912">
        <v>9</v>
      </c>
      <c r="G2912">
        <v>230</v>
      </c>
      <c r="H2912" t="str">
        <f>VLOOKUP(G2912,[1]OPERADORES!$A:$B,2,0)</f>
        <v>SÔNIA</v>
      </c>
      <c r="I2912" t="s">
        <v>715</v>
      </c>
      <c r="J2912" t="s">
        <v>716</v>
      </c>
      <c r="K2912" t="s">
        <v>3125</v>
      </c>
      <c r="L2912">
        <v>23076</v>
      </c>
      <c r="M2912" t="s">
        <v>97</v>
      </c>
      <c r="O2912" t="s">
        <v>11</v>
      </c>
      <c r="P2912">
        <v>6403</v>
      </c>
      <c r="Q2912">
        <v>6</v>
      </c>
      <c r="R2912">
        <v>34.89</v>
      </c>
      <c r="S2912">
        <v>209.34</v>
      </c>
      <c r="T2912">
        <v>159.18</v>
      </c>
      <c r="U2912">
        <v>23.96</v>
      </c>
      <c r="V2912" t="str">
        <f>VLOOKUP(L2912,'[2]tabela de preços'!$A:$D,4,0)</f>
        <v>WANDA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3122</v>
      </c>
      <c r="C2913" t="s">
        <v>3123</v>
      </c>
      <c r="D2913" s="1">
        <v>46065</v>
      </c>
      <c r="E2913" t="s">
        <v>3124</v>
      </c>
      <c r="F2913">
        <v>9</v>
      </c>
      <c r="G2913">
        <v>230</v>
      </c>
      <c r="H2913" t="str">
        <f>VLOOKUP(G2913,[1]OPERADORES!$A:$B,2,0)</f>
        <v>SÔNIA</v>
      </c>
      <c r="I2913" t="s">
        <v>715</v>
      </c>
      <c r="J2913" t="s">
        <v>716</v>
      </c>
      <c r="K2913" t="s">
        <v>3125</v>
      </c>
      <c r="L2913">
        <v>13</v>
      </c>
      <c r="M2913" t="s">
        <v>152</v>
      </c>
      <c r="O2913" t="s">
        <v>11</v>
      </c>
      <c r="P2913">
        <v>6102</v>
      </c>
      <c r="Q2913">
        <v>12</v>
      </c>
      <c r="R2913">
        <v>5.79</v>
      </c>
      <c r="S2913">
        <v>69.48</v>
      </c>
      <c r="T2913">
        <v>49.92</v>
      </c>
      <c r="U2913">
        <v>28.15</v>
      </c>
      <c r="V2913" t="str">
        <f>VLOOKUP(L2913,'[2]tabela de preços'!$A:$D,4,0)</f>
        <v>3M</v>
      </c>
      <c r="W2913" t="str">
        <f>VLOOKUP(L2913,'[2]tabela de preços'!$A:$F,6,0)</f>
        <v>LIXA DÁGUA</v>
      </c>
      <c r="X2913" t="str">
        <f>VLOOKUP(L2913,'[2]tabela de preços'!$A:$G,7,0)</f>
        <v>AUTOMOTIVO</v>
      </c>
    </row>
    <row r="2914" spans="1:24" x14ac:dyDescent="0.3">
      <c r="A2914" t="s">
        <v>3122</v>
      </c>
      <c r="C2914" t="s">
        <v>3123</v>
      </c>
      <c r="D2914" s="1">
        <v>46065</v>
      </c>
      <c r="E2914" t="s">
        <v>3124</v>
      </c>
      <c r="F2914">
        <v>9</v>
      </c>
      <c r="G2914">
        <v>230</v>
      </c>
      <c r="H2914" t="str">
        <f>VLOOKUP(G2914,[1]OPERADORES!$A:$B,2,0)</f>
        <v>SÔNIA</v>
      </c>
      <c r="I2914" t="s">
        <v>715</v>
      </c>
      <c r="J2914" t="s">
        <v>716</v>
      </c>
      <c r="K2914" t="s">
        <v>3125</v>
      </c>
      <c r="L2914">
        <v>16</v>
      </c>
      <c r="M2914" t="s">
        <v>122</v>
      </c>
      <c r="O2914" t="s">
        <v>11</v>
      </c>
      <c r="P2914">
        <v>6102</v>
      </c>
      <c r="Q2914">
        <v>12</v>
      </c>
      <c r="R2914">
        <v>2.9</v>
      </c>
      <c r="S2914">
        <v>34.799999999999997</v>
      </c>
      <c r="T2914">
        <v>26.4</v>
      </c>
      <c r="U2914">
        <v>24.14</v>
      </c>
      <c r="V2914" t="str">
        <f>VLOOKUP(L2914,'[2]tabela de preços'!$A:$D,4,0)</f>
        <v>3M</v>
      </c>
      <c r="W2914" t="str">
        <f>VLOOKUP(L2914,'[2]tabela de preços'!$A:$F,6,0)</f>
        <v>LIXA DÁGUA</v>
      </c>
      <c r="X2914" t="str">
        <f>VLOOKUP(L2914,'[2]tabela de preços'!$A:$G,7,0)</f>
        <v>AUTOMOTIVO</v>
      </c>
    </row>
    <row r="2915" spans="1:24" x14ac:dyDescent="0.3">
      <c r="A2915" t="s">
        <v>3122</v>
      </c>
      <c r="C2915" t="s">
        <v>3123</v>
      </c>
      <c r="D2915" s="1">
        <v>46065</v>
      </c>
      <c r="E2915" t="s">
        <v>3124</v>
      </c>
      <c r="F2915">
        <v>9</v>
      </c>
      <c r="G2915">
        <v>230</v>
      </c>
      <c r="H2915" t="str">
        <f>VLOOKUP(G2915,[1]OPERADORES!$A:$B,2,0)</f>
        <v>SÔNIA</v>
      </c>
      <c r="I2915" t="s">
        <v>715</v>
      </c>
      <c r="J2915" t="s">
        <v>716</v>
      </c>
      <c r="K2915" t="s">
        <v>3125</v>
      </c>
      <c r="L2915">
        <v>83819</v>
      </c>
      <c r="M2915" t="s">
        <v>1237</v>
      </c>
      <c r="O2915" t="s">
        <v>11</v>
      </c>
      <c r="P2915">
        <v>6102</v>
      </c>
      <c r="Q2915">
        <v>12</v>
      </c>
      <c r="R2915">
        <v>3.49</v>
      </c>
      <c r="S2915">
        <v>41.88</v>
      </c>
      <c r="T2915">
        <v>31.8</v>
      </c>
      <c r="U2915">
        <v>24.07</v>
      </c>
      <c r="V2915" t="str">
        <f>VLOOKUP(L2915,'[2]tabela de preços'!$A:$D,4,0)</f>
        <v>3M</v>
      </c>
      <c r="W2915" t="str">
        <f>VLOOKUP(L2915,'[2]tabela de preços'!$A:$F,6,0)</f>
        <v>LIXA DÁGUA</v>
      </c>
      <c r="X2915" t="str">
        <f>VLOOKUP(L2915,'[2]tabela de preços'!$A:$G,7,0)</f>
        <v>AUTOMOTIVO</v>
      </c>
    </row>
    <row r="2916" spans="1:24" x14ac:dyDescent="0.3">
      <c r="A2916" t="s">
        <v>3122</v>
      </c>
      <c r="C2916" t="s">
        <v>3123</v>
      </c>
      <c r="D2916" s="1">
        <v>46065</v>
      </c>
      <c r="E2916" t="s">
        <v>3124</v>
      </c>
      <c r="F2916">
        <v>9</v>
      </c>
      <c r="G2916">
        <v>230</v>
      </c>
      <c r="H2916" t="str">
        <f>VLOOKUP(G2916,[1]OPERADORES!$A:$B,2,0)</f>
        <v>SÔNIA</v>
      </c>
      <c r="I2916" t="s">
        <v>715</v>
      </c>
      <c r="J2916" t="s">
        <v>716</v>
      </c>
      <c r="K2916" t="s">
        <v>3125</v>
      </c>
      <c r="L2916">
        <v>10239</v>
      </c>
      <c r="M2916" t="s">
        <v>80</v>
      </c>
      <c r="O2916" t="s">
        <v>11</v>
      </c>
      <c r="P2916">
        <v>6102</v>
      </c>
      <c r="Q2916">
        <v>12</v>
      </c>
      <c r="R2916">
        <v>2.79</v>
      </c>
      <c r="S2916">
        <v>33.479999999999997</v>
      </c>
      <c r="T2916">
        <v>28.08</v>
      </c>
      <c r="U2916">
        <v>16.13</v>
      </c>
      <c r="V2916" t="str">
        <f>VLOOKUP(L2916,'[2]tabela de preços'!$A:$D,4,0)</f>
        <v>NORTON</v>
      </c>
      <c r="W2916" t="str">
        <f>VLOOKUP(L2916,'[2]tabela de preços'!$A:$F,6,0)</f>
        <v xml:space="preserve">DISCOS / LIXAS / ABRASIVOS </v>
      </c>
      <c r="X2916" t="str">
        <f>VLOOKUP(L2916,'[2]tabela de preços'!$A:$G,7,0)</f>
        <v>AUTOMOTIVO</v>
      </c>
    </row>
    <row r="2917" spans="1:24" x14ac:dyDescent="0.3">
      <c r="A2917" t="s">
        <v>3122</v>
      </c>
      <c r="C2917" t="s">
        <v>3123</v>
      </c>
      <c r="D2917" s="1">
        <v>46065</v>
      </c>
      <c r="E2917" t="s">
        <v>3124</v>
      </c>
      <c r="F2917">
        <v>9</v>
      </c>
      <c r="G2917">
        <v>230</v>
      </c>
      <c r="H2917" t="str">
        <f>VLOOKUP(G2917,[1]OPERADORES!$A:$B,2,0)</f>
        <v>SÔNIA</v>
      </c>
      <c r="I2917" t="s">
        <v>715</v>
      </c>
      <c r="J2917" t="s">
        <v>716</v>
      </c>
      <c r="K2917" t="s">
        <v>3125</v>
      </c>
      <c r="L2917">
        <v>10240</v>
      </c>
      <c r="M2917" t="s">
        <v>81</v>
      </c>
      <c r="O2917" t="s">
        <v>11</v>
      </c>
      <c r="P2917">
        <v>6102</v>
      </c>
      <c r="Q2917">
        <v>12</v>
      </c>
      <c r="R2917">
        <v>2.79</v>
      </c>
      <c r="S2917">
        <v>33.479999999999997</v>
      </c>
      <c r="T2917">
        <v>26.88</v>
      </c>
      <c r="U2917">
        <v>19.71</v>
      </c>
      <c r="V2917" t="str">
        <f>VLOOKUP(L2917,'[2]tabela de preços'!$A:$D,4,0)</f>
        <v>NORTON</v>
      </c>
      <c r="W2917" t="str">
        <f>VLOOKUP(L2917,'[2]tabela de preços'!$A:$F,6,0)</f>
        <v xml:space="preserve">DISCOS / LIXAS / ABRASIVOS </v>
      </c>
      <c r="X2917" t="str">
        <f>VLOOKUP(L2917,'[2]tabela de preços'!$A:$G,7,0)</f>
        <v>AUTOMOTIVO</v>
      </c>
    </row>
    <row r="2918" spans="1:24" x14ac:dyDescent="0.3">
      <c r="A2918" t="s">
        <v>3122</v>
      </c>
      <c r="C2918" t="s">
        <v>3123</v>
      </c>
      <c r="D2918" s="1">
        <v>46065</v>
      </c>
      <c r="E2918" t="s">
        <v>3124</v>
      </c>
      <c r="F2918">
        <v>9</v>
      </c>
      <c r="G2918">
        <v>230</v>
      </c>
      <c r="H2918" t="str">
        <f>VLOOKUP(G2918,[1]OPERADORES!$A:$B,2,0)</f>
        <v>SÔNIA</v>
      </c>
      <c r="I2918" t="s">
        <v>715</v>
      </c>
      <c r="J2918" t="s">
        <v>716</v>
      </c>
      <c r="K2918" t="s">
        <v>3125</v>
      </c>
      <c r="L2918">
        <v>10243</v>
      </c>
      <c r="M2918" t="s">
        <v>83</v>
      </c>
      <c r="O2918" t="s">
        <v>11</v>
      </c>
      <c r="P2918">
        <v>6102</v>
      </c>
      <c r="Q2918">
        <v>12</v>
      </c>
      <c r="R2918">
        <v>2.79</v>
      </c>
      <c r="S2918">
        <v>33.479999999999997</v>
      </c>
      <c r="T2918">
        <v>23.16</v>
      </c>
      <c r="U2918">
        <v>30.82</v>
      </c>
      <c r="V2918" t="str">
        <f>VLOOKUP(L2918,'[2]tabela de preços'!$A:$D,4,0)</f>
        <v>NORTON</v>
      </c>
      <c r="W2918" t="str">
        <f>VLOOKUP(L2918,'[2]tabela de preços'!$A:$F,6,0)</f>
        <v xml:space="preserve">DISCOS / LIXAS / ABRASIVOS </v>
      </c>
      <c r="X2918" t="str">
        <f>VLOOKUP(L2918,'[2]tabela de preços'!$A:$G,7,0)</f>
        <v>AUTOMOTIVO</v>
      </c>
    </row>
    <row r="2919" spans="1:24" x14ac:dyDescent="0.3">
      <c r="A2919" t="s">
        <v>3122</v>
      </c>
      <c r="C2919" t="s">
        <v>3123</v>
      </c>
      <c r="D2919" s="1">
        <v>46065</v>
      </c>
      <c r="E2919" t="s">
        <v>3124</v>
      </c>
      <c r="F2919">
        <v>9</v>
      </c>
      <c r="G2919">
        <v>230</v>
      </c>
      <c r="H2919" t="str">
        <f>VLOOKUP(G2919,[1]OPERADORES!$A:$B,2,0)</f>
        <v>SÔNIA</v>
      </c>
      <c r="I2919" t="s">
        <v>715</v>
      </c>
      <c r="J2919" t="s">
        <v>716</v>
      </c>
      <c r="K2919" t="s">
        <v>3125</v>
      </c>
      <c r="L2919">
        <v>10245</v>
      </c>
      <c r="M2919" t="s">
        <v>195</v>
      </c>
      <c r="O2919" t="s">
        <v>11</v>
      </c>
      <c r="P2919">
        <v>6102</v>
      </c>
      <c r="Q2919">
        <v>12</v>
      </c>
      <c r="R2919">
        <v>2.79</v>
      </c>
      <c r="S2919">
        <v>33.479999999999997</v>
      </c>
      <c r="T2919">
        <v>23.16</v>
      </c>
      <c r="U2919">
        <v>30.82</v>
      </c>
      <c r="V2919" t="str">
        <f>VLOOKUP(L2919,'[2]tabela de preços'!$A:$D,4,0)</f>
        <v>NORTON</v>
      </c>
      <c r="W2919" t="str">
        <f>VLOOKUP(L2919,'[2]tabela de preços'!$A:$F,6,0)</f>
        <v xml:space="preserve">DISCOS / LIXAS / ABRASIVOS </v>
      </c>
      <c r="X2919" t="str">
        <f>VLOOKUP(L2919,'[2]tabela de preços'!$A:$G,7,0)</f>
        <v>AUTOMOTIVO</v>
      </c>
    </row>
    <row r="2920" spans="1:24" x14ac:dyDescent="0.3">
      <c r="A2920" t="s">
        <v>3122</v>
      </c>
      <c r="C2920" t="s">
        <v>3123</v>
      </c>
      <c r="D2920" s="1">
        <v>46065</v>
      </c>
      <c r="E2920" t="s">
        <v>3124</v>
      </c>
      <c r="F2920">
        <v>9</v>
      </c>
      <c r="G2920">
        <v>230</v>
      </c>
      <c r="H2920" t="str">
        <f>VLOOKUP(G2920,[1]OPERADORES!$A:$B,2,0)</f>
        <v>SÔNIA</v>
      </c>
      <c r="I2920" t="s">
        <v>715</v>
      </c>
      <c r="J2920" t="s">
        <v>716</v>
      </c>
      <c r="K2920" t="s">
        <v>3125</v>
      </c>
      <c r="L2920">
        <v>10246</v>
      </c>
      <c r="M2920" t="s">
        <v>206</v>
      </c>
      <c r="O2920" t="s">
        <v>11</v>
      </c>
      <c r="P2920">
        <v>6102</v>
      </c>
      <c r="Q2920">
        <v>12</v>
      </c>
      <c r="R2920">
        <v>2.79</v>
      </c>
      <c r="S2920">
        <v>33.479999999999997</v>
      </c>
      <c r="T2920">
        <v>23.16</v>
      </c>
      <c r="U2920">
        <v>30.82</v>
      </c>
      <c r="V2920" t="str">
        <f>VLOOKUP(L2920,'[2]tabela de preços'!$A:$D,4,0)</f>
        <v>NORTON</v>
      </c>
      <c r="W2920" t="str">
        <f>VLOOKUP(L2920,'[2]tabela de preços'!$A:$F,6,0)</f>
        <v xml:space="preserve">DISCOS / LIXAS / ABRASIVOS </v>
      </c>
      <c r="X2920" t="str">
        <f>VLOOKUP(L2920,'[2]tabela de preços'!$A:$G,7,0)</f>
        <v>AUTOMOTIVO</v>
      </c>
    </row>
    <row r="2921" spans="1:24" x14ac:dyDescent="0.3">
      <c r="A2921" t="s">
        <v>3122</v>
      </c>
      <c r="C2921" t="s">
        <v>3123</v>
      </c>
      <c r="D2921" s="1">
        <v>46065</v>
      </c>
      <c r="E2921" t="s">
        <v>3124</v>
      </c>
      <c r="F2921">
        <v>9</v>
      </c>
      <c r="G2921">
        <v>230</v>
      </c>
      <c r="H2921" t="str">
        <f>VLOOKUP(G2921,[1]OPERADORES!$A:$B,2,0)</f>
        <v>SÔNIA</v>
      </c>
      <c r="I2921" t="s">
        <v>715</v>
      </c>
      <c r="J2921" t="s">
        <v>716</v>
      </c>
      <c r="K2921" t="s">
        <v>3125</v>
      </c>
      <c r="L2921">
        <v>20817</v>
      </c>
      <c r="M2921" t="s">
        <v>153</v>
      </c>
      <c r="O2921" t="s">
        <v>11</v>
      </c>
      <c r="P2921">
        <v>6102</v>
      </c>
      <c r="Q2921">
        <v>12</v>
      </c>
      <c r="R2921">
        <v>22.89</v>
      </c>
      <c r="S2921">
        <v>274.68</v>
      </c>
      <c r="T2921">
        <v>223.44</v>
      </c>
      <c r="U2921">
        <v>18.649999999999999</v>
      </c>
      <c r="V2921" t="str">
        <f>VLOOKUP(L2921,'[2]tabela de preços'!$A:$D,4,0)</f>
        <v>AUTO AMERICA</v>
      </c>
      <c r="W2921" t="str">
        <f>VLOOKUP(L2921,'[2]tabela de preços'!$A:$F,6,0)</f>
        <v>MASSA DE POLIR</v>
      </c>
      <c r="X2921" t="str">
        <f>VLOOKUP(L2921,'[2]tabela de preços'!$A:$G,7,0)</f>
        <v>AUTOMOTIVO</v>
      </c>
    </row>
    <row r="2922" spans="1:24" x14ac:dyDescent="0.3">
      <c r="A2922" t="s">
        <v>3122</v>
      </c>
      <c r="C2922" t="s">
        <v>3123</v>
      </c>
      <c r="D2922" s="1">
        <v>46065</v>
      </c>
      <c r="E2922" t="s">
        <v>3124</v>
      </c>
      <c r="F2922">
        <v>9</v>
      </c>
      <c r="G2922">
        <v>230</v>
      </c>
      <c r="H2922" t="str">
        <f>VLOOKUP(G2922,[1]OPERADORES!$A:$B,2,0)</f>
        <v>SÔNIA</v>
      </c>
      <c r="I2922" t="s">
        <v>715</v>
      </c>
      <c r="J2922" t="s">
        <v>716</v>
      </c>
      <c r="K2922" t="s">
        <v>3125</v>
      </c>
      <c r="L2922">
        <v>21077</v>
      </c>
      <c r="M2922" t="s">
        <v>207</v>
      </c>
      <c r="O2922" t="s">
        <v>11</v>
      </c>
      <c r="P2922">
        <v>6102</v>
      </c>
      <c r="Q2922">
        <v>12</v>
      </c>
      <c r="R2922">
        <v>52.57</v>
      </c>
      <c r="S2922">
        <v>630.84</v>
      </c>
      <c r="T2922">
        <v>407.04</v>
      </c>
      <c r="U2922">
        <v>35.479999999999997</v>
      </c>
      <c r="V2922" t="str">
        <f>VLOOKUP(L2922,'[2]tabela de preços'!$A:$D,4,0)</f>
        <v>SHERWIN WILLIAMS</v>
      </c>
      <c r="W2922" t="str">
        <f>VLOOKUP(L2922,'[2]tabela de preços'!$A:$F,6,0)</f>
        <v>MASSA POLIÉSTER</v>
      </c>
      <c r="X2922" t="str">
        <f>VLOOKUP(L2922,'[2]tabela de preços'!$A:$G,7,0)</f>
        <v>AUTOMOTIVO</v>
      </c>
    </row>
    <row r="2923" spans="1:24" x14ac:dyDescent="0.3">
      <c r="A2923" t="s">
        <v>3122</v>
      </c>
      <c r="C2923" t="s">
        <v>3123</v>
      </c>
      <c r="D2923" s="1">
        <v>46065</v>
      </c>
      <c r="E2923" t="s">
        <v>3124</v>
      </c>
      <c r="F2923">
        <v>9</v>
      </c>
      <c r="G2923">
        <v>230</v>
      </c>
      <c r="H2923" t="str">
        <f>VLOOKUP(G2923,[1]OPERADORES!$A:$B,2,0)</f>
        <v>SÔNIA</v>
      </c>
      <c r="I2923" t="s">
        <v>715</v>
      </c>
      <c r="J2923" t="s">
        <v>716</v>
      </c>
      <c r="K2923" t="s">
        <v>3125</v>
      </c>
      <c r="L2923">
        <v>22179</v>
      </c>
      <c r="M2923" t="s">
        <v>3127</v>
      </c>
      <c r="O2923" t="s">
        <v>11</v>
      </c>
      <c r="P2923">
        <v>6102</v>
      </c>
      <c r="Q2923">
        <v>12</v>
      </c>
      <c r="R2923">
        <v>12.84</v>
      </c>
      <c r="S2923">
        <v>154.08000000000001</v>
      </c>
      <c r="T2923">
        <v>117</v>
      </c>
      <c r="U2923">
        <v>24.07</v>
      </c>
      <c r="V2923" t="str">
        <f>VLOOKUP(L2923,'[2]tabela de preços'!$A:$D,4,0)</f>
        <v>MADRUGA</v>
      </c>
      <c r="W2923" t="str">
        <f>VLOOKUP(L2923,'[2]tabela de preços'!$A:$F,6,0)</f>
        <v>PAPEL DE MASCARAMENTO</v>
      </c>
      <c r="X2923" t="str">
        <f>VLOOKUP(L2923,'[2]tabela de preços'!$A:$G,7,0)</f>
        <v>AUTOMOTIVO</v>
      </c>
    </row>
    <row r="2924" spans="1:24" x14ac:dyDescent="0.3">
      <c r="A2924" t="s">
        <v>3122</v>
      </c>
      <c r="C2924" t="s">
        <v>3123</v>
      </c>
      <c r="D2924" s="1">
        <v>46065</v>
      </c>
      <c r="E2924" t="s">
        <v>3124</v>
      </c>
      <c r="F2924">
        <v>9</v>
      </c>
      <c r="G2924">
        <v>230</v>
      </c>
      <c r="H2924" t="str">
        <f>VLOOKUP(G2924,[1]OPERADORES!$A:$B,2,0)</f>
        <v>SÔNIA</v>
      </c>
      <c r="I2924" t="s">
        <v>715</v>
      </c>
      <c r="J2924" t="s">
        <v>716</v>
      </c>
      <c r="K2924" t="s">
        <v>3125</v>
      </c>
      <c r="L2924">
        <v>24247</v>
      </c>
      <c r="M2924" t="s">
        <v>160</v>
      </c>
      <c r="O2924" t="s">
        <v>11</v>
      </c>
      <c r="P2924">
        <v>6403</v>
      </c>
      <c r="Q2924">
        <v>12</v>
      </c>
      <c r="R2924">
        <v>21</v>
      </c>
      <c r="S2924">
        <v>252</v>
      </c>
      <c r="T2924">
        <v>202.44</v>
      </c>
      <c r="U2924">
        <v>19.670000000000002</v>
      </c>
      <c r="V2924" t="str">
        <f>VLOOKUP(L2924,'[2]tabela de preços'!$A:$D,4,0)</f>
        <v>SHERWIN WILLIAMS</v>
      </c>
      <c r="W2924" t="str">
        <f>VLOOKUP(L2924,'[2]tabela de preços'!$A:$F,6,0)</f>
        <v>PRIMER AUTOMOTIVO</v>
      </c>
      <c r="X2924" t="str">
        <f>VLOOKUP(L2924,'[2]tabela de preços'!$A:$G,7,0)</f>
        <v>AUTOMOTIVO</v>
      </c>
    </row>
    <row r="2925" spans="1:24" x14ac:dyDescent="0.3">
      <c r="A2925" t="s">
        <v>3122</v>
      </c>
      <c r="C2925" t="s">
        <v>3123</v>
      </c>
      <c r="D2925" s="1">
        <v>46065</v>
      </c>
      <c r="E2925" t="s">
        <v>3124</v>
      </c>
      <c r="F2925">
        <v>9</v>
      </c>
      <c r="G2925">
        <v>230</v>
      </c>
      <c r="H2925" t="str">
        <f>VLOOKUP(G2925,[1]OPERADORES!$A:$B,2,0)</f>
        <v>SÔNIA</v>
      </c>
      <c r="I2925" t="s">
        <v>715</v>
      </c>
      <c r="J2925" t="s">
        <v>716</v>
      </c>
      <c r="K2925" t="s">
        <v>3125</v>
      </c>
      <c r="L2925">
        <v>84560</v>
      </c>
      <c r="M2925" t="s">
        <v>118</v>
      </c>
      <c r="O2925" t="s">
        <v>11</v>
      </c>
      <c r="P2925">
        <v>6102</v>
      </c>
      <c r="Q2925">
        <v>1</v>
      </c>
      <c r="R2925">
        <v>47.89</v>
      </c>
      <c r="S2925">
        <v>47.89</v>
      </c>
      <c r="T2925">
        <v>39.159999999999997</v>
      </c>
      <c r="U2925">
        <v>18.23</v>
      </c>
      <c r="V2925" t="str">
        <f>VLOOKUP(L2925,'[2]tabela de preços'!$A:$D,4,0)</f>
        <v>BRASILUX</v>
      </c>
      <c r="W2925" t="str">
        <f>VLOOKUP(L2925,'[2]tabela de preços'!$A:$F,6,0)</f>
        <v>THINNER DE LIMPEZA</v>
      </c>
      <c r="X2925" t="str">
        <f>VLOOKUP(L2925,'[2]tabela de preços'!$A:$G,7,0)</f>
        <v>THINNER</v>
      </c>
    </row>
    <row r="2926" spans="1:24" x14ac:dyDescent="0.3">
      <c r="A2926" t="s">
        <v>3122</v>
      </c>
      <c r="C2926" t="s">
        <v>3123</v>
      </c>
      <c r="D2926" s="1">
        <v>46065</v>
      </c>
      <c r="E2926" t="s">
        <v>3124</v>
      </c>
      <c r="F2926">
        <v>9</v>
      </c>
      <c r="G2926">
        <v>230</v>
      </c>
      <c r="H2926" t="str">
        <f>VLOOKUP(G2926,[1]OPERADORES!$A:$B,2,0)</f>
        <v>SÔNIA</v>
      </c>
      <c r="I2926" t="s">
        <v>715</v>
      </c>
      <c r="J2926" t="s">
        <v>716</v>
      </c>
      <c r="K2926" t="s">
        <v>3125</v>
      </c>
      <c r="L2926">
        <v>21316</v>
      </c>
      <c r="M2926" t="s">
        <v>1829</v>
      </c>
      <c r="O2926" t="s">
        <v>11</v>
      </c>
      <c r="P2926">
        <v>6102</v>
      </c>
      <c r="Q2926">
        <v>1</v>
      </c>
      <c r="R2926">
        <v>124.15</v>
      </c>
      <c r="S2926">
        <v>124.15</v>
      </c>
      <c r="T2926">
        <v>94.23</v>
      </c>
      <c r="U2926">
        <v>24.1</v>
      </c>
      <c r="V2926" t="str">
        <f>VLOOKUP(L2926,'[2]tabela de preços'!$A:$D,4,0)</f>
        <v>SHERWIN WILLIAMS</v>
      </c>
      <c r="W2926" t="str">
        <f>VLOOKUP(L2926,'[2]tabela de preços'!$A:$F,6,0)</f>
        <v>DILUENTE</v>
      </c>
      <c r="X2926" t="str">
        <f>VLOOKUP(L2926,'[2]tabela de preços'!$A:$G,7,0)</f>
        <v>AUTOMOTIVO</v>
      </c>
    </row>
    <row r="2927" spans="1:24" x14ac:dyDescent="0.3">
      <c r="A2927" t="s">
        <v>3122</v>
      </c>
      <c r="C2927" t="s">
        <v>3123</v>
      </c>
      <c r="D2927" s="1">
        <v>46065</v>
      </c>
      <c r="E2927" t="s">
        <v>3124</v>
      </c>
      <c r="F2927">
        <v>9</v>
      </c>
      <c r="G2927">
        <v>230</v>
      </c>
      <c r="H2927" t="str">
        <f>VLOOKUP(G2927,[1]OPERADORES!$A:$B,2,0)</f>
        <v>SÔNIA</v>
      </c>
      <c r="I2927" t="s">
        <v>715</v>
      </c>
      <c r="J2927" t="s">
        <v>716</v>
      </c>
      <c r="K2927" t="s">
        <v>3125</v>
      </c>
      <c r="L2927">
        <v>20454</v>
      </c>
      <c r="M2927" t="s">
        <v>1086</v>
      </c>
      <c r="O2927" t="s">
        <v>11</v>
      </c>
      <c r="P2927">
        <v>6403</v>
      </c>
      <c r="Q2927">
        <v>1</v>
      </c>
      <c r="R2927">
        <v>184.14</v>
      </c>
      <c r="S2927">
        <v>184.14</v>
      </c>
      <c r="T2927">
        <v>139.77000000000001</v>
      </c>
      <c r="U2927">
        <v>24.1</v>
      </c>
      <c r="V2927" t="str">
        <f>VLOOKUP(L2927,'[2]tabela de preços'!$A:$D,4,0)</f>
        <v>SHERWIN WILLIAMS</v>
      </c>
      <c r="W2927" t="str">
        <f>VLOOKUP(L2927,'[2]tabela de preços'!$A:$F,6,0)</f>
        <v>VERNIZ AUTOMOTIVO</v>
      </c>
      <c r="X2927" t="str">
        <f>VLOOKUP(L2927,'[2]tabela de preços'!$A:$G,7,0)</f>
        <v>AUTOMOTIVO</v>
      </c>
    </row>
    <row r="2928" spans="1:24" x14ac:dyDescent="0.3">
      <c r="A2928" t="s">
        <v>2501</v>
      </c>
      <c r="C2928" t="s">
        <v>2502</v>
      </c>
      <c r="D2928" s="1">
        <v>46056</v>
      </c>
      <c r="E2928" t="s">
        <v>2503</v>
      </c>
      <c r="F2928">
        <v>9</v>
      </c>
      <c r="G2928">
        <v>197</v>
      </c>
      <c r="H2928" t="str">
        <f>VLOOKUP(G2928,[1]OPERADORES!$A:$B,2,0)</f>
        <v xml:space="preserve">POLIANA LORRANE DE AMORIM </v>
      </c>
      <c r="I2928" t="s">
        <v>2504</v>
      </c>
      <c r="J2928" t="s">
        <v>2505</v>
      </c>
      <c r="K2928" t="s">
        <v>2506</v>
      </c>
      <c r="L2928">
        <v>85324</v>
      </c>
      <c r="M2928" t="s">
        <v>1846</v>
      </c>
      <c r="O2928" t="s">
        <v>11</v>
      </c>
      <c r="P2928">
        <v>5102</v>
      </c>
      <c r="Q2928">
        <v>2</v>
      </c>
      <c r="R2928">
        <v>550</v>
      </c>
      <c r="S2928" s="2">
        <v>1100</v>
      </c>
      <c r="T2928">
        <v>733.3</v>
      </c>
      <c r="U2928">
        <v>33.340000000000003</v>
      </c>
      <c r="V2928" t="str">
        <f>VLOOKUP(L2928,'[2]tabela de preços'!$A:$D,4,0)</f>
        <v>BRASILUX</v>
      </c>
      <c r="W2928" t="str">
        <f>VLOOKUP(L2928,'[2]tabela de preços'!$A:$F,6,0)</f>
        <v>TINTA EM PÓ</v>
      </c>
      <c r="X2928" t="str">
        <f>VLOOKUP(L2928,'[2]tabela de preços'!$A:$G,7,0)</f>
        <v>INDUSTRIAL</v>
      </c>
    </row>
    <row r="2929" spans="1:24" x14ac:dyDescent="0.3">
      <c r="A2929" t="s">
        <v>2774</v>
      </c>
      <c r="C2929" t="s">
        <v>2775</v>
      </c>
      <c r="D2929" s="1">
        <v>46059</v>
      </c>
      <c r="E2929" t="s">
        <v>2776</v>
      </c>
      <c r="F2929">
        <v>9</v>
      </c>
      <c r="G2929">
        <v>231</v>
      </c>
      <c r="H2929" t="str">
        <f>VLOOKUP(G2929,[1]OPERADORES!$A:$B,2,0)</f>
        <v>EDIJANE</v>
      </c>
      <c r="I2929" t="s">
        <v>21</v>
      </c>
      <c r="J2929" t="s">
        <v>531</v>
      </c>
      <c r="K2929" t="s">
        <v>2777</v>
      </c>
      <c r="L2929">
        <v>10298</v>
      </c>
      <c r="M2929" t="s">
        <v>85</v>
      </c>
      <c r="O2929" t="s">
        <v>11</v>
      </c>
      <c r="P2929">
        <v>5102</v>
      </c>
      <c r="Q2929">
        <v>1</v>
      </c>
      <c r="R2929">
        <v>56.89</v>
      </c>
      <c r="S2929">
        <v>56.89</v>
      </c>
      <c r="T2929">
        <v>47.38</v>
      </c>
      <c r="U2929">
        <v>16.72</v>
      </c>
      <c r="V2929" t="str">
        <f>VLOOKUP(L2929,'[2]tabela de preços'!$A:$D,4,0)</f>
        <v>ANJO</v>
      </c>
      <c r="W2929" t="str">
        <f>VLOOKUP(L2929,'[2]tabela de preços'!$A:$F,6,0)</f>
        <v>THINNER DE LIMPEZA</v>
      </c>
      <c r="X2929" t="str">
        <f>VLOOKUP(L2929,'[2]tabela de preços'!$A:$G,7,0)</f>
        <v>THINNER</v>
      </c>
    </row>
    <row r="2930" spans="1:24" x14ac:dyDescent="0.3">
      <c r="A2930" t="s">
        <v>2774</v>
      </c>
      <c r="C2930" t="s">
        <v>2775</v>
      </c>
      <c r="D2930" s="1">
        <v>46059</v>
      </c>
      <c r="E2930" t="s">
        <v>2776</v>
      </c>
      <c r="F2930">
        <v>9</v>
      </c>
      <c r="G2930">
        <v>231</v>
      </c>
      <c r="H2930" t="str">
        <f>VLOOKUP(G2930,[1]OPERADORES!$A:$B,2,0)</f>
        <v>EDIJANE</v>
      </c>
      <c r="I2930" t="s">
        <v>21</v>
      </c>
      <c r="J2930" t="s">
        <v>531</v>
      </c>
      <c r="K2930" t="s">
        <v>2777</v>
      </c>
      <c r="L2930">
        <v>85424</v>
      </c>
      <c r="M2930" t="s">
        <v>2644</v>
      </c>
      <c r="O2930" t="s">
        <v>11</v>
      </c>
      <c r="P2930">
        <v>5102</v>
      </c>
      <c r="Q2930">
        <v>1</v>
      </c>
      <c r="R2930">
        <v>530.51</v>
      </c>
      <c r="S2930">
        <v>530.51</v>
      </c>
      <c r="T2930">
        <v>378.26</v>
      </c>
      <c r="U2930">
        <v>28.7</v>
      </c>
      <c r="V2930" t="str">
        <f>VLOOKUP(L2930,'[2]tabela de preços'!$A:$D,4,0)</f>
        <v>BRASILUX</v>
      </c>
      <c r="W2930" t="str">
        <f>VLOOKUP(L2930,'[2]tabela de preços'!$A:$F,6,0)</f>
        <v>TINTA EM PÓ</v>
      </c>
      <c r="X2930" t="str">
        <f>VLOOKUP(L2930,'[2]tabela de preços'!$A:$G,7,0)</f>
        <v>INDUSTRIAL</v>
      </c>
    </row>
    <row r="2931" spans="1:24" x14ac:dyDescent="0.3">
      <c r="A2931" t="s">
        <v>923</v>
      </c>
      <c r="C2931" t="s">
        <v>2778</v>
      </c>
      <c r="D2931" s="1">
        <v>46059</v>
      </c>
      <c r="E2931" t="s">
        <v>2779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211</v>
      </c>
      <c r="K2931" t="s">
        <v>926</v>
      </c>
      <c r="L2931">
        <v>23926</v>
      </c>
      <c r="M2931" t="s">
        <v>645</v>
      </c>
      <c r="O2931" t="s">
        <v>11</v>
      </c>
      <c r="P2931">
        <v>5403</v>
      </c>
      <c r="Q2931">
        <v>1</v>
      </c>
      <c r="R2931">
        <v>159.22</v>
      </c>
      <c r="S2931">
        <v>159.22</v>
      </c>
      <c r="T2931">
        <v>98.89</v>
      </c>
      <c r="U2931">
        <v>37.89</v>
      </c>
      <c r="V2931" t="str">
        <f>VLOOKUP(L2931,'[2]tabela de preços'!$A:$D,4,0)</f>
        <v>SIKKENS</v>
      </c>
      <c r="W2931" t="str">
        <f>VLOOKUP(L2931,'[2]tabela de preços'!$A:$F,6,0)</f>
        <v>PRIMER AUTOMOTIVO</v>
      </c>
      <c r="X2931" t="str">
        <f>VLOOKUP(L2931,'[2]tabela de preços'!$A:$G,7,0)</f>
        <v>AUTOMOTIVO</v>
      </c>
    </row>
    <row r="2932" spans="1:24" x14ac:dyDescent="0.3">
      <c r="A2932" t="s">
        <v>923</v>
      </c>
      <c r="C2932" t="s">
        <v>2778</v>
      </c>
      <c r="D2932" s="1">
        <v>46059</v>
      </c>
      <c r="E2932" t="s">
        <v>2779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211</v>
      </c>
      <c r="K2932" t="s">
        <v>926</v>
      </c>
      <c r="L2932">
        <v>20414</v>
      </c>
      <c r="M2932" t="s">
        <v>112</v>
      </c>
      <c r="O2932" t="s">
        <v>11</v>
      </c>
      <c r="P2932">
        <v>5102</v>
      </c>
      <c r="Q2932">
        <v>5</v>
      </c>
      <c r="R2932">
        <v>21.89</v>
      </c>
      <c r="S2932">
        <v>109.45</v>
      </c>
      <c r="T2932">
        <v>90</v>
      </c>
      <c r="U2932">
        <v>17.77</v>
      </c>
      <c r="V2932" t="str">
        <f>VLOOKUP(L2932,'[2]tabela de preços'!$A:$D,4,0)</f>
        <v>SHERWIN WILLIAMS</v>
      </c>
      <c r="W2932" t="str">
        <f>VLOOKUP(L2932,'[2]tabela de preços'!$A:$F,6,0)</f>
        <v>DILUENTE</v>
      </c>
      <c r="X2932" t="str">
        <f>VLOOKUP(L2932,'[2]tabela de preços'!$A:$G,7,0)</f>
        <v>AUTOMOTIVO</v>
      </c>
    </row>
    <row r="2933" spans="1:24" x14ac:dyDescent="0.3">
      <c r="A2933" t="s">
        <v>923</v>
      </c>
      <c r="C2933" t="s">
        <v>2910</v>
      </c>
      <c r="D2933" s="1">
        <v>46063</v>
      </c>
      <c r="E2933" t="s">
        <v>2911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211</v>
      </c>
      <c r="K2933" t="s">
        <v>926</v>
      </c>
      <c r="L2933">
        <v>23110</v>
      </c>
      <c r="M2933" t="s">
        <v>409</v>
      </c>
      <c r="O2933" t="s">
        <v>11</v>
      </c>
      <c r="P2933">
        <v>5102</v>
      </c>
      <c r="Q2933">
        <v>50</v>
      </c>
      <c r="R2933">
        <v>2.35</v>
      </c>
      <c r="S2933">
        <v>117.5</v>
      </c>
      <c r="T2933">
        <v>92.5</v>
      </c>
      <c r="U2933">
        <v>21.28</v>
      </c>
      <c r="V2933" t="str">
        <f>VLOOKUP(L2933,'[2]tabela de preços'!$A:$D,4,0)</f>
        <v>3M</v>
      </c>
      <c r="W2933" t="str">
        <f>VLOOKUP(L2933,'[2]tabela de preços'!$A:$F,6,0)</f>
        <v xml:space="preserve">DISCOS / LIXAS / ABRASIVOS </v>
      </c>
      <c r="X2933" t="str">
        <f>VLOOKUP(L2933,'[2]tabela de preços'!$A:$G,7,0)</f>
        <v>AUTOMOTIVO</v>
      </c>
    </row>
    <row r="2934" spans="1:24" x14ac:dyDescent="0.3">
      <c r="A2934" t="s">
        <v>923</v>
      </c>
      <c r="C2934" t="s">
        <v>2910</v>
      </c>
      <c r="D2934" s="1">
        <v>46063</v>
      </c>
      <c r="E2934" t="s">
        <v>2911</v>
      </c>
      <c r="F2934">
        <v>9</v>
      </c>
      <c r="G2934">
        <v>236</v>
      </c>
      <c r="H2934" t="str">
        <f>VLOOKUP(G2934,[1]OPERADORES!$A:$B,2,0)</f>
        <v>DANIEL</v>
      </c>
      <c r="I2934" t="s">
        <v>21</v>
      </c>
      <c r="J2934" t="s">
        <v>211</v>
      </c>
      <c r="K2934" t="s">
        <v>926</v>
      </c>
      <c r="L2934">
        <v>22684</v>
      </c>
      <c r="M2934" t="s">
        <v>73</v>
      </c>
      <c r="O2934" t="s">
        <v>11</v>
      </c>
      <c r="P2934">
        <v>5102</v>
      </c>
      <c r="Q2934">
        <v>80</v>
      </c>
      <c r="R2934">
        <v>3.65</v>
      </c>
      <c r="S2934">
        <v>292</v>
      </c>
      <c r="T2934">
        <v>246.4</v>
      </c>
      <c r="U2934">
        <v>15.62</v>
      </c>
      <c r="V2934" t="str">
        <f>VLOOKUP(L2934,'[2]tabela de preços'!$A:$D,4,0)</f>
        <v>3M</v>
      </c>
      <c r="W2934" t="str">
        <f>VLOOKUP(L2934,'[2]tabela de preços'!$A:$F,6,0)</f>
        <v>FITA AUTOMOTIVA</v>
      </c>
      <c r="X2934" t="str">
        <f>VLOOKUP(L2934,'[2]tabela de preços'!$A:$G,7,0)</f>
        <v>AUTOMOTIVO</v>
      </c>
    </row>
    <row r="2935" spans="1:24" x14ac:dyDescent="0.3">
      <c r="A2935" t="s">
        <v>923</v>
      </c>
      <c r="C2935" t="s">
        <v>2910</v>
      </c>
      <c r="D2935" s="1">
        <v>46063</v>
      </c>
      <c r="E2935" t="s">
        <v>2911</v>
      </c>
      <c r="F2935">
        <v>9</v>
      </c>
      <c r="G2935">
        <v>236</v>
      </c>
      <c r="H2935" t="str">
        <f>VLOOKUP(G2935,[1]OPERADORES!$A:$B,2,0)</f>
        <v>DANIEL</v>
      </c>
      <c r="I2935" t="s">
        <v>21</v>
      </c>
      <c r="J2935" t="s">
        <v>211</v>
      </c>
      <c r="K2935" t="s">
        <v>926</v>
      </c>
      <c r="L2935">
        <v>22188</v>
      </c>
      <c r="M2935" t="s">
        <v>78</v>
      </c>
      <c r="O2935" t="s">
        <v>11</v>
      </c>
      <c r="P2935">
        <v>5102</v>
      </c>
      <c r="Q2935">
        <v>4</v>
      </c>
      <c r="R2935">
        <v>15.19</v>
      </c>
      <c r="S2935">
        <v>60.76</v>
      </c>
      <c r="T2935">
        <v>43.56</v>
      </c>
      <c r="U2935">
        <v>28.31</v>
      </c>
      <c r="V2935" t="str">
        <f>VLOOKUP(L2935,'[2]tabela de preços'!$A:$D,4,0)</f>
        <v>3M</v>
      </c>
      <c r="W2935" t="str">
        <f>VLOOKUP(L2935,'[2]tabela de preços'!$A:$F,6,0)</f>
        <v>FITA AUTOMOTIVA</v>
      </c>
      <c r="X2935" t="str">
        <f>VLOOKUP(L2935,'[2]tabela de preços'!$A:$G,7,0)</f>
        <v>AUTOMOTIVO</v>
      </c>
    </row>
    <row r="2936" spans="1:24" x14ac:dyDescent="0.3">
      <c r="A2936" t="s">
        <v>923</v>
      </c>
      <c r="C2936" t="s">
        <v>2910</v>
      </c>
      <c r="D2936" s="1">
        <v>46063</v>
      </c>
      <c r="E2936" t="s">
        <v>2911</v>
      </c>
      <c r="F2936">
        <v>9</v>
      </c>
      <c r="G2936">
        <v>236</v>
      </c>
      <c r="H2936" t="str">
        <f>VLOOKUP(G2936,[1]OPERADORES!$A:$B,2,0)</f>
        <v>DANIEL</v>
      </c>
      <c r="I2936" t="s">
        <v>21</v>
      </c>
      <c r="J2936" t="s">
        <v>211</v>
      </c>
      <c r="K2936" t="s">
        <v>926</v>
      </c>
      <c r="L2936">
        <v>84560</v>
      </c>
      <c r="M2936" t="s">
        <v>118</v>
      </c>
      <c r="O2936" t="s">
        <v>11</v>
      </c>
      <c r="P2936">
        <v>5102</v>
      </c>
      <c r="Q2936">
        <v>8</v>
      </c>
      <c r="R2936">
        <v>47.89</v>
      </c>
      <c r="S2936">
        <v>383.12</v>
      </c>
      <c r="T2936">
        <v>313.27999999999997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923</v>
      </c>
      <c r="C2937" t="s">
        <v>3128</v>
      </c>
      <c r="D2937" s="1">
        <v>46065</v>
      </c>
      <c r="E2937" t="s">
        <v>3129</v>
      </c>
      <c r="F2937">
        <v>9</v>
      </c>
      <c r="G2937">
        <v>236</v>
      </c>
      <c r="H2937" t="str">
        <f>VLOOKUP(G2937,[1]OPERADORES!$A:$B,2,0)</f>
        <v>DANIEL</v>
      </c>
      <c r="I2937" t="s">
        <v>21</v>
      </c>
      <c r="J2937" t="s">
        <v>211</v>
      </c>
      <c r="K2937" t="s">
        <v>926</v>
      </c>
      <c r="L2937">
        <v>24248</v>
      </c>
      <c r="M2937" t="s">
        <v>107</v>
      </c>
      <c r="O2937" t="s">
        <v>11</v>
      </c>
      <c r="P2937">
        <v>5102</v>
      </c>
      <c r="Q2937">
        <v>12</v>
      </c>
      <c r="R2937">
        <v>8</v>
      </c>
      <c r="S2937">
        <v>96</v>
      </c>
      <c r="T2937">
        <v>78</v>
      </c>
      <c r="U2937">
        <v>18.75</v>
      </c>
      <c r="V2937" t="str">
        <f>VLOOKUP(L2937,'[2]tabela de preços'!$A:$D,4,0)</f>
        <v>SHERWIN WILLIAMS</v>
      </c>
      <c r="W2937" t="str">
        <f>VLOOKUP(L2937,'[2]tabela de preços'!$A:$F,6,0)</f>
        <v>PRIMER AUTOMOTIVO</v>
      </c>
      <c r="X2937" t="str">
        <f>VLOOKUP(L2937,'[2]tabela de preços'!$A:$G,7,0)</f>
        <v>AUTOMOTIVO</v>
      </c>
    </row>
    <row r="2938" spans="1:24" x14ac:dyDescent="0.3">
      <c r="A2938" t="s">
        <v>923</v>
      </c>
      <c r="C2938" t="s">
        <v>3128</v>
      </c>
      <c r="D2938" s="1">
        <v>46065</v>
      </c>
      <c r="E2938" t="s">
        <v>3129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211</v>
      </c>
      <c r="K2938" t="s">
        <v>926</v>
      </c>
      <c r="L2938">
        <v>24240</v>
      </c>
      <c r="M2938" t="s">
        <v>240</v>
      </c>
      <c r="O2938" t="s">
        <v>11</v>
      </c>
      <c r="P2938">
        <v>5102</v>
      </c>
      <c r="Q2938">
        <v>32</v>
      </c>
      <c r="R2938">
        <v>3.81</v>
      </c>
      <c r="S2938">
        <v>121.92</v>
      </c>
      <c r="T2938">
        <v>104.96</v>
      </c>
      <c r="U2938">
        <v>13.91</v>
      </c>
      <c r="V2938" t="str">
        <f>VLOOKUP(L2938,'[2]tabela de preços'!$A:$D,4,0)</f>
        <v>ADERE</v>
      </c>
      <c r="W2938" t="str">
        <f>VLOOKUP(L2938,'[2]tabela de preços'!$A:$F,6,0)</f>
        <v>FITA AUTOMOTIVA</v>
      </c>
      <c r="X2938" t="str">
        <f>VLOOKUP(L2938,'[2]tabela de preços'!$A:$G,7,0)</f>
        <v>AUTOMOTIVO</v>
      </c>
    </row>
    <row r="2939" spans="1:24" x14ac:dyDescent="0.3">
      <c r="A2939" t="s">
        <v>923</v>
      </c>
      <c r="C2939" t="s">
        <v>3128</v>
      </c>
      <c r="D2939" s="1">
        <v>46065</v>
      </c>
      <c r="E2939" t="s">
        <v>3129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211</v>
      </c>
      <c r="K2939" t="s">
        <v>926</v>
      </c>
      <c r="L2939">
        <v>21078</v>
      </c>
      <c r="M2939" t="s">
        <v>141</v>
      </c>
      <c r="O2939" t="s">
        <v>11</v>
      </c>
      <c r="P2939">
        <v>5102</v>
      </c>
      <c r="Q2939">
        <v>12</v>
      </c>
      <c r="R2939">
        <v>22.89</v>
      </c>
      <c r="S2939">
        <v>274.68</v>
      </c>
      <c r="T2939">
        <v>223.92</v>
      </c>
      <c r="U2939">
        <v>18.48</v>
      </c>
      <c r="V2939" t="str">
        <f>VLOOKUP(L2939,'[2]tabela de preços'!$A:$D,4,0)</f>
        <v>SHERWIN WILLIAMS</v>
      </c>
      <c r="W2939" t="str">
        <f>VLOOKUP(L2939,'[2]tabela de preços'!$A:$F,6,0)</f>
        <v>MASSA POLIÉSTER</v>
      </c>
      <c r="X2939" t="str">
        <f>VLOOKUP(L2939,'[2]tabela de preços'!$A:$G,7,0)</f>
        <v>AUTOMOTIVO</v>
      </c>
    </row>
    <row r="2940" spans="1:24" x14ac:dyDescent="0.3">
      <c r="A2940" t="s">
        <v>923</v>
      </c>
      <c r="C2940" t="s">
        <v>3128</v>
      </c>
      <c r="D2940" s="1">
        <v>46065</v>
      </c>
      <c r="E2940" t="s">
        <v>3129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211</v>
      </c>
      <c r="K2940" t="s">
        <v>926</v>
      </c>
      <c r="L2940">
        <v>24247</v>
      </c>
      <c r="M2940" t="s">
        <v>160</v>
      </c>
      <c r="O2940" t="s">
        <v>11</v>
      </c>
      <c r="P2940">
        <v>5403</v>
      </c>
      <c r="Q2940">
        <v>12</v>
      </c>
      <c r="R2940">
        <v>21</v>
      </c>
      <c r="S2940">
        <v>252</v>
      </c>
      <c r="T2940">
        <v>202.44</v>
      </c>
      <c r="U2940">
        <v>19.670000000000002</v>
      </c>
      <c r="V2940" t="str">
        <f>VLOOKUP(L2940,'[2]tabela de preços'!$A:$D,4,0)</f>
        <v>SHERWIN WILLIAMS</v>
      </c>
      <c r="W2940" t="str">
        <f>VLOOKUP(L2940,'[2]tabela de preços'!$A:$F,6,0)</f>
        <v>PRIMER AUTOMOTIVO</v>
      </c>
      <c r="X2940" t="str">
        <f>VLOOKUP(L2940,'[2]tabela de preços'!$A:$G,7,0)</f>
        <v>AUTOMOTIVO</v>
      </c>
    </row>
    <row r="2941" spans="1:24" x14ac:dyDescent="0.3">
      <c r="A2941" t="s">
        <v>923</v>
      </c>
      <c r="C2941" t="s">
        <v>3130</v>
      </c>
      <c r="D2941" s="1">
        <v>46065</v>
      </c>
      <c r="E2941" t="s">
        <v>3131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211</v>
      </c>
      <c r="K2941" t="s">
        <v>926</v>
      </c>
      <c r="L2941">
        <v>84108</v>
      </c>
      <c r="M2941" t="s">
        <v>144</v>
      </c>
      <c r="O2941" t="s">
        <v>11</v>
      </c>
      <c r="P2941">
        <v>5403</v>
      </c>
      <c r="Q2941">
        <v>6</v>
      </c>
      <c r="R2941">
        <v>28.89</v>
      </c>
      <c r="S2941">
        <v>173.34</v>
      </c>
      <c r="T2941">
        <v>124.26</v>
      </c>
      <c r="U2941">
        <v>28.31</v>
      </c>
      <c r="V2941" t="str">
        <f>VLOOKUP(L2941,'[2]tabela de preços'!$A:$D,4,0)</f>
        <v>BRASILUX</v>
      </c>
      <c r="W2941" t="str">
        <f>VLOOKUP(L2941,'[2]tabela de preços'!$A:$F,6,0)</f>
        <v>TINTAS LACA</v>
      </c>
      <c r="X2941" t="str">
        <f>VLOOKUP(L2941,'[2]tabela de preços'!$A:$G,7,0)</f>
        <v>AUTOMOTIVO</v>
      </c>
    </row>
    <row r="2942" spans="1:24" x14ac:dyDescent="0.3">
      <c r="A2942" t="s">
        <v>923</v>
      </c>
      <c r="C2942" t="s">
        <v>3130</v>
      </c>
      <c r="D2942" s="1">
        <v>46065</v>
      </c>
      <c r="E2942" t="s">
        <v>3131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211</v>
      </c>
      <c r="K2942" t="s">
        <v>926</v>
      </c>
      <c r="L2942">
        <v>23096</v>
      </c>
      <c r="M2942" t="s">
        <v>656</v>
      </c>
      <c r="O2942" t="s">
        <v>411</v>
      </c>
      <c r="P2942">
        <v>5102</v>
      </c>
      <c r="Q2942">
        <v>50</v>
      </c>
      <c r="R2942">
        <v>2.35</v>
      </c>
      <c r="S2942">
        <v>117.5</v>
      </c>
      <c r="T2942">
        <v>84.5</v>
      </c>
      <c r="U2942">
        <v>28.09</v>
      </c>
      <c r="V2942" t="str">
        <f>VLOOKUP(L2942,'[2]tabela de preços'!$A:$D,4,0)</f>
        <v>3M</v>
      </c>
      <c r="W2942" t="str">
        <f>VLOOKUP(L2942,'[2]tabela de preços'!$A:$F,6,0)</f>
        <v xml:space="preserve">DISCOS / LIXAS / ABRASIVOS </v>
      </c>
      <c r="X2942" t="str">
        <f>VLOOKUP(L2942,'[2]tabela de preços'!$A:$G,7,0)</f>
        <v>AUTOMOTIVO</v>
      </c>
    </row>
    <row r="2943" spans="1:24" x14ac:dyDescent="0.3">
      <c r="A2943" t="s">
        <v>923</v>
      </c>
      <c r="C2943" t="s">
        <v>3130</v>
      </c>
      <c r="D2943" s="1">
        <v>46065</v>
      </c>
      <c r="E2943" t="s">
        <v>3131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211</v>
      </c>
      <c r="K2943" t="s">
        <v>926</v>
      </c>
      <c r="L2943">
        <v>23102</v>
      </c>
      <c r="M2943" t="s">
        <v>413</v>
      </c>
      <c r="O2943" t="s">
        <v>11</v>
      </c>
      <c r="P2943">
        <v>5102</v>
      </c>
      <c r="Q2943">
        <v>50</v>
      </c>
      <c r="R2943">
        <v>2.35</v>
      </c>
      <c r="S2943">
        <v>117.5</v>
      </c>
      <c r="T2943">
        <v>64.5</v>
      </c>
      <c r="U2943">
        <v>45.11</v>
      </c>
      <c r="V2943" t="str">
        <f>VLOOKUP(L2943,'[2]tabela de preços'!$A:$D,4,0)</f>
        <v>3M</v>
      </c>
      <c r="W2943" t="str">
        <f>VLOOKUP(L2943,'[2]tabela de preços'!$A:$F,6,0)</f>
        <v xml:space="preserve">DISCOS / LIXAS / ABRASIVOS </v>
      </c>
      <c r="X2943" t="str">
        <f>VLOOKUP(L2943,'[2]tabela de preços'!$A:$G,7,0)</f>
        <v>AUTOMOTIVO</v>
      </c>
    </row>
    <row r="2944" spans="1:24" x14ac:dyDescent="0.3">
      <c r="A2944" t="s">
        <v>923</v>
      </c>
      <c r="C2944" t="s">
        <v>3130</v>
      </c>
      <c r="D2944" s="1">
        <v>46065</v>
      </c>
      <c r="E2944" t="s">
        <v>3131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211</v>
      </c>
      <c r="K2944" t="s">
        <v>926</v>
      </c>
      <c r="L2944">
        <v>84560</v>
      </c>
      <c r="M2944" t="s">
        <v>118</v>
      </c>
      <c r="O2944" t="s">
        <v>11</v>
      </c>
      <c r="P2944">
        <v>5102</v>
      </c>
      <c r="Q2944">
        <v>4</v>
      </c>
      <c r="R2944">
        <v>47.89</v>
      </c>
      <c r="S2944">
        <v>191.56</v>
      </c>
      <c r="T2944">
        <v>156.63999999999999</v>
      </c>
      <c r="U2944">
        <v>18.23</v>
      </c>
      <c r="V2944" t="str">
        <f>VLOOKUP(L2944,'[2]tabela de preços'!$A:$D,4,0)</f>
        <v>BRASILUX</v>
      </c>
      <c r="W2944" t="str">
        <f>VLOOKUP(L2944,'[2]tabela de preços'!$A:$F,6,0)</f>
        <v>THINNER DE LIMPEZA</v>
      </c>
      <c r="X2944" t="str">
        <f>VLOOKUP(L2944,'[2]tabela de preços'!$A:$G,7,0)</f>
        <v>THINNER</v>
      </c>
    </row>
    <row r="2945" spans="1:24" x14ac:dyDescent="0.3">
      <c r="A2945" t="s">
        <v>923</v>
      </c>
      <c r="C2945" t="s">
        <v>3132</v>
      </c>
      <c r="D2945" s="1">
        <v>46072</v>
      </c>
      <c r="E2945" t="s">
        <v>3133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211</v>
      </c>
      <c r="K2945" t="s">
        <v>926</v>
      </c>
      <c r="L2945">
        <v>24240</v>
      </c>
      <c r="M2945" t="s">
        <v>240</v>
      </c>
      <c r="O2945" t="s">
        <v>11</v>
      </c>
      <c r="P2945">
        <v>5102</v>
      </c>
      <c r="Q2945">
        <v>32</v>
      </c>
      <c r="R2945">
        <v>3.81</v>
      </c>
      <c r="S2945">
        <v>121.92</v>
      </c>
      <c r="T2945">
        <v>104.96</v>
      </c>
      <c r="U2945">
        <v>13.91</v>
      </c>
      <c r="V2945" t="str">
        <f>VLOOKUP(L2945,'[2]tabela de preços'!$A:$D,4,0)</f>
        <v>ADERE</v>
      </c>
      <c r="W2945" t="str">
        <f>VLOOKUP(L2945,'[2]tabela de preços'!$A:$F,6,0)</f>
        <v>FITA AUTOMOTIVA</v>
      </c>
      <c r="X2945" t="str">
        <f>VLOOKUP(L2945,'[2]tabela de preços'!$A:$G,7,0)</f>
        <v>AUTOMOTIVO</v>
      </c>
    </row>
    <row r="2946" spans="1:24" x14ac:dyDescent="0.3">
      <c r="A2946" t="s">
        <v>923</v>
      </c>
      <c r="C2946" t="s">
        <v>3132</v>
      </c>
      <c r="D2946" s="1">
        <v>46072</v>
      </c>
      <c r="E2946" t="s">
        <v>3133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211</v>
      </c>
      <c r="K2946" t="s">
        <v>926</v>
      </c>
      <c r="L2946">
        <v>23653</v>
      </c>
      <c r="M2946" t="s">
        <v>644</v>
      </c>
      <c r="O2946" t="s">
        <v>11</v>
      </c>
      <c r="P2946">
        <v>5102</v>
      </c>
      <c r="Q2946">
        <v>1</v>
      </c>
      <c r="R2946">
        <v>79</v>
      </c>
      <c r="S2946">
        <v>79</v>
      </c>
      <c r="T2946">
        <v>50.97</v>
      </c>
      <c r="U2946">
        <v>35.479999999999997</v>
      </c>
      <c r="V2946" t="str">
        <f>VLOOKUP(L2946,'[2]tabela de preços'!$A:$D,4,0)</f>
        <v>SIKKENS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923</v>
      </c>
      <c r="C2947" t="s">
        <v>3132</v>
      </c>
      <c r="D2947" s="1">
        <v>46072</v>
      </c>
      <c r="E2947" t="s">
        <v>3133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211</v>
      </c>
      <c r="K2947" t="s">
        <v>926</v>
      </c>
      <c r="L2947">
        <v>23097</v>
      </c>
      <c r="M2947" t="s">
        <v>412</v>
      </c>
      <c r="O2947" t="s">
        <v>411</v>
      </c>
      <c r="P2947">
        <v>5102</v>
      </c>
      <c r="Q2947">
        <v>50</v>
      </c>
      <c r="R2947">
        <v>2.35</v>
      </c>
      <c r="S2947">
        <v>117.5</v>
      </c>
      <c r="T2947">
        <v>68</v>
      </c>
      <c r="U2947">
        <v>42.13</v>
      </c>
      <c r="V2947" t="str">
        <f>VLOOKUP(L2947,'[2]tabela de preços'!$A:$D,4,0)</f>
        <v>3M</v>
      </c>
      <c r="W2947" t="str">
        <f>VLOOKUP(L2947,'[2]tabela de preços'!$A:$F,6,0)</f>
        <v xml:space="preserve">DISCOS / LIXAS / ABRASIVOS </v>
      </c>
      <c r="X2947" t="str">
        <f>VLOOKUP(L2947,'[2]tabela de preços'!$A:$G,7,0)</f>
        <v>AUTOMOTIVO</v>
      </c>
    </row>
    <row r="2948" spans="1:24" x14ac:dyDescent="0.3">
      <c r="A2948" t="s">
        <v>923</v>
      </c>
      <c r="C2948" t="s">
        <v>3132</v>
      </c>
      <c r="D2948" s="1">
        <v>46072</v>
      </c>
      <c r="E2948" t="s">
        <v>3133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211</v>
      </c>
      <c r="K2948" t="s">
        <v>926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159.22</v>
      </c>
      <c r="S2948">
        <v>159.22</v>
      </c>
      <c r="T2948">
        <v>98.89</v>
      </c>
      <c r="U2948">
        <v>37.89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923</v>
      </c>
      <c r="C2949" t="s">
        <v>3132</v>
      </c>
      <c r="D2949" s="1">
        <v>46072</v>
      </c>
      <c r="E2949" t="s">
        <v>3133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211</v>
      </c>
      <c r="K2949" t="s">
        <v>926</v>
      </c>
      <c r="L2949">
        <v>84560</v>
      </c>
      <c r="M2949" t="s">
        <v>118</v>
      </c>
      <c r="O2949" t="s">
        <v>11</v>
      </c>
      <c r="P2949">
        <v>5102</v>
      </c>
      <c r="Q2949">
        <v>4</v>
      </c>
      <c r="R2949">
        <v>47.89</v>
      </c>
      <c r="S2949">
        <v>191.56</v>
      </c>
      <c r="T2949">
        <v>156.63999999999999</v>
      </c>
      <c r="U2949">
        <v>18.23</v>
      </c>
      <c r="V2949" t="str">
        <f>VLOOKUP(L2949,'[2]tabela de preços'!$A:$D,4,0)</f>
        <v>BRASILUX</v>
      </c>
      <c r="W2949" t="str">
        <f>VLOOKUP(L2949,'[2]tabela de preços'!$A:$F,6,0)</f>
        <v>THINNER DE LIMPEZA</v>
      </c>
      <c r="X2949" t="str">
        <f>VLOOKUP(L2949,'[2]tabela de preços'!$A:$G,7,0)</f>
        <v>THINNER</v>
      </c>
    </row>
    <row r="2950" spans="1:24" x14ac:dyDescent="0.3">
      <c r="A2950" t="s">
        <v>923</v>
      </c>
      <c r="C2950" t="s">
        <v>3132</v>
      </c>
      <c r="D2950" s="1">
        <v>46072</v>
      </c>
      <c r="E2950" t="s">
        <v>3133</v>
      </c>
      <c r="F2950">
        <v>9</v>
      </c>
      <c r="G2950">
        <v>236</v>
      </c>
      <c r="H2950" t="str">
        <f>VLOOKUP(G2950,[1]OPERADORES!$A:$B,2,0)</f>
        <v>DANIEL</v>
      </c>
      <c r="I2950" t="s">
        <v>21</v>
      </c>
      <c r="J2950" t="s">
        <v>211</v>
      </c>
      <c r="K2950" t="s">
        <v>926</v>
      </c>
      <c r="L2950">
        <v>20414</v>
      </c>
      <c r="M2950" t="s">
        <v>112</v>
      </c>
      <c r="O2950" t="s">
        <v>11</v>
      </c>
      <c r="P2950">
        <v>5102</v>
      </c>
      <c r="Q2950">
        <v>4</v>
      </c>
      <c r="R2950">
        <v>21.89</v>
      </c>
      <c r="S2950">
        <v>87.56</v>
      </c>
      <c r="T2950">
        <v>72</v>
      </c>
      <c r="U2950">
        <v>17.77</v>
      </c>
      <c r="V2950" t="str">
        <f>VLOOKUP(L2950,'[2]tabela de preços'!$A:$D,4,0)</f>
        <v>SHERWIN WILLIAMS</v>
      </c>
      <c r="W2950" t="str">
        <f>VLOOKUP(L2950,'[2]tabela de preços'!$A:$F,6,0)</f>
        <v>DILUENTE</v>
      </c>
      <c r="X2950" t="str">
        <f>VLOOKUP(L2950,'[2]tabela de preços'!$A:$G,7,0)</f>
        <v>AUTOMOTIVO</v>
      </c>
    </row>
    <row r="2951" spans="1:24" x14ac:dyDescent="0.3">
      <c r="A2951" t="s">
        <v>938</v>
      </c>
      <c r="C2951" t="s">
        <v>3134</v>
      </c>
      <c r="D2951" s="1">
        <v>46066</v>
      </c>
      <c r="E2951" t="s">
        <v>3135</v>
      </c>
      <c r="F2951">
        <v>9</v>
      </c>
      <c r="G2951">
        <v>197</v>
      </c>
      <c r="H2951" t="str">
        <f>VLOOKUP(G2951,[1]OPERADORES!$A:$B,2,0)</f>
        <v xml:space="preserve">POLIANA LORRANE DE AMORIM </v>
      </c>
      <c r="I2951" t="s">
        <v>21</v>
      </c>
      <c r="J2951" t="s">
        <v>424</v>
      </c>
      <c r="K2951" t="s">
        <v>941</v>
      </c>
      <c r="L2951">
        <v>84181</v>
      </c>
      <c r="M2951" t="s">
        <v>2554</v>
      </c>
      <c r="O2951" t="s">
        <v>11</v>
      </c>
      <c r="P2951">
        <v>5403</v>
      </c>
      <c r="Q2951">
        <v>4</v>
      </c>
      <c r="R2951">
        <v>106.94</v>
      </c>
      <c r="S2951">
        <v>427.76</v>
      </c>
      <c r="T2951">
        <v>313.60000000000002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ESMALTES</v>
      </c>
      <c r="X2951" t="str">
        <f>VLOOKUP(L2951,'[2]tabela de preços'!$A:$G,7,0)</f>
        <v>INDUSTRIAL</v>
      </c>
    </row>
    <row r="2952" spans="1:24" x14ac:dyDescent="0.3">
      <c r="A2952" t="s">
        <v>938</v>
      </c>
      <c r="C2952" t="s">
        <v>3136</v>
      </c>
      <c r="D2952" s="1">
        <v>46066</v>
      </c>
      <c r="E2952" t="s">
        <v>3137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424</v>
      </c>
      <c r="K2952" t="s">
        <v>941</v>
      </c>
      <c r="L2952">
        <v>85135</v>
      </c>
      <c r="M2952" t="s">
        <v>3138</v>
      </c>
      <c r="O2952" t="s">
        <v>11</v>
      </c>
      <c r="P2952">
        <v>5403</v>
      </c>
      <c r="Q2952">
        <v>4</v>
      </c>
      <c r="R2952">
        <v>184.04</v>
      </c>
      <c r="S2952">
        <v>736.16</v>
      </c>
      <c r="T2952">
        <v>506.6</v>
      </c>
      <c r="U2952">
        <v>31.18</v>
      </c>
      <c r="V2952" t="str">
        <f>VLOOKUP(L2952,'[2]tabela de preços'!$A:$D,4,0)</f>
        <v>BRASILUX</v>
      </c>
      <c r="W2952" t="str">
        <f>VLOOKUP(L2952,'[2]tabela de preços'!$A:$F,6,0)</f>
        <v>TINTA DE LABORATÓRIO</v>
      </c>
      <c r="X2952" t="str">
        <f>VLOOKUP(L2952,'[2]tabela de preços'!$A:$G,7,0)</f>
        <v>AUTOMOTIVO</v>
      </c>
    </row>
    <row r="2953" spans="1:24" x14ac:dyDescent="0.3">
      <c r="A2953" t="s">
        <v>938</v>
      </c>
      <c r="C2953" t="s">
        <v>3136</v>
      </c>
      <c r="D2953" s="1">
        <v>46066</v>
      </c>
      <c r="E2953" t="s">
        <v>3137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424</v>
      </c>
      <c r="K2953" t="s">
        <v>941</v>
      </c>
      <c r="L2953">
        <v>84950</v>
      </c>
      <c r="M2953" t="s">
        <v>581</v>
      </c>
      <c r="O2953" t="s">
        <v>11</v>
      </c>
      <c r="P2953">
        <v>5102</v>
      </c>
      <c r="Q2953">
        <v>4</v>
      </c>
      <c r="R2953">
        <v>46.11</v>
      </c>
      <c r="S2953">
        <v>184.44</v>
      </c>
      <c r="T2953">
        <v>145.12</v>
      </c>
      <c r="U2953">
        <v>21.32</v>
      </c>
      <c r="V2953" t="str">
        <f>VLOOKUP(L2953,'[2]tabela de preços'!$A:$D,4,0)</f>
        <v>BRASILUX</v>
      </c>
      <c r="W2953" t="str">
        <f>VLOOKUP(L2953,'[2]tabela de preços'!$A:$F,6,0)</f>
        <v>EPOXI</v>
      </c>
      <c r="X2953" t="str">
        <f>VLOOKUP(L2953,'[2]tabela de preços'!$A:$G,7,0)</f>
        <v>INDUSTRIAL</v>
      </c>
    </row>
    <row r="2954" spans="1:24" x14ac:dyDescent="0.3">
      <c r="A2954" t="s">
        <v>938</v>
      </c>
      <c r="C2954" t="s">
        <v>3136</v>
      </c>
      <c r="D2954" s="1">
        <v>46066</v>
      </c>
      <c r="E2954" t="s">
        <v>3137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424</v>
      </c>
      <c r="K2954" t="s">
        <v>941</v>
      </c>
      <c r="L2954">
        <v>84025</v>
      </c>
      <c r="M2954" t="s">
        <v>1520</v>
      </c>
      <c r="O2954" t="s">
        <v>11</v>
      </c>
      <c r="P2954">
        <v>5102</v>
      </c>
      <c r="Q2954">
        <v>4</v>
      </c>
      <c r="R2954">
        <v>80.42</v>
      </c>
      <c r="S2954">
        <v>321.68</v>
      </c>
      <c r="T2954">
        <v>244.16</v>
      </c>
      <c r="U2954">
        <v>24.1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938</v>
      </c>
      <c r="C2955" t="s">
        <v>3136</v>
      </c>
      <c r="D2955" s="1">
        <v>46066</v>
      </c>
      <c r="E2955" t="s">
        <v>3137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424</v>
      </c>
      <c r="K2955" t="s">
        <v>941</v>
      </c>
      <c r="L2955">
        <v>84110</v>
      </c>
      <c r="M2955" t="s">
        <v>2416</v>
      </c>
      <c r="O2955" t="s">
        <v>11</v>
      </c>
      <c r="P2955">
        <v>5403</v>
      </c>
      <c r="Q2955">
        <v>4</v>
      </c>
      <c r="R2955">
        <v>153.99</v>
      </c>
      <c r="S2955">
        <v>615.96</v>
      </c>
      <c r="T2955">
        <v>467.52</v>
      </c>
      <c r="U2955">
        <v>24.1</v>
      </c>
      <c r="V2955" t="str">
        <f>VLOOKUP(L2955,'[2]tabela de preços'!$A:$D,4,0)</f>
        <v>BRASILUX</v>
      </c>
      <c r="W2955" t="str">
        <f>VLOOKUP(L2955,'[2]tabela de preços'!$A:$F,6,0)</f>
        <v>EPOXI</v>
      </c>
      <c r="X2955" t="str">
        <f>VLOOKUP(L2955,'[2]tabela de preços'!$A:$G,7,0)</f>
        <v>INDUSTRIAL</v>
      </c>
    </row>
    <row r="2956" spans="1:24" x14ac:dyDescent="0.3">
      <c r="A2956" t="s">
        <v>938</v>
      </c>
      <c r="C2956" t="s">
        <v>3136</v>
      </c>
      <c r="D2956" s="1">
        <v>46066</v>
      </c>
      <c r="E2956" t="s">
        <v>3137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424</v>
      </c>
      <c r="K2956" t="s">
        <v>941</v>
      </c>
      <c r="L2956">
        <v>84113</v>
      </c>
      <c r="M2956" t="s">
        <v>737</v>
      </c>
      <c r="O2956" t="s">
        <v>11</v>
      </c>
      <c r="P2956">
        <v>5403</v>
      </c>
      <c r="Q2956">
        <v>3</v>
      </c>
      <c r="R2956">
        <v>153.99</v>
      </c>
      <c r="S2956">
        <v>461.97</v>
      </c>
      <c r="T2956">
        <v>350.64</v>
      </c>
      <c r="U2956">
        <v>24.1</v>
      </c>
      <c r="V2956" t="str">
        <f>VLOOKUP(L2956,'[2]tabela de preços'!$A:$D,4,0)</f>
        <v>BRASILUX</v>
      </c>
      <c r="W2956" t="str">
        <f>VLOOKUP(L2956,'[2]tabela de preços'!$A:$F,6,0)</f>
        <v>EPOXI</v>
      </c>
      <c r="X2956" t="str">
        <f>VLOOKUP(L2956,'[2]tabela de preços'!$A:$G,7,0)</f>
        <v>INDUSTRIAL</v>
      </c>
    </row>
    <row r="2957" spans="1:24" x14ac:dyDescent="0.3">
      <c r="A2957" t="s">
        <v>938</v>
      </c>
      <c r="C2957" t="s">
        <v>3136</v>
      </c>
      <c r="D2957" s="1">
        <v>46066</v>
      </c>
      <c r="E2957" t="s">
        <v>3137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424</v>
      </c>
      <c r="K2957" t="s">
        <v>941</v>
      </c>
      <c r="L2957">
        <v>84116</v>
      </c>
      <c r="M2957" t="s">
        <v>2417</v>
      </c>
      <c r="O2957" t="s">
        <v>11</v>
      </c>
      <c r="P2957">
        <v>5403</v>
      </c>
      <c r="Q2957">
        <v>12</v>
      </c>
      <c r="R2957">
        <v>153.99</v>
      </c>
      <c r="S2957" s="2">
        <v>1847.88</v>
      </c>
      <c r="T2957" s="2">
        <v>1402.56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938</v>
      </c>
      <c r="C2958" t="s">
        <v>3136</v>
      </c>
      <c r="D2958" s="1">
        <v>46066</v>
      </c>
      <c r="E2958" t="s">
        <v>3137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424</v>
      </c>
      <c r="K2958" t="s">
        <v>941</v>
      </c>
      <c r="L2958">
        <v>84115</v>
      </c>
      <c r="M2958" t="s">
        <v>886</v>
      </c>
      <c r="O2958" t="s">
        <v>11</v>
      </c>
      <c r="P2958">
        <v>5403</v>
      </c>
      <c r="Q2958">
        <v>14</v>
      </c>
      <c r="R2958">
        <v>153.99</v>
      </c>
      <c r="S2958" s="2">
        <v>2155.86</v>
      </c>
      <c r="T2958" s="2">
        <v>1636.32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2616</v>
      </c>
      <c r="C2959" t="s">
        <v>2617</v>
      </c>
      <c r="D2959" s="1">
        <v>46057</v>
      </c>
      <c r="E2959" t="s">
        <v>2618</v>
      </c>
      <c r="F2959">
        <v>9</v>
      </c>
      <c r="G2959">
        <v>236</v>
      </c>
      <c r="H2959" t="str">
        <f>VLOOKUP(G2959,[1]OPERADORES!$A:$B,2,0)</f>
        <v>DANIEL</v>
      </c>
      <c r="I2959" t="s">
        <v>21</v>
      </c>
      <c r="J2959" t="s">
        <v>1868</v>
      </c>
      <c r="K2959" t="s">
        <v>2619</v>
      </c>
      <c r="L2959">
        <v>86995</v>
      </c>
      <c r="M2959" t="s">
        <v>37</v>
      </c>
      <c r="O2959" t="s">
        <v>11</v>
      </c>
      <c r="P2959">
        <v>5102</v>
      </c>
      <c r="Q2959">
        <v>30</v>
      </c>
      <c r="R2959">
        <v>8</v>
      </c>
      <c r="S2959">
        <v>240</v>
      </c>
      <c r="T2959">
        <v>174.9</v>
      </c>
      <c r="U2959">
        <v>27.13</v>
      </c>
      <c r="V2959" t="str">
        <f>VLOOKUP(L2959,'[2]tabela de preços'!$A:$D,4,0)</f>
        <v>AUTOAMERICA</v>
      </c>
      <c r="W2959" t="str">
        <f>VLOOKUP(L2959,'[2]tabela de preços'!$A:$F,6,0)</f>
        <v>FLANELAS / PANOS</v>
      </c>
      <c r="X2959" t="str">
        <f>VLOOKUP(L2959,'[2]tabela de preços'!$A:$G,7,0)</f>
        <v>AUTOMOTIVO</v>
      </c>
    </row>
    <row r="2960" spans="1:24" x14ac:dyDescent="0.3">
      <c r="A2960" t="s">
        <v>2616</v>
      </c>
      <c r="C2960" t="s">
        <v>2620</v>
      </c>
      <c r="D2960" s="1">
        <v>46057</v>
      </c>
      <c r="E2960" t="s">
        <v>2621</v>
      </c>
      <c r="F2960">
        <v>9</v>
      </c>
      <c r="G2960">
        <v>236</v>
      </c>
      <c r="H2960" t="str">
        <f>VLOOKUP(G2960,[1]OPERADORES!$A:$B,2,0)</f>
        <v>DANIEL</v>
      </c>
      <c r="I2960" t="s">
        <v>21</v>
      </c>
      <c r="J2960" t="s">
        <v>1868</v>
      </c>
      <c r="K2960" t="s">
        <v>2619</v>
      </c>
      <c r="L2960">
        <v>86995</v>
      </c>
      <c r="M2960" t="s">
        <v>37</v>
      </c>
      <c r="O2960" t="s">
        <v>11</v>
      </c>
      <c r="P2960">
        <v>5102</v>
      </c>
      <c r="Q2960">
        <v>10</v>
      </c>
      <c r="R2960">
        <v>8</v>
      </c>
      <c r="S2960">
        <v>80</v>
      </c>
      <c r="T2960">
        <v>58.3</v>
      </c>
      <c r="U2960">
        <v>27.13</v>
      </c>
      <c r="V2960" t="str">
        <f>VLOOKUP(L2960,'[2]tabela de preços'!$A:$D,4,0)</f>
        <v>AUTOAMERICA</v>
      </c>
      <c r="W2960" t="str">
        <f>VLOOKUP(L2960,'[2]tabela de preços'!$A:$F,6,0)</f>
        <v>FLANELAS / PANOS</v>
      </c>
      <c r="X2960" t="str">
        <f>VLOOKUP(L2960,'[2]tabela de preços'!$A:$G,7,0)</f>
        <v>AUTOMOTIVO</v>
      </c>
    </row>
    <row r="2961" spans="1:24" x14ac:dyDescent="0.3">
      <c r="A2961" t="s">
        <v>974</v>
      </c>
      <c r="C2961" t="s">
        <v>2507</v>
      </c>
      <c r="D2961" s="1">
        <v>46056</v>
      </c>
      <c r="E2961" t="s">
        <v>2508</v>
      </c>
      <c r="F2961">
        <v>9</v>
      </c>
      <c r="G2961">
        <v>197</v>
      </c>
      <c r="H2961" t="str">
        <f>VLOOKUP(G2961,[1]OPERADORES!$A:$B,2,0)</f>
        <v xml:space="preserve">POLIANA LORRANE DE AMORIM </v>
      </c>
      <c r="I2961" t="s">
        <v>21</v>
      </c>
      <c r="J2961" t="s">
        <v>397</v>
      </c>
      <c r="K2961" t="s">
        <v>977</v>
      </c>
      <c r="L2961">
        <v>84565</v>
      </c>
      <c r="M2961" t="s">
        <v>236</v>
      </c>
      <c r="O2961" t="s">
        <v>11</v>
      </c>
      <c r="P2961">
        <v>5102</v>
      </c>
      <c r="Q2961">
        <v>4</v>
      </c>
      <c r="R2961">
        <v>9.57</v>
      </c>
      <c r="S2961">
        <v>38.28</v>
      </c>
      <c r="T2961">
        <v>28.04</v>
      </c>
      <c r="U2961">
        <v>26.75</v>
      </c>
      <c r="V2961" t="str">
        <f>VLOOKUP(L2961,'[2]tabela de preços'!$A:$D,4,0)</f>
        <v>BRASILUX</v>
      </c>
      <c r="W2961" t="str">
        <f>VLOOKUP(L2961,'[2]tabela de preços'!$A:$F,6,0)</f>
        <v>PRETO FOSCO VINÍLICO</v>
      </c>
      <c r="X2961" t="str">
        <f>VLOOKUP(L2961,'[2]tabela de preços'!$A:$G,7,0)</f>
        <v>AUTOMOTIVO</v>
      </c>
    </row>
    <row r="2962" spans="1:24" x14ac:dyDescent="0.3">
      <c r="A2962" t="s">
        <v>974</v>
      </c>
      <c r="C2962" t="s">
        <v>2507</v>
      </c>
      <c r="D2962" s="1">
        <v>46056</v>
      </c>
      <c r="E2962" t="s">
        <v>2508</v>
      </c>
      <c r="F2962">
        <v>9</v>
      </c>
      <c r="G2962">
        <v>197</v>
      </c>
      <c r="H2962" t="str">
        <f>VLOOKUP(G2962,[1]OPERADORES!$A:$B,2,0)</f>
        <v xml:space="preserve">POLIANA LORRANE DE AMORIM </v>
      </c>
      <c r="I2962" t="s">
        <v>21</v>
      </c>
      <c r="J2962" t="s">
        <v>397</v>
      </c>
      <c r="K2962" t="s">
        <v>977</v>
      </c>
      <c r="L2962">
        <v>84111</v>
      </c>
      <c r="M2962" t="s">
        <v>1393</v>
      </c>
      <c r="O2962" t="s">
        <v>11</v>
      </c>
      <c r="P2962">
        <v>5403</v>
      </c>
      <c r="Q2962">
        <v>1</v>
      </c>
      <c r="R2962">
        <v>153.99</v>
      </c>
      <c r="S2962">
        <v>153.99</v>
      </c>
      <c r="T2962">
        <v>116.88</v>
      </c>
      <c r="U2962">
        <v>24.1</v>
      </c>
      <c r="V2962" t="str">
        <f>VLOOKUP(L2962,'[2]tabela de preços'!$A:$D,4,0)</f>
        <v>BRASILUX</v>
      </c>
      <c r="W2962" t="str">
        <f>VLOOKUP(L2962,'[2]tabela de preços'!$A:$F,6,0)</f>
        <v>EPOXI</v>
      </c>
      <c r="X2962" t="str">
        <f>VLOOKUP(L2962,'[2]tabela de preços'!$A:$G,7,0)</f>
        <v>INDUSTRIAL</v>
      </c>
    </row>
    <row r="2963" spans="1:24" x14ac:dyDescent="0.3">
      <c r="A2963" t="s">
        <v>974</v>
      </c>
      <c r="C2963" t="s">
        <v>2507</v>
      </c>
      <c r="D2963" s="1">
        <v>46056</v>
      </c>
      <c r="E2963" t="s">
        <v>2508</v>
      </c>
      <c r="F2963">
        <v>9</v>
      </c>
      <c r="G2963">
        <v>197</v>
      </c>
      <c r="H2963" t="str">
        <f>VLOOKUP(G2963,[1]OPERADORES!$A:$B,2,0)</f>
        <v xml:space="preserve">POLIANA LORRANE DE AMORIM </v>
      </c>
      <c r="I2963" t="s">
        <v>21</v>
      </c>
      <c r="J2963" t="s">
        <v>397</v>
      </c>
      <c r="K2963" t="s">
        <v>977</v>
      </c>
      <c r="L2963">
        <v>85363</v>
      </c>
      <c r="M2963" t="s">
        <v>237</v>
      </c>
      <c r="O2963" t="s">
        <v>11</v>
      </c>
      <c r="P2963">
        <v>5102</v>
      </c>
      <c r="Q2963">
        <v>4</v>
      </c>
      <c r="R2963">
        <v>24.8</v>
      </c>
      <c r="S2963">
        <v>99.2</v>
      </c>
      <c r="T2963">
        <v>72.72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PRETO FOSCO VINÍLICO</v>
      </c>
      <c r="X2963" t="str">
        <f>VLOOKUP(L2963,'[2]tabela de preços'!$A:$G,7,0)</f>
        <v>AUTOMOTIVO</v>
      </c>
    </row>
    <row r="2964" spans="1:24" x14ac:dyDescent="0.3">
      <c r="A2964" t="s">
        <v>974</v>
      </c>
      <c r="C2964" t="s">
        <v>2780</v>
      </c>
      <c r="D2964" s="1">
        <v>46059</v>
      </c>
      <c r="E2964" t="s">
        <v>2781</v>
      </c>
      <c r="F2964">
        <v>9</v>
      </c>
      <c r="G2964">
        <v>197</v>
      </c>
      <c r="H2964" t="str">
        <f>VLOOKUP(G2964,[1]OPERADORES!$A:$B,2,0)</f>
        <v xml:space="preserve">POLIANA LORRANE DE AMORIM </v>
      </c>
      <c r="I2964" t="s">
        <v>21</v>
      </c>
      <c r="J2964" t="s">
        <v>397</v>
      </c>
      <c r="K2964" t="s">
        <v>977</v>
      </c>
      <c r="L2964">
        <v>84325</v>
      </c>
      <c r="M2964" t="s">
        <v>678</v>
      </c>
      <c r="O2964" t="s">
        <v>11</v>
      </c>
      <c r="P2964">
        <v>5403</v>
      </c>
      <c r="Q2964">
        <v>6</v>
      </c>
      <c r="R2964">
        <v>59.98</v>
      </c>
      <c r="S2964">
        <v>359.88</v>
      </c>
      <c r="T2964">
        <v>312</v>
      </c>
      <c r="U2964">
        <v>13.3</v>
      </c>
      <c r="V2964" t="str">
        <f>VLOOKUP(L2964,'[2]tabela de preços'!$A:$D,4,0)</f>
        <v>BRASILUX</v>
      </c>
      <c r="W2964" t="str">
        <f>VLOOKUP(L2964,'[2]tabela de preços'!$A:$F,6,0)</f>
        <v>ESMALTES</v>
      </c>
      <c r="X2964" t="str">
        <f>VLOOKUP(L2964,'[2]tabela de preços'!$A:$G,7,0)</f>
        <v>INDUSTRIAL</v>
      </c>
    </row>
    <row r="2965" spans="1:24" x14ac:dyDescent="0.3">
      <c r="A2965" t="s">
        <v>974</v>
      </c>
      <c r="C2965" t="s">
        <v>2780</v>
      </c>
      <c r="D2965" s="1">
        <v>46059</v>
      </c>
      <c r="E2965" t="s">
        <v>2781</v>
      </c>
      <c r="F2965">
        <v>9</v>
      </c>
      <c r="G2965">
        <v>197</v>
      </c>
      <c r="H2965" t="str">
        <f>VLOOKUP(G2965,[1]OPERADORES!$A:$B,2,0)</f>
        <v xml:space="preserve">POLIANA LORRANE DE AMORIM </v>
      </c>
      <c r="I2965" t="s">
        <v>21</v>
      </c>
      <c r="J2965" t="s">
        <v>397</v>
      </c>
      <c r="K2965" t="s">
        <v>977</v>
      </c>
      <c r="L2965">
        <v>84354</v>
      </c>
      <c r="M2965" t="s">
        <v>2782</v>
      </c>
      <c r="O2965" t="s">
        <v>11</v>
      </c>
      <c r="P2965">
        <v>5403</v>
      </c>
      <c r="Q2965">
        <v>4</v>
      </c>
      <c r="R2965">
        <v>17.100000000000001</v>
      </c>
      <c r="S2965">
        <v>68.400000000000006</v>
      </c>
      <c r="T2965">
        <v>51.92</v>
      </c>
      <c r="U2965">
        <v>24.09</v>
      </c>
      <c r="V2965" t="str">
        <f>VLOOKUP(L2965,'[2]tabela de preços'!$A:$D,4,0)</f>
        <v>BRASILUX</v>
      </c>
      <c r="W2965" t="str">
        <f>VLOOKUP(L2965,'[2]tabela de preços'!$A:$F,6,0)</f>
        <v>ESMALTES</v>
      </c>
      <c r="X2965" t="str">
        <f>VLOOKUP(L2965,'[2]tabela de preços'!$A:$G,7,0)</f>
        <v>INDUSTRIAL</v>
      </c>
    </row>
    <row r="2966" spans="1:24" x14ac:dyDescent="0.3">
      <c r="A2966" t="s">
        <v>974</v>
      </c>
      <c r="C2966" t="s">
        <v>2780</v>
      </c>
      <c r="D2966" s="1">
        <v>46059</v>
      </c>
      <c r="E2966" t="s">
        <v>2781</v>
      </c>
      <c r="F2966">
        <v>9</v>
      </c>
      <c r="G2966">
        <v>197</v>
      </c>
      <c r="H2966" t="str">
        <f>VLOOKUP(G2966,[1]OPERADORES!$A:$B,2,0)</f>
        <v xml:space="preserve">POLIANA LORRANE DE AMORIM </v>
      </c>
      <c r="I2966" t="s">
        <v>21</v>
      </c>
      <c r="J2966" t="s">
        <v>397</v>
      </c>
      <c r="K2966" t="s">
        <v>977</v>
      </c>
      <c r="L2966">
        <v>84331</v>
      </c>
      <c r="M2966" t="s">
        <v>497</v>
      </c>
      <c r="O2966" t="s">
        <v>11</v>
      </c>
      <c r="P2966">
        <v>5403</v>
      </c>
      <c r="Q2966">
        <v>3</v>
      </c>
      <c r="R2966">
        <v>59.98</v>
      </c>
      <c r="S2966">
        <v>179.94</v>
      </c>
      <c r="T2966">
        <v>156</v>
      </c>
      <c r="U2966">
        <v>13.3</v>
      </c>
      <c r="V2966" t="str">
        <f>VLOOKUP(L2966,'[2]tabela de preços'!$A:$D,4,0)</f>
        <v>BRASILUX</v>
      </c>
      <c r="W2966" t="str">
        <f>VLOOKUP(L2966,'[2]tabela de preços'!$A:$F,6,0)</f>
        <v>ESMALTES</v>
      </c>
      <c r="X2966" t="str">
        <f>VLOOKUP(L2966,'[2]tabela de preços'!$A:$G,7,0)</f>
        <v>INDUSTRIAL</v>
      </c>
    </row>
    <row r="2967" spans="1:24" x14ac:dyDescent="0.3">
      <c r="A2967" t="s">
        <v>974</v>
      </c>
      <c r="C2967" t="s">
        <v>2780</v>
      </c>
      <c r="D2967" s="1">
        <v>46059</v>
      </c>
      <c r="E2967" t="s">
        <v>2781</v>
      </c>
      <c r="F2967">
        <v>9</v>
      </c>
      <c r="G2967">
        <v>197</v>
      </c>
      <c r="H2967" t="str">
        <f>VLOOKUP(G2967,[1]OPERADORES!$A:$B,2,0)</f>
        <v xml:space="preserve">POLIANA LORRANE DE AMORIM </v>
      </c>
      <c r="I2967" t="s">
        <v>21</v>
      </c>
      <c r="J2967" t="s">
        <v>397</v>
      </c>
      <c r="K2967" t="s">
        <v>977</v>
      </c>
      <c r="L2967">
        <v>84335</v>
      </c>
      <c r="M2967" t="s">
        <v>269</v>
      </c>
      <c r="O2967" t="s">
        <v>11</v>
      </c>
      <c r="P2967">
        <v>5403</v>
      </c>
      <c r="Q2967">
        <v>2</v>
      </c>
      <c r="R2967">
        <v>59.98</v>
      </c>
      <c r="S2967">
        <v>119.96</v>
      </c>
      <c r="T2967">
        <v>101.3</v>
      </c>
      <c r="U2967">
        <v>15.56</v>
      </c>
      <c r="V2967" t="str">
        <f>VLOOKUP(L2967,'[2]tabela de preços'!$A:$D,4,0)</f>
        <v>BRASILUX</v>
      </c>
      <c r="W2967" t="str">
        <f>VLOOKUP(L2967,'[2]tabela de preços'!$A:$F,6,0)</f>
        <v>ESMALTES</v>
      </c>
      <c r="X2967" t="str">
        <f>VLOOKUP(L2967,'[2]tabela de preços'!$A:$G,7,0)</f>
        <v>INDUSTRIAL</v>
      </c>
    </row>
    <row r="2968" spans="1:24" x14ac:dyDescent="0.3">
      <c r="A2968" t="s">
        <v>974</v>
      </c>
      <c r="C2968" t="s">
        <v>2780</v>
      </c>
      <c r="D2968" s="1">
        <v>46059</v>
      </c>
      <c r="E2968" t="s">
        <v>2781</v>
      </c>
      <c r="F2968">
        <v>9</v>
      </c>
      <c r="G2968">
        <v>197</v>
      </c>
      <c r="H2968" t="str">
        <f>VLOOKUP(G2968,[1]OPERADORES!$A:$B,2,0)</f>
        <v xml:space="preserve">POLIANA LORRANE DE AMORIM </v>
      </c>
      <c r="I2968" t="s">
        <v>21</v>
      </c>
      <c r="J2968" t="s">
        <v>397</v>
      </c>
      <c r="K2968" t="s">
        <v>977</v>
      </c>
      <c r="L2968">
        <v>84145</v>
      </c>
      <c r="M2968" t="s">
        <v>301</v>
      </c>
      <c r="O2968" t="s">
        <v>11</v>
      </c>
      <c r="P2968">
        <v>5403</v>
      </c>
      <c r="Q2968">
        <v>2</v>
      </c>
      <c r="R2968">
        <v>59.98</v>
      </c>
      <c r="S2968">
        <v>119.96</v>
      </c>
      <c r="T2968">
        <v>104.02</v>
      </c>
      <c r="U2968">
        <v>13.29</v>
      </c>
      <c r="V2968" t="str">
        <f>VLOOKUP(L2968,'[2]tabela de preços'!$A:$D,4,0)</f>
        <v>BRASILUX</v>
      </c>
      <c r="W2968" t="str">
        <f>VLOOKUP(L2968,'[2]tabela de preços'!$A:$F,6,0)</f>
        <v>ESMALTES</v>
      </c>
      <c r="X2968" t="str">
        <f>VLOOKUP(L2968,'[2]tabela de preços'!$A:$G,7,0)</f>
        <v>INDUSTRIAL</v>
      </c>
    </row>
    <row r="2969" spans="1:24" x14ac:dyDescent="0.3">
      <c r="A2969" t="s">
        <v>974</v>
      </c>
      <c r="C2969" t="s">
        <v>2780</v>
      </c>
      <c r="D2969" s="1">
        <v>46059</v>
      </c>
      <c r="E2969" t="s">
        <v>2781</v>
      </c>
      <c r="F2969">
        <v>9</v>
      </c>
      <c r="G2969">
        <v>197</v>
      </c>
      <c r="H2969" t="str">
        <f>VLOOKUP(G2969,[1]OPERADORES!$A:$B,2,0)</f>
        <v xml:space="preserve">POLIANA LORRANE DE AMORIM </v>
      </c>
      <c r="I2969" t="s">
        <v>21</v>
      </c>
      <c r="J2969" t="s">
        <v>397</v>
      </c>
      <c r="K2969" t="s">
        <v>977</v>
      </c>
      <c r="L2969">
        <v>84344</v>
      </c>
      <c r="M2969" t="s">
        <v>1000</v>
      </c>
      <c r="O2969" t="s">
        <v>11</v>
      </c>
      <c r="P2969">
        <v>5403</v>
      </c>
      <c r="Q2969">
        <v>2</v>
      </c>
      <c r="R2969">
        <v>59.98</v>
      </c>
      <c r="S2969">
        <v>119.96</v>
      </c>
      <c r="T2969">
        <v>99.32</v>
      </c>
      <c r="U2969">
        <v>17.21</v>
      </c>
      <c r="V2969" t="str">
        <f>VLOOKUP(L2969,'[2]tabela de preços'!$A:$D,4,0)</f>
        <v>BRASILUX</v>
      </c>
      <c r="W2969" t="str">
        <f>VLOOKUP(L2969,'[2]tabela de preços'!$A:$F,6,0)</f>
        <v>ESMALTES</v>
      </c>
      <c r="X2969" t="str">
        <f>VLOOKUP(L2969,'[2]tabela de preços'!$A:$G,7,0)</f>
        <v>INDUSTRIAL</v>
      </c>
    </row>
    <row r="2970" spans="1:24" x14ac:dyDescent="0.3">
      <c r="A2970" t="s">
        <v>974</v>
      </c>
      <c r="C2970" t="s">
        <v>2780</v>
      </c>
      <c r="D2970" s="1">
        <v>46059</v>
      </c>
      <c r="E2970" t="s">
        <v>2781</v>
      </c>
      <c r="F2970">
        <v>9</v>
      </c>
      <c r="G2970">
        <v>197</v>
      </c>
      <c r="H2970" t="str">
        <f>VLOOKUP(G2970,[1]OPERADORES!$A:$B,2,0)</f>
        <v xml:space="preserve">POLIANA LORRANE DE AMORIM </v>
      </c>
      <c r="I2970" t="s">
        <v>21</v>
      </c>
      <c r="J2970" t="s">
        <v>397</v>
      </c>
      <c r="K2970" t="s">
        <v>977</v>
      </c>
      <c r="L2970">
        <v>84347</v>
      </c>
      <c r="M2970" t="s">
        <v>1150</v>
      </c>
      <c r="O2970" t="s">
        <v>11</v>
      </c>
      <c r="P2970">
        <v>5403</v>
      </c>
      <c r="Q2970">
        <v>2</v>
      </c>
      <c r="R2970">
        <v>59.98</v>
      </c>
      <c r="S2970">
        <v>119.96</v>
      </c>
      <c r="T2970">
        <v>104</v>
      </c>
      <c r="U2970">
        <v>13.3</v>
      </c>
      <c r="V2970" t="str">
        <f>VLOOKUP(L2970,'[2]tabela de preços'!$A:$D,4,0)</f>
        <v>BRASILUX</v>
      </c>
      <c r="W2970" t="str">
        <f>VLOOKUP(L2970,'[2]tabela de preços'!$A:$F,6,0)</f>
        <v>ESMALTES</v>
      </c>
      <c r="X2970" t="str">
        <f>VLOOKUP(L2970,'[2]tabela de preços'!$A:$G,7,0)</f>
        <v>INDUSTRIAL</v>
      </c>
    </row>
    <row r="2971" spans="1:24" x14ac:dyDescent="0.3">
      <c r="A2971" t="s">
        <v>974</v>
      </c>
      <c r="C2971" t="s">
        <v>2780</v>
      </c>
      <c r="D2971" s="1">
        <v>46059</v>
      </c>
      <c r="E2971" t="s">
        <v>2781</v>
      </c>
      <c r="F2971">
        <v>9</v>
      </c>
      <c r="G2971">
        <v>197</v>
      </c>
      <c r="H2971" t="str">
        <f>VLOOKUP(G2971,[1]OPERADORES!$A:$B,2,0)</f>
        <v xml:space="preserve">POLIANA LORRANE DE AMORIM </v>
      </c>
      <c r="I2971" t="s">
        <v>21</v>
      </c>
      <c r="J2971" t="s">
        <v>397</v>
      </c>
      <c r="K2971" t="s">
        <v>977</v>
      </c>
      <c r="L2971">
        <v>84250</v>
      </c>
      <c r="M2971" t="s">
        <v>922</v>
      </c>
      <c r="O2971" t="s">
        <v>11</v>
      </c>
      <c r="P2971">
        <v>5403</v>
      </c>
      <c r="Q2971">
        <v>6</v>
      </c>
      <c r="R2971">
        <v>112.9</v>
      </c>
      <c r="S2971">
        <v>677.4</v>
      </c>
      <c r="T2971">
        <v>567.96</v>
      </c>
      <c r="U2971">
        <v>16.16</v>
      </c>
      <c r="V2971" t="str">
        <f>VLOOKUP(L2971,'[2]tabela de preços'!$A:$D,4,0)</f>
        <v>BRASILUX</v>
      </c>
      <c r="W2971" t="str">
        <f>VLOOKUP(L2971,'[2]tabela de preços'!$A:$F,6,0)</f>
        <v>TINTA PAREDE</v>
      </c>
      <c r="X2971" t="str">
        <f>VLOOKUP(L2971,'[2]tabela de preços'!$A:$G,7,0)</f>
        <v>IMOBILIÁRIO</v>
      </c>
    </row>
    <row r="2972" spans="1:24" x14ac:dyDescent="0.3">
      <c r="A2972" t="s">
        <v>974</v>
      </c>
      <c r="C2972" t="s">
        <v>2780</v>
      </c>
      <c r="D2972" s="1">
        <v>46059</v>
      </c>
      <c r="E2972" t="s">
        <v>2781</v>
      </c>
      <c r="F2972">
        <v>9</v>
      </c>
      <c r="G2972">
        <v>197</v>
      </c>
      <c r="H2972" t="str">
        <f>VLOOKUP(G2972,[1]OPERADORES!$A:$B,2,0)</f>
        <v xml:space="preserve">POLIANA LORRANE DE AMORIM </v>
      </c>
      <c r="I2972" t="s">
        <v>21</v>
      </c>
      <c r="J2972" t="s">
        <v>397</v>
      </c>
      <c r="K2972" t="s">
        <v>977</v>
      </c>
      <c r="L2972">
        <v>84557</v>
      </c>
      <c r="M2972" t="s">
        <v>116</v>
      </c>
      <c r="O2972" t="s">
        <v>11</v>
      </c>
      <c r="P2972">
        <v>5102</v>
      </c>
      <c r="Q2972">
        <v>8</v>
      </c>
      <c r="R2972">
        <v>17.489999999999998</v>
      </c>
      <c r="S2972">
        <v>139.91999999999999</v>
      </c>
      <c r="T2972">
        <v>111.68</v>
      </c>
      <c r="U2972">
        <v>20.18</v>
      </c>
      <c r="V2972" t="str">
        <f>VLOOKUP(L2972,'[2]tabela de preços'!$A:$D,4,0)</f>
        <v>BRASILUX</v>
      </c>
      <c r="W2972" t="str">
        <f>VLOOKUP(L2972,'[2]tabela de preços'!$A:$F,6,0)</f>
        <v>DILUENTE</v>
      </c>
      <c r="X2972" t="str">
        <f>VLOOKUP(L2972,'[2]tabela de preços'!$A:$G,7,0)</f>
        <v>AUTOMOTIVO</v>
      </c>
    </row>
    <row r="2973" spans="1:24" x14ac:dyDescent="0.3">
      <c r="A2973" t="s">
        <v>974</v>
      </c>
      <c r="C2973" t="s">
        <v>2780</v>
      </c>
      <c r="D2973" s="1">
        <v>46059</v>
      </c>
      <c r="E2973" t="s">
        <v>2781</v>
      </c>
      <c r="F2973">
        <v>9</v>
      </c>
      <c r="G2973">
        <v>197</v>
      </c>
      <c r="H2973" t="str">
        <f>VLOOKUP(G2973,[1]OPERADORES!$A:$B,2,0)</f>
        <v xml:space="preserve">POLIANA LORRANE DE AMORIM </v>
      </c>
      <c r="I2973" t="s">
        <v>21</v>
      </c>
      <c r="J2973" t="s">
        <v>397</v>
      </c>
      <c r="K2973" t="s">
        <v>977</v>
      </c>
      <c r="L2973">
        <v>84047</v>
      </c>
      <c r="M2973" t="s">
        <v>222</v>
      </c>
      <c r="O2973" t="s">
        <v>11</v>
      </c>
      <c r="P2973">
        <v>5102</v>
      </c>
      <c r="Q2973">
        <v>2</v>
      </c>
      <c r="R2973">
        <v>20.149999999999999</v>
      </c>
      <c r="S2973">
        <v>40.299999999999997</v>
      </c>
      <c r="T2973">
        <v>30.6</v>
      </c>
      <c r="U2973">
        <v>24.07</v>
      </c>
      <c r="V2973" t="str">
        <f>VLOOKUP(L2973,'[2]tabela de preços'!$A:$D,4,0)</f>
        <v>BRASILUX</v>
      </c>
      <c r="W2973" t="str">
        <f>VLOOKUP(L2973,'[2]tabela de preços'!$A:$F,6,0)</f>
        <v>MASSA DE POLIR</v>
      </c>
      <c r="X2973" t="str">
        <f>VLOOKUP(L2973,'[2]tabela de preços'!$A:$G,7,0)</f>
        <v>AUTOMOTIVO</v>
      </c>
    </row>
    <row r="2974" spans="1:24" x14ac:dyDescent="0.3">
      <c r="A2974" t="s">
        <v>974</v>
      </c>
      <c r="C2974" t="s">
        <v>2780</v>
      </c>
      <c r="D2974" s="1">
        <v>46059</v>
      </c>
      <c r="E2974" t="s">
        <v>2781</v>
      </c>
      <c r="F2974">
        <v>9</v>
      </c>
      <c r="G2974">
        <v>197</v>
      </c>
      <c r="H2974" t="str">
        <f>VLOOKUP(G2974,[1]OPERADORES!$A:$B,2,0)</f>
        <v xml:space="preserve">POLIANA LORRANE DE AMORIM </v>
      </c>
      <c r="I2974" t="s">
        <v>21</v>
      </c>
      <c r="J2974" t="s">
        <v>397</v>
      </c>
      <c r="K2974" t="s">
        <v>977</v>
      </c>
      <c r="L2974">
        <v>85164</v>
      </c>
      <c r="M2974" t="s">
        <v>278</v>
      </c>
      <c r="O2974" t="s">
        <v>11</v>
      </c>
      <c r="P2974">
        <v>5102</v>
      </c>
      <c r="Q2974">
        <v>8</v>
      </c>
      <c r="R2974">
        <v>13.29</v>
      </c>
      <c r="S2974">
        <v>106.32</v>
      </c>
      <c r="T2974">
        <v>80.72</v>
      </c>
      <c r="U2974">
        <v>24.08</v>
      </c>
      <c r="V2974" t="str">
        <f>VLOOKUP(L2974,'[2]tabela de preços'!$A:$D,4,0)</f>
        <v>BRASILUX</v>
      </c>
      <c r="W2974" t="str">
        <f>VLOOKUP(L2974,'[2]tabela de preços'!$A:$F,6,0)</f>
        <v>QUEROSENE</v>
      </c>
      <c r="X2974" t="str">
        <f>VLOOKUP(L2974,'[2]tabela de preços'!$A:$G,7,0)</f>
        <v>AUTOMOTIVO</v>
      </c>
    </row>
    <row r="2975" spans="1:24" x14ac:dyDescent="0.3">
      <c r="A2975" t="s">
        <v>974</v>
      </c>
      <c r="C2975" t="s">
        <v>3139</v>
      </c>
      <c r="D2975" s="1">
        <v>46065</v>
      </c>
      <c r="E2975" t="s">
        <v>3140</v>
      </c>
      <c r="F2975">
        <v>9</v>
      </c>
      <c r="G2975">
        <v>197</v>
      </c>
      <c r="H2975" t="str">
        <f>VLOOKUP(G2975,[1]OPERADORES!$A:$B,2,0)</f>
        <v xml:space="preserve">POLIANA LORRANE DE AMORIM </v>
      </c>
      <c r="I2975" t="s">
        <v>21</v>
      </c>
      <c r="J2975" t="s">
        <v>397</v>
      </c>
      <c r="K2975" t="s">
        <v>977</v>
      </c>
      <c r="L2975">
        <v>85280</v>
      </c>
      <c r="M2975" t="s">
        <v>943</v>
      </c>
      <c r="O2975" t="s">
        <v>11</v>
      </c>
      <c r="P2975">
        <v>5102</v>
      </c>
      <c r="Q2975">
        <v>6</v>
      </c>
      <c r="R2975">
        <v>55.72</v>
      </c>
      <c r="S2975">
        <v>334.32</v>
      </c>
      <c r="T2975">
        <v>253.74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CATALISADORES INDIVIDUAIS</v>
      </c>
      <c r="X2975" t="str">
        <f>VLOOKUP(L2975,'[2]tabela de preços'!$A:$G,7,0)</f>
        <v>IMOBILIÁRIO</v>
      </c>
    </row>
    <row r="2976" spans="1:24" x14ac:dyDescent="0.3">
      <c r="A2976" t="s">
        <v>974</v>
      </c>
      <c r="C2976" t="s">
        <v>3139</v>
      </c>
      <c r="D2976" s="1">
        <v>46065</v>
      </c>
      <c r="E2976" t="s">
        <v>3140</v>
      </c>
      <c r="F2976">
        <v>9</v>
      </c>
      <c r="G2976">
        <v>197</v>
      </c>
      <c r="H2976" t="str">
        <f>VLOOKUP(G2976,[1]OPERADORES!$A:$B,2,0)</f>
        <v xml:space="preserve">POLIANA LORRANE DE AMORIM </v>
      </c>
      <c r="I2976" t="s">
        <v>21</v>
      </c>
      <c r="J2976" t="s">
        <v>397</v>
      </c>
      <c r="K2976" t="s">
        <v>977</v>
      </c>
      <c r="L2976">
        <v>84557</v>
      </c>
      <c r="M2976" t="s">
        <v>116</v>
      </c>
      <c r="O2976" t="s">
        <v>11</v>
      </c>
      <c r="P2976">
        <v>5102</v>
      </c>
      <c r="Q2976">
        <v>8</v>
      </c>
      <c r="R2976">
        <v>17.489999999999998</v>
      </c>
      <c r="S2976">
        <v>139.91999999999999</v>
      </c>
      <c r="T2976">
        <v>111.68</v>
      </c>
      <c r="U2976">
        <v>20.18</v>
      </c>
      <c r="V2976" t="str">
        <f>VLOOKUP(L2976,'[2]tabela de preços'!$A:$D,4,0)</f>
        <v>BRASILUX</v>
      </c>
      <c r="W2976" t="str">
        <f>VLOOKUP(L2976,'[2]tabela de preços'!$A:$F,6,0)</f>
        <v>DILUENTE</v>
      </c>
      <c r="X2976" t="str">
        <f>VLOOKUP(L2976,'[2]tabela de preços'!$A:$G,7,0)</f>
        <v>AUTOMOTIVO</v>
      </c>
    </row>
    <row r="2977" spans="1:24" x14ac:dyDescent="0.3">
      <c r="A2977" t="s">
        <v>974</v>
      </c>
      <c r="C2977" t="s">
        <v>3139</v>
      </c>
      <c r="D2977" s="1">
        <v>46065</v>
      </c>
      <c r="E2977" t="s">
        <v>3140</v>
      </c>
      <c r="F2977">
        <v>9</v>
      </c>
      <c r="G2977">
        <v>197</v>
      </c>
      <c r="H2977" t="str">
        <f>VLOOKUP(G2977,[1]OPERADORES!$A:$B,2,0)</f>
        <v xml:space="preserve">POLIANA LORRANE DE AMORIM </v>
      </c>
      <c r="I2977" t="s">
        <v>21</v>
      </c>
      <c r="J2977" t="s">
        <v>397</v>
      </c>
      <c r="K2977" t="s">
        <v>977</v>
      </c>
      <c r="L2977">
        <v>85415</v>
      </c>
      <c r="M2977" t="s">
        <v>755</v>
      </c>
      <c r="O2977" t="s">
        <v>11</v>
      </c>
      <c r="P2977">
        <v>5102</v>
      </c>
      <c r="Q2977">
        <v>18</v>
      </c>
      <c r="R2977">
        <v>8.9</v>
      </c>
      <c r="S2977">
        <v>160.19999999999999</v>
      </c>
      <c r="T2977">
        <v>131.76</v>
      </c>
      <c r="U2977">
        <v>17.75</v>
      </c>
      <c r="V2977" t="str">
        <f>VLOOKUP(L2977,'[2]tabela de preços'!$A:$D,4,0)</f>
        <v>IBERÊ</v>
      </c>
      <c r="W2977" t="str">
        <f>VLOOKUP(L2977,'[2]tabela de preços'!$A:$F,6,0)</f>
        <v xml:space="preserve">COLA  PLÁSTICA </v>
      </c>
      <c r="X2977" t="str">
        <f>VLOOKUP(L2977,'[2]tabela de preços'!$A:$G,7,0)</f>
        <v>AUTOMOTIVO</v>
      </c>
    </row>
    <row r="2978" spans="1:24" x14ac:dyDescent="0.3">
      <c r="A2978" t="s">
        <v>974</v>
      </c>
      <c r="C2978" t="s">
        <v>3141</v>
      </c>
      <c r="D2978" s="1">
        <v>46066</v>
      </c>
      <c r="E2978" t="s">
        <v>3142</v>
      </c>
      <c r="F2978">
        <v>9</v>
      </c>
      <c r="G2978">
        <v>197</v>
      </c>
      <c r="H2978" t="str">
        <f>VLOOKUP(G2978,[1]OPERADORES!$A:$B,2,0)</f>
        <v xml:space="preserve">POLIANA LORRANE DE AMORIM </v>
      </c>
      <c r="I2978" t="s">
        <v>21</v>
      </c>
      <c r="J2978" t="s">
        <v>397</v>
      </c>
      <c r="K2978" t="s">
        <v>977</v>
      </c>
      <c r="L2978">
        <v>84110</v>
      </c>
      <c r="M2978" t="s">
        <v>2416</v>
      </c>
      <c r="O2978" t="s">
        <v>11</v>
      </c>
      <c r="P2978">
        <v>5403</v>
      </c>
      <c r="Q2978">
        <v>1</v>
      </c>
      <c r="R2978">
        <v>153.99</v>
      </c>
      <c r="S2978">
        <v>153.99</v>
      </c>
      <c r="T2978">
        <v>116.88</v>
      </c>
      <c r="U2978">
        <v>24.1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974</v>
      </c>
      <c r="C2979" t="s">
        <v>3141</v>
      </c>
      <c r="D2979" s="1">
        <v>46066</v>
      </c>
      <c r="E2979" t="s">
        <v>3142</v>
      </c>
      <c r="F2979">
        <v>9</v>
      </c>
      <c r="G2979">
        <v>197</v>
      </c>
      <c r="H2979" t="str">
        <f>VLOOKUP(G2979,[1]OPERADORES!$A:$B,2,0)</f>
        <v xml:space="preserve">POLIANA LORRANE DE AMORIM </v>
      </c>
      <c r="I2979" t="s">
        <v>21</v>
      </c>
      <c r="J2979" t="s">
        <v>397</v>
      </c>
      <c r="K2979" t="s">
        <v>977</v>
      </c>
      <c r="L2979">
        <v>84111</v>
      </c>
      <c r="M2979" t="s">
        <v>1393</v>
      </c>
      <c r="O2979" t="s">
        <v>11</v>
      </c>
      <c r="P2979">
        <v>5403</v>
      </c>
      <c r="Q2979">
        <v>12</v>
      </c>
      <c r="R2979">
        <v>153.99</v>
      </c>
      <c r="S2979" s="2">
        <v>1847.88</v>
      </c>
      <c r="T2979" s="2">
        <v>1402.56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EPOXI</v>
      </c>
      <c r="X2979" t="str">
        <f>VLOOKUP(L2979,'[2]tabela de preços'!$A:$G,7,0)</f>
        <v>INDUSTRIAL</v>
      </c>
    </row>
    <row r="2980" spans="1:24" x14ac:dyDescent="0.3">
      <c r="A2980" t="s">
        <v>974</v>
      </c>
      <c r="C2980" t="s">
        <v>3143</v>
      </c>
      <c r="D2980" s="1">
        <v>46072</v>
      </c>
      <c r="E2980" t="s">
        <v>3144</v>
      </c>
      <c r="F2980">
        <v>9</v>
      </c>
      <c r="G2980">
        <v>197</v>
      </c>
      <c r="H2980" t="str">
        <f>VLOOKUP(G2980,[1]OPERADORES!$A:$B,2,0)</f>
        <v xml:space="preserve">POLIANA LORRANE DE AMORIM </v>
      </c>
      <c r="I2980" t="s">
        <v>21</v>
      </c>
      <c r="J2980" t="s">
        <v>397</v>
      </c>
      <c r="K2980" t="s">
        <v>977</v>
      </c>
      <c r="L2980">
        <v>84038</v>
      </c>
      <c r="M2980" t="s">
        <v>593</v>
      </c>
      <c r="O2980" t="s">
        <v>11</v>
      </c>
      <c r="P2980">
        <v>5102</v>
      </c>
      <c r="Q2980">
        <v>1</v>
      </c>
      <c r="R2980">
        <v>18.350000000000001</v>
      </c>
      <c r="S2980">
        <v>18.350000000000001</v>
      </c>
      <c r="T2980">
        <v>13.45</v>
      </c>
      <c r="U2980">
        <v>26.7</v>
      </c>
      <c r="V2980" t="str">
        <f>VLOOKUP(L2980,'[2]tabela de preços'!$A:$D,4,0)</f>
        <v>BRASILUX</v>
      </c>
      <c r="W2980" t="str">
        <f>VLOOKUP(L2980,'[2]tabela de preços'!$A:$F,6,0)</f>
        <v>MASSA CORRIDA / ACRÍLICA</v>
      </c>
      <c r="X2980" t="str">
        <f>VLOOKUP(L2980,'[2]tabela de preços'!$A:$G,7,0)</f>
        <v>IMOBILIÁRIO</v>
      </c>
    </row>
    <row r="2981" spans="1:24" x14ac:dyDescent="0.3">
      <c r="A2981" t="s">
        <v>1015</v>
      </c>
      <c r="C2981" t="s">
        <v>2509</v>
      </c>
      <c r="D2981" s="1">
        <v>46056</v>
      </c>
      <c r="E2981" t="s">
        <v>2510</v>
      </c>
      <c r="F2981">
        <v>9</v>
      </c>
      <c r="G2981">
        <v>197</v>
      </c>
      <c r="H2981" t="str">
        <f>VLOOKUP(G2981,[1]OPERADORES!$A:$B,2,0)</f>
        <v xml:space="preserve">POLIANA LORRANE DE AMORIM </v>
      </c>
      <c r="I2981" t="s">
        <v>21</v>
      </c>
      <c r="J2981" t="s">
        <v>1018</v>
      </c>
      <c r="K2981" t="s">
        <v>1019</v>
      </c>
      <c r="L2981">
        <v>84487</v>
      </c>
      <c r="M2981" t="s">
        <v>633</v>
      </c>
      <c r="O2981" t="s">
        <v>11</v>
      </c>
      <c r="P2981">
        <v>5403</v>
      </c>
      <c r="Q2981">
        <v>2</v>
      </c>
      <c r="R2981">
        <v>28.84</v>
      </c>
      <c r="S2981">
        <v>57.68</v>
      </c>
      <c r="T2981">
        <v>43.78</v>
      </c>
      <c r="U2981">
        <v>24.1</v>
      </c>
      <c r="V2981" t="str">
        <f>VLOOKUP(L2981,'[2]tabela de preços'!$A:$D,4,0)</f>
        <v>BRASILUX</v>
      </c>
      <c r="W2981" t="str">
        <f>VLOOKUP(L2981,'[2]tabela de preços'!$A:$F,6,0)</f>
        <v>TINTAS LACA</v>
      </c>
      <c r="X2981" t="str">
        <f>VLOOKUP(L2981,'[2]tabela de preços'!$A:$G,7,0)</f>
        <v>AUTOMOTIVO</v>
      </c>
    </row>
    <row r="2982" spans="1:24" x14ac:dyDescent="0.3">
      <c r="A2982" t="s">
        <v>1015</v>
      </c>
      <c r="C2982" t="s">
        <v>2509</v>
      </c>
      <c r="D2982" s="1">
        <v>46056</v>
      </c>
      <c r="E2982" t="s">
        <v>2510</v>
      </c>
      <c r="F2982">
        <v>9</v>
      </c>
      <c r="G2982">
        <v>197</v>
      </c>
      <c r="H2982" t="str">
        <f>VLOOKUP(G2982,[1]OPERADORES!$A:$B,2,0)</f>
        <v xml:space="preserve">POLIANA LORRANE DE AMORIM </v>
      </c>
      <c r="I2982" t="s">
        <v>21</v>
      </c>
      <c r="J2982" t="s">
        <v>1018</v>
      </c>
      <c r="K2982" t="s">
        <v>1019</v>
      </c>
      <c r="L2982">
        <v>24248</v>
      </c>
      <c r="M2982" t="s">
        <v>107</v>
      </c>
      <c r="O2982" t="s">
        <v>11</v>
      </c>
      <c r="P2982">
        <v>5102</v>
      </c>
      <c r="Q2982">
        <v>6</v>
      </c>
      <c r="R2982">
        <v>9</v>
      </c>
      <c r="S2982">
        <v>54</v>
      </c>
      <c r="T2982">
        <v>39</v>
      </c>
      <c r="U2982">
        <v>27.78</v>
      </c>
      <c r="V2982" t="str">
        <f>VLOOKUP(L2982,'[2]tabela de preços'!$A:$D,4,0)</f>
        <v>SHERWIN WILLIAMS</v>
      </c>
      <c r="W2982" t="str">
        <f>VLOOKUP(L2982,'[2]tabela de preços'!$A:$F,6,0)</f>
        <v>PRIMER AUTOMOTIVO</v>
      </c>
      <c r="X2982" t="str">
        <f>VLOOKUP(L2982,'[2]tabela de preços'!$A:$G,7,0)</f>
        <v>AUTOMOTIVO</v>
      </c>
    </row>
    <row r="2983" spans="1:24" x14ac:dyDescent="0.3">
      <c r="A2983" t="s">
        <v>1015</v>
      </c>
      <c r="C2983" t="s">
        <v>2509</v>
      </c>
      <c r="D2983" s="1">
        <v>46056</v>
      </c>
      <c r="E2983" t="s">
        <v>2510</v>
      </c>
      <c r="F2983">
        <v>9</v>
      </c>
      <c r="G2983">
        <v>197</v>
      </c>
      <c r="H2983" t="str">
        <f>VLOOKUP(G2983,[1]OPERADORES!$A:$B,2,0)</f>
        <v xml:space="preserve">POLIANA LORRANE DE AMORIM </v>
      </c>
      <c r="I2983" t="s">
        <v>21</v>
      </c>
      <c r="J2983" t="s">
        <v>1018</v>
      </c>
      <c r="K2983" t="s">
        <v>1019</v>
      </c>
      <c r="L2983">
        <v>24240</v>
      </c>
      <c r="M2983" t="s">
        <v>240</v>
      </c>
      <c r="O2983" t="s">
        <v>11</v>
      </c>
      <c r="P2983">
        <v>5102</v>
      </c>
      <c r="Q2983">
        <v>32</v>
      </c>
      <c r="R2983">
        <v>3.81</v>
      </c>
      <c r="S2983">
        <v>121.92</v>
      </c>
      <c r="T2983">
        <v>104.96</v>
      </c>
      <c r="U2983">
        <v>13.91</v>
      </c>
      <c r="V2983" t="str">
        <f>VLOOKUP(L2983,'[2]tabela de preços'!$A:$D,4,0)</f>
        <v>ADERE</v>
      </c>
      <c r="W2983" t="str">
        <f>VLOOKUP(L2983,'[2]tabela de preços'!$A:$F,6,0)</f>
        <v>FITA AUTOMOTIVA</v>
      </c>
      <c r="X2983" t="str">
        <f>VLOOKUP(L2983,'[2]tabela de preços'!$A:$G,7,0)</f>
        <v>AUTOMOTIVO</v>
      </c>
    </row>
    <row r="2984" spans="1:24" x14ac:dyDescent="0.3">
      <c r="A2984" t="s">
        <v>1015</v>
      </c>
      <c r="C2984" t="s">
        <v>2509</v>
      </c>
      <c r="D2984" s="1">
        <v>46056</v>
      </c>
      <c r="E2984" t="s">
        <v>2510</v>
      </c>
      <c r="F2984">
        <v>9</v>
      </c>
      <c r="G2984">
        <v>197</v>
      </c>
      <c r="H2984" t="str">
        <f>VLOOKUP(G2984,[1]OPERADORES!$A:$B,2,0)</f>
        <v xml:space="preserve">POLIANA LORRANE DE AMORIM </v>
      </c>
      <c r="I2984" t="s">
        <v>21</v>
      </c>
      <c r="J2984" t="s">
        <v>1018</v>
      </c>
      <c r="K2984" t="s">
        <v>1019</v>
      </c>
      <c r="L2984">
        <v>87043</v>
      </c>
      <c r="M2984" t="s">
        <v>217</v>
      </c>
      <c r="O2984" t="s">
        <v>11</v>
      </c>
      <c r="P2984">
        <v>5102</v>
      </c>
      <c r="Q2984">
        <v>8</v>
      </c>
      <c r="R2984">
        <v>21.95</v>
      </c>
      <c r="S2984">
        <v>175.6</v>
      </c>
      <c r="T2984">
        <v>144.16</v>
      </c>
      <c r="U2984">
        <v>17.899999999999999</v>
      </c>
      <c r="V2984" t="str">
        <f>VLOOKUP(L2984,'[2]tabela de preços'!$A:$D,4,0)</f>
        <v>ROBERLO</v>
      </c>
      <c r="W2984" t="str">
        <f>VLOOKUP(L2984,'[2]tabela de preços'!$A:$F,6,0)</f>
        <v>MASSA POLIÉSTER</v>
      </c>
      <c r="X2984" t="str">
        <f>VLOOKUP(L2984,'[2]tabela de preços'!$A:$G,7,0)</f>
        <v>AUTOMOTIVO</v>
      </c>
    </row>
    <row r="2985" spans="1:24" x14ac:dyDescent="0.3">
      <c r="A2985" t="s">
        <v>1015</v>
      </c>
      <c r="C2985" t="s">
        <v>2509</v>
      </c>
      <c r="D2985" s="1">
        <v>46056</v>
      </c>
      <c r="E2985" t="s">
        <v>2510</v>
      </c>
      <c r="F2985">
        <v>9</v>
      </c>
      <c r="G2985">
        <v>197</v>
      </c>
      <c r="H2985" t="str">
        <f>VLOOKUP(G2985,[1]OPERADORES!$A:$B,2,0)</f>
        <v xml:space="preserve">POLIANA LORRANE DE AMORIM </v>
      </c>
      <c r="I2985" t="s">
        <v>21</v>
      </c>
      <c r="J2985" t="s">
        <v>1018</v>
      </c>
      <c r="K2985" t="s">
        <v>1019</v>
      </c>
      <c r="L2985">
        <v>24247</v>
      </c>
      <c r="M2985" t="s">
        <v>160</v>
      </c>
      <c r="O2985" t="s">
        <v>11</v>
      </c>
      <c r="P2985">
        <v>5403</v>
      </c>
      <c r="Q2985">
        <v>6</v>
      </c>
      <c r="R2985">
        <v>20</v>
      </c>
      <c r="S2985">
        <v>120</v>
      </c>
      <c r="T2985">
        <v>101.22</v>
      </c>
      <c r="U2985">
        <v>15.65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1015</v>
      </c>
      <c r="C2986" t="s">
        <v>2509</v>
      </c>
      <c r="D2986" s="1">
        <v>46056</v>
      </c>
      <c r="E2986" t="s">
        <v>2510</v>
      </c>
      <c r="F2986">
        <v>9</v>
      </c>
      <c r="G2986">
        <v>197</v>
      </c>
      <c r="H2986" t="str">
        <f>VLOOKUP(G2986,[1]OPERADORES!$A:$B,2,0)</f>
        <v xml:space="preserve">POLIANA LORRANE DE AMORIM </v>
      </c>
      <c r="I2986" t="s">
        <v>21</v>
      </c>
      <c r="J2986" t="s">
        <v>1018</v>
      </c>
      <c r="K2986" t="s">
        <v>1019</v>
      </c>
      <c r="L2986">
        <v>10298</v>
      </c>
      <c r="M2986" t="s">
        <v>85</v>
      </c>
      <c r="O2986" t="s">
        <v>11</v>
      </c>
      <c r="P2986">
        <v>5102</v>
      </c>
      <c r="Q2986">
        <v>2</v>
      </c>
      <c r="R2986">
        <v>56.89</v>
      </c>
      <c r="S2986">
        <v>113.78</v>
      </c>
      <c r="T2986">
        <v>94.76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1015</v>
      </c>
      <c r="C2987" t="s">
        <v>2509</v>
      </c>
      <c r="D2987" s="1">
        <v>46056</v>
      </c>
      <c r="E2987" t="s">
        <v>2510</v>
      </c>
      <c r="F2987">
        <v>9</v>
      </c>
      <c r="G2987">
        <v>197</v>
      </c>
      <c r="H2987" t="str">
        <f>VLOOKUP(G2987,[1]OPERADORES!$A:$B,2,0)</f>
        <v xml:space="preserve">POLIANA LORRANE DE AMORIM </v>
      </c>
      <c r="I2987" t="s">
        <v>21</v>
      </c>
      <c r="J2987" t="s">
        <v>1018</v>
      </c>
      <c r="K2987" t="s">
        <v>1019</v>
      </c>
      <c r="L2987">
        <v>10297</v>
      </c>
      <c r="M2987" t="s">
        <v>41</v>
      </c>
      <c r="O2987" t="s">
        <v>11</v>
      </c>
      <c r="P2987">
        <v>5102</v>
      </c>
      <c r="Q2987">
        <v>12</v>
      </c>
      <c r="R2987">
        <v>10.89</v>
      </c>
      <c r="S2987">
        <v>130.68</v>
      </c>
      <c r="T2987">
        <v>110.04</v>
      </c>
      <c r="U2987">
        <v>15.79</v>
      </c>
      <c r="V2987" t="str">
        <f>VLOOKUP(L2987,'[2]tabela de preços'!$A:$D,4,0)</f>
        <v>ANJO</v>
      </c>
      <c r="W2987" t="str">
        <f>VLOOKUP(L2987,'[2]tabela de preços'!$A:$F,6,0)</f>
        <v>THINNER DE LIMPEZA</v>
      </c>
      <c r="X2987" t="str">
        <f>VLOOKUP(L2987,'[2]tabela de preços'!$A:$G,7,0)</f>
        <v>THINNER</v>
      </c>
    </row>
    <row r="2988" spans="1:24" x14ac:dyDescent="0.3">
      <c r="A2988" t="s">
        <v>1015</v>
      </c>
      <c r="C2988" t="s">
        <v>2912</v>
      </c>
      <c r="D2988" s="1">
        <v>46063</v>
      </c>
      <c r="E2988" t="s">
        <v>2913</v>
      </c>
      <c r="F2988">
        <v>9</v>
      </c>
      <c r="G2988">
        <v>197</v>
      </c>
      <c r="H2988" t="str">
        <f>VLOOKUP(G2988,[1]OPERADORES!$A:$B,2,0)</f>
        <v xml:space="preserve">POLIANA LORRANE DE AMORIM </v>
      </c>
      <c r="I2988" t="s">
        <v>21</v>
      </c>
      <c r="J2988" t="s">
        <v>1018</v>
      </c>
      <c r="K2988" t="s">
        <v>1019</v>
      </c>
      <c r="L2988">
        <v>24248</v>
      </c>
      <c r="M2988" t="s">
        <v>107</v>
      </c>
      <c r="O2988" t="s">
        <v>11</v>
      </c>
      <c r="P2988">
        <v>5102</v>
      </c>
      <c r="Q2988">
        <v>12</v>
      </c>
      <c r="R2988">
        <v>8</v>
      </c>
      <c r="S2988">
        <v>96</v>
      </c>
      <c r="T2988">
        <v>78</v>
      </c>
      <c r="U2988">
        <v>18.75</v>
      </c>
      <c r="V2988" t="str">
        <f>VLOOKUP(L2988,'[2]tabela de preços'!$A:$D,4,0)</f>
        <v>SHERWIN WILLIAMS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1015</v>
      </c>
      <c r="C2989" t="s">
        <v>2912</v>
      </c>
      <c r="D2989" s="1">
        <v>46063</v>
      </c>
      <c r="E2989" t="s">
        <v>2913</v>
      </c>
      <c r="F2989">
        <v>9</v>
      </c>
      <c r="G2989">
        <v>197</v>
      </c>
      <c r="H2989" t="str">
        <f>VLOOKUP(G2989,[1]OPERADORES!$A:$B,2,0)</f>
        <v xml:space="preserve">POLIANA LORRANE DE AMORIM </v>
      </c>
      <c r="I2989" t="s">
        <v>21</v>
      </c>
      <c r="J2989" t="s">
        <v>1018</v>
      </c>
      <c r="K2989" t="s">
        <v>1019</v>
      </c>
      <c r="L2989">
        <v>24240</v>
      </c>
      <c r="M2989" t="s">
        <v>240</v>
      </c>
      <c r="O2989" t="s">
        <v>11</v>
      </c>
      <c r="P2989">
        <v>5102</v>
      </c>
      <c r="Q2989">
        <v>32</v>
      </c>
      <c r="R2989">
        <v>3.81</v>
      </c>
      <c r="S2989">
        <v>121.92</v>
      </c>
      <c r="T2989">
        <v>104.96</v>
      </c>
      <c r="U2989">
        <v>13.91</v>
      </c>
      <c r="V2989" t="str">
        <f>VLOOKUP(L2989,'[2]tabela de preços'!$A:$D,4,0)</f>
        <v>ADERE</v>
      </c>
      <c r="W2989" t="str">
        <f>VLOOKUP(L2989,'[2]tabela de preços'!$A:$F,6,0)</f>
        <v>FITA AUTOMOTIVA</v>
      </c>
      <c r="X2989" t="str">
        <f>VLOOKUP(L2989,'[2]tabela de preços'!$A:$G,7,0)</f>
        <v>AUTOMOTIVO</v>
      </c>
    </row>
    <row r="2990" spans="1:24" x14ac:dyDescent="0.3">
      <c r="A2990" t="s">
        <v>1015</v>
      </c>
      <c r="C2990" t="s">
        <v>2912</v>
      </c>
      <c r="D2990" s="1">
        <v>46063</v>
      </c>
      <c r="E2990" t="s">
        <v>2913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1018</v>
      </c>
      <c r="K2990" t="s">
        <v>1019</v>
      </c>
      <c r="L2990">
        <v>23602</v>
      </c>
      <c r="M2990" t="s">
        <v>215</v>
      </c>
      <c r="O2990" t="s">
        <v>11</v>
      </c>
      <c r="P2990">
        <v>5403</v>
      </c>
      <c r="Q2990">
        <v>9</v>
      </c>
      <c r="R2990">
        <v>35.89</v>
      </c>
      <c r="S2990">
        <v>323.01</v>
      </c>
      <c r="T2990">
        <v>263.25</v>
      </c>
      <c r="U2990">
        <v>18.5</v>
      </c>
      <c r="V2990" t="str">
        <f>VLOOKUP(L2990,'[2]tabela de preços'!$A:$D,4,0)</f>
        <v>SHERWIN WILLIAMS</v>
      </c>
      <c r="W2990" t="str">
        <f>VLOOKUP(L2990,'[2]tabela de preços'!$A:$F,6,0)</f>
        <v>VERNIZ AUTOMOTIVO</v>
      </c>
      <c r="X2990" t="str">
        <f>VLOOKUP(L2990,'[2]tabela de preços'!$A:$G,7,0)</f>
        <v>AUTOMOTIVO</v>
      </c>
    </row>
    <row r="2991" spans="1:24" x14ac:dyDescent="0.3">
      <c r="A2991" t="s">
        <v>1015</v>
      </c>
      <c r="C2991" t="s">
        <v>2912</v>
      </c>
      <c r="D2991" s="1">
        <v>46063</v>
      </c>
      <c r="E2991" t="s">
        <v>2913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1018</v>
      </c>
      <c r="K2991" t="s">
        <v>1019</v>
      </c>
      <c r="L2991">
        <v>87043</v>
      </c>
      <c r="M2991" t="s">
        <v>217</v>
      </c>
      <c r="O2991" t="s">
        <v>11</v>
      </c>
      <c r="P2991">
        <v>5102</v>
      </c>
      <c r="Q2991">
        <v>9</v>
      </c>
      <c r="R2991">
        <v>21.95</v>
      </c>
      <c r="S2991">
        <v>197.55</v>
      </c>
      <c r="T2991">
        <v>162.18</v>
      </c>
      <c r="U2991">
        <v>17.899999999999999</v>
      </c>
      <c r="V2991" t="str">
        <f>VLOOKUP(L2991,'[2]tabela de preços'!$A:$D,4,0)</f>
        <v>ROBERLO</v>
      </c>
      <c r="W2991" t="str">
        <f>VLOOKUP(L2991,'[2]tabela de preços'!$A:$F,6,0)</f>
        <v>MASSA POLIÉSTER</v>
      </c>
      <c r="X2991" t="str">
        <f>VLOOKUP(L2991,'[2]tabela de preços'!$A:$G,7,0)</f>
        <v>AUTOMOTIVO</v>
      </c>
    </row>
    <row r="2992" spans="1:24" x14ac:dyDescent="0.3">
      <c r="A2992" t="s">
        <v>1015</v>
      </c>
      <c r="C2992" t="s">
        <v>2912</v>
      </c>
      <c r="D2992" s="1">
        <v>46063</v>
      </c>
      <c r="E2992" t="s">
        <v>2913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1018</v>
      </c>
      <c r="K2992" t="s">
        <v>1019</v>
      </c>
      <c r="L2992">
        <v>24247</v>
      </c>
      <c r="M2992" t="s">
        <v>160</v>
      </c>
      <c r="O2992" t="s">
        <v>11</v>
      </c>
      <c r="P2992">
        <v>5403</v>
      </c>
      <c r="Q2992">
        <v>12</v>
      </c>
      <c r="R2992">
        <v>21</v>
      </c>
      <c r="S2992">
        <v>252</v>
      </c>
      <c r="T2992">
        <v>202.44</v>
      </c>
      <c r="U2992">
        <v>19.670000000000002</v>
      </c>
      <c r="V2992" t="str">
        <f>VLOOKUP(L2992,'[2]tabela de preços'!$A:$D,4,0)</f>
        <v>SHERWIN WILLIAMS</v>
      </c>
      <c r="W2992" t="str">
        <f>VLOOKUP(L2992,'[2]tabela de preços'!$A:$F,6,0)</f>
        <v>PRIMER AUTOMOTIVO</v>
      </c>
      <c r="X2992" t="str">
        <f>VLOOKUP(L2992,'[2]tabela de preços'!$A:$G,7,0)</f>
        <v>AUTOMOTIVO</v>
      </c>
    </row>
    <row r="2993" spans="1:24" x14ac:dyDescent="0.3">
      <c r="A2993" t="s">
        <v>1020</v>
      </c>
      <c r="C2993" t="s">
        <v>3145</v>
      </c>
      <c r="D2993" s="1">
        <v>46066</v>
      </c>
      <c r="E2993" t="s">
        <v>3146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550</v>
      </c>
      <c r="K2993" t="s">
        <v>1023</v>
      </c>
      <c r="L2993">
        <v>84333</v>
      </c>
      <c r="M2993" t="s">
        <v>1025</v>
      </c>
      <c r="O2993" t="s">
        <v>11</v>
      </c>
      <c r="P2993">
        <v>5403</v>
      </c>
      <c r="Q2993">
        <v>1</v>
      </c>
      <c r="R2993">
        <v>59.98</v>
      </c>
      <c r="S2993">
        <v>59.98</v>
      </c>
      <c r="T2993">
        <v>47.04</v>
      </c>
      <c r="U2993">
        <v>21.57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1020</v>
      </c>
      <c r="C2994" t="s">
        <v>3145</v>
      </c>
      <c r="D2994" s="1">
        <v>46066</v>
      </c>
      <c r="E2994" t="s">
        <v>3146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550</v>
      </c>
      <c r="K2994" t="s">
        <v>1023</v>
      </c>
      <c r="L2994">
        <v>84462</v>
      </c>
      <c r="M2994" t="s">
        <v>1026</v>
      </c>
      <c r="O2994" t="s">
        <v>11</v>
      </c>
      <c r="P2994">
        <v>5403</v>
      </c>
      <c r="Q2994">
        <v>2</v>
      </c>
      <c r="R2994">
        <v>105.56</v>
      </c>
      <c r="S2994">
        <v>211.12</v>
      </c>
      <c r="T2994">
        <v>160.24</v>
      </c>
      <c r="U2994">
        <v>24.1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1020</v>
      </c>
      <c r="C2995" t="s">
        <v>3145</v>
      </c>
      <c r="D2995" s="1">
        <v>46066</v>
      </c>
      <c r="E2995" t="s">
        <v>3146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550</v>
      </c>
      <c r="K2995" t="s">
        <v>1023</v>
      </c>
      <c r="L2995">
        <v>84560</v>
      </c>
      <c r="M2995" t="s">
        <v>118</v>
      </c>
      <c r="O2995" t="s">
        <v>11</v>
      </c>
      <c r="P2995">
        <v>5102</v>
      </c>
      <c r="Q2995">
        <v>2</v>
      </c>
      <c r="R2995">
        <v>47.89</v>
      </c>
      <c r="S2995">
        <v>95.78</v>
      </c>
      <c r="T2995">
        <v>78.319999999999993</v>
      </c>
      <c r="U2995">
        <v>18.23</v>
      </c>
      <c r="V2995" t="str">
        <f>VLOOKUP(L2995,'[2]tabela de preços'!$A:$D,4,0)</f>
        <v>BRASILUX</v>
      </c>
      <c r="W2995" t="str">
        <f>VLOOKUP(L2995,'[2]tabela de preços'!$A:$F,6,0)</f>
        <v>THINNER DE LIMPEZA</v>
      </c>
      <c r="X2995" t="str">
        <f>VLOOKUP(L2995,'[2]tabela de preços'!$A:$G,7,0)</f>
        <v>THINNER</v>
      </c>
    </row>
    <row r="2996" spans="1:24" x14ac:dyDescent="0.3">
      <c r="A2996" t="s">
        <v>1031</v>
      </c>
      <c r="C2996" t="s">
        <v>2511</v>
      </c>
      <c r="D2996" s="1">
        <v>46056</v>
      </c>
      <c r="E2996" t="s">
        <v>2512</v>
      </c>
      <c r="F2996">
        <v>9</v>
      </c>
      <c r="G2996">
        <v>230</v>
      </c>
      <c r="H2996" t="str">
        <f>VLOOKUP(G2996,[1]OPERADORES!$A:$B,2,0)</f>
        <v>SÔNIA</v>
      </c>
      <c r="I2996" t="s">
        <v>168</v>
      </c>
      <c r="J2996" t="s">
        <v>1034</v>
      </c>
      <c r="K2996" t="s">
        <v>1035</v>
      </c>
      <c r="L2996">
        <v>84030</v>
      </c>
      <c r="M2996" t="s">
        <v>900</v>
      </c>
      <c r="O2996" t="s">
        <v>11</v>
      </c>
      <c r="P2996">
        <v>6108</v>
      </c>
      <c r="Q2996">
        <v>1</v>
      </c>
      <c r="R2996">
        <v>55.81</v>
      </c>
      <c r="S2996">
        <v>55.81</v>
      </c>
      <c r="T2996">
        <v>42.36</v>
      </c>
      <c r="U2996">
        <v>24.1</v>
      </c>
      <c r="V2996" t="str">
        <f>VLOOKUP(L2996,'[2]tabela de preços'!$A:$D,4,0)</f>
        <v>BRASILUX</v>
      </c>
      <c r="W2996" t="str">
        <f>VLOOKUP(L2996,'[2]tabela de preços'!$A:$F,6,0)</f>
        <v>AGUARRAS</v>
      </c>
      <c r="X2996" t="str">
        <f>VLOOKUP(L2996,'[2]tabela de preços'!$A:$G,7,0)</f>
        <v>IMOBILIÁRIO</v>
      </c>
    </row>
    <row r="2997" spans="1:24" x14ac:dyDescent="0.3">
      <c r="A2997" t="s">
        <v>1031</v>
      </c>
      <c r="C2997" t="s">
        <v>2511</v>
      </c>
      <c r="D2997" s="1">
        <v>46056</v>
      </c>
      <c r="E2997" t="s">
        <v>2512</v>
      </c>
      <c r="F2997">
        <v>9</v>
      </c>
      <c r="G2997">
        <v>230</v>
      </c>
      <c r="H2997" t="str">
        <f>VLOOKUP(G2997,[1]OPERADORES!$A:$B,2,0)</f>
        <v>SÔNIA</v>
      </c>
      <c r="I2997" t="s">
        <v>168</v>
      </c>
      <c r="J2997" t="s">
        <v>1034</v>
      </c>
      <c r="K2997" t="s">
        <v>1035</v>
      </c>
      <c r="L2997">
        <v>84331</v>
      </c>
      <c r="M2997" t="s">
        <v>497</v>
      </c>
      <c r="O2997" t="s">
        <v>11</v>
      </c>
      <c r="P2997">
        <v>6108</v>
      </c>
      <c r="Q2997">
        <v>2</v>
      </c>
      <c r="R2997">
        <v>59.98</v>
      </c>
      <c r="S2997">
        <v>119.96</v>
      </c>
      <c r="T2997">
        <v>104</v>
      </c>
      <c r="U2997">
        <v>13.3</v>
      </c>
      <c r="V2997" t="str">
        <f>VLOOKUP(L2997,'[2]tabela de preços'!$A:$D,4,0)</f>
        <v>BRASILUX</v>
      </c>
      <c r="W2997" t="str">
        <f>VLOOKUP(L2997,'[2]tabela de preços'!$A:$F,6,0)</f>
        <v>ESMALTES</v>
      </c>
      <c r="X2997" t="str">
        <f>VLOOKUP(L2997,'[2]tabela de preços'!$A:$G,7,0)</f>
        <v>INDUSTRIAL</v>
      </c>
    </row>
    <row r="2998" spans="1:24" x14ac:dyDescent="0.3">
      <c r="A2998" t="s">
        <v>1031</v>
      </c>
      <c r="C2998" t="s">
        <v>2511</v>
      </c>
      <c r="D2998" s="1">
        <v>46056</v>
      </c>
      <c r="E2998" t="s">
        <v>2512</v>
      </c>
      <c r="F2998">
        <v>9</v>
      </c>
      <c r="G2998">
        <v>230</v>
      </c>
      <c r="H2998" t="str">
        <f>VLOOKUP(G2998,[1]OPERADORES!$A:$B,2,0)</f>
        <v>SÔNIA</v>
      </c>
      <c r="I2998" t="s">
        <v>168</v>
      </c>
      <c r="J2998" t="s">
        <v>1034</v>
      </c>
      <c r="K2998" t="s">
        <v>1035</v>
      </c>
      <c r="L2998">
        <v>23602</v>
      </c>
      <c r="M2998" t="s">
        <v>215</v>
      </c>
      <c r="O2998" t="s">
        <v>11</v>
      </c>
      <c r="P2998">
        <v>6108</v>
      </c>
      <c r="Q2998">
        <v>1</v>
      </c>
      <c r="R2998">
        <v>35.89</v>
      </c>
      <c r="S2998">
        <v>35.89</v>
      </c>
      <c r="T2998">
        <v>29.25</v>
      </c>
      <c r="U2998">
        <v>18.5</v>
      </c>
      <c r="V2998" t="str">
        <f>VLOOKUP(L2998,'[2]tabela de preços'!$A:$D,4,0)</f>
        <v>SHERWIN WILLIAMS</v>
      </c>
      <c r="W2998" t="str">
        <f>VLOOKUP(L2998,'[2]tabela de preços'!$A:$F,6,0)</f>
        <v>VERNIZ AUTOMOTIVO</v>
      </c>
      <c r="X2998" t="str">
        <f>VLOOKUP(L2998,'[2]tabela de preços'!$A:$G,7,0)</f>
        <v>AUTOMOTIVO</v>
      </c>
    </row>
    <row r="2999" spans="1:24" x14ac:dyDescent="0.3">
      <c r="A2999" t="s">
        <v>1031</v>
      </c>
      <c r="C2999" t="s">
        <v>2511</v>
      </c>
      <c r="D2999" s="1">
        <v>46056</v>
      </c>
      <c r="E2999" t="s">
        <v>2512</v>
      </c>
      <c r="F2999">
        <v>9</v>
      </c>
      <c r="G2999">
        <v>230</v>
      </c>
      <c r="H2999" t="str">
        <f>VLOOKUP(G2999,[1]OPERADORES!$A:$B,2,0)</f>
        <v>SÔNIA</v>
      </c>
      <c r="I2999" t="s">
        <v>168</v>
      </c>
      <c r="J2999" t="s">
        <v>1034</v>
      </c>
      <c r="K2999" t="s">
        <v>1035</v>
      </c>
      <c r="L2999">
        <v>84014</v>
      </c>
      <c r="M2999" t="s">
        <v>1152</v>
      </c>
      <c r="O2999" t="s">
        <v>11</v>
      </c>
      <c r="P2999">
        <v>6108</v>
      </c>
      <c r="Q2999">
        <v>4</v>
      </c>
      <c r="R2999">
        <v>2.2000000000000002</v>
      </c>
      <c r="S2999">
        <v>8.8000000000000007</v>
      </c>
      <c r="T2999">
        <v>6.68</v>
      </c>
      <c r="U2999">
        <v>24.09</v>
      </c>
      <c r="V2999" t="str">
        <f>VLOOKUP(L2999,'[2]tabela de preços'!$A:$D,4,0)</f>
        <v>3M</v>
      </c>
      <c r="W2999" t="str">
        <f>VLOOKUP(L2999,'[2]tabela de preços'!$A:$F,6,0)</f>
        <v>LIXA FERRO</v>
      </c>
      <c r="X2999" t="str">
        <f>VLOOKUP(L2999,'[2]tabela de preços'!$A:$G,7,0)</f>
        <v>IMOBILIÁRIO</v>
      </c>
    </row>
    <row r="3000" spans="1:24" x14ac:dyDescent="0.3">
      <c r="A3000" t="s">
        <v>1031</v>
      </c>
      <c r="C3000" t="s">
        <v>2622</v>
      </c>
      <c r="D3000" s="1">
        <v>46058</v>
      </c>
      <c r="E3000" t="s">
        <v>2623</v>
      </c>
      <c r="F3000">
        <v>9</v>
      </c>
      <c r="G3000">
        <v>236</v>
      </c>
      <c r="H3000" t="str">
        <f>VLOOKUP(G3000,[1]OPERADORES!$A:$B,2,0)</f>
        <v>DANIEL</v>
      </c>
      <c r="I3000" t="s">
        <v>168</v>
      </c>
      <c r="J3000" t="s">
        <v>1034</v>
      </c>
      <c r="K3000" t="s">
        <v>1035</v>
      </c>
      <c r="L3000">
        <v>85448</v>
      </c>
      <c r="M3000" t="s">
        <v>1259</v>
      </c>
      <c r="O3000" t="s">
        <v>11</v>
      </c>
      <c r="P3000">
        <v>6108</v>
      </c>
      <c r="Q3000">
        <v>1</v>
      </c>
      <c r="R3000">
        <v>98.77</v>
      </c>
      <c r="S3000">
        <v>98.77</v>
      </c>
      <c r="T3000">
        <v>72.41</v>
      </c>
      <c r="U3000">
        <v>26.69</v>
      </c>
      <c r="V3000" t="str">
        <f>VLOOKUP(L3000,'[2]tabela de preços'!$A:$D,4,0)</f>
        <v>BRASILUX</v>
      </c>
      <c r="W3000" t="str">
        <f>VLOOKUP(L3000,'[2]tabela de preços'!$A:$F,6,0)</f>
        <v>TINTAS LACA</v>
      </c>
      <c r="X3000" t="str">
        <f>VLOOKUP(L3000,'[2]tabela de preços'!$A:$G,7,0)</f>
        <v>AUTOMOTIVO</v>
      </c>
    </row>
    <row r="3001" spans="1:24" x14ac:dyDescent="0.3">
      <c r="A3001" t="s">
        <v>1031</v>
      </c>
      <c r="C3001" t="s">
        <v>2622</v>
      </c>
      <c r="D3001" s="1">
        <v>46058</v>
      </c>
      <c r="E3001" t="s">
        <v>2623</v>
      </c>
      <c r="F3001">
        <v>9</v>
      </c>
      <c r="G3001">
        <v>236</v>
      </c>
      <c r="H3001" t="str">
        <f>VLOOKUP(G3001,[1]OPERADORES!$A:$B,2,0)</f>
        <v>DANIEL</v>
      </c>
      <c r="I3001" t="s">
        <v>168</v>
      </c>
      <c r="J3001" t="s">
        <v>1034</v>
      </c>
      <c r="K3001" t="s">
        <v>1035</v>
      </c>
      <c r="L3001">
        <v>23105</v>
      </c>
      <c r="M3001" t="s">
        <v>402</v>
      </c>
      <c r="O3001" t="s">
        <v>11</v>
      </c>
      <c r="P3001">
        <v>6108</v>
      </c>
      <c r="Q3001">
        <v>50</v>
      </c>
      <c r="R3001">
        <v>2.35</v>
      </c>
      <c r="S3001">
        <v>117.5</v>
      </c>
      <c r="T3001">
        <v>96</v>
      </c>
      <c r="U3001">
        <v>18.3</v>
      </c>
      <c r="V3001" t="str">
        <f>VLOOKUP(L3001,'[2]tabela de preços'!$A:$D,4,0)</f>
        <v>3M</v>
      </c>
      <c r="W3001" t="str">
        <f>VLOOKUP(L3001,'[2]tabela de preços'!$A:$F,6,0)</f>
        <v xml:space="preserve">DISCOS / LIXAS / ABRASIVOS </v>
      </c>
      <c r="X3001" t="str">
        <f>VLOOKUP(L3001,'[2]tabela de preços'!$A:$G,7,0)</f>
        <v>AUTOMOTIVO</v>
      </c>
    </row>
    <row r="3002" spans="1:24" x14ac:dyDescent="0.3">
      <c r="A3002" t="s">
        <v>1031</v>
      </c>
      <c r="C3002" t="s">
        <v>2622</v>
      </c>
      <c r="D3002" s="1">
        <v>46058</v>
      </c>
      <c r="E3002" t="s">
        <v>2623</v>
      </c>
      <c r="F3002">
        <v>9</v>
      </c>
      <c r="G3002">
        <v>236</v>
      </c>
      <c r="H3002" t="str">
        <f>VLOOKUP(G3002,[1]OPERADORES!$A:$B,2,0)</f>
        <v>DANIEL</v>
      </c>
      <c r="I3002" t="s">
        <v>168</v>
      </c>
      <c r="J3002" t="s">
        <v>1034</v>
      </c>
      <c r="K3002" t="s">
        <v>1035</v>
      </c>
      <c r="L3002">
        <v>23602</v>
      </c>
      <c r="M3002" t="s">
        <v>215</v>
      </c>
      <c r="O3002" t="s">
        <v>11</v>
      </c>
      <c r="P3002">
        <v>6108</v>
      </c>
      <c r="Q3002">
        <v>2</v>
      </c>
      <c r="R3002">
        <v>35.89</v>
      </c>
      <c r="S3002">
        <v>71.78</v>
      </c>
      <c r="T3002">
        <v>58.5</v>
      </c>
      <c r="U3002">
        <v>18.5</v>
      </c>
      <c r="V3002" t="str">
        <f>VLOOKUP(L3002,'[2]tabela de preços'!$A:$D,4,0)</f>
        <v>SHERWIN WILLIAMS</v>
      </c>
      <c r="W3002" t="str">
        <f>VLOOKUP(L3002,'[2]tabela de preços'!$A:$F,6,0)</f>
        <v>VERNIZ AUTOMOTIVO</v>
      </c>
      <c r="X3002" t="str">
        <f>VLOOKUP(L3002,'[2]tabela de preços'!$A:$G,7,0)</f>
        <v>AUTOMOTIVO</v>
      </c>
    </row>
    <row r="3003" spans="1:24" x14ac:dyDescent="0.3">
      <c r="A3003" t="s">
        <v>1031</v>
      </c>
      <c r="C3003" t="s">
        <v>2622</v>
      </c>
      <c r="D3003" s="1">
        <v>46058</v>
      </c>
      <c r="E3003" t="s">
        <v>2623</v>
      </c>
      <c r="F3003">
        <v>9</v>
      </c>
      <c r="G3003">
        <v>236</v>
      </c>
      <c r="H3003" t="str">
        <f>VLOOKUP(G3003,[1]OPERADORES!$A:$B,2,0)</f>
        <v>DANIEL</v>
      </c>
      <c r="I3003" t="s">
        <v>168</v>
      </c>
      <c r="J3003" t="s">
        <v>1034</v>
      </c>
      <c r="K3003" t="s">
        <v>1035</v>
      </c>
      <c r="L3003">
        <v>10396</v>
      </c>
      <c r="M3003" t="s">
        <v>2624</v>
      </c>
      <c r="O3003" t="s">
        <v>11</v>
      </c>
      <c r="P3003">
        <v>6108</v>
      </c>
      <c r="Q3003">
        <v>1</v>
      </c>
      <c r="R3003">
        <v>31.47</v>
      </c>
      <c r="S3003">
        <v>31.47</v>
      </c>
      <c r="T3003">
        <v>23.07</v>
      </c>
      <c r="U3003">
        <v>26.69</v>
      </c>
      <c r="V3003" t="str">
        <f>VLOOKUP(L3003,'[2]tabela de preços'!$A:$D,4,0)</f>
        <v>MAXI RUBBER</v>
      </c>
      <c r="W3003" t="str">
        <f>VLOOKUP(L3003,'[2]tabela de preços'!$A:$F,6,0)</f>
        <v>MASSA POLIÉSTER</v>
      </c>
      <c r="X3003" t="str">
        <f>VLOOKUP(L3003,'[2]tabela de preços'!$A:$G,7,0)</f>
        <v>AUTOMOTIVO</v>
      </c>
    </row>
    <row r="3004" spans="1:24" x14ac:dyDescent="0.3">
      <c r="A3004" t="s">
        <v>1031</v>
      </c>
      <c r="C3004" t="s">
        <v>2622</v>
      </c>
      <c r="D3004" s="1">
        <v>46058</v>
      </c>
      <c r="E3004" t="s">
        <v>2623</v>
      </c>
      <c r="F3004">
        <v>9</v>
      </c>
      <c r="G3004">
        <v>236</v>
      </c>
      <c r="H3004" t="str">
        <f>VLOOKUP(G3004,[1]OPERADORES!$A:$B,2,0)</f>
        <v>DANIEL</v>
      </c>
      <c r="I3004" t="s">
        <v>168</v>
      </c>
      <c r="J3004" t="s">
        <v>1034</v>
      </c>
      <c r="K3004" t="s">
        <v>1035</v>
      </c>
      <c r="L3004">
        <v>84560</v>
      </c>
      <c r="M3004" t="s">
        <v>118</v>
      </c>
      <c r="O3004" t="s">
        <v>11</v>
      </c>
      <c r="P3004">
        <v>6108</v>
      </c>
      <c r="Q3004">
        <v>4</v>
      </c>
      <c r="R3004">
        <v>47.89</v>
      </c>
      <c r="S3004">
        <v>191.56</v>
      </c>
      <c r="T3004">
        <v>156.63999999999999</v>
      </c>
      <c r="U3004">
        <v>18.23</v>
      </c>
      <c r="V3004" t="str">
        <f>VLOOKUP(L3004,'[2]tabela de preços'!$A:$D,4,0)</f>
        <v>BRASILUX</v>
      </c>
      <c r="W3004" t="str">
        <f>VLOOKUP(L3004,'[2]tabela de preços'!$A:$F,6,0)</f>
        <v>THINNER DE LIMPEZA</v>
      </c>
      <c r="X3004" t="str">
        <f>VLOOKUP(L3004,'[2]tabela de preços'!$A:$G,7,0)</f>
        <v>THINNER</v>
      </c>
    </row>
    <row r="3005" spans="1:24" x14ac:dyDescent="0.3">
      <c r="A3005" t="s">
        <v>1031</v>
      </c>
      <c r="C3005" t="s">
        <v>2622</v>
      </c>
      <c r="D3005" s="1">
        <v>46058</v>
      </c>
      <c r="E3005" t="s">
        <v>2623</v>
      </c>
      <c r="F3005">
        <v>9</v>
      </c>
      <c r="G3005">
        <v>236</v>
      </c>
      <c r="H3005" t="str">
        <f>VLOOKUP(G3005,[1]OPERADORES!$A:$B,2,0)</f>
        <v>DANIEL</v>
      </c>
      <c r="I3005" t="s">
        <v>168</v>
      </c>
      <c r="J3005" t="s">
        <v>1034</v>
      </c>
      <c r="K3005" t="s">
        <v>1035</v>
      </c>
      <c r="L3005">
        <v>84899</v>
      </c>
      <c r="M3005" t="s">
        <v>854</v>
      </c>
      <c r="O3005" t="s">
        <v>11</v>
      </c>
      <c r="P3005">
        <v>6108</v>
      </c>
      <c r="Q3005">
        <v>1</v>
      </c>
      <c r="R3005">
        <v>175.37</v>
      </c>
      <c r="S3005">
        <v>175.37</v>
      </c>
      <c r="T3005">
        <v>128.57</v>
      </c>
      <c r="U3005">
        <v>26.69</v>
      </c>
      <c r="V3005" t="str">
        <f>VLOOKUP(L3005,'[2]tabela de preços'!$A:$D,4,0)</f>
        <v>BRASILUX</v>
      </c>
      <c r="W3005" t="str">
        <f>VLOOKUP(L3005,'[2]tabela de preços'!$A:$F,6,0)</f>
        <v>EPOXI</v>
      </c>
      <c r="X3005" t="str">
        <f>VLOOKUP(L3005,'[2]tabela de preços'!$A:$G,7,0)</f>
        <v>INDUSTRIAL</v>
      </c>
    </row>
    <row r="3006" spans="1:24" x14ac:dyDescent="0.3">
      <c r="A3006" t="s">
        <v>1058</v>
      </c>
      <c r="C3006" t="s">
        <v>3147</v>
      </c>
      <c r="D3006" s="1">
        <v>46072</v>
      </c>
      <c r="E3006" t="s">
        <v>3148</v>
      </c>
      <c r="F3006">
        <v>9</v>
      </c>
      <c r="G3006">
        <v>231</v>
      </c>
      <c r="H3006" t="str">
        <f>VLOOKUP(G3006,[1]OPERADORES!$A:$B,2,0)</f>
        <v>EDIJANE</v>
      </c>
      <c r="I3006" t="s">
        <v>244</v>
      </c>
      <c r="J3006" t="s">
        <v>1061</v>
      </c>
      <c r="K3006" t="s">
        <v>1062</v>
      </c>
      <c r="L3006">
        <v>85321</v>
      </c>
      <c r="M3006" t="s">
        <v>1063</v>
      </c>
      <c r="O3006" t="s">
        <v>11</v>
      </c>
      <c r="P3006">
        <v>6102</v>
      </c>
      <c r="Q3006">
        <v>1</v>
      </c>
      <c r="R3006">
        <v>653.23</v>
      </c>
      <c r="S3006">
        <v>653.23</v>
      </c>
      <c r="T3006">
        <v>465.76</v>
      </c>
      <c r="U3006">
        <v>28.7</v>
      </c>
      <c r="V3006" t="str">
        <f>VLOOKUP(L3006,'[2]tabela de preços'!$A:$D,4,0)</f>
        <v>BRASILUX</v>
      </c>
      <c r="W3006" t="str">
        <f>VLOOKUP(L3006,'[2]tabela de preços'!$A:$F,6,0)</f>
        <v>TINTA EM PÓ</v>
      </c>
      <c r="X3006" t="str">
        <f>VLOOKUP(L3006,'[2]tabela de preços'!$A:$G,7,0)</f>
        <v>INDUSTRIAL</v>
      </c>
    </row>
    <row r="3007" spans="1:24" x14ac:dyDescent="0.3">
      <c r="A3007" t="s">
        <v>1080</v>
      </c>
      <c r="C3007" t="s">
        <v>2819</v>
      </c>
      <c r="D3007" s="1">
        <v>46062</v>
      </c>
      <c r="E3007" t="s">
        <v>2820</v>
      </c>
      <c r="F3007">
        <v>9</v>
      </c>
      <c r="G3007">
        <v>230</v>
      </c>
      <c r="H3007" t="str">
        <f>VLOOKUP(G3007,[1]OPERADORES!$A:$B,2,0)</f>
        <v>SÔNIA</v>
      </c>
      <c r="I3007" t="s">
        <v>715</v>
      </c>
      <c r="J3007" t="s">
        <v>1083</v>
      </c>
      <c r="K3007" t="s">
        <v>1084</v>
      </c>
      <c r="L3007">
        <v>20461</v>
      </c>
      <c r="M3007" t="s">
        <v>1085</v>
      </c>
      <c r="O3007" t="s">
        <v>11</v>
      </c>
      <c r="P3007">
        <v>6102</v>
      </c>
      <c r="Q3007">
        <v>6</v>
      </c>
      <c r="R3007">
        <v>57.23</v>
      </c>
      <c r="S3007">
        <v>343.38</v>
      </c>
      <c r="T3007">
        <v>260.64</v>
      </c>
      <c r="U3007">
        <v>24.1</v>
      </c>
      <c r="V3007" t="str">
        <f>VLOOKUP(L3007,'[2]tabela de preços'!$A:$D,4,0)</f>
        <v>SHERWIN WILLIAMS</v>
      </c>
      <c r="W3007" t="str">
        <f>VLOOKUP(L3007,'[2]tabela de preços'!$A:$F,6,0)</f>
        <v>VERNIZ AUTOMOTIVO</v>
      </c>
      <c r="X3007" t="str">
        <f>VLOOKUP(L3007,'[2]tabela de preços'!$A:$G,7,0)</f>
        <v>AUTOMOTIVO</v>
      </c>
    </row>
    <row r="3008" spans="1:24" x14ac:dyDescent="0.3">
      <c r="A3008" t="s">
        <v>1080</v>
      </c>
      <c r="C3008" t="s">
        <v>2819</v>
      </c>
      <c r="D3008" s="1">
        <v>46062</v>
      </c>
      <c r="E3008" t="s">
        <v>2820</v>
      </c>
      <c r="F3008">
        <v>9</v>
      </c>
      <c r="G3008">
        <v>230</v>
      </c>
      <c r="H3008" t="str">
        <f>VLOOKUP(G3008,[1]OPERADORES!$A:$B,2,0)</f>
        <v>SÔNIA</v>
      </c>
      <c r="I3008" t="s">
        <v>715</v>
      </c>
      <c r="J3008" t="s">
        <v>1083</v>
      </c>
      <c r="K3008" t="s">
        <v>1084</v>
      </c>
      <c r="L3008">
        <v>24248</v>
      </c>
      <c r="M3008" t="s">
        <v>107</v>
      </c>
      <c r="O3008" t="s">
        <v>11</v>
      </c>
      <c r="P3008">
        <v>6102</v>
      </c>
      <c r="Q3008">
        <v>12</v>
      </c>
      <c r="R3008">
        <v>8.56</v>
      </c>
      <c r="S3008">
        <v>102.72</v>
      </c>
      <c r="T3008">
        <v>78</v>
      </c>
      <c r="U3008">
        <v>24.07</v>
      </c>
      <c r="V3008" t="str">
        <f>VLOOKUP(L3008,'[2]tabela de preços'!$A:$D,4,0)</f>
        <v>SHERWIN WILLIAMS</v>
      </c>
      <c r="W3008" t="str">
        <f>VLOOKUP(L3008,'[2]tabela de preços'!$A:$F,6,0)</f>
        <v>PRIMER AUTOMOTIVO</v>
      </c>
      <c r="X3008" t="str">
        <f>VLOOKUP(L3008,'[2]tabela de preços'!$A:$G,7,0)</f>
        <v>AUTOMOTIVO</v>
      </c>
    </row>
    <row r="3009" spans="1:24" x14ac:dyDescent="0.3">
      <c r="A3009" t="s">
        <v>1080</v>
      </c>
      <c r="C3009" t="s">
        <v>2819</v>
      </c>
      <c r="D3009" s="1">
        <v>46062</v>
      </c>
      <c r="E3009" t="s">
        <v>2820</v>
      </c>
      <c r="F3009">
        <v>9</v>
      </c>
      <c r="G3009">
        <v>230</v>
      </c>
      <c r="H3009" t="str">
        <f>VLOOKUP(G3009,[1]OPERADORES!$A:$B,2,0)</f>
        <v>SÔNIA</v>
      </c>
      <c r="I3009" t="s">
        <v>715</v>
      </c>
      <c r="J3009" t="s">
        <v>1083</v>
      </c>
      <c r="K3009" t="s">
        <v>1084</v>
      </c>
      <c r="L3009">
        <v>24247</v>
      </c>
      <c r="M3009" t="s">
        <v>160</v>
      </c>
      <c r="O3009" t="s">
        <v>11</v>
      </c>
      <c r="P3009">
        <v>6403</v>
      </c>
      <c r="Q3009">
        <v>12</v>
      </c>
      <c r="R3009">
        <v>22.23</v>
      </c>
      <c r="S3009">
        <v>266.76</v>
      </c>
      <c r="T3009">
        <v>202.44</v>
      </c>
      <c r="U3009">
        <v>24.11</v>
      </c>
      <c r="V3009" t="str">
        <f>VLOOKUP(L3009,'[2]tabela de preços'!$A:$D,4,0)</f>
        <v>SHERWIN WILLIAMS</v>
      </c>
      <c r="W3009" t="str">
        <f>VLOOKUP(L3009,'[2]tabela de preços'!$A:$F,6,0)</f>
        <v>PRIMER AUTOMOTIVO</v>
      </c>
      <c r="X3009" t="str">
        <f>VLOOKUP(L3009,'[2]tabela de preços'!$A:$G,7,0)</f>
        <v>AUTOMOTIVO</v>
      </c>
    </row>
    <row r="3010" spans="1:24" x14ac:dyDescent="0.3">
      <c r="A3010" t="s">
        <v>1080</v>
      </c>
      <c r="C3010" t="s">
        <v>2819</v>
      </c>
      <c r="D3010" s="1">
        <v>46062</v>
      </c>
      <c r="E3010" t="s">
        <v>2820</v>
      </c>
      <c r="F3010">
        <v>9</v>
      </c>
      <c r="G3010">
        <v>230</v>
      </c>
      <c r="H3010" t="str">
        <f>VLOOKUP(G3010,[1]OPERADORES!$A:$B,2,0)</f>
        <v>SÔNIA</v>
      </c>
      <c r="I3010" t="s">
        <v>715</v>
      </c>
      <c r="J3010" t="s">
        <v>1083</v>
      </c>
      <c r="K3010" t="s">
        <v>1084</v>
      </c>
      <c r="L3010">
        <v>84560</v>
      </c>
      <c r="M3010" t="s">
        <v>118</v>
      </c>
      <c r="O3010" t="s">
        <v>11</v>
      </c>
      <c r="P3010">
        <v>6102</v>
      </c>
      <c r="Q3010">
        <v>3</v>
      </c>
      <c r="R3010">
        <v>47.89</v>
      </c>
      <c r="S3010">
        <v>143.66999999999999</v>
      </c>
      <c r="T3010">
        <v>117.48</v>
      </c>
      <c r="U3010">
        <v>18.23</v>
      </c>
      <c r="V3010" t="str">
        <f>VLOOKUP(L3010,'[2]tabela de preços'!$A:$D,4,0)</f>
        <v>BRASILUX</v>
      </c>
      <c r="W3010" t="str">
        <f>VLOOKUP(L3010,'[2]tabela de preços'!$A:$F,6,0)</f>
        <v>THINNER DE LIMPEZA</v>
      </c>
      <c r="X3010" t="str">
        <f>VLOOKUP(L3010,'[2]tabela de preços'!$A:$G,7,0)</f>
        <v>THINNER</v>
      </c>
    </row>
    <row r="3011" spans="1:24" x14ac:dyDescent="0.3">
      <c r="A3011" t="s">
        <v>1080</v>
      </c>
      <c r="C3011" t="s">
        <v>2819</v>
      </c>
      <c r="D3011" s="1">
        <v>46062</v>
      </c>
      <c r="E3011" t="s">
        <v>2820</v>
      </c>
      <c r="F3011">
        <v>9</v>
      </c>
      <c r="G3011">
        <v>230</v>
      </c>
      <c r="H3011" t="str">
        <f>VLOOKUP(G3011,[1]OPERADORES!$A:$B,2,0)</f>
        <v>SÔNIA</v>
      </c>
      <c r="I3011" t="s">
        <v>715</v>
      </c>
      <c r="J3011" t="s">
        <v>1083</v>
      </c>
      <c r="K3011" t="s">
        <v>1084</v>
      </c>
      <c r="L3011">
        <v>20414</v>
      </c>
      <c r="M3011" t="s">
        <v>112</v>
      </c>
      <c r="O3011" t="s">
        <v>11</v>
      </c>
      <c r="P3011">
        <v>6102</v>
      </c>
      <c r="Q3011">
        <v>5</v>
      </c>
      <c r="R3011">
        <v>23.71</v>
      </c>
      <c r="S3011">
        <v>118.55</v>
      </c>
      <c r="T3011">
        <v>90</v>
      </c>
      <c r="U3011">
        <v>24.08</v>
      </c>
      <c r="V3011" t="str">
        <f>VLOOKUP(L3011,'[2]tabela de preços'!$A:$D,4,0)</f>
        <v>SHERWIN WILLIAMS</v>
      </c>
      <c r="W3011" t="str">
        <f>VLOOKUP(L3011,'[2]tabela de preços'!$A:$F,6,0)</f>
        <v>DILUENTE</v>
      </c>
      <c r="X3011" t="str">
        <f>VLOOKUP(L3011,'[2]tabela de preços'!$A:$G,7,0)</f>
        <v>AUTOMOTIVO</v>
      </c>
    </row>
    <row r="3012" spans="1:24" x14ac:dyDescent="0.3">
      <c r="A3012" t="s">
        <v>1080</v>
      </c>
      <c r="C3012" t="s">
        <v>2819</v>
      </c>
      <c r="D3012" s="1">
        <v>46062</v>
      </c>
      <c r="E3012" t="s">
        <v>2820</v>
      </c>
      <c r="F3012">
        <v>9</v>
      </c>
      <c r="G3012">
        <v>230</v>
      </c>
      <c r="H3012" t="str">
        <f>VLOOKUP(G3012,[1]OPERADORES!$A:$B,2,0)</f>
        <v>SÔNIA</v>
      </c>
      <c r="I3012" t="s">
        <v>715</v>
      </c>
      <c r="J3012" t="s">
        <v>1083</v>
      </c>
      <c r="K3012" t="s">
        <v>1084</v>
      </c>
      <c r="L3012">
        <v>20454</v>
      </c>
      <c r="M3012" t="s">
        <v>1086</v>
      </c>
      <c r="O3012" t="s">
        <v>11</v>
      </c>
      <c r="P3012">
        <v>6403</v>
      </c>
      <c r="Q3012">
        <v>2</v>
      </c>
      <c r="R3012">
        <v>184.14</v>
      </c>
      <c r="S3012">
        <v>368.28</v>
      </c>
      <c r="T3012">
        <v>279.54000000000002</v>
      </c>
      <c r="U3012">
        <v>24.1</v>
      </c>
      <c r="V3012" t="str">
        <f>VLOOKUP(L3012,'[2]tabela de preços'!$A:$D,4,0)</f>
        <v>SHERWIN WILLIAMS</v>
      </c>
      <c r="W3012" t="str">
        <f>VLOOKUP(L3012,'[2]tabela de preços'!$A:$F,6,0)</f>
        <v>VERNIZ AUTOMOTIVO</v>
      </c>
      <c r="X3012" t="str">
        <f>VLOOKUP(L3012,'[2]tabela de preços'!$A:$G,7,0)</f>
        <v>AUTOMOTIVO</v>
      </c>
    </row>
    <row r="3013" spans="1:24" x14ac:dyDescent="0.3">
      <c r="A3013" t="s">
        <v>1090</v>
      </c>
      <c r="C3013" t="s">
        <v>2625</v>
      </c>
      <c r="D3013" s="1">
        <v>46057</v>
      </c>
      <c r="E3013" t="s">
        <v>2626</v>
      </c>
      <c r="F3013">
        <v>9</v>
      </c>
      <c r="G3013">
        <v>236</v>
      </c>
      <c r="H3013" t="str">
        <f>VLOOKUP(G3013,[1]OPERADORES!$A:$B,2,0)</f>
        <v>DANIEL</v>
      </c>
      <c r="I3013" t="s">
        <v>21</v>
      </c>
      <c r="J3013" t="s">
        <v>450</v>
      </c>
      <c r="K3013" t="s">
        <v>1093</v>
      </c>
      <c r="L3013">
        <v>84030</v>
      </c>
      <c r="M3013" t="s">
        <v>900</v>
      </c>
      <c r="O3013" t="s">
        <v>11</v>
      </c>
      <c r="P3013">
        <v>5102</v>
      </c>
      <c r="Q3013">
        <v>2</v>
      </c>
      <c r="R3013">
        <v>57.12</v>
      </c>
      <c r="S3013">
        <v>114.24</v>
      </c>
      <c r="T3013">
        <v>84.72</v>
      </c>
      <c r="U3013">
        <v>25.84</v>
      </c>
      <c r="V3013" t="str">
        <f>VLOOKUP(L3013,'[2]tabela de preços'!$A:$D,4,0)</f>
        <v>BRASILUX</v>
      </c>
      <c r="W3013" t="str">
        <f>VLOOKUP(L3013,'[2]tabela de preços'!$A:$F,6,0)</f>
        <v>AGUARRAS</v>
      </c>
      <c r="X3013" t="str">
        <f>VLOOKUP(L3013,'[2]tabela de preços'!$A:$G,7,0)</f>
        <v>IMOBILIÁRIO</v>
      </c>
    </row>
    <row r="3014" spans="1:24" x14ac:dyDescent="0.3">
      <c r="A3014" t="s">
        <v>1090</v>
      </c>
      <c r="C3014" t="s">
        <v>2625</v>
      </c>
      <c r="D3014" s="1">
        <v>46057</v>
      </c>
      <c r="E3014" t="s">
        <v>2626</v>
      </c>
      <c r="F3014">
        <v>9</v>
      </c>
      <c r="G3014">
        <v>236</v>
      </c>
      <c r="H3014" t="str">
        <f>VLOOKUP(G3014,[1]OPERADORES!$A:$B,2,0)</f>
        <v>DANIEL</v>
      </c>
      <c r="I3014" t="s">
        <v>21</v>
      </c>
      <c r="J3014" t="s">
        <v>450</v>
      </c>
      <c r="K3014" t="s">
        <v>1093</v>
      </c>
      <c r="L3014">
        <v>10298</v>
      </c>
      <c r="M3014" t="s">
        <v>85</v>
      </c>
      <c r="O3014" t="s">
        <v>11</v>
      </c>
      <c r="P3014">
        <v>5102</v>
      </c>
      <c r="Q3014">
        <v>1</v>
      </c>
      <c r="R3014">
        <v>56.89</v>
      </c>
      <c r="S3014">
        <v>56.89</v>
      </c>
      <c r="T3014">
        <v>47.38</v>
      </c>
      <c r="U3014">
        <v>16.72</v>
      </c>
      <c r="V3014" t="str">
        <f>VLOOKUP(L3014,'[2]tabela de preços'!$A:$D,4,0)</f>
        <v>ANJO</v>
      </c>
      <c r="W3014" t="str">
        <f>VLOOKUP(L3014,'[2]tabela de preços'!$A:$F,6,0)</f>
        <v>THINNER DE LIMPEZA</v>
      </c>
      <c r="X3014" t="str">
        <f>VLOOKUP(L3014,'[2]tabela de preços'!$A:$G,7,0)</f>
        <v>THINNER</v>
      </c>
    </row>
    <row r="3015" spans="1:24" x14ac:dyDescent="0.3">
      <c r="A3015" t="s">
        <v>1090</v>
      </c>
      <c r="C3015" t="s">
        <v>2821</v>
      </c>
      <c r="D3015" s="1">
        <v>46062</v>
      </c>
      <c r="E3015" t="s">
        <v>2822</v>
      </c>
      <c r="F3015">
        <v>9</v>
      </c>
      <c r="G3015">
        <v>236</v>
      </c>
      <c r="H3015" t="str">
        <f>VLOOKUP(G3015,[1]OPERADORES!$A:$B,2,0)</f>
        <v>DANIEL</v>
      </c>
      <c r="I3015" t="s">
        <v>21</v>
      </c>
      <c r="J3015" t="s">
        <v>450</v>
      </c>
      <c r="K3015" t="s">
        <v>1093</v>
      </c>
      <c r="L3015">
        <v>85310</v>
      </c>
      <c r="M3015" t="s">
        <v>1050</v>
      </c>
      <c r="O3015" t="s">
        <v>11</v>
      </c>
      <c r="P3015">
        <v>5403</v>
      </c>
      <c r="Q3015">
        <v>2</v>
      </c>
      <c r="R3015">
        <v>93.71</v>
      </c>
      <c r="S3015">
        <v>187.42</v>
      </c>
      <c r="T3015">
        <v>134.34</v>
      </c>
      <c r="U3015">
        <v>28.32</v>
      </c>
      <c r="V3015" t="str">
        <f>VLOOKUP(L3015,'[2]tabela de preços'!$A:$D,4,0)</f>
        <v>BRASILUX</v>
      </c>
      <c r="W3015" t="str">
        <f>VLOOKUP(L3015,'[2]tabela de preços'!$A:$F,6,0)</f>
        <v>ESMALTES</v>
      </c>
      <c r="X3015" t="str">
        <f>VLOOKUP(L3015,'[2]tabela de preços'!$A:$G,7,0)</f>
        <v>INDUSTRIAL</v>
      </c>
    </row>
    <row r="3016" spans="1:24" x14ac:dyDescent="0.3">
      <c r="A3016" t="s">
        <v>1112</v>
      </c>
      <c r="C3016" t="s">
        <v>2435</v>
      </c>
      <c r="D3016" s="1">
        <v>46055</v>
      </c>
      <c r="E3016" t="s">
        <v>2436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1115</v>
      </c>
      <c r="L3016">
        <v>21627</v>
      </c>
      <c r="M3016" t="s">
        <v>1142</v>
      </c>
      <c r="O3016" t="s">
        <v>11</v>
      </c>
      <c r="P3016">
        <v>5102</v>
      </c>
      <c r="Q3016">
        <v>3</v>
      </c>
      <c r="R3016">
        <v>34.369999999999997</v>
      </c>
      <c r="S3016">
        <v>103.11</v>
      </c>
      <c r="T3016">
        <v>76.47</v>
      </c>
      <c r="U3016">
        <v>25.84</v>
      </c>
      <c r="V3016" t="str">
        <f>VLOOKUP(L3016,'[2]tabela de preços'!$A:$D,4,0)</f>
        <v>SHERWIN WILLIAMS</v>
      </c>
      <c r="W3016" t="str">
        <f>VLOOKUP(L3016,'[2]tabela de preços'!$A:$F,6,0)</f>
        <v>VERNIZ AUTOMOTIVO</v>
      </c>
      <c r="X3016" t="str">
        <f>VLOOKUP(L3016,'[2]tabela de preços'!$A:$G,7,0)</f>
        <v>AUTOMOTIVO</v>
      </c>
    </row>
    <row r="3017" spans="1:24" x14ac:dyDescent="0.3">
      <c r="A3017" t="s">
        <v>1112</v>
      </c>
      <c r="C3017" t="s">
        <v>2435</v>
      </c>
      <c r="D3017" s="1">
        <v>46055</v>
      </c>
      <c r="E3017" t="s">
        <v>2436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1115</v>
      </c>
      <c r="L3017">
        <v>23602</v>
      </c>
      <c r="M3017" t="s">
        <v>215</v>
      </c>
      <c r="O3017" t="s">
        <v>11</v>
      </c>
      <c r="P3017">
        <v>5403</v>
      </c>
      <c r="Q3017">
        <v>9</v>
      </c>
      <c r="R3017">
        <v>35.89</v>
      </c>
      <c r="S3017">
        <v>323.01</v>
      </c>
      <c r="T3017">
        <v>263.25</v>
      </c>
      <c r="U3017">
        <v>18.5</v>
      </c>
      <c r="V3017" t="str">
        <f>VLOOKUP(L3017,'[2]tabela de preços'!$A:$D,4,0)</f>
        <v>SHERWIN WILLIAMS</v>
      </c>
      <c r="W3017" t="str">
        <f>VLOOKUP(L3017,'[2]tabela de preços'!$A:$F,6,0)</f>
        <v>VERNIZ AUTOMOTIVO</v>
      </c>
      <c r="X3017" t="str">
        <f>VLOOKUP(L3017,'[2]tabela de preços'!$A:$G,7,0)</f>
        <v>AUTOMOTIVO</v>
      </c>
    </row>
    <row r="3018" spans="1:24" x14ac:dyDescent="0.3">
      <c r="A3018" t="s">
        <v>1112</v>
      </c>
      <c r="C3018" t="s">
        <v>2435</v>
      </c>
      <c r="D3018" s="1">
        <v>46055</v>
      </c>
      <c r="E3018" t="s">
        <v>2436</v>
      </c>
      <c r="F3018">
        <v>9</v>
      </c>
      <c r="G3018">
        <v>236</v>
      </c>
      <c r="H3018" t="str">
        <f>VLOOKUP(G3018,[1]OPERADORES!$A:$B,2,0)</f>
        <v>DANIEL</v>
      </c>
      <c r="I3018" t="s">
        <v>21</v>
      </c>
      <c r="J3018" t="s">
        <v>211</v>
      </c>
      <c r="K3018" t="s">
        <v>1115</v>
      </c>
      <c r="L3018">
        <v>10298</v>
      </c>
      <c r="M3018" t="s">
        <v>85</v>
      </c>
      <c r="O3018" t="s">
        <v>11</v>
      </c>
      <c r="P3018">
        <v>5102</v>
      </c>
      <c r="Q3018">
        <v>2</v>
      </c>
      <c r="R3018">
        <v>56.89</v>
      </c>
      <c r="S3018">
        <v>113.78</v>
      </c>
      <c r="T3018">
        <v>94.76</v>
      </c>
      <c r="U3018">
        <v>16.72</v>
      </c>
      <c r="V3018" t="str">
        <f>VLOOKUP(L3018,'[2]tabela de preços'!$A:$D,4,0)</f>
        <v>ANJO</v>
      </c>
      <c r="W3018" t="str">
        <f>VLOOKUP(L3018,'[2]tabela de preços'!$A:$F,6,0)</f>
        <v>THINNER DE LIMPEZA</v>
      </c>
      <c r="X3018" t="str">
        <f>VLOOKUP(L3018,'[2]tabela de preços'!$A:$G,7,0)</f>
        <v>THINNER</v>
      </c>
    </row>
    <row r="3019" spans="1:24" x14ac:dyDescent="0.3">
      <c r="A3019" t="s">
        <v>1112</v>
      </c>
      <c r="C3019" t="s">
        <v>2435</v>
      </c>
      <c r="D3019" s="1">
        <v>46055</v>
      </c>
      <c r="E3019" t="s">
        <v>2436</v>
      </c>
      <c r="F3019">
        <v>9</v>
      </c>
      <c r="G3019">
        <v>236</v>
      </c>
      <c r="H3019" t="str">
        <f>VLOOKUP(G3019,[1]OPERADORES!$A:$B,2,0)</f>
        <v>DANIEL</v>
      </c>
      <c r="I3019" t="s">
        <v>21</v>
      </c>
      <c r="J3019" t="s">
        <v>211</v>
      </c>
      <c r="K3019" t="s">
        <v>1115</v>
      </c>
      <c r="L3019">
        <v>10297</v>
      </c>
      <c r="M3019" t="s">
        <v>41</v>
      </c>
      <c r="O3019" t="s">
        <v>11</v>
      </c>
      <c r="P3019">
        <v>5102</v>
      </c>
      <c r="Q3019">
        <v>6</v>
      </c>
      <c r="R3019">
        <v>10.89</v>
      </c>
      <c r="S3019">
        <v>65.34</v>
      </c>
      <c r="T3019">
        <v>55.02</v>
      </c>
      <c r="U3019">
        <v>15.79</v>
      </c>
      <c r="V3019" t="str">
        <f>VLOOKUP(L3019,'[2]tabela de preços'!$A:$D,4,0)</f>
        <v>ANJO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1112</v>
      </c>
      <c r="C3020" t="s">
        <v>2435</v>
      </c>
      <c r="D3020" s="1">
        <v>46055</v>
      </c>
      <c r="E3020" t="s">
        <v>2436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211</v>
      </c>
      <c r="K3020" t="s">
        <v>1115</v>
      </c>
      <c r="L3020">
        <v>20399</v>
      </c>
      <c r="M3020" t="s">
        <v>465</v>
      </c>
      <c r="O3020" t="s">
        <v>11</v>
      </c>
      <c r="P3020">
        <v>5403</v>
      </c>
      <c r="Q3020">
        <v>3</v>
      </c>
      <c r="R3020">
        <v>36.090000000000003</v>
      </c>
      <c r="S3020">
        <v>108.27</v>
      </c>
      <c r="T3020">
        <v>80.34</v>
      </c>
      <c r="U3020">
        <v>25.8</v>
      </c>
      <c r="V3020" t="str">
        <f>VLOOKUP(L3020,'[2]tabela de preços'!$A:$D,4,0)</f>
        <v>SHERWIN WILLIAMS</v>
      </c>
      <c r="W3020" t="str">
        <f>VLOOKUP(L3020,'[2]tabela de preços'!$A:$F,6,0)</f>
        <v>VERNIZ AUTOMOTIVO</v>
      </c>
      <c r="X3020" t="str">
        <f>VLOOKUP(L3020,'[2]tabela de preços'!$A:$G,7,0)</f>
        <v>AUTOMOTIVO</v>
      </c>
    </row>
    <row r="3021" spans="1:24" x14ac:dyDescent="0.3">
      <c r="A3021" t="s">
        <v>1112</v>
      </c>
      <c r="C3021" t="s">
        <v>2627</v>
      </c>
      <c r="D3021" s="1">
        <v>46057</v>
      </c>
      <c r="E3021" t="s">
        <v>2628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211</v>
      </c>
      <c r="K3021" t="s">
        <v>1115</v>
      </c>
      <c r="L3021">
        <v>21078</v>
      </c>
      <c r="M3021" t="s">
        <v>141</v>
      </c>
      <c r="O3021" t="s">
        <v>11</v>
      </c>
      <c r="P3021">
        <v>5102</v>
      </c>
      <c r="Q3021">
        <v>6</v>
      </c>
      <c r="R3021">
        <v>22.89</v>
      </c>
      <c r="S3021">
        <v>137.34</v>
      </c>
      <c r="T3021">
        <v>111.96</v>
      </c>
      <c r="U3021">
        <v>18.48</v>
      </c>
      <c r="V3021" t="str">
        <f>VLOOKUP(L3021,'[2]tabela de preços'!$A:$D,4,0)</f>
        <v>SHERWIN WILLIAMS</v>
      </c>
      <c r="W3021" t="str">
        <f>VLOOKUP(L3021,'[2]tabela de preços'!$A:$F,6,0)</f>
        <v>MASSA POLIÉSTER</v>
      </c>
      <c r="X3021" t="str">
        <f>VLOOKUP(L3021,'[2]tabela de preços'!$A:$G,7,0)</f>
        <v>AUTOMOTIVO</v>
      </c>
    </row>
    <row r="3022" spans="1:24" x14ac:dyDescent="0.3">
      <c r="A3022" t="s">
        <v>1112</v>
      </c>
      <c r="C3022" t="s">
        <v>2627</v>
      </c>
      <c r="D3022" s="1">
        <v>46057</v>
      </c>
      <c r="E3022" t="s">
        <v>2628</v>
      </c>
      <c r="F3022">
        <v>9</v>
      </c>
      <c r="G3022">
        <v>236</v>
      </c>
      <c r="H3022" t="str">
        <f>VLOOKUP(G3022,[1]OPERADORES!$A:$B,2,0)</f>
        <v>DANIEL</v>
      </c>
      <c r="I3022" t="s">
        <v>21</v>
      </c>
      <c r="J3022" t="s">
        <v>211</v>
      </c>
      <c r="K3022" t="s">
        <v>1115</v>
      </c>
      <c r="L3022">
        <v>23267</v>
      </c>
      <c r="M3022" t="s">
        <v>164</v>
      </c>
      <c r="O3022" t="s">
        <v>11</v>
      </c>
      <c r="P3022">
        <v>5102</v>
      </c>
      <c r="Q3022">
        <v>6</v>
      </c>
      <c r="R3022">
        <v>22.89</v>
      </c>
      <c r="S3022">
        <v>137.34</v>
      </c>
      <c r="T3022">
        <v>117.24</v>
      </c>
      <c r="U3022">
        <v>14.64</v>
      </c>
      <c r="V3022" t="str">
        <f>VLOOKUP(L3022,'[2]tabela de preços'!$A:$D,4,0)</f>
        <v>ANJO</v>
      </c>
      <c r="W3022" t="str">
        <f>VLOOKUP(L3022,'[2]tabela de preços'!$A:$F,6,0)</f>
        <v>MASSA POLIÉSTER</v>
      </c>
      <c r="X3022" t="str">
        <f>VLOOKUP(L3022,'[2]tabela de preços'!$A:$G,7,0)</f>
        <v>AUTOMOTIVO</v>
      </c>
    </row>
    <row r="3023" spans="1:24" x14ac:dyDescent="0.3">
      <c r="A3023" t="s">
        <v>1112</v>
      </c>
      <c r="C3023" t="s">
        <v>3149</v>
      </c>
      <c r="D3023" s="1">
        <v>46065</v>
      </c>
      <c r="E3023" t="s">
        <v>3150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211</v>
      </c>
      <c r="K3023" t="s">
        <v>1115</v>
      </c>
      <c r="L3023">
        <v>84757</v>
      </c>
      <c r="M3023" t="s">
        <v>3151</v>
      </c>
      <c r="O3023" t="s">
        <v>11</v>
      </c>
      <c r="P3023">
        <v>5403</v>
      </c>
      <c r="Q3023">
        <v>1</v>
      </c>
      <c r="R3023">
        <v>121.98</v>
      </c>
      <c r="S3023">
        <v>121.98</v>
      </c>
      <c r="T3023">
        <v>92.58</v>
      </c>
      <c r="U3023">
        <v>24.1</v>
      </c>
      <c r="V3023" t="str">
        <f>VLOOKUP(L3023,'[2]tabela de preços'!$A:$D,4,0)</f>
        <v>BRASILUX</v>
      </c>
      <c r="W3023" t="str">
        <f>VLOOKUP(L3023,'[2]tabela de preços'!$A:$F,6,0)</f>
        <v>TINTAS LACA</v>
      </c>
      <c r="X3023" t="str">
        <f>VLOOKUP(L3023,'[2]tabela de preços'!$A:$G,7,0)</f>
        <v>AUTOMOTIVO</v>
      </c>
    </row>
    <row r="3024" spans="1:24" x14ac:dyDescent="0.3">
      <c r="A3024" t="s">
        <v>1112</v>
      </c>
      <c r="C3024" t="s">
        <v>3152</v>
      </c>
      <c r="D3024" s="1">
        <v>46071</v>
      </c>
      <c r="E3024" t="s">
        <v>3153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211</v>
      </c>
      <c r="K3024" t="s">
        <v>1115</v>
      </c>
      <c r="L3024">
        <v>84460</v>
      </c>
      <c r="M3024" t="s">
        <v>322</v>
      </c>
      <c r="O3024" t="s">
        <v>11</v>
      </c>
      <c r="P3024">
        <v>5102</v>
      </c>
      <c r="Q3024">
        <v>3</v>
      </c>
      <c r="R3024">
        <v>31.07</v>
      </c>
      <c r="S3024">
        <v>93.21</v>
      </c>
      <c r="T3024">
        <v>70.739999999999995</v>
      </c>
      <c r="U3024">
        <v>24.11</v>
      </c>
      <c r="V3024" t="str">
        <f>VLOOKUP(L3024,'[2]tabela de preços'!$A:$D,4,0)</f>
        <v>BRASILUX</v>
      </c>
      <c r="W3024" t="str">
        <f>VLOOKUP(L3024,'[2]tabela de preços'!$A:$F,6,0)</f>
        <v>VEDADORES / SELANTES</v>
      </c>
      <c r="X3024" t="str">
        <f>VLOOKUP(L3024,'[2]tabela de preços'!$A:$G,7,0)</f>
        <v>AUTOMOTIVO</v>
      </c>
    </row>
    <row r="3025" spans="1:24" x14ac:dyDescent="0.3">
      <c r="A3025" t="s">
        <v>1112</v>
      </c>
      <c r="C3025" t="s">
        <v>3152</v>
      </c>
      <c r="D3025" s="1">
        <v>46071</v>
      </c>
      <c r="E3025" t="s">
        <v>3154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211</v>
      </c>
      <c r="K3025" t="s">
        <v>1115</v>
      </c>
      <c r="L3025">
        <v>10404</v>
      </c>
      <c r="M3025" t="s">
        <v>130</v>
      </c>
      <c r="O3025" t="s">
        <v>11</v>
      </c>
      <c r="P3025">
        <v>5102</v>
      </c>
      <c r="Q3025">
        <v>6</v>
      </c>
      <c r="R3025">
        <v>16.29</v>
      </c>
      <c r="S3025">
        <v>97.74</v>
      </c>
      <c r="T3025">
        <v>75.06</v>
      </c>
      <c r="U3025">
        <v>23.2</v>
      </c>
      <c r="V3025" t="str">
        <f>VLOOKUP(L3025,'[2]tabela de preços'!$A:$D,4,0)</f>
        <v>MAXI RUBBER</v>
      </c>
      <c r="W3025" t="str">
        <f>VLOOKUP(L3025,'[2]tabela de preços'!$A:$F,6,0)</f>
        <v>VEDADORES / SELANTES</v>
      </c>
      <c r="X3025" t="str">
        <f>VLOOKUP(L3025,'[2]tabela de preços'!$A:$G,7,0)</f>
        <v>AUTOMOTIVO</v>
      </c>
    </row>
    <row r="3026" spans="1:24" x14ac:dyDescent="0.3">
      <c r="A3026" t="s">
        <v>1125</v>
      </c>
      <c r="C3026" t="s">
        <v>2823</v>
      </c>
      <c r="D3026" s="1">
        <v>46062</v>
      </c>
      <c r="E3026" t="s">
        <v>2824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1128</v>
      </c>
      <c r="K3026" t="s">
        <v>1129</v>
      </c>
      <c r="L3026">
        <v>84335</v>
      </c>
      <c r="M3026" t="s">
        <v>269</v>
      </c>
      <c r="O3026" t="s">
        <v>11</v>
      </c>
      <c r="P3026">
        <v>5403</v>
      </c>
      <c r="Q3026">
        <v>5</v>
      </c>
      <c r="R3026">
        <v>59.98</v>
      </c>
      <c r="S3026">
        <v>299.89999999999998</v>
      </c>
      <c r="T3026">
        <v>253.25</v>
      </c>
      <c r="U3026">
        <v>15.56</v>
      </c>
      <c r="V3026" t="str">
        <f>VLOOKUP(L3026,'[2]tabela de preços'!$A:$D,4,0)</f>
        <v>BRASILUX</v>
      </c>
      <c r="W3026" t="str">
        <f>VLOOKUP(L3026,'[2]tabela de preços'!$A:$F,6,0)</f>
        <v>ESMALTES</v>
      </c>
      <c r="X3026" t="str">
        <f>VLOOKUP(L3026,'[2]tabela de preços'!$A:$G,7,0)</f>
        <v>INDUSTRIAL</v>
      </c>
    </row>
    <row r="3027" spans="1:24" x14ac:dyDescent="0.3">
      <c r="A3027" t="s">
        <v>1125</v>
      </c>
      <c r="C3027" t="s">
        <v>2823</v>
      </c>
      <c r="D3027" s="1">
        <v>46062</v>
      </c>
      <c r="E3027" t="s">
        <v>2824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1128</v>
      </c>
      <c r="K3027" t="s">
        <v>1129</v>
      </c>
      <c r="L3027">
        <v>84411</v>
      </c>
      <c r="M3027" t="s">
        <v>35</v>
      </c>
      <c r="O3027" t="s">
        <v>11</v>
      </c>
      <c r="P3027">
        <v>5102</v>
      </c>
      <c r="Q3027">
        <v>10</v>
      </c>
      <c r="R3027">
        <v>4.29</v>
      </c>
      <c r="S3027">
        <v>42.9</v>
      </c>
      <c r="T3027">
        <v>35.4</v>
      </c>
      <c r="U3027">
        <v>17.48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1125</v>
      </c>
      <c r="C3028" t="s">
        <v>2823</v>
      </c>
      <c r="D3028" s="1">
        <v>46062</v>
      </c>
      <c r="E3028" t="s">
        <v>2824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1128</v>
      </c>
      <c r="K3028" t="s">
        <v>1129</v>
      </c>
      <c r="L3028">
        <v>85698</v>
      </c>
      <c r="M3028" t="s">
        <v>1946</v>
      </c>
      <c r="O3028" t="s">
        <v>11</v>
      </c>
      <c r="P3028">
        <v>5102</v>
      </c>
      <c r="Q3028">
        <v>1</v>
      </c>
      <c r="R3028">
        <v>129.9</v>
      </c>
      <c r="S3028">
        <v>129.9</v>
      </c>
      <c r="T3028">
        <v>103.86</v>
      </c>
      <c r="U3028">
        <v>20.05</v>
      </c>
      <c r="V3028" t="str">
        <f>VLOOKUP(L3028,'[2]tabela de preços'!$A:$D,4,0)</f>
        <v>SIMAPPEL</v>
      </c>
      <c r="W3028" t="str">
        <f>VLOOKUP(L3028,'[2]tabela de preços'!$A:$F,6,0)</f>
        <v>PAPELAO ONDULADO</v>
      </c>
      <c r="X3028" t="str">
        <f>VLOOKUP(L3028,'[2]tabela de preços'!$A:$G,7,0)</f>
        <v>IMOBILIÁRIO</v>
      </c>
    </row>
    <row r="3029" spans="1:24" x14ac:dyDescent="0.3">
      <c r="A3029" t="s">
        <v>1125</v>
      </c>
      <c r="C3029" t="s">
        <v>2823</v>
      </c>
      <c r="D3029" s="1">
        <v>46062</v>
      </c>
      <c r="E3029" t="s">
        <v>2824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1128</v>
      </c>
      <c r="K3029" t="s">
        <v>1129</v>
      </c>
      <c r="L3029">
        <v>84560</v>
      </c>
      <c r="M3029" t="s">
        <v>118</v>
      </c>
      <c r="O3029" t="s">
        <v>11</v>
      </c>
      <c r="P3029">
        <v>5102</v>
      </c>
      <c r="Q3029">
        <v>5</v>
      </c>
      <c r="R3029">
        <v>47.89</v>
      </c>
      <c r="S3029">
        <v>239.45</v>
      </c>
      <c r="T3029">
        <v>195.8</v>
      </c>
      <c r="U3029">
        <v>18.23</v>
      </c>
      <c r="V3029" t="str">
        <f>VLOOKUP(L3029,'[2]tabela de preços'!$A:$D,4,0)</f>
        <v>BRASILUX</v>
      </c>
      <c r="W3029" t="str">
        <f>VLOOKUP(L3029,'[2]tabela de preços'!$A:$F,6,0)</f>
        <v>THINNER DE LIMPEZA</v>
      </c>
      <c r="X3029" t="str">
        <f>VLOOKUP(L3029,'[2]tabela de preços'!$A:$G,7,0)</f>
        <v>THINNER</v>
      </c>
    </row>
    <row r="3030" spans="1:24" x14ac:dyDescent="0.3">
      <c r="A3030" t="s">
        <v>1125</v>
      </c>
      <c r="C3030" t="s">
        <v>3155</v>
      </c>
      <c r="D3030" s="1">
        <v>46071</v>
      </c>
      <c r="E3030" t="s">
        <v>3156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1128</v>
      </c>
      <c r="K3030" t="s">
        <v>1129</v>
      </c>
      <c r="L3030">
        <v>84958</v>
      </c>
      <c r="M3030" t="s">
        <v>1870</v>
      </c>
      <c r="O3030" t="s">
        <v>11</v>
      </c>
      <c r="P3030">
        <v>5403</v>
      </c>
      <c r="Q3030">
        <v>1</v>
      </c>
      <c r="R3030">
        <v>19.170000000000002</v>
      </c>
      <c r="S3030">
        <v>19.170000000000002</v>
      </c>
      <c r="T3030">
        <v>14.05</v>
      </c>
      <c r="U3030">
        <v>26.71</v>
      </c>
      <c r="V3030" t="str">
        <f>VLOOKUP(L3030,'[2]tabela de preços'!$A:$D,4,0)</f>
        <v>BRASILUX</v>
      </c>
      <c r="W3030" t="str">
        <f>VLOOKUP(L3030,'[2]tabela de preços'!$A:$F,6,0)</f>
        <v>BATIDA DE PEDRA</v>
      </c>
      <c r="X3030" t="str">
        <f>VLOOKUP(L3030,'[2]tabela de preços'!$A:$G,7,0)</f>
        <v>AUTOMOTIVO</v>
      </c>
    </row>
    <row r="3031" spans="1:24" x14ac:dyDescent="0.3">
      <c r="A3031" t="s">
        <v>1125</v>
      </c>
      <c r="C3031" t="s">
        <v>3155</v>
      </c>
      <c r="D3031" s="1">
        <v>46071</v>
      </c>
      <c r="E3031" t="s">
        <v>3156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1128</v>
      </c>
      <c r="K3031" t="s">
        <v>1129</v>
      </c>
      <c r="L3031">
        <v>84344</v>
      </c>
      <c r="M3031" t="s">
        <v>1000</v>
      </c>
      <c r="O3031" t="s">
        <v>11</v>
      </c>
      <c r="P3031">
        <v>5403</v>
      </c>
      <c r="Q3031">
        <v>12</v>
      </c>
      <c r="R3031">
        <v>59.98</v>
      </c>
      <c r="S3031">
        <v>719.76</v>
      </c>
      <c r="T3031">
        <v>595.91999999999996</v>
      </c>
      <c r="U3031">
        <v>17.21</v>
      </c>
      <c r="V3031" t="str">
        <f>VLOOKUP(L3031,'[2]tabela de preços'!$A:$D,4,0)</f>
        <v>BRASILUX</v>
      </c>
      <c r="W3031" t="str">
        <f>VLOOKUP(L3031,'[2]tabela de preços'!$A:$F,6,0)</f>
        <v>ESMALTES</v>
      </c>
      <c r="X3031" t="str">
        <f>VLOOKUP(L3031,'[2]tabela de preços'!$A:$G,7,0)</f>
        <v>INDUSTRIAL</v>
      </c>
    </row>
    <row r="3032" spans="1:24" x14ac:dyDescent="0.3">
      <c r="A3032" t="s">
        <v>1125</v>
      </c>
      <c r="C3032" t="s">
        <v>3155</v>
      </c>
      <c r="D3032" s="1">
        <v>46071</v>
      </c>
      <c r="E3032" t="s">
        <v>3156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1128</v>
      </c>
      <c r="K3032" t="s">
        <v>1129</v>
      </c>
      <c r="L3032">
        <v>83793</v>
      </c>
      <c r="M3032" t="s">
        <v>3157</v>
      </c>
      <c r="O3032" t="s">
        <v>11</v>
      </c>
      <c r="P3032">
        <v>5102</v>
      </c>
      <c r="Q3032">
        <v>1</v>
      </c>
      <c r="R3032">
        <v>63.67</v>
      </c>
      <c r="S3032">
        <v>63.67</v>
      </c>
      <c r="T3032">
        <v>48.32</v>
      </c>
      <c r="U3032">
        <v>24.11</v>
      </c>
      <c r="V3032" t="str">
        <f>VLOOKUP(L3032,'[2]tabela de preços'!$A:$D,4,0)</f>
        <v>VONIXX</v>
      </c>
      <c r="W3032" t="str">
        <f>VLOOKUP(L3032,'[2]tabela de preços'!$A:$F,6,0)</f>
        <v>LINHA DE HIGENIZAÇÃO E ESTÉTICA  AUTOMOTIVA</v>
      </c>
      <c r="X3032" t="str">
        <f>VLOOKUP(L3032,'[2]tabela de preços'!$A:$G,7,0)</f>
        <v>AUTOMOTIVO</v>
      </c>
    </row>
    <row r="3033" spans="1:24" x14ac:dyDescent="0.3">
      <c r="A3033" t="s">
        <v>1125</v>
      </c>
      <c r="C3033" t="s">
        <v>3155</v>
      </c>
      <c r="D3033" s="1">
        <v>46071</v>
      </c>
      <c r="E3033" t="s">
        <v>3156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1128</v>
      </c>
      <c r="K3033" t="s">
        <v>1129</v>
      </c>
      <c r="L3033">
        <v>5</v>
      </c>
      <c r="M3033" t="s">
        <v>147</v>
      </c>
      <c r="O3033" t="s">
        <v>11</v>
      </c>
      <c r="P3033">
        <v>5102</v>
      </c>
      <c r="Q3033">
        <v>5</v>
      </c>
      <c r="R3033">
        <v>5.15</v>
      </c>
      <c r="S3033">
        <v>25.75</v>
      </c>
      <c r="T3033">
        <v>19.55</v>
      </c>
      <c r="U3033">
        <v>24.08</v>
      </c>
      <c r="V3033" t="str">
        <f>VLOOKUP(L3033,'[2]tabela de preços'!$A:$D,4,0)</f>
        <v>BRILHO ESTOPA</v>
      </c>
      <c r="W3033" t="str">
        <f>VLOOKUP(L3033,'[2]tabela de preços'!$A:$F,6,0)</f>
        <v>ESTOPAS</v>
      </c>
      <c r="X3033" t="str">
        <f>VLOOKUP(L3033,'[2]tabela de preços'!$A:$G,7,0)</f>
        <v>AUTOMOTIVO</v>
      </c>
    </row>
    <row r="3034" spans="1:24" x14ac:dyDescent="0.3">
      <c r="A3034" t="s">
        <v>1125</v>
      </c>
      <c r="C3034" t="s">
        <v>3155</v>
      </c>
      <c r="D3034" s="1">
        <v>46071</v>
      </c>
      <c r="E3034" t="s">
        <v>3156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1128</v>
      </c>
      <c r="K3034" t="s">
        <v>1129</v>
      </c>
      <c r="L3034">
        <v>84411</v>
      </c>
      <c r="M3034" t="s">
        <v>35</v>
      </c>
      <c r="O3034" t="s">
        <v>11</v>
      </c>
      <c r="P3034">
        <v>5102</v>
      </c>
      <c r="Q3034">
        <v>1</v>
      </c>
      <c r="R3034">
        <v>4.29</v>
      </c>
      <c r="S3034">
        <v>4.29</v>
      </c>
      <c r="T3034">
        <v>3.54</v>
      </c>
      <c r="U3034">
        <v>17.48</v>
      </c>
      <c r="V3034" t="str">
        <f>VLOOKUP(L3034,'[2]tabela de preços'!$A:$D,4,0)</f>
        <v>ADERE</v>
      </c>
      <c r="W3034" t="str">
        <f>VLOOKUP(L3034,'[2]tabela de preços'!$A:$F,6,0)</f>
        <v xml:space="preserve">FITA DE USO GERAL </v>
      </c>
      <c r="X3034" t="str">
        <f>VLOOKUP(L3034,'[2]tabela de preços'!$A:$G,7,0)</f>
        <v>IMOBILIÁRIO</v>
      </c>
    </row>
    <row r="3035" spans="1:24" x14ac:dyDescent="0.3">
      <c r="A3035" t="s">
        <v>1125</v>
      </c>
      <c r="C3035" t="s">
        <v>3155</v>
      </c>
      <c r="D3035" s="1">
        <v>46071</v>
      </c>
      <c r="E3035" t="s">
        <v>3156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1128</v>
      </c>
      <c r="K3035" t="s">
        <v>1129</v>
      </c>
      <c r="L3035">
        <v>84928</v>
      </c>
      <c r="M3035" t="s">
        <v>36</v>
      </c>
      <c r="O3035" t="s">
        <v>11</v>
      </c>
      <c r="P3035">
        <v>5102</v>
      </c>
      <c r="Q3035">
        <v>11</v>
      </c>
      <c r="R3035">
        <v>9.9499999999999993</v>
      </c>
      <c r="S3035">
        <v>109.45</v>
      </c>
      <c r="T3035">
        <v>78.430000000000007</v>
      </c>
      <c r="U3035">
        <v>28.34</v>
      </c>
      <c r="V3035" t="str">
        <f>VLOOKUP(L3035,'[2]tabela de preços'!$A:$D,4,0)</f>
        <v>ADERE</v>
      </c>
      <c r="W3035" t="str">
        <f>VLOOKUP(L3035,'[2]tabela de preços'!$A:$F,6,0)</f>
        <v xml:space="preserve">FITA DE USO GERAL </v>
      </c>
      <c r="X3035" t="str">
        <f>VLOOKUP(L3035,'[2]tabela de preços'!$A:$G,7,0)</f>
        <v>IMOBILIÁRIO</v>
      </c>
    </row>
    <row r="3036" spans="1:24" x14ac:dyDescent="0.3">
      <c r="A3036" t="s">
        <v>1125</v>
      </c>
      <c r="C3036" t="s">
        <v>3155</v>
      </c>
      <c r="D3036" s="1">
        <v>46071</v>
      </c>
      <c r="E3036" t="s">
        <v>3156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1128</v>
      </c>
      <c r="K3036" t="s">
        <v>1129</v>
      </c>
      <c r="L3036">
        <v>24204</v>
      </c>
      <c r="M3036" t="s">
        <v>3158</v>
      </c>
      <c r="O3036" t="s">
        <v>11</v>
      </c>
      <c r="P3036">
        <v>5102</v>
      </c>
      <c r="Q3036">
        <v>1</v>
      </c>
      <c r="R3036">
        <v>6.06</v>
      </c>
      <c r="S3036">
        <v>6.06</v>
      </c>
      <c r="T3036">
        <v>3.91</v>
      </c>
      <c r="U3036">
        <v>35.479999999999997</v>
      </c>
      <c r="V3036" t="str">
        <f>VLOOKUP(L3036,'[2]tabela de preços'!$A:$D,4,0)</f>
        <v>MARLUVAS</v>
      </c>
      <c r="W3036" t="str">
        <f>VLOOKUP(L3036,'[2]tabela de preços'!$A:$F,6,0)</f>
        <v>EPI´S</v>
      </c>
      <c r="X3036" t="str">
        <f>VLOOKUP(L3036,'[2]tabela de preços'!$A:$G,7,0)</f>
        <v>AUTOMOTIVO</v>
      </c>
    </row>
    <row r="3037" spans="1:24" x14ac:dyDescent="0.3">
      <c r="A3037" t="s">
        <v>1125</v>
      </c>
      <c r="C3037" t="s">
        <v>3155</v>
      </c>
      <c r="D3037" s="1">
        <v>46071</v>
      </c>
      <c r="E3037" t="s">
        <v>3156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1128</v>
      </c>
      <c r="K3037" t="s">
        <v>1129</v>
      </c>
      <c r="L3037">
        <v>86984</v>
      </c>
      <c r="M3037" t="s">
        <v>720</v>
      </c>
      <c r="O3037" t="s">
        <v>11</v>
      </c>
      <c r="P3037">
        <v>5102</v>
      </c>
      <c r="Q3037">
        <v>2</v>
      </c>
      <c r="R3037">
        <v>44.9</v>
      </c>
      <c r="S3037">
        <v>89.8</v>
      </c>
      <c r="T3037">
        <v>74.42</v>
      </c>
      <c r="U3037">
        <v>17.13</v>
      </c>
      <c r="V3037" t="str">
        <f>VLOOKUP(L3037,'[2]tabela de preços'!$A:$D,4,0)</f>
        <v>ARPREX</v>
      </c>
      <c r="W3037" t="str">
        <f>VLOOKUP(L3037,'[2]tabela de preços'!$A:$F,6,0)</f>
        <v>PISTOLAS</v>
      </c>
      <c r="X3037" t="str">
        <f>VLOOKUP(L3037,'[2]tabela de preços'!$A:$G,7,0)</f>
        <v>IMOBILIÁRIO</v>
      </c>
    </row>
    <row r="3038" spans="1:24" x14ac:dyDescent="0.3">
      <c r="A3038" t="s">
        <v>1125</v>
      </c>
      <c r="C3038" t="s">
        <v>3155</v>
      </c>
      <c r="D3038" s="1">
        <v>46071</v>
      </c>
      <c r="E3038" t="s">
        <v>3156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21</v>
      </c>
      <c r="J3038" t="s">
        <v>1128</v>
      </c>
      <c r="K3038" t="s">
        <v>1129</v>
      </c>
      <c r="L3038">
        <v>84045</v>
      </c>
      <c r="M3038" t="s">
        <v>527</v>
      </c>
      <c r="O3038" t="s">
        <v>11</v>
      </c>
      <c r="P3038">
        <v>5102</v>
      </c>
      <c r="Q3038">
        <v>2</v>
      </c>
      <c r="R3038">
        <v>20.170000000000002</v>
      </c>
      <c r="S3038">
        <v>40.340000000000003</v>
      </c>
      <c r="T3038">
        <v>29.58</v>
      </c>
      <c r="U3038">
        <v>26.67</v>
      </c>
      <c r="V3038" t="str">
        <f>VLOOKUP(L3038,'[2]tabela de preços'!$A:$D,4,0)</f>
        <v>BRASILUX</v>
      </c>
      <c r="W3038" t="str">
        <f>VLOOKUP(L3038,'[2]tabela de preços'!$A:$F,6,0)</f>
        <v>REMOVEDOR PASTOSO</v>
      </c>
      <c r="X3038" t="str">
        <f>VLOOKUP(L3038,'[2]tabela de preços'!$A:$G,7,0)</f>
        <v>AUTOMOTIVO</v>
      </c>
    </row>
    <row r="3039" spans="1:24" x14ac:dyDescent="0.3">
      <c r="A3039" t="s">
        <v>1125</v>
      </c>
      <c r="C3039" t="s">
        <v>3155</v>
      </c>
      <c r="D3039" s="1">
        <v>46071</v>
      </c>
      <c r="E3039" t="s">
        <v>3156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21</v>
      </c>
      <c r="J3039" t="s">
        <v>1128</v>
      </c>
      <c r="K3039" t="s">
        <v>1129</v>
      </c>
      <c r="L3039">
        <v>23449</v>
      </c>
      <c r="M3039" t="s">
        <v>1073</v>
      </c>
      <c r="O3039" t="s">
        <v>11</v>
      </c>
      <c r="P3039">
        <v>5102</v>
      </c>
      <c r="Q3039">
        <v>1</v>
      </c>
      <c r="R3039">
        <v>47.1</v>
      </c>
      <c r="S3039">
        <v>47.1</v>
      </c>
      <c r="T3039">
        <v>35.75</v>
      </c>
      <c r="U3039">
        <v>24.1</v>
      </c>
      <c r="V3039" t="str">
        <f>VLOOKUP(L3039,'[2]tabela de preços'!$A:$D,4,0)</f>
        <v>VONIXX</v>
      </c>
      <c r="W3039" t="str">
        <f>VLOOKUP(L3039,'[2]tabela de preços'!$A:$F,6,0)</f>
        <v>LINHA DE HIGENIZAÇÃO E ESTÉTICA  AUTOMOTIVA</v>
      </c>
      <c r="X3039" t="str">
        <f>VLOOKUP(L3039,'[2]tabela de preços'!$A:$G,7,0)</f>
        <v>AUTOMOTIVO</v>
      </c>
    </row>
    <row r="3040" spans="1:24" x14ac:dyDescent="0.3">
      <c r="A3040" t="s">
        <v>1125</v>
      </c>
      <c r="C3040" t="s">
        <v>3159</v>
      </c>
      <c r="D3040" s="1">
        <v>46071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21</v>
      </c>
      <c r="J3040" t="s">
        <v>1128</v>
      </c>
      <c r="K3040" t="s">
        <v>1129</v>
      </c>
      <c r="L3040">
        <v>24204</v>
      </c>
      <c r="M3040" t="s">
        <v>3158</v>
      </c>
      <c r="N3040" t="s">
        <v>3160</v>
      </c>
      <c r="O3040" t="s">
        <v>11</v>
      </c>
      <c r="P3040">
        <v>1202</v>
      </c>
      <c r="Q3040">
        <v>-1</v>
      </c>
      <c r="R3040">
        <v>6.06</v>
      </c>
      <c r="S3040">
        <v>-6.06</v>
      </c>
      <c r="T3040">
        <v>-3.91</v>
      </c>
      <c r="U3040">
        <v>35.479999999999997</v>
      </c>
      <c r="V3040" t="str">
        <f>VLOOKUP(L3040,'[2]tabela de preços'!$A:$D,4,0)</f>
        <v>MARLUVAS</v>
      </c>
      <c r="W3040" t="str">
        <f>VLOOKUP(L3040,'[2]tabela de preços'!$A:$F,6,0)</f>
        <v>EPI´S</v>
      </c>
      <c r="X3040" t="str">
        <f>VLOOKUP(L3040,'[2]tabela de preços'!$A:$G,7,0)</f>
        <v>AUTOMOTIVO</v>
      </c>
    </row>
    <row r="3041" spans="1:24" x14ac:dyDescent="0.3">
      <c r="A3041" t="s">
        <v>1130</v>
      </c>
      <c r="C3041" t="s">
        <v>3161</v>
      </c>
      <c r="D3041" s="1">
        <v>46065</v>
      </c>
      <c r="E3041" t="s">
        <v>3162</v>
      </c>
      <c r="F3041">
        <v>9</v>
      </c>
      <c r="G3041">
        <v>197</v>
      </c>
      <c r="H3041" t="str">
        <f>VLOOKUP(G3041,[1]OPERADORES!$A:$B,2,0)</f>
        <v xml:space="preserve">POLIANA LORRANE DE AMORIM </v>
      </c>
      <c r="I3041" t="s">
        <v>21</v>
      </c>
      <c r="J3041" t="s">
        <v>621</v>
      </c>
      <c r="K3041" t="s">
        <v>1133</v>
      </c>
      <c r="L3041">
        <v>23295</v>
      </c>
      <c r="M3041" t="s">
        <v>789</v>
      </c>
      <c r="O3041" t="s">
        <v>11</v>
      </c>
      <c r="P3041">
        <v>5403</v>
      </c>
      <c r="Q3041">
        <v>1</v>
      </c>
      <c r="R3041">
        <v>288.70999999999998</v>
      </c>
      <c r="S3041">
        <v>288.70999999999998</v>
      </c>
      <c r="T3041">
        <v>194.09</v>
      </c>
      <c r="U3041">
        <v>32.770000000000003</v>
      </c>
      <c r="V3041" t="str">
        <f>VLOOKUP(L3041,'[2]tabela de preços'!$A:$D,4,0)</f>
        <v>SIKKENS</v>
      </c>
      <c r="W3041" t="str">
        <f>VLOOKUP(L3041,'[2]tabela de preços'!$A:$F,6,0)</f>
        <v>VERNIZ AUTOMOTIVO</v>
      </c>
      <c r="X3041" t="str">
        <f>VLOOKUP(L3041,'[2]tabela de preços'!$A:$G,7,0)</f>
        <v>AUTOMOTIVO</v>
      </c>
    </row>
    <row r="3042" spans="1:24" x14ac:dyDescent="0.3">
      <c r="A3042" t="s">
        <v>1130</v>
      </c>
      <c r="C3042" t="s">
        <v>3161</v>
      </c>
      <c r="D3042" s="1">
        <v>46065</v>
      </c>
      <c r="E3042" t="s">
        <v>3162</v>
      </c>
      <c r="F3042">
        <v>9</v>
      </c>
      <c r="G3042">
        <v>197</v>
      </c>
      <c r="H3042" t="str">
        <f>VLOOKUP(G3042,[1]OPERADORES!$A:$B,2,0)</f>
        <v xml:space="preserve">POLIANA LORRANE DE AMORIM </v>
      </c>
      <c r="I3042" t="s">
        <v>21</v>
      </c>
      <c r="J3042" t="s">
        <v>621</v>
      </c>
      <c r="K3042" t="s">
        <v>1133</v>
      </c>
      <c r="L3042">
        <v>24240</v>
      </c>
      <c r="M3042" t="s">
        <v>240</v>
      </c>
      <c r="O3042" t="s">
        <v>11</v>
      </c>
      <c r="P3042">
        <v>5102</v>
      </c>
      <c r="Q3042">
        <v>5</v>
      </c>
      <c r="R3042">
        <v>3.81</v>
      </c>
      <c r="S3042">
        <v>19.05</v>
      </c>
      <c r="T3042">
        <v>16.399999999999999</v>
      </c>
      <c r="U3042">
        <v>13.91</v>
      </c>
      <c r="V3042" t="str">
        <f>VLOOKUP(L3042,'[2]tabela de preços'!$A:$D,4,0)</f>
        <v>ADERE</v>
      </c>
      <c r="W3042" t="str">
        <f>VLOOKUP(L3042,'[2]tabela de preços'!$A:$F,6,0)</f>
        <v>FITA AUTOMOTIVA</v>
      </c>
      <c r="X3042" t="str">
        <f>VLOOKUP(L3042,'[2]tabela de preços'!$A:$G,7,0)</f>
        <v>AUTOMOTIVO</v>
      </c>
    </row>
    <row r="3043" spans="1:24" x14ac:dyDescent="0.3">
      <c r="A3043" t="s">
        <v>1130</v>
      </c>
      <c r="C3043" t="s">
        <v>3161</v>
      </c>
      <c r="D3043" s="1">
        <v>46065</v>
      </c>
      <c r="E3043" t="s">
        <v>3162</v>
      </c>
      <c r="F3043">
        <v>9</v>
      </c>
      <c r="G3043">
        <v>197</v>
      </c>
      <c r="H3043" t="str">
        <f>VLOOKUP(G3043,[1]OPERADORES!$A:$B,2,0)</f>
        <v xml:space="preserve">POLIANA LORRANE DE AMORIM </v>
      </c>
      <c r="I3043" t="s">
        <v>21</v>
      </c>
      <c r="J3043" t="s">
        <v>621</v>
      </c>
      <c r="K3043" t="s">
        <v>1133</v>
      </c>
      <c r="L3043">
        <v>23653</v>
      </c>
      <c r="M3043" t="s">
        <v>644</v>
      </c>
      <c r="O3043" t="s">
        <v>11</v>
      </c>
      <c r="P3043">
        <v>5102</v>
      </c>
      <c r="Q3043">
        <v>2</v>
      </c>
      <c r="R3043">
        <v>67.150000000000006</v>
      </c>
      <c r="S3043">
        <v>134.30000000000001</v>
      </c>
      <c r="T3043">
        <v>101.94</v>
      </c>
      <c r="U3043">
        <v>24.1</v>
      </c>
      <c r="V3043" t="str">
        <f>VLOOKUP(L3043,'[2]tabela de preços'!$A:$D,4,0)</f>
        <v>SIKKENS</v>
      </c>
      <c r="W3043" t="str">
        <f>VLOOKUP(L3043,'[2]tabela de preços'!$A:$F,6,0)</f>
        <v>CATALISADORES INDIVIDUAS</v>
      </c>
      <c r="X3043" t="str">
        <f>VLOOKUP(L3043,'[2]tabela de preços'!$A:$G,7,0)</f>
        <v>AUTOMOTIVO</v>
      </c>
    </row>
    <row r="3044" spans="1:24" x14ac:dyDescent="0.3">
      <c r="A3044" t="s">
        <v>1130</v>
      </c>
      <c r="C3044" t="s">
        <v>3161</v>
      </c>
      <c r="D3044" s="1">
        <v>46065</v>
      </c>
      <c r="E3044" t="s">
        <v>3162</v>
      </c>
      <c r="F3044">
        <v>9</v>
      </c>
      <c r="G3044">
        <v>197</v>
      </c>
      <c r="H3044" t="str">
        <f>VLOOKUP(G3044,[1]OPERADORES!$A:$B,2,0)</f>
        <v xml:space="preserve">POLIANA LORRANE DE AMORIM </v>
      </c>
      <c r="I3044" t="s">
        <v>21</v>
      </c>
      <c r="J3044" t="s">
        <v>621</v>
      </c>
      <c r="K3044" t="s">
        <v>1133</v>
      </c>
      <c r="L3044">
        <v>20333</v>
      </c>
      <c r="M3044" t="s">
        <v>2375</v>
      </c>
      <c r="O3044" t="s">
        <v>11</v>
      </c>
      <c r="P3044">
        <v>5403</v>
      </c>
      <c r="Q3044">
        <v>3</v>
      </c>
      <c r="R3044">
        <v>62.82</v>
      </c>
      <c r="S3044">
        <v>188.46</v>
      </c>
      <c r="T3044">
        <v>134.37</v>
      </c>
      <c r="U3044">
        <v>28.7</v>
      </c>
      <c r="V3044" t="str">
        <f>VLOOKUP(L3044,'[2]tabela de preços'!$A:$D,4,0)</f>
        <v>SHERWIN WILLIAMS</v>
      </c>
      <c r="W3044" t="str">
        <f>VLOOKUP(L3044,'[2]tabela de preços'!$A:$F,6,0)</f>
        <v>TINTAS POLIÉSTER</v>
      </c>
      <c r="X3044" t="str">
        <f>VLOOKUP(L3044,'[2]tabela de preços'!$A:$G,7,0)</f>
        <v>AUTOMOTIVO</v>
      </c>
    </row>
    <row r="3045" spans="1:24" x14ac:dyDescent="0.3">
      <c r="A3045" t="s">
        <v>1135</v>
      </c>
      <c r="C3045" t="s">
        <v>2437</v>
      </c>
      <c r="D3045" s="1">
        <v>46055</v>
      </c>
      <c r="E3045" t="s">
        <v>2438</v>
      </c>
      <c r="F3045">
        <v>9</v>
      </c>
      <c r="G3045">
        <v>230</v>
      </c>
      <c r="H3045" t="str">
        <f>VLOOKUP(G3045,[1]OPERADORES!$A:$B,2,0)</f>
        <v>SÔNIA</v>
      </c>
      <c r="I3045" t="s">
        <v>1138</v>
      </c>
      <c r="J3045" t="s">
        <v>1139</v>
      </c>
      <c r="K3045" t="s">
        <v>1140</v>
      </c>
      <c r="L3045">
        <v>84325</v>
      </c>
      <c r="M3045" t="s">
        <v>678</v>
      </c>
      <c r="O3045" t="s">
        <v>11</v>
      </c>
      <c r="P3045">
        <v>6403</v>
      </c>
      <c r="Q3045">
        <v>1</v>
      </c>
      <c r="R3045">
        <v>85.8</v>
      </c>
      <c r="S3045">
        <v>85.8</v>
      </c>
      <c r="T3045">
        <v>52</v>
      </c>
      <c r="U3045">
        <v>39.39</v>
      </c>
      <c r="V3045" t="str">
        <f>VLOOKUP(L3045,'[2]tabela de preços'!$A:$D,4,0)</f>
        <v>BRASILUX</v>
      </c>
      <c r="W3045" t="str">
        <f>VLOOKUP(L3045,'[2]tabela de preços'!$A:$F,6,0)</f>
        <v>ESMALTES</v>
      </c>
      <c r="X3045" t="str">
        <f>VLOOKUP(L3045,'[2]tabela de preços'!$A:$G,7,0)</f>
        <v>INDUSTRIAL</v>
      </c>
    </row>
    <row r="3046" spans="1:24" x14ac:dyDescent="0.3">
      <c r="A3046" t="s">
        <v>1135</v>
      </c>
      <c r="C3046" t="s">
        <v>2437</v>
      </c>
      <c r="D3046" s="1">
        <v>46055</v>
      </c>
      <c r="E3046" t="s">
        <v>2438</v>
      </c>
      <c r="F3046">
        <v>9</v>
      </c>
      <c r="G3046">
        <v>230</v>
      </c>
      <c r="H3046" t="str">
        <f>VLOOKUP(G3046,[1]OPERADORES!$A:$B,2,0)</f>
        <v>SÔNIA</v>
      </c>
      <c r="I3046" t="s">
        <v>1138</v>
      </c>
      <c r="J3046" t="s">
        <v>1139</v>
      </c>
      <c r="K3046" t="s">
        <v>1140</v>
      </c>
      <c r="L3046">
        <v>84329</v>
      </c>
      <c r="M3046" t="s">
        <v>285</v>
      </c>
      <c r="O3046" t="s">
        <v>11</v>
      </c>
      <c r="P3046">
        <v>6403</v>
      </c>
      <c r="Q3046">
        <v>1</v>
      </c>
      <c r="R3046">
        <v>79.650000000000006</v>
      </c>
      <c r="S3046">
        <v>79.650000000000006</v>
      </c>
      <c r="T3046">
        <v>48.27</v>
      </c>
      <c r="U3046">
        <v>39.4</v>
      </c>
      <c r="V3046" t="str">
        <f>VLOOKUP(L3046,'[2]tabela de preços'!$A:$D,4,0)</f>
        <v>BRASILUX</v>
      </c>
      <c r="W3046" t="str">
        <f>VLOOKUP(L3046,'[2]tabela de preços'!$A:$F,6,0)</f>
        <v>ESMALTES</v>
      </c>
      <c r="X3046" t="str">
        <f>VLOOKUP(L3046,'[2]tabela de preços'!$A:$G,7,0)</f>
        <v>INDUSTRIAL</v>
      </c>
    </row>
    <row r="3047" spans="1:24" x14ac:dyDescent="0.3">
      <c r="A3047" t="s">
        <v>1135</v>
      </c>
      <c r="C3047" t="s">
        <v>2437</v>
      </c>
      <c r="D3047" s="1">
        <v>46055</v>
      </c>
      <c r="E3047" t="s">
        <v>2438</v>
      </c>
      <c r="F3047">
        <v>9</v>
      </c>
      <c r="G3047">
        <v>230</v>
      </c>
      <c r="H3047" t="str">
        <f>VLOOKUP(G3047,[1]OPERADORES!$A:$B,2,0)</f>
        <v>SÔNIA</v>
      </c>
      <c r="I3047" t="s">
        <v>1138</v>
      </c>
      <c r="J3047" t="s">
        <v>1139</v>
      </c>
      <c r="K3047" t="s">
        <v>1140</v>
      </c>
      <c r="L3047">
        <v>85499</v>
      </c>
      <c r="M3047" t="s">
        <v>1149</v>
      </c>
      <c r="O3047" t="s">
        <v>11</v>
      </c>
      <c r="P3047">
        <v>6403</v>
      </c>
      <c r="Q3047">
        <v>1</v>
      </c>
      <c r="R3047">
        <v>66.97</v>
      </c>
      <c r="S3047">
        <v>66.97</v>
      </c>
      <c r="T3047">
        <v>47.75</v>
      </c>
      <c r="U3047">
        <v>28.7</v>
      </c>
      <c r="V3047" t="str">
        <f>VLOOKUP(L3047,'[2]tabela de preços'!$A:$D,4,0)</f>
        <v>BRASILUX</v>
      </c>
      <c r="W3047" t="str">
        <f>VLOOKUP(L3047,'[2]tabela de preços'!$A:$F,6,0)</f>
        <v>ESMALTES</v>
      </c>
      <c r="X3047" t="str">
        <f>VLOOKUP(L3047,'[2]tabela de preços'!$A:$G,7,0)</f>
        <v>INDUSTRIAL</v>
      </c>
    </row>
    <row r="3048" spans="1:24" x14ac:dyDescent="0.3">
      <c r="A3048" t="s">
        <v>1135</v>
      </c>
      <c r="C3048" t="s">
        <v>2437</v>
      </c>
      <c r="D3048" s="1">
        <v>46055</v>
      </c>
      <c r="E3048" t="s">
        <v>2438</v>
      </c>
      <c r="F3048">
        <v>9</v>
      </c>
      <c r="G3048">
        <v>230</v>
      </c>
      <c r="H3048" t="str">
        <f>VLOOKUP(G3048,[1]OPERADORES!$A:$B,2,0)</f>
        <v>SÔNIA</v>
      </c>
      <c r="I3048" t="s">
        <v>1138</v>
      </c>
      <c r="J3048" t="s">
        <v>1139</v>
      </c>
      <c r="K3048" t="s">
        <v>1140</v>
      </c>
      <c r="L3048">
        <v>84347</v>
      </c>
      <c r="M3048" t="s">
        <v>1150</v>
      </c>
      <c r="O3048" t="s">
        <v>11</v>
      </c>
      <c r="P3048">
        <v>6403</v>
      </c>
      <c r="Q3048">
        <v>1</v>
      </c>
      <c r="R3048">
        <v>85.81</v>
      </c>
      <c r="S3048">
        <v>85.81</v>
      </c>
      <c r="T3048">
        <v>52</v>
      </c>
      <c r="U3048">
        <v>39.4</v>
      </c>
      <c r="V3048" t="str">
        <f>VLOOKUP(L3048,'[2]tabela de preços'!$A:$D,4,0)</f>
        <v>BRASILUX</v>
      </c>
      <c r="W3048" t="str">
        <f>VLOOKUP(L3048,'[2]tabela de preços'!$A:$F,6,0)</f>
        <v>ESMALTES</v>
      </c>
      <c r="X3048" t="str">
        <f>VLOOKUP(L3048,'[2]tabela de preços'!$A:$G,7,0)</f>
        <v>INDUSTRIAL</v>
      </c>
    </row>
    <row r="3049" spans="1:24" x14ac:dyDescent="0.3">
      <c r="A3049" t="s">
        <v>1135</v>
      </c>
      <c r="C3049" t="s">
        <v>2437</v>
      </c>
      <c r="D3049" s="1">
        <v>46055</v>
      </c>
      <c r="E3049" t="s">
        <v>2438</v>
      </c>
      <c r="F3049">
        <v>9</v>
      </c>
      <c r="G3049">
        <v>230</v>
      </c>
      <c r="H3049" t="str">
        <f>VLOOKUP(G3049,[1]OPERADORES!$A:$B,2,0)</f>
        <v>SÔNIA</v>
      </c>
      <c r="I3049" t="s">
        <v>1138</v>
      </c>
      <c r="J3049" t="s">
        <v>1139</v>
      </c>
      <c r="K3049" t="s">
        <v>1140</v>
      </c>
      <c r="L3049">
        <v>84014</v>
      </c>
      <c r="M3049" t="s">
        <v>1152</v>
      </c>
      <c r="O3049" t="s">
        <v>11</v>
      </c>
      <c r="P3049">
        <v>6102</v>
      </c>
      <c r="Q3049">
        <v>10</v>
      </c>
      <c r="R3049">
        <v>2.2000000000000002</v>
      </c>
      <c r="S3049">
        <v>22</v>
      </c>
      <c r="T3049">
        <v>16.7</v>
      </c>
      <c r="U3049">
        <v>24.09</v>
      </c>
      <c r="V3049" t="str">
        <f>VLOOKUP(L3049,'[2]tabela de preços'!$A:$D,4,0)</f>
        <v>3M</v>
      </c>
      <c r="W3049" t="str">
        <f>VLOOKUP(L3049,'[2]tabela de preços'!$A:$F,6,0)</f>
        <v>LIXA FERRO</v>
      </c>
      <c r="X3049" t="str">
        <f>VLOOKUP(L3049,'[2]tabela de preços'!$A:$G,7,0)</f>
        <v>IMOBILIÁRIO</v>
      </c>
    </row>
    <row r="3050" spans="1:24" x14ac:dyDescent="0.3">
      <c r="A3050" t="s">
        <v>1135</v>
      </c>
      <c r="C3050" t="s">
        <v>2437</v>
      </c>
      <c r="D3050" s="1">
        <v>46055</v>
      </c>
      <c r="E3050" t="s">
        <v>2438</v>
      </c>
      <c r="F3050">
        <v>9</v>
      </c>
      <c r="G3050">
        <v>230</v>
      </c>
      <c r="H3050" t="str">
        <f>VLOOKUP(G3050,[1]OPERADORES!$A:$B,2,0)</f>
        <v>SÔNIA</v>
      </c>
      <c r="I3050" t="s">
        <v>1138</v>
      </c>
      <c r="J3050" t="s">
        <v>1139</v>
      </c>
      <c r="K3050" t="s">
        <v>1140</v>
      </c>
      <c r="L3050">
        <v>10298</v>
      </c>
      <c r="M3050" t="s">
        <v>85</v>
      </c>
      <c r="O3050" t="s">
        <v>11</v>
      </c>
      <c r="P3050">
        <v>6102</v>
      </c>
      <c r="Q3050">
        <v>2</v>
      </c>
      <c r="R3050">
        <v>73.44</v>
      </c>
      <c r="S3050">
        <v>146.88</v>
      </c>
      <c r="T3050">
        <v>94.76</v>
      </c>
      <c r="U3050">
        <v>35.479999999999997</v>
      </c>
      <c r="V3050" t="str">
        <f>VLOOKUP(L3050,'[2]tabela de preços'!$A:$D,4,0)</f>
        <v>ANJO</v>
      </c>
      <c r="W3050" t="str">
        <f>VLOOKUP(L3050,'[2]tabela de preços'!$A:$F,6,0)</f>
        <v>THINNER DE LIMPEZA</v>
      </c>
      <c r="X3050" t="str">
        <f>VLOOKUP(L3050,'[2]tabela de preços'!$A:$G,7,0)</f>
        <v>THINNER</v>
      </c>
    </row>
    <row r="3051" spans="1:24" x14ac:dyDescent="0.3">
      <c r="A3051" t="s">
        <v>1135</v>
      </c>
      <c r="C3051" t="s">
        <v>2439</v>
      </c>
      <c r="D3051" s="1">
        <v>46055</v>
      </c>
      <c r="E3051" t="s">
        <v>2440</v>
      </c>
      <c r="F3051">
        <v>9</v>
      </c>
      <c r="G3051">
        <v>230</v>
      </c>
      <c r="H3051" t="str">
        <f>VLOOKUP(G3051,[1]OPERADORES!$A:$B,2,0)</f>
        <v>SÔNIA</v>
      </c>
      <c r="I3051" t="s">
        <v>1138</v>
      </c>
      <c r="J3051" t="s">
        <v>1139</v>
      </c>
      <c r="K3051" t="s">
        <v>1140</v>
      </c>
      <c r="L3051">
        <v>85135</v>
      </c>
      <c r="M3051" t="s">
        <v>1141</v>
      </c>
      <c r="O3051" t="s">
        <v>11</v>
      </c>
      <c r="P3051">
        <v>6403</v>
      </c>
      <c r="Q3051">
        <v>10</v>
      </c>
      <c r="R3051">
        <v>174.83</v>
      </c>
      <c r="S3051" s="2">
        <v>1748.3</v>
      </c>
      <c r="T3051">
        <v>934.91</v>
      </c>
      <c r="U3051">
        <v>46.52</v>
      </c>
      <c r="V3051" t="str">
        <f>VLOOKUP(L3051,'[2]tabela de preços'!$A:$D,4,0)</f>
        <v>BRASILUX</v>
      </c>
      <c r="W3051" t="str">
        <f>VLOOKUP(L3051,'[2]tabela de preços'!$A:$F,6,0)</f>
        <v>TINTA DE LABORATÓRIO</v>
      </c>
      <c r="X3051" t="str">
        <f>VLOOKUP(L3051,'[2]tabela de preços'!$A:$G,7,0)</f>
        <v>AUTOMOTIVO</v>
      </c>
    </row>
    <row r="3052" spans="1:24" x14ac:dyDescent="0.3">
      <c r="A3052" t="s">
        <v>1135</v>
      </c>
      <c r="C3052" t="s">
        <v>2439</v>
      </c>
      <c r="D3052" s="1">
        <v>46055</v>
      </c>
      <c r="E3052" t="s">
        <v>2440</v>
      </c>
      <c r="F3052">
        <v>9</v>
      </c>
      <c r="G3052">
        <v>230</v>
      </c>
      <c r="H3052" t="str">
        <f>VLOOKUP(G3052,[1]OPERADORES!$A:$B,2,0)</f>
        <v>SÔNIA</v>
      </c>
      <c r="I3052" t="s">
        <v>1138</v>
      </c>
      <c r="J3052" t="s">
        <v>1139</v>
      </c>
      <c r="K3052" t="s">
        <v>1140</v>
      </c>
      <c r="L3052">
        <v>85280</v>
      </c>
      <c r="M3052" t="s">
        <v>943</v>
      </c>
      <c r="O3052" t="s">
        <v>11</v>
      </c>
      <c r="P3052">
        <v>6102</v>
      </c>
      <c r="Q3052">
        <v>10</v>
      </c>
      <c r="R3052">
        <v>55.72</v>
      </c>
      <c r="S3052">
        <v>557.20000000000005</v>
      </c>
      <c r="T3052">
        <v>422.9</v>
      </c>
      <c r="U3052">
        <v>24.1</v>
      </c>
      <c r="V3052" t="str">
        <f>VLOOKUP(L3052,'[2]tabela de preços'!$A:$D,4,0)</f>
        <v>BRASILUX</v>
      </c>
      <c r="W3052" t="str">
        <f>VLOOKUP(L3052,'[2]tabela de preços'!$A:$F,6,0)</f>
        <v>CATALISADORES INDIVIDUAIS</v>
      </c>
      <c r="X3052" t="str">
        <f>VLOOKUP(L3052,'[2]tabela de preços'!$A:$G,7,0)</f>
        <v>IMOBILIÁRIO</v>
      </c>
    </row>
    <row r="3053" spans="1:24" x14ac:dyDescent="0.3">
      <c r="A3053" t="s">
        <v>1135</v>
      </c>
      <c r="C3053" t="s">
        <v>2914</v>
      </c>
      <c r="D3053" s="1">
        <v>46064</v>
      </c>
      <c r="E3053" t="s">
        <v>2915</v>
      </c>
      <c r="F3053">
        <v>9</v>
      </c>
      <c r="G3053">
        <v>236</v>
      </c>
      <c r="H3053" t="str">
        <f>VLOOKUP(G3053,[1]OPERADORES!$A:$B,2,0)</f>
        <v>DANIEL</v>
      </c>
      <c r="I3053" t="s">
        <v>1138</v>
      </c>
      <c r="J3053" t="s">
        <v>1139</v>
      </c>
      <c r="K3053" t="s">
        <v>1140</v>
      </c>
      <c r="L3053">
        <v>23602</v>
      </c>
      <c r="M3053" t="s">
        <v>215</v>
      </c>
      <c r="O3053" t="s">
        <v>11</v>
      </c>
      <c r="P3053">
        <v>6403</v>
      </c>
      <c r="Q3053">
        <v>2</v>
      </c>
      <c r="R3053">
        <v>38.4</v>
      </c>
      <c r="S3053">
        <v>76.8</v>
      </c>
      <c r="T3053">
        <v>58.5</v>
      </c>
      <c r="U3053">
        <v>23.83</v>
      </c>
      <c r="V3053" t="str">
        <f>VLOOKUP(L3053,'[2]tabela de preços'!$A:$D,4,0)</f>
        <v>SHERWIN WILLIAMS</v>
      </c>
      <c r="W3053" t="str">
        <f>VLOOKUP(L3053,'[2]tabela de preços'!$A:$F,6,0)</f>
        <v>VERNIZ AUTOMOTIVO</v>
      </c>
      <c r="X3053" t="str">
        <f>VLOOKUP(L3053,'[2]tabela de preços'!$A:$G,7,0)</f>
        <v>AUTOMOTIVO</v>
      </c>
    </row>
    <row r="3054" spans="1:24" x14ac:dyDescent="0.3">
      <c r="A3054" t="s">
        <v>1135</v>
      </c>
      <c r="C3054" t="s">
        <v>2916</v>
      </c>
      <c r="D3054" s="1">
        <v>46064</v>
      </c>
      <c r="E3054" t="s">
        <v>2917</v>
      </c>
      <c r="F3054">
        <v>9</v>
      </c>
      <c r="G3054">
        <v>236</v>
      </c>
      <c r="H3054" t="str">
        <f>VLOOKUP(G3054,[1]OPERADORES!$A:$B,2,0)</f>
        <v>DANIEL</v>
      </c>
      <c r="I3054" t="s">
        <v>1138</v>
      </c>
      <c r="J3054" t="s">
        <v>1139</v>
      </c>
      <c r="K3054" t="s">
        <v>1140</v>
      </c>
      <c r="L3054">
        <v>84014</v>
      </c>
      <c r="M3054" t="s">
        <v>1152</v>
      </c>
      <c r="O3054" t="s">
        <v>11</v>
      </c>
      <c r="P3054">
        <v>6102</v>
      </c>
      <c r="Q3054">
        <v>10</v>
      </c>
      <c r="R3054">
        <v>2.2000000000000002</v>
      </c>
      <c r="S3054">
        <v>22</v>
      </c>
      <c r="T3054">
        <v>16.7</v>
      </c>
      <c r="U3054">
        <v>24.09</v>
      </c>
      <c r="V3054" t="str">
        <f>VLOOKUP(L3054,'[2]tabela de preços'!$A:$D,4,0)</f>
        <v>3M</v>
      </c>
      <c r="W3054" t="str">
        <f>VLOOKUP(L3054,'[2]tabela de preços'!$A:$F,6,0)</f>
        <v>LIXA FERRO</v>
      </c>
      <c r="X3054" t="str">
        <f>VLOOKUP(L3054,'[2]tabela de preços'!$A:$G,7,0)</f>
        <v>IMOBILIÁRIO</v>
      </c>
    </row>
    <row r="3055" spans="1:24" x14ac:dyDescent="0.3">
      <c r="A3055" t="s">
        <v>1135</v>
      </c>
      <c r="C3055" t="s">
        <v>2916</v>
      </c>
      <c r="D3055" s="1">
        <v>46064</v>
      </c>
      <c r="E3055" t="s">
        <v>2917</v>
      </c>
      <c r="F3055">
        <v>9</v>
      </c>
      <c r="G3055">
        <v>236</v>
      </c>
      <c r="H3055" t="str">
        <f>VLOOKUP(G3055,[1]OPERADORES!$A:$B,2,0)</f>
        <v>DANIEL</v>
      </c>
      <c r="I3055" t="s">
        <v>1138</v>
      </c>
      <c r="J3055" t="s">
        <v>1139</v>
      </c>
      <c r="K3055" t="s">
        <v>1140</v>
      </c>
      <c r="L3055">
        <v>85164</v>
      </c>
      <c r="M3055" t="s">
        <v>278</v>
      </c>
      <c r="O3055" t="s">
        <v>11</v>
      </c>
      <c r="P3055">
        <v>6102</v>
      </c>
      <c r="Q3055">
        <v>5</v>
      </c>
      <c r="R3055">
        <v>13.29</v>
      </c>
      <c r="S3055">
        <v>66.45</v>
      </c>
      <c r="T3055">
        <v>50.45</v>
      </c>
      <c r="U3055">
        <v>24.08</v>
      </c>
      <c r="V3055" t="str">
        <f>VLOOKUP(L3055,'[2]tabela de preços'!$A:$D,4,0)</f>
        <v>BRASILUX</v>
      </c>
      <c r="W3055" t="str">
        <f>VLOOKUP(L3055,'[2]tabela de preços'!$A:$F,6,0)</f>
        <v>QUEROSENE</v>
      </c>
      <c r="X3055" t="str">
        <f>VLOOKUP(L3055,'[2]tabela de preços'!$A:$G,7,0)</f>
        <v>AUTOMOTIVO</v>
      </c>
    </row>
    <row r="3056" spans="1:24" x14ac:dyDescent="0.3">
      <c r="A3056" t="s">
        <v>1135</v>
      </c>
      <c r="C3056" t="s">
        <v>3163</v>
      </c>
      <c r="D3056" s="1">
        <v>46071</v>
      </c>
      <c r="E3056" t="s">
        <v>3164</v>
      </c>
      <c r="F3056">
        <v>9</v>
      </c>
      <c r="G3056">
        <v>236</v>
      </c>
      <c r="H3056" t="str">
        <f>VLOOKUP(G3056,[1]OPERADORES!$A:$B,2,0)</f>
        <v>DANIEL</v>
      </c>
      <c r="I3056" t="s">
        <v>1138</v>
      </c>
      <c r="J3056" t="s">
        <v>1139</v>
      </c>
      <c r="K3056" t="s">
        <v>1140</v>
      </c>
      <c r="L3056">
        <v>84213</v>
      </c>
      <c r="M3056" t="s">
        <v>3165</v>
      </c>
      <c r="O3056" t="s">
        <v>11</v>
      </c>
      <c r="P3056">
        <v>6403</v>
      </c>
      <c r="Q3056">
        <v>1</v>
      </c>
      <c r="R3056">
        <v>246.97</v>
      </c>
      <c r="S3056">
        <v>246.97</v>
      </c>
      <c r="T3056">
        <v>170.09</v>
      </c>
      <c r="U3056">
        <v>31.13</v>
      </c>
      <c r="V3056" t="str">
        <f>VLOOKUP(L3056,'[2]tabela de preços'!$A:$D,4,0)</f>
        <v>BRASILUX</v>
      </c>
      <c r="W3056" t="str">
        <f>VLOOKUP(L3056,'[2]tabela de preços'!$A:$F,6,0)</f>
        <v>ESMALTES</v>
      </c>
      <c r="X3056" t="str">
        <f>VLOOKUP(L3056,'[2]tabela de preços'!$A:$G,7,0)</f>
        <v>INDUSTRIAL</v>
      </c>
    </row>
    <row r="3057" spans="1:24" x14ac:dyDescent="0.3">
      <c r="A3057" t="s">
        <v>1135</v>
      </c>
      <c r="C3057" t="s">
        <v>3163</v>
      </c>
      <c r="D3057" s="1">
        <v>46071</v>
      </c>
      <c r="E3057" t="s">
        <v>3164</v>
      </c>
      <c r="F3057">
        <v>9</v>
      </c>
      <c r="G3057">
        <v>236</v>
      </c>
      <c r="H3057" t="str">
        <f>VLOOKUP(G3057,[1]OPERADORES!$A:$B,2,0)</f>
        <v>DANIEL</v>
      </c>
      <c r="I3057" t="s">
        <v>1138</v>
      </c>
      <c r="J3057" t="s">
        <v>1139</v>
      </c>
      <c r="K3057" t="s">
        <v>1140</v>
      </c>
      <c r="L3057">
        <v>84329</v>
      </c>
      <c r="M3057" t="s">
        <v>285</v>
      </c>
      <c r="O3057" t="s">
        <v>11</v>
      </c>
      <c r="P3057">
        <v>6403</v>
      </c>
      <c r="Q3057">
        <v>1</v>
      </c>
      <c r="R3057">
        <v>64.180000000000007</v>
      </c>
      <c r="S3057">
        <v>64.180000000000007</v>
      </c>
      <c r="T3057">
        <v>48.27</v>
      </c>
      <c r="U3057">
        <v>24.79</v>
      </c>
      <c r="V3057" t="str">
        <f>VLOOKUP(L3057,'[2]tabela de preços'!$A:$D,4,0)</f>
        <v>BRASILUX</v>
      </c>
      <c r="W3057" t="str">
        <f>VLOOKUP(L3057,'[2]tabela de preços'!$A:$F,6,0)</f>
        <v>ESMALTES</v>
      </c>
      <c r="X3057" t="str">
        <f>VLOOKUP(L3057,'[2]tabela de preços'!$A:$G,7,0)</f>
        <v>INDUSTRIAL</v>
      </c>
    </row>
    <row r="3058" spans="1:24" x14ac:dyDescent="0.3">
      <c r="A3058" t="s">
        <v>1135</v>
      </c>
      <c r="C3058" t="s">
        <v>3163</v>
      </c>
      <c r="D3058" s="1">
        <v>46071</v>
      </c>
      <c r="E3058" t="s">
        <v>3164</v>
      </c>
      <c r="F3058">
        <v>9</v>
      </c>
      <c r="G3058">
        <v>236</v>
      </c>
      <c r="H3058" t="str">
        <f>VLOOKUP(G3058,[1]OPERADORES!$A:$B,2,0)</f>
        <v>DANIEL</v>
      </c>
      <c r="I3058" t="s">
        <v>1138</v>
      </c>
      <c r="J3058" t="s">
        <v>1139</v>
      </c>
      <c r="K3058" t="s">
        <v>1140</v>
      </c>
      <c r="L3058">
        <v>84331</v>
      </c>
      <c r="M3058" t="s">
        <v>497</v>
      </c>
      <c r="O3058" t="s">
        <v>11</v>
      </c>
      <c r="P3058">
        <v>6403</v>
      </c>
      <c r="Q3058">
        <v>2</v>
      </c>
      <c r="R3058">
        <v>64.180000000000007</v>
      </c>
      <c r="S3058">
        <v>128.36000000000001</v>
      </c>
      <c r="T3058">
        <v>104</v>
      </c>
      <c r="U3058">
        <v>18.98</v>
      </c>
      <c r="V3058" t="str">
        <f>VLOOKUP(L3058,'[2]tabela de preços'!$A:$D,4,0)</f>
        <v>BRASILUX</v>
      </c>
      <c r="W3058" t="str">
        <f>VLOOKUP(L3058,'[2]tabela de preços'!$A:$F,6,0)</f>
        <v>ESMALTES</v>
      </c>
      <c r="X3058" t="str">
        <f>VLOOKUP(L3058,'[2]tabela de preços'!$A:$G,7,0)</f>
        <v>INDUSTRIAL</v>
      </c>
    </row>
    <row r="3059" spans="1:24" x14ac:dyDescent="0.3">
      <c r="A3059" t="s">
        <v>1135</v>
      </c>
      <c r="C3059" t="s">
        <v>3163</v>
      </c>
      <c r="D3059" s="1">
        <v>46071</v>
      </c>
      <c r="E3059" t="s">
        <v>3164</v>
      </c>
      <c r="F3059">
        <v>9</v>
      </c>
      <c r="G3059">
        <v>236</v>
      </c>
      <c r="H3059" t="str">
        <f>VLOOKUP(G3059,[1]OPERADORES!$A:$B,2,0)</f>
        <v>DANIEL</v>
      </c>
      <c r="I3059" t="s">
        <v>1138</v>
      </c>
      <c r="J3059" t="s">
        <v>1139</v>
      </c>
      <c r="K3059" t="s">
        <v>1140</v>
      </c>
      <c r="L3059">
        <v>10236</v>
      </c>
      <c r="M3059" t="s">
        <v>133</v>
      </c>
      <c r="O3059" t="s">
        <v>11</v>
      </c>
      <c r="P3059">
        <v>6102</v>
      </c>
      <c r="Q3059">
        <v>40</v>
      </c>
      <c r="R3059">
        <v>2.79</v>
      </c>
      <c r="S3059">
        <v>111.6</v>
      </c>
      <c r="T3059">
        <v>92.8</v>
      </c>
      <c r="U3059">
        <v>16.850000000000001</v>
      </c>
      <c r="V3059" t="str">
        <f>VLOOKUP(L3059,'[2]tabela de preços'!$A:$D,4,0)</f>
        <v>NORTON</v>
      </c>
      <c r="W3059" t="str">
        <f>VLOOKUP(L3059,'[2]tabela de preços'!$A:$F,6,0)</f>
        <v xml:space="preserve">DISCOS / LIXAS / ABRASIVOS </v>
      </c>
      <c r="X3059" t="str">
        <f>VLOOKUP(L3059,'[2]tabela de preços'!$A:$G,7,0)</f>
        <v>AUTOMOTIVO</v>
      </c>
    </row>
    <row r="3060" spans="1:24" x14ac:dyDescent="0.3">
      <c r="A3060" t="s">
        <v>1135</v>
      </c>
      <c r="C3060" t="s">
        <v>3163</v>
      </c>
      <c r="D3060" s="1">
        <v>46071</v>
      </c>
      <c r="E3060" t="s">
        <v>3164</v>
      </c>
      <c r="F3060">
        <v>9</v>
      </c>
      <c r="G3060">
        <v>236</v>
      </c>
      <c r="H3060" t="str">
        <f>VLOOKUP(G3060,[1]OPERADORES!$A:$B,2,0)</f>
        <v>DANIEL</v>
      </c>
      <c r="I3060" t="s">
        <v>1138</v>
      </c>
      <c r="J3060" t="s">
        <v>1139</v>
      </c>
      <c r="K3060" t="s">
        <v>1140</v>
      </c>
      <c r="L3060">
        <v>85616</v>
      </c>
      <c r="M3060" t="s">
        <v>471</v>
      </c>
      <c r="O3060" t="s">
        <v>11</v>
      </c>
      <c r="P3060">
        <v>6102</v>
      </c>
      <c r="Q3060">
        <v>1</v>
      </c>
      <c r="R3060">
        <v>2.79</v>
      </c>
      <c r="S3060">
        <v>2.79</v>
      </c>
      <c r="T3060">
        <v>2.2799999999999998</v>
      </c>
      <c r="U3060">
        <v>18.28</v>
      </c>
      <c r="V3060" t="str">
        <f>VLOOKUP(L3060,'[2]tabela de preços'!$A:$D,4,0)</f>
        <v>ADERE</v>
      </c>
      <c r="W3060" t="str">
        <f>VLOOKUP(L3060,'[2]tabela de preços'!$A:$F,6,0)</f>
        <v xml:space="preserve">FITA DE USO GERAL </v>
      </c>
      <c r="X3060" t="str">
        <f>VLOOKUP(L3060,'[2]tabela de preços'!$A:$G,7,0)</f>
        <v>IMOBILIÁRIO</v>
      </c>
    </row>
    <row r="3061" spans="1:24" x14ac:dyDescent="0.3">
      <c r="A3061" t="s">
        <v>1155</v>
      </c>
      <c r="C3061" t="s">
        <v>2629</v>
      </c>
      <c r="D3061" s="1">
        <v>46058</v>
      </c>
      <c r="E3061" t="s">
        <v>2630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211</v>
      </c>
      <c r="K3061" t="s">
        <v>1158</v>
      </c>
      <c r="L3061">
        <v>84385</v>
      </c>
      <c r="M3061" t="s">
        <v>2012</v>
      </c>
      <c r="O3061" t="s">
        <v>11</v>
      </c>
      <c r="P3061">
        <v>5403</v>
      </c>
      <c r="Q3061">
        <v>1</v>
      </c>
      <c r="R3061">
        <v>159.9</v>
      </c>
      <c r="S3061">
        <v>159.9</v>
      </c>
      <c r="T3061">
        <v>137.61000000000001</v>
      </c>
      <c r="U3061">
        <v>13.94</v>
      </c>
      <c r="V3061" t="str">
        <f>VLOOKUP(L3061,'[2]tabela de preços'!$A:$D,4,0)</f>
        <v>BRASILUX</v>
      </c>
      <c r="W3061" t="str">
        <f>VLOOKUP(L3061,'[2]tabela de preços'!$A:$F,6,0)</f>
        <v>TINTA PARA PISO</v>
      </c>
      <c r="X3061" t="str">
        <f>VLOOKUP(L3061,'[2]tabela de preços'!$A:$G,7,0)</f>
        <v>IMOBILIÁRIO</v>
      </c>
    </row>
    <row r="3062" spans="1:24" x14ac:dyDescent="0.3">
      <c r="A3062" t="s">
        <v>1155</v>
      </c>
      <c r="C3062" t="s">
        <v>2629</v>
      </c>
      <c r="D3062" s="1">
        <v>46058</v>
      </c>
      <c r="E3062" t="s">
        <v>2630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211</v>
      </c>
      <c r="K3062" t="s">
        <v>1158</v>
      </c>
      <c r="L3062">
        <v>20433</v>
      </c>
      <c r="M3062" t="s">
        <v>460</v>
      </c>
      <c r="O3062" t="s">
        <v>11</v>
      </c>
      <c r="P3062">
        <v>5102</v>
      </c>
      <c r="Q3062">
        <v>4</v>
      </c>
      <c r="R3062">
        <v>32.19</v>
      </c>
      <c r="S3062">
        <v>128.76</v>
      </c>
      <c r="T3062">
        <v>97.72</v>
      </c>
      <c r="U3062">
        <v>24.11</v>
      </c>
      <c r="V3062" t="str">
        <f>VLOOKUP(L3062,'[2]tabela de preços'!$A:$D,4,0)</f>
        <v>SHERWIN WILLIAMS</v>
      </c>
      <c r="W3062" t="str">
        <f>VLOOKUP(L3062,'[2]tabela de preços'!$A:$F,6,0)</f>
        <v>VERNIZ AUTOMOTIVO</v>
      </c>
      <c r="X3062" t="str">
        <f>VLOOKUP(L3062,'[2]tabela de preços'!$A:$G,7,0)</f>
        <v>AUTOMOTIVO</v>
      </c>
    </row>
    <row r="3063" spans="1:24" x14ac:dyDescent="0.3">
      <c r="A3063" t="s">
        <v>1155</v>
      </c>
      <c r="C3063" t="s">
        <v>2629</v>
      </c>
      <c r="D3063" s="1">
        <v>46058</v>
      </c>
      <c r="E3063" t="s">
        <v>2630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211</v>
      </c>
      <c r="K3063" t="s">
        <v>1158</v>
      </c>
      <c r="L3063">
        <v>22188</v>
      </c>
      <c r="M3063" t="s">
        <v>78</v>
      </c>
      <c r="O3063" t="s">
        <v>11</v>
      </c>
      <c r="P3063">
        <v>5102</v>
      </c>
      <c r="Q3063">
        <v>2</v>
      </c>
      <c r="R3063">
        <v>14.35</v>
      </c>
      <c r="S3063">
        <v>28.7</v>
      </c>
      <c r="T3063">
        <v>21.78</v>
      </c>
      <c r="U3063">
        <v>24.11</v>
      </c>
      <c r="V3063" t="str">
        <f>VLOOKUP(L3063,'[2]tabela de preços'!$A:$D,4,0)</f>
        <v>3M</v>
      </c>
      <c r="W3063" t="str">
        <f>VLOOKUP(L3063,'[2]tabela de preços'!$A:$F,6,0)</f>
        <v>FITA AUTOMOTIVA</v>
      </c>
      <c r="X3063" t="str">
        <f>VLOOKUP(L3063,'[2]tabela de preços'!$A:$G,7,0)</f>
        <v>AUTOMOTIVO</v>
      </c>
    </row>
    <row r="3064" spans="1:24" x14ac:dyDescent="0.3">
      <c r="A3064" t="s">
        <v>1155</v>
      </c>
      <c r="C3064" t="s">
        <v>2629</v>
      </c>
      <c r="D3064" s="1">
        <v>46058</v>
      </c>
      <c r="E3064" t="s">
        <v>2630</v>
      </c>
      <c r="F3064">
        <v>9</v>
      </c>
      <c r="G3064">
        <v>174</v>
      </c>
      <c r="H3064" t="str">
        <f>VLOOKUP(G3064,[1]OPERADORES!$A:$B,2,0)</f>
        <v>MIRIÃ LOBATO RODRIGUES</v>
      </c>
      <c r="I3064" t="s">
        <v>21</v>
      </c>
      <c r="J3064" t="s">
        <v>211</v>
      </c>
      <c r="K3064" t="s">
        <v>1158</v>
      </c>
      <c r="L3064">
        <v>23364</v>
      </c>
      <c r="M3064" t="s">
        <v>55</v>
      </c>
      <c r="O3064" t="s">
        <v>11</v>
      </c>
      <c r="P3064">
        <v>5102</v>
      </c>
      <c r="Q3064">
        <v>2</v>
      </c>
      <c r="R3064">
        <v>6.19</v>
      </c>
      <c r="S3064">
        <v>12.38</v>
      </c>
      <c r="T3064">
        <v>9.82</v>
      </c>
      <c r="U3064">
        <v>20.68</v>
      </c>
      <c r="V3064" t="str">
        <f>VLOOKUP(L3064,'[2]tabela de preços'!$A:$D,4,0)</f>
        <v>AUTO AMERICA</v>
      </c>
      <c r="W3064" t="str">
        <f>VLOOKUP(L3064,'[2]tabela de preços'!$A:$F,6,0)</f>
        <v>FLANELAS / PANOS</v>
      </c>
      <c r="X3064" t="str">
        <f>VLOOKUP(L3064,'[2]tabela de preços'!$A:$G,7,0)</f>
        <v>AUTOMOTIVO</v>
      </c>
    </row>
    <row r="3065" spans="1:24" x14ac:dyDescent="0.3">
      <c r="A3065" t="s">
        <v>1155</v>
      </c>
      <c r="C3065" t="s">
        <v>2629</v>
      </c>
      <c r="D3065" s="1">
        <v>46058</v>
      </c>
      <c r="E3065" t="s">
        <v>2630</v>
      </c>
      <c r="F3065">
        <v>9</v>
      </c>
      <c r="G3065">
        <v>174</v>
      </c>
      <c r="H3065" t="str">
        <f>VLOOKUP(G3065,[1]OPERADORES!$A:$B,2,0)</f>
        <v>MIRIÃ LOBATO RODRIGUES</v>
      </c>
      <c r="I3065" t="s">
        <v>21</v>
      </c>
      <c r="J3065" t="s">
        <v>211</v>
      </c>
      <c r="K3065" t="s">
        <v>1158</v>
      </c>
      <c r="L3065">
        <v>20472</v>
      </c>
      <c r="M3065" t="s">
        <v>709</v>
      </c>
      <c r="O3065" t="s">
        <v>11</v>
      </c>
      <c r="P3065">
        <v>5403</v>
      </c>
      <c r="Q3065">
        <v>1</v>
      </c>
      <c r="R3065">
        <v>37.880000000000003</v>
      </c>
      <c r="S3065">
        <v>37.880000000000003</v>
      </c>
      <c r="T3065">
        <v>25.51</v>
      </c>
      <c r="U3065">
        <v>32.659999999999997</v>
      </c>
      <c r="V3065" t="str">
        <f>VLOOKUP(L3065,'[2]tabela de preços'!$A:$D,4,0)</f>
        <v>SHERWIN WILLIAMS</v>
      </c>
      <c r="W3065" t="str">
        <f>VLOOKUP(L3065,'[2]tabela de preços'!$A:$F,6,0)</f>
        <v>TINTAS POLIÉSTER</v>
      </c>
      <c r="X3065" t="str">
        <f>VLOOKUP(L3065,'[2]tabela de preços'!$A:$G,7,0)</f>
        <v>AUTOMOTIVO</v>
      </c>
    </row>
    <row r="3066" spans="1:24" x14ac:dyDescent="0.3">
      <c r="A3066" t="s">
        <v>1155</v>
      </c>
      <c r="C3066" t="s">
        <v>2629</v>
      </c>
      <c r="D3066" s="1">
        <v>46058</v>
      </c>
      <c r="E3066" t="s">
        <v>2630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211</v>
      </c>
      <c r="K3066" t="s">
        <v>1158</v>
      </c>
      <c r="L3066">
        <v>16</v>
      </c>
      <c r="M3066" t="s">
        <v>122</v>
      </c>
      <c r="O3066" t="s">
        <v>11</v>
      </c>
      <c r="P3066">
        <v>5102</v>
      </c>
      <c r="Q3066">
        <v>2</v>
      </c>
      <c r="R3066">
        <v>3.07</v>
      </c>
      <c r="S3066">
        <v>6.14</v>
      </c>
      <c r="T3066">
        <v>4.4000000000000004</v>
      </c>
      <c r="U3066">
        <v>28.34</v>
      </c>
      <c r="V3066" t="str">
        <f>VLOOKUP(L3066,'[2]tabela de preços'!$A:$D,4,0)</f>
        <v>3M</v>
      </c>
      <c r="W3066" t="str">
        <f>VLOOKUP(L3066,'[2]tabela de preços'!$A:$F,6,0)</f>
        <v>LIXA DÁGUA</v>
      </c>
      <c r="X3066" t="str">
        <f>VLOOKUP(L3066,'[2]tabela de preços'!$A:$G,7,0)</f>
        <v>AUTOMOTIVO</v>
      </c>
    </row>
    <row r="3067" spans="1:24" x14ac:dyDescent="0.3">
      <c r="A3067" t="s">
        <v>1155</v>
      </c>
      <c r="C3067" t="s">
        <v>2629</v>
      </c>
      <c r="D3067" s="1">
        <v>46058</v>
      </c>
      <c r="E3067" t="s">
        <v>2630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211</v>
      </c>
      <c r="K3067" t="s">
        <v>1158</v>
      </c>
      <c r="L3067">
        <v>20414</v>
      </c>
      <c r="M3067" t="s">
        <v>112</v>
      </c>
      <c r="O3067" t="s">
        <v>11</v>
      </c>
      <c r="P3067">
        <v>5102</v>
      </c>
      <c r="Q3067">
        <v>2</v>
      </c>
      <c r="R3067">
        <v>21.89</v>
      </c>
      <c r="S3067">
        <v>43.78</v>
      </c>
      <c r="T3067">
        <v>36</v>
      </c>
      <c r="U3067">
        <v>17.77</v>
      </c>
      <c r="V3067" t="str">
        <f>VLOOKUP(L3067,'[2]tabela de preços'!$A:$D,4,0)</f>
        <v>SHERWIN WILLIAMS</v>
      </c>
      <c r="W3067" t="str">
        <f>VLOOKUP(L3067,'[2]tabela de preços'!$A:$F,6,0)</f>
        <v>DILUENTE</v>
      </c>
      <c r="X3067" t="str">
        <f>VLOOKUP(L3067,'[2]tabela de preços'!$A:$G,7,0)</f>
        <v>AUTOMOTIVO</v>
      </c>
    </row>
    <row r="3068" spans="1:24" x14ac:dyDescent="0.3">
      <c r="A3068" t="s">
        <v>1155</v>
      </c>
      <c r="C3068" t="s">
        <v>2629</v>
      </c>
      <c r="D3068" s="1">
        <v>46058</v>
      </c>
      <c r="E3068" t="s">
        <v>2630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211</v>
      </c>
      <c r="K3068" t="s">
        <v>1158</v>
      </c>
      <c r="L3068">
        <v>85043</v>
      </c>
      <c r="M3068" t="s">
        <v>1841</v>
      </c>
      <c r="O3068" t="s">
        <v>11</v>
      </c>
      <c r="P3068">
        <v>5102</v>
      </c>
      <c r="Q3068">
        <v>2</v>
      </c>
      <c r="R3068">
        <v>3.69</v>
      </c>
      <c r="S3068">
        <v>7.38</v>
      </c>
      <c r="T3068">
        <v>5.4</v>
      </c>
      <c r="U3068">
        <v>26.83</v>
      </c>
      <c r="V3068" t="str">
        <f>VLOOKUP(L3068,'[2]tabela de preços'!$A:$D,4,0)</f>
        <v>ATLAS</v>
      </c>
      <c r="W3068" t="str">
        <f>VLOOKUP(L3068,'[2]tabela de preços'!$A:$F,6,0)</f>
        <v>ROLOS / TRINCHAS / PINCÉIS / ESPÁTULAS</v>
      </c>
      <c r="X3068" t="str">
        <f>VLOOKUP(L3068,'[2]tabela de preços'!$A:$G,7,0)</f>
        <v>IMOBILIÁRIO</v>
      </c>
    </row>
    <row r="3069" spans="1:24" x14ac:dyDescent="0.3">
      <c r="A3069" t="s">
        <v>1155</v>
      </c>
      <c r="C3069" t="s">
        <v>2629</v>
      </c>
      <c r="D3069" s="1">
        <v>46058</v>
      </c>
      <c r="E3069" t="s">
        <v>2630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211</v>
      </c>
      <c r="K3069" t="s">
        <v>1158</v>
      </c>
      <c r="L3069">
        <v>20399</v>
      </c>
      <c r="M3069" t="s">
        <v>465</v>
      </c>
      <c r="O3069" t="s">
        <v>11</v>
      </c>
      <c r="P3069">
        <v>5403</v>
      </c>
      <c r="Q3069">
        <v>4</v>
      </c>
      <c r="R3069">
        <v>35.26</v>
      </c>
      <c r="S3069">
        <v>141.04</v>
      </c>
      <c r="T3069">
        <v>107.12</v>
      </c>
      <c r="U3069">
        <v>24.05</v>
      </c>
      <c r="V3069" t="str">
        <f>VLOOKUP(L3069,'[2]tabela de preços'!$A:$D,4,0)</f>
        <v>SHERWIN WILLIAMS</v>
      </c>
      <c r="W3069" t="str">
        <f>VLOOKUP(L3069,'[2]tabela de preços'!$A:$F,6,0)</f>
        <v>VERNIZ AUTOMOTIVO</v>
      </c>
      <c r="X3069" t="str">
        <f>VLOOKUP(L3069,'[2]tabela de preços'!$A:$G,7,0)</f>
        <v>AUTOMOTIVO</v>
      </c>
    </row>
    <row r="3070" spans="1:24" x14ac:dyDescent="0.3">
      <c r="A3070" t="s">
        <v>1155</v>
      </c>
      <c r="C3070" t="s">
        <v>3166</v>
      </c>
      <c r="D3070" s="1">
        <v>46071</v>
      </c>
      <c r="E3070" t="s">
        <v>3167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211</v>
      </c>
      <c r="K3070" t="s">
        <v>1158</v>
      </c>
      <c r="L3070">
        <v>20464</v>
      </c>
      <c r="M3070" t="s">
        <v>3168</v>
      </c>
      <c r="O3070" t="s">
        <v>11</v>
      </c>
      <c r="P3070">
        <v>5102</v>
      </c>
      <c r="Q3070">
        <v>3</v>
      </c>
      <c r="R3070">
        <v>14.52</v>
      </c>
      <c r="S3070">
        <v>43.56</v>
      </c>
      <c r="T3070">
        <v>28.11</v>
      </c>
      <c r="U3070">
        <v>35.47</v>
      </c>
      <c r="V3070" t="str">
        <f>VLOOKUP(L3070,'[2]tabela de preços'!$A:$D,4,0)</f>
        <v>SHERWIN WILLIAMS</v>
      </c>
      <c r="W3070" t="str">
        <f>VLOOKUP(L3070,'[2]tabela de preços'!$A:$F,6,0)</f>
        <v>PRETO FOSCO VINÍLICO</v>
      </c>
      <c r="X3070" t="str">
        <f>VLOOKUP(L3070,'[2]tabela de preços'!$A:$G,7,0)</f>
        <v>AUTOMOTIVO</v>
      </c>
    </row>
    <row r="3071" spans="1:24" x14ac:dyDescent="0.3">
      <c r="A3071" t="s">
        <v>1155</v>
      </c>
      <c r="C3071" t="s">
        <v>3166</v>
      </c>
      <c r="D3071" s="1">
        <v>46071</v>
      </c>
      <c r="E3071" t="s">
        <v>3167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211</v>
      </c>
      <c r="K3071" t="s">
        <v>1158</v>
      </c>
      <c r="L3071">
        <v>20960</v>
      </c>
      <c r="M3071" t="s">
        <v>1734</v>
      </c>
      <c r="O3071" t="s">
        <v>11</v>
      </c>
      <c r="P3071">
        <v>5403</v>
      </c>
      <c r="Q3071">
        <v>1</v>
      </c>
      <c r="R3071">
        <v>93.6</v>
      </c>
      <c r="S3071">
        <v>93.6</v>
      </c>
      <c r="T3071">
        <v>60.39</v>
      </c>
      <c r="U3071">
        <v>35.479999999999997</v>
      </c>
      <c r="V3071" t="str">
        <f>VLOOKUP(L3071,'[2]tabela de preços'!$A:$D,4,0)</f>
        <v>SHERWIN WILLIAMS</v>
      </c>
      <c r="W3071" t="str">
        <f>VLOOKUP(L3071,'[2]tabela de preços'!$A:$F,6,0)</f>
        <v>VERNIZ AUTOMOTIVO</v>
      </c>
      <c r="X3071" t="str">
        <f>VLOOKUP(L3071,'[2]tabela de preços'!$A:$G,7,0)</f>
        <v>AUTOMOTIVO</v>
      </c>
    </row>
    <row r="3072" spans="1:24" x14ac:dyDescent="0.3">
      <c r="A3072" t="s">
        <v>1155</v>
      </c>
      <c r="C3072" t="s">
        <v>3166</v>
      </c>
      <c r="D3072" s="1">
        <v>46071</v>
      </c>
      <c r="E3072" t="s">
        <v>3167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211</v>
      </c>
      <c r="K3072" t="s">
        <v>1158</v>
      </c>
      <c r="L3072">
        <v>83819</v>
      </c>
      <c r="M3072" t="s">
        <v>1237</v>
      </c>
      <c r="O3072" t="s">
        <v>11</v>
      </c>
      <c r="P3072">
        <v>5102</v>
      </c>
      <c r="Q3072">
        <v>3</v>
      </c>
      <c r="R3072">
        <v>4.1100000000000003</v>
      </c>
      <c r="S3072">
        <v>12.33</v>
      </c>
      <c r="T3072">
        <v>7.95</v>
      </c>
      <c r="U3072">
        <v>35.520000000000003</v>
      </c>
      <c r="V3072" t="str">
        <f>VLOOKUP(L3072,'[2]tabela de preços'!$A:$D,4,0)</f>
        <v>3M</v>
      </c>
      <c r="W3072" t="str">
        <f>VLOOKUP(L3072,'[2]tabela de preços'!$A:$F,6,0)</f>
        <v>LIXA DÁGUA</v>
      </c>
      <c r="X3072" t="str">
        <f>VLOOKUP(L3072,'[2]tabela de preços'!$A:$G,7,0)</f>
        <v>AUTOMOTIVO</v>
      </c>
    </row>
    <row r="3073" spans="1:24" x14ac:dyDescent="0.3">
      <c r="A3073" t="s">
        <v>1155</v>
      </c>
      <c r="C3073" t="s">
        <v>3166</v>
      </c>
      <c r="D3073" s="1">
        <v>46071</v>
      </c>
      <c r="E3073" t="s">
        <v>3167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211</v>
      </c>
      <c r="K3073" t="s">
        <v>1158</v>
      </c>
      <c r="L3073">
        <v>21039</v>
      </c>
      <c r="M3073" t="s">
        <v>3169</v>
      </c>
      <c r="O3073" t="s">
        <v>11</v>
      </c>
      <c r="P3073">
        <v>5403</v>
      </c>
      <c r="Q3073">
        <v>1</v>
      </c>
      <c r="R3073">
        <v>33.25</v>
      </c>
      <c r="S3073">
        <v>33.25</v>
      </c>
      <c r="T3073">
        <v>21.45</v>
      </c>
      <c r="U3073">
        <v>35.49</v>
      </c>
      <c r="V3073" t="str">
        <f>VLOOKUP(L3073,'[2]tabela de preços'!$A:$D,4,0)</f>
        <v>SHERWIN WILLIAMS</v>
      </c>
      <c r="W3073" t="str">
        <f>VLOOKUP(L3073,'[2]tabela de preços'!$A:$F,6,0)</f>
        <v>PRETO FOSCO VINÍLICO</v>
      </c>
      <c r="X3073" t="str">
        <f>VLOOKUP(L3073,'[2]tabela de preços'!$A:$G,7,0)</f>
        <v>AUTOMOTIVO</v>
      </c>
    </row>
    <row r="3074" spans="1:24" x14ac:dyDescent="0.3">
      <c r="A3074" t="s">
        <v>1155</v>
      </c>
      <c r="C3074" t="s">
        <v>3166</v>
      </c>
      <c r="D3074" s="1">
        <v>46071</v>
      </c>
      <c r="E3074" t="s">
        <v>3167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211</v>
      </c>
      <c r="K3074" t="s">
        <v>1158</v>
      </c>
      <c r="L3074">
        <v>84560</v>
      </c>
      <c r="M3074" t="s">
        <v>118</v>
      </c>
      <c r="O3074" t="s">
        <v>11</v>
      </c>
      <c r="P3074">
        <v>5102</v>
      </c>
      <c r="Q3074">
        <v>1</v>
      </c>
      <c r="R3074">
        <v>47.89</v>
      </c>
      <c r="S3074">
        <v>47.89</v>
      </c>
      <c r="T3074">
        <v>39.159999999999997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1155</v>
      </c>
      <c r="C3075" t="s">
        <v>3166</v>
      </c>
      <c r="D3075" s="1">
        <v>46071</v>
      </c>
      <c r="E3075" t="s">
        <v>3167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211</v>
      </c>
      <c r="K3075" t="s">
        <v>1158</v>
      </c>
      <c r="L3075">
        <v>21038</v>
      </c>
      <c r="M3075" t="s">
        <v>3170</v>
      </c>
      <c r="O3075">
        <v>5</v>
      </c>
      <c r="P3075">
        <v>5403</v>
      </c>
      <c r="Q3075">
        <v>2</v>
      </c>
      <c r="R3075">
        <v>34.61</v>
      </c>
      <c r="S3075">
        <v>69.22</v>
      </c>
      <c r="T3075">
        <v>44.66</v>
      </c>
      <c r="U3075">
        <v>35.479999999999997</v>
      </c>
      <c r="V3075" t="str">
        <f>VLOOKUP(L3075,'[2]tabela de preços'!$A:$D,4,0)</f>
        <v>SHERWIN WILLIAMS</v>
      </c>
      <c r="W3075" t="str">
        <f>VLOOKUP(L3075,'[2]tabela de preços'!$A:$F,6,0)</f>
        <v>PRIMER AUTOMOTIVO</v>
      </c>
      <c r="X3075" t="str">
        <f>VLOOKUP(L3075,'[2]tabela de preços'!$A:$G,7,0)</f>
        <v>AUTOMOTIVO</v>
      </c>
    </row>
    <row r="3076" spans="1:24" x14ac:dyDescent="0.3">
      <c r="A3076" t="s">
        <v>1170</v>
      </c>
      <c r="C3076" t="s">
        <v>2513</v>
      </c>
      <c r="D3076" s="1">
        <v>46056</v>
      </c>
      <c r="E3076" t="s">
        <v>2514</v>
      </c>
      <c r="F3076">
        <v>9</v>
      </c>
      <c r="G3076">
        <v>174</v>
      </c>
      <c r="H3076" t="str">
        <f>VLOOKUP(G3076,[1]OPERADORES!$A:$B,2,0)</f>
        <v>MIRIÃ LOBATO RODRIGUES</v>
      </c>
      <c r="I3076" t="s">
        <v>21</v>
      </c>
      <c r="J3076" t="s">
        <v>1173</v>
      </c>
      <c r="K3076" t="s">
        <v>1174</v>
      </c>
      <c r="L3076">
        <v>22684</v>
      </c>
      <c r="M3076" t="s">
        <v>73</v>
      </c>
      <c r="O3076" t="s">
        <v>11</v>
      </c>
      <c r="P3076">
        <v>5102</v>
      </c>
      <c r="Q3076">
        <v>160</v>
      </c>
      <c r="R3076">
        <v>3.65</v>
      </c>
      <c r="S3076">
        <v>584</v>
      </c>
      <c r="T3076">
        <v>492.8</v>
      </c>
      <c r="U3076">
        <v>15.62</v>
      </c>
      <c r="V3076" t="str">
        <f>VLOOKUP(L3076,'[2]tabela de preços'!$A:$D,4,0)</f>
        <v>3M</v>
      </c>
      <c r="W3076" t="str">
        <f>VLOOKUP(L3076,'[2]tabela de preços'!$A:$F,6,0)</f>
        <v>FITA AUTOMOTIVA</v>
      </c>
      <c r="X3076" t="str">
        <f>VLOOKUP(L3076,'[2]tabela de preços'!$A:$G,7,0)</f>
        <v>AUTOMOTIVO</v>
      </c>
    </row>
    <row r="3077" spans="1:24" x14ac:dyDescent="0.3">
      <c r="A3077" t="s">
        <v>1170</v>
      </c>
      <c r="C3077" t="s">
        <v>2513</v>
      </c>
      <c r="D3077" s="1">
        <v>46056</v>
      </c>
      <c r="E3077" t="s">
        <v>2514</v>
      </c>
      <c r="F3077">
        <v>9</v>
      </c>
      <c r="G3077">
        <v>174</v>
      </c>
      <c r="H3077" t="str">
        <f>VLOOKUP(G3077,[1]OPERADORES!$A:$B,2,0)</f>
        <v>MIRIÃ LOBATO RODRIGUES</v>
      </c>
      <c r="I3077" t="s">
        <v>21</v>
      </c>
      <c r="J3077" t="s">
        <v>1173</v>
      </c>
      <c r="K3077" t="s">
        <v>1174</v>
      </c>
      <c r="L3077">
        <v>23076</v>
      </c>
      <c r="M3077" t="s">
        <v>97</v>
      </c>
      <c r="O3077" t="s">
        <v>11</v>
      </c>
      <c r="P3077">
        <v>5403</v>
      </c>
      <c r="Q3077">
        <v>12</v>
      </c>
      <c r="R3077">
        <v>34.89</v>
      </c>
      <c r="S3077">
        <v>418.68</v>
      </c>
      <c r="T3077">
        <v>318.36</v>
      </c>
      <c r="U3077">
        <v>23.96</v>
      </c>
      <c r="V3077" t="str">
        <f>VLOOKUP(L3077,'[2]tabela de preços'!$A:$D,4,0)</f>
        <v>WANDA</v>
      </c>
      <c r="W3077" t="str">
        <f>VLOOKUP(L3077,'[2]tabela de preços'!$A:$F,6,0)</f>
        <v>PRIMER AUTOMOTIVO</v>
      </c>
      <c r="X3077" t="str">
        <f>VLOOKUP(L3077,'[2]tabela de preços'!$A:$G,7,0)</f>
        <v>AUTOMOTIVO</v>
      </c>
    </row>
    <row r="3078" spans="1:24" x14ac:dyDescent="0.3">
      <c r="A3078" t="s">
        <v>1170</v>
      </c>
      <c r="C3078" t="s">
        <v>2513</v>
      </c>
      <c r="D3078" s="1">
        <v>46056</v>
      </c>
      <c r="E3078" t="s">
        <v>2514</v>
      </c>
      <c r="F3078">
        <v>9</v>
      </c>
      <c r="G3078">
        <v>174</v>
      </c>
      <c r="H3078" t="str">
        <f>VLOOKUP(G3078,[1]OPERADORES!$A:$B,2,0)</f>
        <v>MIRIÃ LOBATO RODRIGUES</v>
      </c>
      <c r="I3078" t="s">
        <v>21</v>
      </c>
      <c r="J3078" t="s">
        <v>1173</v>
      </c>
      <c r="K3078" t="s">
        <v>1174</v>
      </c>
      <c r="L3078">
        <v>16</v>
      </c>
      <c r="M3078" t="s">
        <v>122</v>
      </c>
      <c r="O3078" t="s">
        <v>11</v>
      </c>
      <c r="P3078">
        <v>5102</v>
      </c>
      <c r="Q3078">
        <v>50</v>
      </c>
      <c r="R3078">
        <v>2.9</v>
      </c>
      <c r="S3078">
        <v>145</v>
      </c>
      <c r="T3078">
        <v>110</v>
      </c>
      <c r="U3078">
        <v>24.14</v>
      </c>
      <c r="V3078" t="str">
        <f>VLOOKUP(L3078,'[2]tabela de preços'!$A:$D,4,0)</f>
        <v>3M</v>
      </c>
      <c r="W3078" t="str">
        <f>VLOOKUP(L3078,'[2]tabela de preços'!$A:$F,6,0)</f>
        <v>LIXA DÁGUA</v>
      </c>
      <c r="X3078" t="str">
        <f>VLOOKUP(L3078,'[2]tabela de preços'!$A:$G,7,0)</f>
        <v>AUTOMOTIVO</v>
      </c>
    </row>
    <row r="3079" spans="1:24" x14ac:dyDescent="0.3">
      <c r="A3079" t="s">
        <v>1170</v>
      </c>
      <c r="C3079" t="s">
        <v>2513</v>
      </c>
      <c r="D3079" s="1">
        <v>46056</v>
      </c>
      <c r="E3079" t="s">
        <v>2514</v>
      </c>
      <c r="F3079">
        <v>9</v>
      </c>
      <c r="G3079">
        <v>174</v>
      </c>
      <c r="H3079" t="str">
        <f>VLOOKUP(G3079,[1]OPERADORES!$A:$B,2,0)</f>
        <v>MIRIÃ LOBATO RODRIGUES</v>
      </c>
      <c r="I3079" t="s">
        <v>21</v>
      </c>
      <c r="J3079" t="s">
        <v>1173</v>
      </c>
      <c r="K3079" t="s">
        <v>1174</v>
      </c>
      <c r="L3079">
        <v>9997</v>
      </c>
      <c r="M3079" t="s">
        <v>2487</v>
      </c>
      <c r="O3079" t="s">
        <v>11</v>
      </c>
      <c r="P3079">
        <v>5102</v>
      </c>
      <c r="Q3079">
        <v>3</v>
      </c>
      <c r="R3079">
        <v>41.04</v>
      </c>
      <c r="S3079">
        <v>123.12</v>
      </c>
      <c r="T3079">
        <v>93.45</v>
      </c>
      <c r="U3079">
        <v>24.1</v>
      </c>
      <c r="V3079" t="str">
        <f>VLOOKUP(L3079,'[2]tabela de preços'!$A:$D,4,0)</f>
        <v>SIKKENS</v>
      </c>
      <c r="W3079" t="str">
        <f>VLOOKUP(L3079,'[2]tabela de preços'!$A:$F,6,0)</f>
        <v>DILUENTE</v>
      </c>
      <c r="X3079" t="str">
        <f>VLOOKUP(L3079,'[2]tabela de preços'!$A:$G,7,0)</f>
        <v>AUTOMOTIVO</v>
      </c>
    </row>
    <row r="3080" spans="1:24" x14ac:dyDescent="0.3">
      <c r="A3080" t="s">
        <v>2515</v>
      </c>
      <c r="C3080" t="s">
        <v>2516</v>
      </c>
      <c r="D3080" s="1">
        <v>46056</v>
      </c>
      <c r="E3080" t="s">
        <v>2517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357</v>
      </c>
      <c r="K3080" t="s">
        <v>2518</v>
      </c>
      <c r="L3080">
        <v>84500</v>
      </c>
      <c r="M3080" t="s">
        <v>2424</v>
      </c>
      <c r="O3080" t="s">
        <v>11</v>
      </c>
      <c r="P3080">
        <v>5102</v>
      </c>
      <c r="Q3080">
        <v>1</v>
      </c>
      <c r="R3080">
        <v>195.25</v>
      </c>
      <c r="S3080">
        <v>195.25</v>
      </c>
      <c r="T3080">
        <v>148.19999999999999</v>
      </c>
      <c r="U3080">
        <v>24.1</v>
      </c>
      <c r="V3080" t="str">
        <f>VLOOKUP(L3080,'[2]tabela de preços'!$A:$D,4,0)</f>
        <v>BRASILUX</v>
      </c>
      <c r="W3080" t="str">
        <f>VLOOKUP(L3080,'[2]tabela de preços'!$A:$F,6,0)</f>
        <v>AGUARRAS</v>
      </c>
      <c r="X3080" t="str">
        <f>VLOOKUP(L3080,'[2]tabela de preços'!$A:$G,7,0)</f>
        <v>IMOBILIÁRIO</v>
      </c>
    </row>
    <row r="3081" spans="1:24" x14ac:dyDescent="0.3">
      <c r="A3081" t="s">
        <v>2515</v>
      </c>
      <c r="C3081" t="s">
        <v>2516</v>
      </c>
      <c r="D3081" s="1">
        <v>46056</v>
      </c>
      <c r="E3081" t="s">
        <v>2517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357</v>
      </c>
      <c r="K3081" t="s">
        <v>2518</v>
      </c>
      <c r="L3081">
        <v>84560</v>
      </c>
      <c r="M3081" t="s">
        <v>118</v>
      </c>
      <c r="O3081" t="s">
        <v>11</v>
      </c>
      <c r="P3081">
        <v>5102</v>
      </c>
      <c r="Q3081">
        <v>4</v>
      </c>
      <c r="R3081">
        <v>47.89</v>
      </c>
      <c r="S3081">
        <v>191.56</v>
      </c>
      <c r="T3081">
        <v>156.63999999999999</v>
      </c>
      <c r="U3081">
        <v>18.23</v>
      </c>
      <c r="V3081" t="str">
        <f>VLOOKUP(L3081,'[2]tabela de preços'!$A:$D,4,0)</f>
        <v>BRASILUX</v>
      </c>
      <c r="W3081" t="str">
        <f>VLOOKUP(L3081,'[2]tabela de preços'!$A:$F,6,0)</f>
        <v>THINNER DE LIMPEZA</v>
      </c>
      <c r="X3081" t="str">
        <f>VLOOKUP(L3081,'[2]tabela de preços'!$A:$G,7,0)</f>
        <v>THINNER</v>
      </c>
    </row>
    <row r="3082" spans="1:24" x14ac:dyDescent="0.3">
      <c r="A3082" t="s">
        <v>2515</v>
      </c>
      <c r="C3082" t="s">
        <v>2918</v>
      </c>
      <c r="D3082" s="1">
        <v>46064</v>
      </c>
      <c r="E3082" t="s">
        <v>2919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357</v>
      </c>
      <c r="K3082" t="s">
        <v>2518</v>
      </c>
      <c r="L3082">
        <v>84500</v>
      </c>
      <c r="M3082" t="s">
        <v>2424</v>
      </c>
      <c r="O3082" t="s">
        <v>11</v>
      </c>
      <c r="P3082">
        <v>5102</v>
      </c>
      <c r="Q3082">
        <v>3</v>
      </c>
      <c r="R3082">
        <v>195.25</v>
      </c>
      <c r="S3082">
        <v>585.75</v>
      </c>
      <c r="T3082">
        <v>444.6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AGUARRAS</v>
      </c>
      <c r="X3082" t="str">
        <f>VLOOKUP(L3082,'[2]tabela de preços'!$A:$G,7,0)</f>
        <v>IMOBILIÁRIO</v>
      </c>
    </row>
    <row r="3083" spans="1:24" x14ac:dyDescent="0.3">
      <c r="A3083" t="s">
        <v>2515</v>
      </c>
      <c r="C3083" t="s">
        <v>2918</v>
      </c>
      <c r="D3083" s="1">
        <v>46064</v>
      </c>
      <c r="E3083" t="s">
        <v>2919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357</v>
      </c>
      <c r="K3083" t="s">
        <v>2518</v>
      </c>
      <c r="L3083">
        <v>84499</v>
      </c>
      <c r="M3083" t="s">
        <v>534</v>
      </c>
      <c r="O3083" t="s">
        <v>11</v>
      </c>
      <c r="P3083">
        <v>5102</v>
      </c>
      <c r="Q3083">
        <v>3</v>
      </c>
      <c r="R3083">
        <v>176.61</v>
      </c>
      <c r="S3083">
        <v>529.83000000000004</v>
      </c>
      <c r="T3083">
        <v>402.15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THINNER DE LIMPEZA</v>
      </c>
      <c r="X3083" t="str">
        <f>VLOOKUP(L3083,'[2]tabela de preços'!$A:$G,7,0)</f>
        <v>THINNER</v>
      </c>
    </row>
    <row r="3084" spans="1:24" x14ac:dyDescent="0.3">
      <c r="A3084" t="s">
        <v>2515</v>
      </c>
      <c r="C3084" t="s">
        <v>3171</v>
      </c>
      <c r="D3084" s="1">
        <v>46071</v>
      </c>
      <c r="E3084" t="s">
        <v>3172</v>
      </c>
      <c r="F3084">
        <v>9</v>
      </c>
      <c r="G3084">
        <v>197</v>
      </c>
      <c r="H3084" t="str">
        <f>VLOOKUP(G3084,[1]OPERADORES!$A:$B,2,0)</f>
        <v xml:space="preserve">POLIANA LORRANE DE AMORIM </v>
      </c>
      <c r="I3084" t="s">
        <v>21</v>
      </c>
      <c r="J3084" t="s">
        <v>357</v>
      </c>
      <c r="K3084" t="s">
        <v>2518</v>
      </c>
      <c r="L3084">
        <v>84500</v>
      </c>
      <c r="M3084" t="s">
        <v>2424</v>
      </c>
      <c r="O3084" t="s">
        <v>11</v>
      </c>
      <c r="P3084">
        <v>5102</v>
      </c>
      <c r="Q3084">
        <v>2</v>
      </c>
      <c r="R3084">
        <v>195.25</v>
      </c>
      <c r="S3084">
        <v>390.5</v>
      </c>
      <c r="T3084">
        <v>296.39999999999998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AGUARRAS</v>
      </c>
      <c r="X3084" t="str">
        <f>VLOOKUP(L3084,'[2]tabela de preços'!$A:$G,7,0)</f>
        <v>IMOBILIÁRIO</v>
      </c>
    </row>
    <row r="3085" spans="1:24" x14ac:dyDescent="0.3">
      <c r="A3085" t="s">
        <v>2515</v>
      </c>
      <c r="C3085" t="s">
        <v>3171</v>
      </c>
      <c r="D3085" s="1">
        <v>46071</v>
      </c>
      <c r="E3085" t="s">
        <v>3172</v>
      </c>
      <c r="F3085">
        <v>9</v>
      </c>
      <c r="G3085">
        <v>197</v>
      </c>
      <c r="H3085" t="str">
        <f>VLOOKUP(G3085,[1]OPERADORES!$A:$B,2,0)</f>
        <v xml:space="preserve">POLIANA LORRANE DE AMORIM </v>
      </c>
      <c r="I3085" t="s">
        <v>21</v>
      </c>
      <c r="J3085" t="s">
        <v>357</v>
      </c>
      <c r="K3085" t="s">
        <v>2518</v>
      </c>
      <c r="L3085">
        <v>84030</v>
      </c>
      <c r="M3085" t="s">
        <v>900</v>
      </c>
      <c r="O3085" t="s">
        <v>11</v>
      </c>
      <c r="P3085">
        <v>5102</v>
      </c>
      <c r="Q3085">
        <v>9</v>
      </c>
      <c r="R3085">
        <v>55.81</v>
      </c>
      <c r="S3085">
        <v>502.29</v>
      </c>
      <c r="T3085">
        <v>381.24</v>
      </c>
      <c r="U3085">
        <v>24.1</v>
      </c>
      <c r="V3085" t="str">
        <f>VLOOKUP(L3085,'[2]tabela de preços'!$A:$D,4,0)</f>
        <v>BRASILUX</v>
      </c>
      <c r="W3085" t="str">
        <f>VLOOKUP(L3085,'[2]tabela de preços'!$A:$F,6,0)</f>
        <v>AGUARRAS</v>
      </c>
      <c r="X3085" t="str">
        <f>VLOOKUP(L3085,'[2]tabela de preços'!$A:$G,7,0)</f>
        <v>IMOBILIÁRIO</v>
      </c>
    </row>
    <row r="3086" spans="1:24" x14ac:dyDescent="0.3">
      <c r="A3086" t="s">
        <v>2515</v>
      </c>
      <c r="C3086" t="s">
        <v>3171</v>
      </c>
      <c r="D3086" s="1">
        <v>46071</v>
      </c>
      <c r="E3086" t="s">
        <v>3172</v>
      </c>
      <c r="F3086">
        <v>9</v>
      </c>
      <c r="G3086">
        <v>197</v>
      </c>
      <c r="H3086" t="str">
        <f>VLOOKUP(G3086,[1]OPERADORES!$A:$B,2,0)</f>
        <v xml:space="preserve">POLIANA LORRANE DE AMORIM </v>
      </c>
      <c r="I3086" t="s">
        <v>21</v>
      </c>
      <c r="J3086" t="s">
        <v>357</v>
      </c>
      <c r="K3086" t="s">
        <v>2518</v>
      </c>
      <c r="L3086">
        <v>84499</v>
      </c>
      <c r="M3086" t="s">
        <v>534</v>
      </c>
      <c r="O3086" t="s">
        <v>11</v>
      </c>
      <c r="P3086">
        <v>5102</v>
      </c>
      <c r="Q3086">
        <v>2</v>
      </c>
      <c r="R3086">
        <v>176.61</v>
      </c>
      <c r="S3086">
        <v>353.22</v>
      </c>
      <c r="T3086">
        <v>268.10000000000002</v>
      </c>
      <c r="U3086">
        <v>24.1</v>
      </c>
      <c r="V3086" t="str">
        <f>VLOOKUP(L3086,'[2]tabela de preços'!$A:$D,4,0)</f>
        <v>BRASILUX</v>
      </c>
      <c r="W3086" t="str">
        <f>VLOOKUP(L3086,'[2]tabela de preços'!$A:$F,6,0)</f>
        <v>THINNER DE LIMPEZA</v>
      </c>
      <c r="X3086" t="str">
        <f>VLOOKUP(L3086,'[2]tabela de preços'!$A:$G,7,0)</f>
        <v>THINNER</v>
      </c>
    </row>
    <row r="3087" spans="1:24" x14ac:dyDescent="0.3">
      <c r="A3087" t="s">
        <v>2515</v>
      </c>
      <c r="C3087" t="s">
        <v>3171</v>
      </c>
      <c r="D3087" s="1">
        <v>46071</v>
      </c>
      <c r="E3087" t="s">
        <v>3172</v>
      </c>
      <c r="F3087">
        <v>9</v>
      </c>
      <c r="G3087">
        <v>197</v>
      </c>
      <c r="H3087" t="str">
        <f>VLOOKUP(G3087,[1]OPERADORES!$A:$B,2,0)</f>
        <v xml:space="preserve">POLIANA LORRANE DE AMORIM </v>
      </c>
      <c r="I3087" t="s">
        <v>21</v>
      </c>
      <c r="J3087" t="s">
        <v>357</v>
      </c>
      <c r="K3087" t="s">
        <v>2518</v>
      </c>
      <c r="L3087">
        <v>84560</v>
      </c>
      <c r="M3087" t="s">
        <v>118</v>
      </c>
      <c r="O3087" t="s">
        <v>11</v>
      </c>
      <c r="P3087">
        <v>5102</v>
      </c>
      <c r="Q3087">
        <v>2</v>
      </c>
      <c r="R3087">
        <v>47.89</v>
      </c>
      <c r="S3087">
        <v>95.78</v>
      </c>
      <c r="T3087">
        <v>78.319999999999993</v>
      </c>
      <c r="U3087">
        <v>18.23</v>
      </c>
      <c r="V3087" t="str">
        <f>VLOOKUP(L3087,'[2]tabela de preços'!$A:$D,4,0)</f>
        <v>BRASILUX</v>
      </c>
      <c r="W3087" t="str">
        <f>VLOOKUP(L3087,'[2]tabela de preços'!$A:$F,6,0)</f>
        <v>THINNER DE LIMPEZA</v>
      </c>
      <c r="X3087" t="str">
        <f>VLOOKUP(L3087,'[2]tabela de preços'!$A:$G,7,0)</f>
        <v>THINNER</v>
      </c>
    </row>
    <row r="3088" spans="1:24" x14ac:dyDescent="0.3">
      <c r="A3088" t="s">
        <v>2631</v>
      </c>
      <c r="C3088" t="s">
        <v>2632</v>
      </c>
      <c r="D3088" s="1">
        <v>46058</v>
      </c>
      <c r="E3088" t="s">
        <v>2633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715</v>
      </c>
      <c r="J3088" t="s">
        <v>2634</v>
      </c>
      <c r="K3088" t="s">
        <v>2635</v>
      </c>
      <c r="L3088">
        <v>20817</v>
      </c>
      <c r="M3088" t="s">
        <v>153</v>
      </c>
      <c r="O3088" t="s">
        <v>11</v>
      </c>
      <c r="P3088">
        <v>6102</v>
      </c>
      <c r="Q3088">
        <v>24</v>
      </c>
      <c r="R3088">
        <v>22.89</v>
      </c>
      <c r="S3088">
        <v>549.36</v>
      </c>
      <c r="T3088">
        <v>446.88</v>
      </c>
      <c r="U3088">
        <v>18.649999999999999</v>
      </c>
      <c r="V3088" t="str">
        <f>VLOOKUP(L3088,'[2]tabela de preços'!$A:$D,4,0)</f>
        <v>AUTO AMERICA</v>
      </c>
      <c r="W3088" t="str">
        <f>VLOOKUP(L3088,'[2]tabela de preços'!$A:$F,6,0)</f>
        <v>MASSA DE POLIR</v>
      </c>
      <c r="X3088" t="str">
        <f>VLOOKUP(L3088,'[2]tabela de preços'!$A:$G,7,0)</f>
        <v>AUTOMOTIVO</v>
      </c>
    </row>
    <row r="3089" spans="1:24" x14ac:dyDescent="0.3">
      <c r="A3089" t="s">
        <v>2631</v>
      </c>
      <c r="C3089" t="s">
        <v>2632</v>
      </c>
      <c r="D3089" s="1">
        <v>46058</v>
      </c>
      <c r="E3089" t="s">
        <v>2633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715</v>
      </c>
      <c r="J3089" t="s">
        <v>2634</v>
      </c>
      <c r="K3089" t="s">
        <v>2635</v>
      </c>
      <c r="L3089">
        <v>84560</v>
      </c>
      <c r="M3089" t="s">
        <v>118</v>
      </c>
      <c r="O3089" t="s">
        <v>11</v>
      </c>
      <c r="P3089">
        <v>6102</v>
      </c>
      <c r="Q3089">
        <v>32</v>
      </c>
      <c r="R3089">
        <v>47.89</v>
      </c>
      <c r="S3089" s="2">
        <v>1532.48</v>
      </c>
      <c r="T3089" s="2">
        <v>1253.1199999999999</v>
      </c>
      <c r="U3089">
        <v>18.23</v>
      </c>
      <c r="V3089" t="str">
        <f>VLOOKUP(L3089,'[2]tabela de preços'!$A:$D,4,0)</f>
        <v>BRASILUX</v>
      </c>
      <c r="W3089" t="str">
        <f>VLOOKUP(L3089,'[2]tabela de preços'!$A:$F,6,0)</f>
        <v>THINNER DE LIMPEZA</v>
      </c>
      <c r="X3089" t="str">
        <f>VLOOKUP(L3089,'[2]tabela de preços'!$A:$G,7,0)</f>
        <v>THINNER</v>
      </c>
    </row>
    <row r="3090" spans="1:24" x14ac:dyDescent="0.3">
      <c r="A3090" t="s">
        <v>2631</v>
      </c>
      <c r="C3090" t="s">
        <v>3173</v>
      </c>
      <c r="D3090" s="1">
        <v>46071</v>
      </c>
      <c r="E3090" t="s">
        <v>3174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715</v>
      </c>
      <c r="J3090" t="s">
        <v>2634</v>
      </c>
      <c r="K3090" t="s">
        <v>2635</v>
      </c>
      <c r="L3090">
        <v>84384</v>
      </c>
      <c r="M3090" t="s">
        <v>1529</v>
      </c>
      <c r="O3090" t="s">
        <v>11</v>
      </c>
      <c r="P3090">
        <v>6403</v>
      </c>
      <c r="Q3090">
        <v>1</v>
      </c>
      <c r="R3090">
        <v>159.9</v>
      </c>
      <c r="S3090">
        <v>159.9</v>
      </c>
      <c r="T3090">
        <v>137.61000000000001</v>
      </c>
      <c r="U3090">
        <v>13.94</v>
      </c>
      <c r="V3090" t="str">
        <f>VLOOKUP(L3090,'[2]tabela de preços'!$A:$D,4,0)</f>
        <v>BRASILUX</v>
      </c>
      <c r="W3090" t="str">
        <f>VLOOKUP(L3090,'[2]tabela de preços'!$A:$F,6,0)</f>
        <v>TINTA PARA PISO</v>
      </c>
      <c r="X3090" t="str">
        <f>VLOOKUP(L3090,'[2]tabela de preços'!$A:$G,7,0)</f>
        <v>IMOBILIÁRIO</v>
      </c>
    </row>
    <row r="3091" spans="1:24" x14ac:dyDescent="0.3">
      <c r="A3091" t="s">
        <v>2631</v>
      </c>
      <c r="C3091" t="s">
        <v>3173</v>
      </c>
      <c r="D3091" s="1">
        <v>46071</v>
      </c>
      <c r="E3091" t="s">
        <v>3174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715</v>
      </c>
      <c r="J3091" t="s">
        <v>2634</v>
      </c>
      <c r="K3091" t="s">
        <v>2635</v>
      </c>
      <c r="L3091">
        <v>23433</v>
      </c>
      <c r="M3091" t="s">
        <v>2029</v>
      </c>
      <c r="O3091" t="s">
        <v>11</v>
      </c>
      <c r="P3091">
        <v>6102</v>
      </c>
      <c r="Q3091">
        <v>2</v>
      </c>
      <c r="R3091">
        <v>153.11000000000001</v>
      </c>
      <c r="S3091">
        <v>306.22000000000003</v>
      </c>
      <c r="T3091">
        <v>232.42</v>
      </c>
      <c r="U3091">
        <v>24.1</v>
      </c>
      <c r="V3091" t="str">
        <f>VLOOKUP(L3091,'[2]tabela de preços'!$A:$D,4,0)</f>
        <v>3M</v>
      </c>
      <c r="W3091" t="str">
        <f>VLOOKUP(L3091,'[2]tabela de preços'!$A:$F,6,0)</f>
        <v xml:space="preserve">MASCARAMENTO </v>
      </c>
      <c r="X3091" t="str">
        <f>VLOOKUP(L3091,'[2]tabela de preços'!$A:$G,7,0)</f>
        <v>AUTOMOTIVO</v>
      </c>
    </row>
    <row r="3092" spans="1:24" x14ac:dyDescent="0.3">
      <c r="A3092" t="s">
        <v>2631</v>
      </c>
      <c r="C3092" t="s">
        <v>3173</v>
      </c>
      <c r="D3092" s="1">
        <v>46071</v>
      </c>
      <c r="E3092" t="s">
        <v>3174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715</v>
      </c>
      <c r="J3092" t="s">
        <v>2634</v>
      </c>
      <c r="K3092" t="s">
        <v>2635</v>
      </c>
      <c r="L3092">
        <v>23468</v>
      </c>
      <c r="M3092" t="s">
        <v>3175</v>
      </c>
      <c r="O3092" t="s">
        <v>11</v>
      </c>
      <c r="P3092">
        <v>6102</v>
      </c>
      <c r="Q3092">
        <v>2</v>
      </c>
      <c r="R3092">
        <v>151.5</v>
      </c>
      <c r="S3092">
        <v>303</v>
      </c>
      <c r="T3092">
        <v>229.98</v>
      </c>
      <c r="U3092">
        <v>24.1</v>
      </c>
      <c r="V3092" t="str">
        <f>VLOOKUP(L3092,'[2]tabela de preços'!$A:$D,4,0)</f>
        <v>3M</v>
      </c>
      <c r="W3092" t="str">
        <f>VLOOKUP(L3092,'[2]tabela de preços'!$A:$F,6,0)</f>
        <v xml:space="preserve">LÍQUIDOS P/ POLIMENTO </v>
      </c>
      <c r="X3092" t="str">
        <f>VLOOKUP(L3092,'[2]tabela de preços'!$A:$G,7,0)</f>
        <v>AUTOMOTIVO</v>
      </c>
    </row>
    <row r="3093" spans="1:24" x14ac:dyDescent="0.3">
      <c r="A3093" t="s">
        <v>1193</v>
      </c>
      <c r="C3093" t="s">
        <v>2920</v>
      </c>
      <c r="D3093" s="1">
        <v>46063</v>
      </c>
      <c r="E3093" t="s">
        <v>2921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397</v>
      </c>
      <c r="K3093" t="s">
        <v>1196</v>
      </c>
      <c r="L3093">
        <v>84896</v>
      </c>
      <c r="M3093" t="s">
        <v>1197</v>
      </c>
      <c r="O3093" t="s">
        <v>11</v>
      </c>
      <c r="P3093">
        <v>5102</v>
      </c>
      <c r="Q3093">
        <v>1</v>
      </c>
      <c r="R3093">
        <v>183.05</v>
      </c>
      <c r="S3093">
        <v>183.05</v>
      </c>
      <c r="T3093">
        <v>118.1</v>
      </c>
      <c r="U3093">
        <v>35.479999999999997</v>
      </c>
      <c r="V3093" t="str">
        <f>VLOOKUP(L3093,'[2]tabela de preços'!$A:$D,4,0)</f>
        <v>BRASILUX</v>
      </c>
      <c r="W3093" t="str">
        <f>VLOOKUP(L3093,'[2]tabela de preços'!$A:$F,6,0)</f>
        <v>EPOXI</v>
      </c>
      <c r="X3093" t="str">
        <f>VLOOKUP(L3093,'[2]tabela de preços'!$A:$G,7,0)</f>
        <v>INDUSTRIAL</v>
      </c>
    </row>
    <row r="3094" spans="1:24" x14ac:dyDescent="0.3">
      <c r="A3094" t="s">
        <v>1193</v>
      </c>
      <c r="C3094" t="s">
        <v>2922</v>
      </c>
      <c r="D3094" s="1">
        <v>46063</v>
      </c>
      <c r="E3094" t="s">
        <v>2923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397</v>
      </c>
      <c r="K3094" t="s">
        <v>1196</v>
      </c>
      <c r="L3094">
        <v>84896</v>
      </c>
      <c r="M3094" t="s">
        <v>1197</v>
      </c>
      <c r="O3094" t="s">
        <v>11</v>
      </c>
      <c r="P3094">
        <v>5102</v>
      </c>
      <c r="Q3094">
        <v>1</v>
      </c>
      <c r="R3094">
        <v>183.05</v>
      </c>
      <c r="S3094">
        <v>183.05</v>
      </c>
      <c r="T3094">
        <v>118.1</v>
      </c>
      <c r="U3094">
        <v>35.479999999999997</v>
      </c>
      <c r="V3094" t="str">
        <f>VLOOKUP(L3094,'[2]tabela de preços'!$A:$D,4,0)</f>
        <v>BRASILUX</v>
      </c>
      <c r="W3094" t="str">
        <f>VLOOKUP(L3094,'[2]tabela de preços'!$A:$F,6,0)</f>
        <v>EPOXI</v>
      </c>
      <c r="X3094" t="str">
        <f>VLOOKUP(L3094,'[2]tabela de preços'!$A:$G,7,0)</f>
        <v>INDUSTRIAL</v>
      </c>
    </row>
    <row r="3095" spans="1:24" x14ac:dyDescent="0.3">
      <c r="A3095" t="s">
        <v>1193</v>
      </c>
      <c r="C3095" t="s">
        <v>2922</v>
      </c>
      <c r="D3095" s="1">
        <v>46063</v>
      </c>
      <c r="E3095" t="s">
        <v>2923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397</v>
      </c>
      <c r="K3095" t="s">
        <v>1196</v>
      </c>
      <c r="L3095">
        <v>84420</v>
      </c>
      <c r="M3095" t="s">
        <v>353</v>
      </c>
      <c r="O3095" t="s">
        <v>11</v>
      </c>
      <c r="P3095">
        <v>5102</v>
      </c>
      <c r="Q3095">
        <v>1</v>
      </c>
      <c r="R3095">
        <v>20.34</v>
      </c>
      <c r="S3095">
        <v>20.34</v>
      </c>
      <c r="T3095">
        <v>15.44</v>
      </c>
      <c r="U3095">
        <v>24.09</v>
      </c>
      <c r="V3095" t="str">
        <f>VLOOKUP(L3095,'[2]tabela de preços'!$A:$D,4,0)</f>
        <v>ATLAS</v>
      </c>
      <c r="W3095" t="str">
        <f>VLOOKUP(L3095,'[2]tabela de preços'!$A:$F,6,0)</f>
        <v>ROLOS / TRINCHAS / PINCÉIS / ESPÁTULAS</v>
      </c>
      <c r="X3095" t="str">
        <f>VLOOKUP(L3095,'[2]tabela de preços'!$A:$G,7,0)</f>
        <v>IMOBILIÁRIO</v>
      </c>
    </row>
    <row r="3096" spans="1:24" x14ac:dyDescent="0.3">
      <c r="A3096" t="s">
        <v>1193</v>
      </c>
      <c r="C3096" t="s">
        <v>3176</v>
      </c>
      <c r="D3096" s="1">
        <v>46065</v>
      </c>
      <c r="E3096" t="s">
        <v>3177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397</v>
      </c>
      <c r="K3096" t="s">
        <v>1196</v>
      </c>
      <c r="L3096">
        <v>84896</v>
      </c>
      <c r="M3096" t="s">
        <v>1197</v>
      </c>
      <c r="O3096" t="s">
        <v>11</v>
      </c>
      <c r="P3096">
        <v>5102</v>
      </c>
      <c r="Q3096">
        <v>4</v>
      </c>
      <c r="R3096">
        <v>183.05</v>
      </c>
      <c r="S3096">
        <v>732.2</v>
      </c>
      <c r="T3096">
        <v>472.4</v>
      </c>
      <c r="U3096">
        <v>35.479999999999997</v>
      </c>
      <c r="V3096" t="str">
        <f>VLOOKUP(L3096,'[2]tabela de preços'!$A:$D,4,0)</f>
        <v>BRASILUX</v>
      </c>
      <c r="W3096" t="str">
        <f>VLOOKUP(L3096,'[2]tabela de preços'!$A:$F,6,0)</f>
        <v>EPOXI</v>
      </c>
      <c r="X3096" t="str">
        <f>VLOOKUP(L3096,'[2]tabela de preços'!$A:$G,7,0)</f>
        <v>INDUSTRIAL</v>
      </c>
    </row>
    <row r="3097" spans="1:24" x14ac:dyDescent="0.3">
      <c r="A3097" t="s">
        <v>1193</v>
      </c>
      <c r="C3097" t="s">
        <v>3178</v>
      </c>
      <c r="D3097" s="1">
        <v>46071</v>
      </c>
      <c r="E3097" t="s">
        <v>3179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397</v>
      </c>
      <c r="K3097" t="s">
        <v>1196</v>
      </c>
      <c r="L3097">
        <v>84896</v>
      </c>
      <c r="M3097" t="s">
        <v>1197</v>
      </c>
      <c r="O3097" t="s">
        <v>11</v>
      </c>
      <c r="P3097">
        <v>5102</v>
      </c>
      <c r="Q3097">
        <v>2</v>
      </c>
      <c r="R3097">
        <v>183.05</v>
      </c>
      <c r="S3097">
        <v>366.1</v>
      </c>
      <c r="T3097">
        <v>236.2</v>
      </c>
      <c r="U3097">
        <v>35.479999999999997</v>
      </c>
      <c r="V3097" t="str">
        <f>VLOOKUP(L3097,'[2]tabela de preços'!$A:$D,4,0)</f>
        <v>BRASILUX</v>
      </c>
      <c r="W3097" t="str">
        <f>VLOOKUP(L3097,'[2]tabela de preços'!$A:$F,6,0)</f>
        <v>EPOXI</v>
      </c>
      <c r="X3097" t="str">
        <f>VLOOKUP(L3097,'[2]tabela de preços'!$A:$G,7,0)</f>
        <v>INDUSTRIAL</v>
      </c>
    </row>
    <row r="3098" spans="1:24" x14ac:dyDescent="0.3">
      <c r="A3098" t="s">
        <v>1193</v>
      </c>
      <c r="C3098" t="s">
        <v>3178</v>
      </c>
      <c r="D3098" s="1">
        <v>46071</v>
      </c>
      <c r="E3098" t="s">
        <v>3179</v>
      </c>
      <c r="F3098">
        <v>9</v>
      </c>
      <c r="G3098">
        <v>236</v>
      </c>
      <c r="H3098" t="str">
        <f>VLOOKUP(G3098,[1]OPERADORES!$A:$B,2,0)</f>
        <v>DANIEL</v>
      </c>
      <c r="I3098" t="s">
        <v>21</v>
      </c>
      <c r="J3098" t="s">
        <v>397</v>
      </c>
      <c r="K3098" t="s">
        <v>1196</v>
      </c>
      <c r="L3098">
        <v>85292</v>
      </c>
      <c r="M3098" t="s">
        <v>1288</v>
      </c>
      <c r="O3098" t="s">
        <v>11</v>
      </c>
      <c r="P3098">
        <v>5102</v>
      </c>
      <c r="Q3098">
        <v>1</v>
      </c>
      <c r="R3098">
        <v>189.32</v>
      </c>
      <c r="S3098">
        <v>189.32</v>
      </c>
      <c r="T3098">
        <v>128.57</v>
      </c>
      <c r="U3098">
        <v>32.090000000000003</v>
      </c>
      <c r="V3098" t="str">
        <f>VLOOKUP(L3098,'[2]tabela de preços'!$A:$D,4,0)</f>
        <v>BRASILUX</v>
      </c>
      <c r="W3098" t="str">
        <f>VLOOKUP(L3098,'[2]tabela de preços'!$A:$F,6,0)</f>
        <v>EPOXI</v>
      </c>
      <c r="X3098" t="str">
        <f>VLOOKUP(L3098,'[2]tabela de preços'!$A:$G,7,0)</f>
        <v>INDUSTRIAL</v>
      </c>
    </row>
    <row r="3099" spans="1:24" x14ac:dyDescent="0.3">
      <c r="A3099" t="s">
        <v>1199</v>
      </c>
      <c r="C3099" t="s">
        <v>3180</v>
      </c>
      <c r="D3099" s="1">
        <v>46071</v>
      </c>
      <c r="E3099" t="s">
        <v>3181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1128</v>
      </c>
      <c r="K3099" t="s">
        <v>1202</v>
      </c>
      <c r="L3099">
        <v>10230</v>
      </c>
      <c r="M3099" t="s">
        <v>193</v>
      </c>
      <c r="O3099" t="s">
        <v>11</v>
      </c>
      <c r="P3099">
        <v>5102</v>
      </c>
      <c r="Q3099">
        <v>100</v>
      </c>
      <c r="R3099">
        <v>2.79</v>
      </c>
      <c r="S3099">
        <v>279</v>
      </c>
      <c r="T3099">
        <v>232</v>
      </c>
      <c r="U3099">
        <v>16.850000000000001</v>
      </c>
      <c r="V3099" t="str">
        <f>VLOOKUP(L3099,'[2]tabela de preços'!$A:$D,4,0)</f>
        <v>NORTON</v>
      </c>
      <c r="W3099" t="str">
        <f>VLOOKUP(L3099,'[2]tabela de preços'!$A:$F,6,0)</f>
        <v xml:space="preserve">DISCOS / LIXAS / ABRASIVOS </v>
      </c>
      <c r="X3099" t="str">
        <f>VLOOKUP(L3099,'[2]tabela de preços'!$A:$G,7,0)</f>
        <v>AUTOMOTIVO</v>
      </c>
    </row>
    <row r="3100" spans="1:24" x14ac:dyDescent="0.3">
      <c r="A3100" t="s">
        <v>1199</v>
      </c>
      <c r="C3100" t="s">
        <v>3180</v>
      </c>
      <c r="D3100" s="1">
        <v>46071</v>
      </c>
      <c r="E3100" t="s">
        <v>3181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1128</v>
      </c>
      <c r="K3100" t="s">
        <v>1202</v>
      </c>
      <c r="L3100">
        <v>10232</v>
      </c>
      <c r="M3100" t="s">
        <v>134</v>
      </c>
      <c r="O3100" t="s">
        <v>11</v>
      </c>
      <c r="P3100">
        <v>5102</v>
      </c>
      <c r="Q3100">
        <v>100</v>
      </c>
      <c r="R3100">
        <v>2.79</v>
      </c>
      <c r="S3100">
        <v>279</v>
      </c>
      <c r="T3100">
        <v>225</v>
      </c>
      <c r="U3100">
        <v>19.350000000000001</v>
      </c>
      <c r="V3100" t="str">
        <f>VLOOKUP(L3100,'[2]tabela de preços'!$A:$D,4,0)</f>
        <v>NORTON</v>
      </c>
      <c r="W3100" t="str">
        <f>VLOOKUP(L3100,'[2]tabela de preços'!$A:$F,6,0)</f>
        <v xml:space="preserve">DISCOS / LIXAS / ABRASIVOS </v>
      </c>
      <c r="X3100" t="str">
        <f>VLOOKUP(L3100,'[2]tabela de preços'!$A:$G,7,0)</f>
        <v>AUTOMOTIVO</v>
      </c>
    </row>
    <row r="3101" spans="1:24" x14ac:dyDescent="0.3">
      <c r="A3101" t="s">
        <v>1199</v>
      </c>
      <c r="C3101" t="s">
        <v>3182</v>
      </c>
      <c r="D3101" s="1">
        <v>46071</v>
      </c>
      <c r="E3101" t="s">
        <v>3183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1128</v>
      </c>
      <c r="K3101" t="s">
        <v>1202</v>
      </c>
      <c r="L3101">
        <v>10243</v>
      </c>
      <c r="M3101" t="s">
        <v>83</v>
      </c>
      <c r="O3101" t="s">
        <v>11</v>
      </c>
      <c r="P3101">
        <v>5102</v>
      </c>
      <c r="Q3101">
        <v>100</v>
      </c>
      <c r="R3101">
        <v>2.79</v>
      </c>
      <c r="S3101">
        <v>279</v>
      </c>
      <c r="T3101">
        <v>193</v>
      </c>
      <c r="U3101">
        <v>30.82</v>
      </c>
      <c r="V3101" t="str">
        <f>VLOOKUP(L3101,'[2]tabela de preços'!$A:$D,4,0)</f>
        <v>NORTON</v>
      </c>
      <c r="W3101" t="str">
        <f>VLOOKUP(L3101,'[2]tabela de preços'!$A:$F,6,0)</f>
        <v xml:space="preserve">DISCOS / LIXAS / ABRASIVOS </v>
      </c>
      <c r="X3101" t="str">
        <f>VLOOKUP(L3101,'[2]tabela de preços'!$A:$G,7,0)</f>
        <v>AUTOMOTIVO</v>
      </c>
    </row>
    <row r="3102" spans="1:24" x14ac:dyDescent="0.3">
      <c r="A3102" t="s">
        <v>1222</v>
      </c>
      <c r="C3102" t="s">
        <v>2636</v>
      </c>
      <c r="D3102" s="1">
        <v>46057</v>
      </c>
      <c r="E3102" t="s">
        <v>2637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1225</v>
      </c>
      <c r="K3102" t="s">
        <v>1226</v>
      </c>
      <c r="L3102">
        <v>23076</v>
      </c>
      <c r="M3102" t="s">
        <v>97</v>
      </c>
      <c r="O3102" t="s">
        <v>11</v>
      </c>
      <c r="P3102">
        <v>5405</v>
      </c>
      <c r="Q3102">
        <v>12</v>
      </c>
      <c r="R3102">
        <v>34.89</v>
      </c>
      <c r="S3102">
        <v>418.68</v>
      </c>
      <c r="T3102">
        <v>318.36</v>
      </c>
      <c r="U3102">
        <v>23.96</v>
      </c>
      <c r="V3102" t="str">
        <f>VLOOKUP(L3102,'[2]tabela de preços'!$A:$D,4,0)</f>
        <v>WANDA</v>
      </c>
      <c r="W3102" t="str">
        <f>VLOOKUP(L3102,'[2]tabela de preços'!$A:$F,6,0)</f>
        <v>PRIMER AUTOMOTIVO</v>
      </c>
      <c r="X3102" t="str">
        <f>VLOOKUP(L3102,'[2]tabela de preços'!$A:$G,7,0)</f>
        <v>AUTOMOTIVO</v>
      </c>
    </row>
    <row r="3103" spans="1:24" x14ac:dyDescent="0.3">
      <c r="A3103" t="s">
        <v>1222</v>
      </c>
      <c r="C3103" t="s">
        <v>2636</v>
      </c>
      <c r="D3103" s="1">
        <v>46057</v>
      </c>
      <c r="E3103" t="s">
        <v>2637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1225</v>
      </c>
      <c r="K3103" t="s">
        <v>1226</v>
      </c>
      <c r="L3103">
        <v>23602</v>
      </c>
      <c r="M3103" t="s">
        <v>215</v>
      </c>
      <c r="O3103" t="s">
        <v>11</v>
      </c>
      <c r="P3103">
        <v>5405</v>
      </c>
      <c r="Q3103">
        <v>9</v>
      </c>
      <c r="R3103">
        <v>35.89</v>
      </c>
      <c r="S3103">
        <v>323.01</v>
      </c>
      <c r="T3103">
        <v>263.25</v>
      </c>
      <c r="U3103">
        <v>18.5</v>
      </c>
      <c r="V3103" t="str">
        <f>VLOOKUP(L3103,'[2]tabela de preços'!$A:$D,4,0)</f>
        <v>SHERWIN WILLIAMS</v>
      </c>
      <c r="W3103" t="str">
        <f>VLOOKUP(L3103,'[2]tabela de preços'!$A:$F,6,0)</f>
        <v>VERNIZ AUTOMOTIVO</v>
      </c>
      <c r="X3103" t="str">
        <f>VLOOKUP(L3103,'[2]tabela de preços'!$A:$G,7,0)</f>
        <v>AUTOMOTIVO</v>
      </c>
    </row>
    <row r="3104" spans="1:24" x14ac:dyDescent="0.3">
      <c r="A3104" t="s">
        <v>1222</v>
      </c>
      <c r="C3104" t="s">
        <v>2638</v>
      </c>
      <c r="D3104" s="1">
        <v>46058</v>
      </c>
      <c r="E3104" t="s">
        <v>2639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1225</v>
      </c>
      <c r="K3104" t="s">
        <v>1226</v>
      </c>
      <c r="L3104">
        <v>21067</v>
      </c>
      <c r="M3104" t="s">
        <v>640</v>
      </c>
      <c r="O3104" t="s">
        <v>11</v>
      </c>
      <c r="P3104">
        <v>5102</v>
      </c>
      <c r="Q3104">
        <v>6</v>
      </c>
      <c r="R3104">
        <v>36.07</v>
      </c>
      <c r="S3104">
        <v>216.42</v>
      </c>
      <c r="T3104">
        <v>164.28</v>
      </c>
      <c r="U3104">
        <v>24.09</v>
      </c>
      <c r="V3104" t="str">
        <f>VLOOKUP(L3104,'[2]tabela de preços'!$A:$D,4,0)</f>
        <v>SIKKENS</v>
      </c>
      <c r="W3104" t="str">
        <f>VLOOKUP(L3104,'[2]tabela de preços'!$A:$F,6,0)</f>
        <v>DILUENTE</v>
      </c>
      <c r="X3104" t="str">
        <f>VLOOKUP(L3104,'[2]tabela de preços'!$A:$G,7,0)</f>
        <v>AUTOMOTIVO</v>
      </c>
    </row>
    <row r="3105" spans="1:24" x14ac:dyDescent="0.3">
      <c r="A3105" t="s">
        <v>1222</v>
      </c>
      <c r="C3105" t="s">
        <v>2783</v>
      </c>
      <c r="D3105" s="1">
        <v>46059</v>
      </c>
      <c r="E3105" t="s">
        <v>2784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1225</v>
      </c>
      <c r="K3105" t="s">
        <v>1226</v>
      </c>
      <c r="L3105">
        <v>23602</v>
      </c>
      <c r="M3105" t="s">
        <v>215</v>
      </c>
      <c r="O3105" t="s">
        <v>11</v>
      </c>
      <c r="P3105">
        <v>5405</v>
      </c>
      <c r="Q3105">
        <v>135</v>
      </c>
      <c r="R3105">
        <v>35.89</v>
      </c>
      <c r="S3105" s="2">
        <v>4845.1499999999996</v>
      </c>
      <c r="T3105" s="2">
        <v>3948.75</v>
      </c>
      <c r="U3105">
        <v>18.5</v>
      </c>
      <c r="V3105" t="str">
        <f>VLOOKUP(L3105,'[2]tabela de preços'!$A:$D,4,0)</f>
        <v>SHERWIN WILLIAMS</v>
      </c>
      <c r="W3105" t="str">
        <f>VLOOKUP(L3105,'[2]tabela de preços'!$A:$F,6,0)</f>
        <v>VERNIZ AUTOMOTIVO</v>
      </c>
      <c r="X3105" t="str">
        <f>VLOOKUP(L3105,'[2]tabela de preços'!$A:$G,7,0)</f>
        <v>AUTOMOTIVO</v>
      </c>
    </row>
    <row r="3106" spans="1:24" x14ac:dyDescent="0.3">
      <c r="A3106" t="s">
        <v>1222</v>
      </c>
      <c r="C3106" t="s">
        <v>3184</v>
      </c>
      <c r="D3106" s="1">
        <v>46065</v>
      </c>
      <c r="E3106" t="s">
        <v>3185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1225</v>
      </c>
      <c r="K3106" t="s">
        <v>1226</v>
      </c>
      <c r="L3106">
        <v>23076</v>
      </c>
      <c r="M3106" t="s">
        <v>97</v>
      </c>
      <c r="O3106" t="s">
        <v>11</v>
      </c>
      <c r="P3106">
        <v>5405</v>
      </c>
      <c r="Q3106">
        <v>6</v>
      </c>
      <c r="R3106">
        <v>34.89</v>
      </c>
      <c r="S3106">
        <v>209.34</v>
      </c>
      <c r="T3106">
        <v>159.18</v>
      </c>
      <c r="U3106">
        <v>23.96</v>
      </c>
      <c r="V3106" t="str">
        <f>VLOOKUP(L3106,'[2]tabela de preços'!$A:$D,4,0)</f>
        <v>WANDA</v>
      </c>
      <c r="W3106" t="str">
        <f>VLOOKUP(L3106,'[2]tabela de preços'!$A:$F,6,0)</f>
        <v>PRIMER AUTOMOTIVO</v>
      </c>
      <c r="X3106" t="str">
        <f>VLOOKUP(L3106,'[2]tabela de preços'!$A:$G,7,0)</f>
        <v>AUTOMOTIVO</v>
      </c>
    </row>
    <row r="3107" spans="1:24" x14ac:dyDescent="0.3">
      <c r="A3107" t="s">
        <v>1222</v>
      </c>
      <c r="C3107" t="s">
        <v>3184</v>
      </c>
      <c r="D3107" s="1">
        <v>46065</v>
      </c>
      <c r="E3107" t="s">
        <v>3185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1225</v>
      </c>
      <c r="K3107" t="s">
        <v>1226</v>
      </c>
      <c r="L3107">
        <v>23690</v>
      </c>
      <c r="M3107" t="s">
        <v>98</v>
      </c>
      <c r="O3107" t="s">
        <v>11</v>
      </c>
      <c r="P3107">
        <v>5405</v>
      </c>
      <c r="Q3107">
        <v>6</v>
      </c>
      <c r="R3107">
        <v>39.89</v>
      </c>
      <c r="S3107">
        <v>239.34</v>
      </c>
      <c r="T3107">
        <v>189.66</v>
      </c>
      <c r="U3107">
        <v>20.76</v>
      </c>
      <c r="V3107" t="str">
        <f>VLOOKUP(L3107,'[2]tabela de preços'!$A:$D,4,0)</f>
        <v>WANDA</v>
      </c>
      <c r="W3107" t="str">
        <f>VLOOKUP(L3107,'[2]tabela de preços'!$A:$F,6,0)</f>
        <v>VERNIZ AUTOMOTIVO</v>
      </c>
      <c r="X3107" t="str">
        <f>VLOOKUP(L3107,'[2]tabela de preços'!$A:$G,7,0)</f>
        <v>AUTOMOTIVO</v>
      </c>
    </row>
    <row r="3108" spans="1:24" x14ac:dyDescent="0.3">
      <c r="A3108" t="s">
        <v>1222</v>
      </c>
      <c r="C3108" t="s">
        <v>3184</v>
      </c>
      <c r="D3108" s="1">
        <v>46065</v>
      </c>
      <c r="E3108" t="s">
        <v>3185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1225</v>
      </c>
      <c r="K3108" t="s">
        <v>1226</v>
      </c>
      <c r="L3108">
        <v>20431</v>
      </c>
      <c r="M3108" t="s">
        <v>202</v>
      </c>
      <c r="O3108" t="s">
        <v>11</v>
      </c>
      <c r="P3108">
        <v>5405</v>
      </c>
      <c r="Q3108">
        <v>9</v>
      </c>
      <c r="R3108">
        <v>36.89</v>
      </c>
      <c r="S3108">
        <v>332.01</v>
      </c>
      <c r="T3108">
        <v>272.33999999999997</v>
      </c>
      <c r="U3108">
        <v>17.97</v>
      </c>
      <c r="V3108" t="str">
        <f>VLOOKUP(L3108,'[2]tabela de preços'!$A:$D,4,0)</f>
        <v>SHERWIN WILLIAMS</v>
      </c>
      <c r="W3108" t="str">
        <f>VLOOKUP(L3108,'[2]tabela de preços'!$A:$F,6,0)</f>
        <v>VERNIZ AUTOMOTIVO</v>
      </c>
      <c r="X3108" t="str">
        <f>VLOOKUP(L3108,'[2]tabela de preços'!$A:$G,7,0)</f>
        <v>AUTOMOTIVO</v>
      </c>
    </row>
    <row r="3109" spans="1:24" x14ac:dyDescent="0.3">
      <c r="A3109" t="s">
        <v>1222</v>
      </c>
      <c r="C3109" t="s">
        <v>3184</v>
      </c>
      <c r="D3109" s="1">
        <v>46065</v>
      </c>
      <c r="E3109" t="s">
        <v>3185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1225</v>
      </c>
      <c r="K3109" t="s">
        <v>1226</v>
      </c>
      <c r="L3109">
        <v>10297</v>
      </c>
      <c r="M3109" t="s">
        <v>41</v>
      </c>
      <c r="O3109" t="s">
        <v>11</v>
      </c>
      <c r="P3109">
        <v>5102</v>
      </c>
      <c r="Q3109">
        <v>36</v>
      </c>
      <c r="R3109">
        <v>10.49</v>
      </c>
      <c r="S3109">
        <v>377.64</v>
      </c>
      <c r="T3109">
        <v>330.12</v>
      </c>
      <c r="U3109">
        <v>12.58</v>
      </c>
      <c r="V3109" t="str">
        <f>VLOOKUP(L3109,'[2]tabela de preços'!$A:$D,4,0)</f>
        <v>ANJO</v>
      </c>
      <c r="W3109" t="str">
        <f>VLOOKUP(L3109,'[2]tabela de preços'!$A:$F,6,0)</f>
        <v>THINNER DE LIMPEZA</v>
      </c>
      <c r="X3109" t="str">
        <f>VLOOKUP(L3109,'[2]tabela de preços'!$A:$G,7,0)</f>
        <v>THINNER</v>
      </c>
    </row>
    <row r="3110" spans="1:24" x14ac:dyDescent="0.3">
      <c r="A3110" t="s">
        <v>1222</v>
      </c>
      <c r="C3110" t="s">
        <v>3186</v>
      </c>
      <c r="D3110" s="1">
        <v>46066</v>
      </c>
      <c r="E3110" t="s">
        <v>3187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1225</v>
      </c>
      <c r="K3110" t="s">
        <v>1226</v>
      </c>
      <c r="L3110">
        <v>22233</v>
      </c>
      <c r="M3110" t="s">
        <v>184</v>
      </c>
      <c r="O3110" t="s">
        <v>11</v>
      </c>
      <c r="P3110">
        <v>5102</v>
      </c>
      <c r="Q3110">
        <v>5</v>
      </c>
      <c r="R3110">
        <v>30.17</v>
      </c>
      <c r="S3110">
        <v>150.85</v>
      </c>
      <c r="T3110">
        <v>114.5</v>
      </c>
      <c r="U3110">
        <v>24.1</v>
      </c>
      <c r="V3110" t="str">
        <f>VLOOKUP(L3110,'[2]tabela de preços'!$A:$D,4,0)</f>
        <v>3M</v>
      </c>
      <c r="W3110" t="str">
        <f>VLOOKUP(L3110,'[2]tabela de preços'!$A:$F,6,0)</f>
        <v>FITA DUPLA FACE</v>
      </c>
      <c r="X3110" t="str">
        <f>VLOOKUP(L3110,'[2]tabela de preços'!$A:$G,7,0)</f>
        <v>AUTOMOTIVO</v>
      </c>
    </row>
    <row r="3111" spans="1:24" x14ac:dyDescent="0.3">
      <c r="A3111" t="s">
        <v>1222</v>
      </c>
      <c r="C3111" t="s">
        <v>3186</v>
      </c>
      <c r="D3111" s="1">
        <v>46066</v>
      </c>
      <c r="E3111" t="s">
        <v>3187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1225</v>
      </c>
      <c r="K3111" t="s">
        <v>1226</v>
      </c>
      <c r="L3111">
        <v>10277</v>
      </c>
      <c r="M3111" t="s">
        <v>135</v>
      </c>
      <c r="O3111" t="s">
        <v>11</v>
      </c>
      <c r="P3111">
        <v>5102</v>
      </c>
      <c r="Q3111">
        <v>12</v>
      </c>
      <c r="R3111">
        <v>15.89</v>
      </c>
      <c r="S3111">
        <v>190.68</v>
      </c>
      <c r="T3111">
        <v>154.56</v>
      </c>
      <c r="U3111">
        <v>18.940000000000001</v>
      </c>
      <c r="V3111" t="str">
        <f>VLOOKUP(L3111,'[2]tabela de preços'!$A:$D,4,0)</f>
        <v>RETOQUE</v>
      </c>
      <c r="W3111" t="str">
        <f>VLOOKUP(L3111,'[2]tabela de preços'!$A:$F,6,0)</f>
        <v xml:space="preserve">COLA  PLÁSTICA </v>
      </c>
      <c r="X3111" t="str">
        <f>VLOOKUP(L3111,'[2]tabela de preços'!$A:$G,7,0)</f>
        <v>AUTOMOTIVO</v>
      </c>
    </row>
    <row r="3112" spans="1:24" x14ac:dyDescent="0.3">
      <c r="A3112" t="s">
        <v>1222</v>
      </c>
      <c r="C3112" t="s">
        <v>3186</v>
      </c>
      <c r="D3112" s="1">
        <v>46066</v>
      </c>
      <c r="E3112" t="s">
        <v>3187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1225</v>
      </c>
      <c r="K3112" t="s">
        <v>1226</v>
      </c>
      <c r="L3112">
        <v>20431</v>
      </c>
      <c r="M3112" t="s">
        <v>202</v>
      </c>
      <c r="O3112" t="s">
        <v>11</v>
      </c>
      <c r="P3112">
        <v>5405</v>
      </c>
      <c r="Q3112">
        <v>9</v>
      </c>
      <c r="R3112">
        <v>36.89</v>
      </c>
      <c r="S3112">
        <v>332.01</v>
      </c>
      <c r="T3112">
        <v>272.33999999999997</v>
      </c>
      <c r="U3112">
        <v>17.97</v>
      </c>
      <c r="V3112" t="str">
        <f>VLOOKUP(L3112,'[2]tabela de preços'!$A:$D,4,0)</f>
        <v>SHERWIN WILLIAMS</v>
      </c>
      <c r="W3112" t="str">
        <f>VLOOKUP(L3112,'[2]tabela de preços'!$A:$F,6,0)</f>
        <v>VERNIZ AUTOMOTIVO</v>
      </c>
      <c r="X3112" t="str">
        <f>VLOOKUP(L3112,'[2]tabela de preços'!$A:$G,7,0)</f>
        <v>AUTOMOTIVO</v>
      </c>
    </row>
    <row r="3113" spans="1:24" x14ac:dyDescent="0.3">
      <c r="A3113" t="s">
        <v>1222</v>
      </c>
      <c r="C3113" t="s">
        <v>3188</v>
      </c>
      <c r="D3113" s="1">
        <v>46071</v>
      </c>
      <c r="E3113" t="s">
        <v>3189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1225</v>
      </c>
      <c r="K3113" t="s">
        <v>1226</v>
      </c>
      <c r="L3113">
        <v>23076</v>
      </c>
      <c r="M3113" t="s">
        <v>97</v>
      </c>
      <c r="O3113" t="s">
        <v>11</v>
      </c>
      <c r="P3113">
        <v>5405</v>
      </c>
      <c r="Q3113">
        <v>18</v>
      </c>
      <c r="R3113">
        <v>34.89</v>
      </c>
      <c r="S3113">
        <v>628.02</v>
      </c>
      <c r="T3113">
        <v>477.54</v>
      </c>
      <c r="U3113">
        <v>23.96</v>
      </c>
      <c r="V3113" t="str">
        <f>VLOOKUP(L3113,'[2]tabela de preços'!$A:$D,4,0)</f>
        <v>WANDA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1222</v>
      </c>
      <c r="C3114" t="s">
        <v>3188</v>
      </c>
      <c r="D3114" s="1">
        <v>46071</v>
      </c>
      <c r="E3114" t="s">
        <v>3189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1225</v>
      </c>
      <c r="K3114" t="s">
        <v>1226</v>
      </c>
      <c r="L3114">
        <v>20431</v>
      </c>
      <c r="M3114" t="s">
        <v>202</v>
      </c>
      <c r="O3114" t="s">
        <v>11</v>
      </c>
      <c r="P3114">
        <v>5405</v>
      </c>
      <c r="Q3114">
        <v>18</v>
      </c>
      <c r="R3114">
        <v>36.89</v>
      </c>
      <c r="S3114">
        <v>664.02</v>
      </c>
      <c r="T3114">
        <v>544.67999999999995</v>
      </c>
      <c r="U3114">
        <v>17.97</v>
      </c>
      <c r="V3114" t="str">
        <f>VLOOKUP(L3114,'[2]tabela de preços'!$A:$D,4,0)</f>
        <v>SHERWIN WILLIAMS</v>
      </c>
      <c r="W3114" t="str">
        <f>VLOOKUP(L3114,'[2]tabela de preços'!$A:$F,6,0)</f>
        <v>VERNIZ AUTOMOTIVO</v>
      </c>
      <c r="X3114" t="str">
        <f>VLOOKUP(L3114,'[2]tabela de preços'!$A:$G,7,0)</f>
        <v>AUTOMOTIVO</v>
      </c>
    </row>
    <row r="3115" spans="1:24" x14ac:dyDescent="0.3">
      <c r="A3115" t="s">
        <v>1222</v>
      </c>
      <c r="C3115" t="s">
        <v>3188</v>
      </c>
      <c r="D3115" s="1">
        <v>46071</v>
      </c>
      <c r="E3115" t="s">
        <v>3189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1225</v>
      </c>
      <c r="K3115" t="s">
        <v>1226</v>
      </c>
      <c r="L3115">
        <v>13</v>
      </c>
      <c r="M3115" t="s">
        <v>152</v>
      </c>
      <c r="O3115" t="s">
        <v>11</v>
      </c>
      <c r="P3115">
        <v>5102</v>
      </c>
      <c r="Q3115">
        <v>50</v>
      </c>
      <c r="R3115">
        <v>5.79</v>
      </c>
      <c r="S3115">
        <v>289.5</v>
      </c>
      <c r="T3115">
        <v>208</v>
      </c>
      <c r="U3115">
        <v>28.15</v>
      </c>
      <c r="V3115" t="str">
        <f>VLOOKUP(L3115,'[2]tabela de preços'!$A:$D,4,0)</f>
        <v>3M</v>
      </c>
      <c r="W3115" t="str">
        <f>VLOOKUP(L3115,'[2]tabela de preços'!$A:$F,6,0)</f>
        <v>LIXA DÁGUA</v>
      </c>
      <c r="X3115" t="str">
        <f>VLOOKUP(L3115,'[2]tabela de preços'!$A:$G,7,0)</f>
        <v>AUTOMOTIVO</v>
      </c>
    </row>
    <row r="3116" spans="1:24" x14ac:dyDescent="0.3">
      <c r="A3116" t="s">
        <v>1222</v>
      </c>
      <c r="C3116" t="s">
        <v>3188</v>
      </c>
      <c r="D3116" s="1">
        <v>46071</v>
      </c>
      <c r="E3116" t="s">
        <v>3189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1225</v>
      </c>
      <c r="K3116" t="s">
        <v>1226</v>
      </c>
      <c r="L3116">
        <v>10238</v>
      </c>
      <c r="M3116" t="s">
        <v>79</v>
      </c>
      <c r="O3116" t="s">
        <v>11</v>
      </c>
      <c r="P3116">
        <v>5102</v>
      </c>
      <c r="Q3116">
        <v>50</v>
      </c>
      <c r="R3116">
        <v>2.79</v>
      </c>
      <c r="S3116">
        <v>139.5</v>
      </c>
      <c r="T3116">
        <v>112</v>
      </c>
      <c r="U3116">
        <v>19.71</v>
      </c>
      <c r="V3116" t="str">
        <f>VLOOKUP(L3116,'[2]tabela de preços'!$A:$D,4,0)</f>
        <v>NORTON</v>
      </c>
      <c r="W3116" t="str">
        <f>VLOOKUP(L3116,'[2]tabela de preços'!$A:$F,6,0)</f>
        <v xml:space="preserve">DISCOS / LIXAS / ABRASIVOS </v>
      </c>
      <c r="X3116" t="str">
        <f>VLOOKUP(L3116,'[2]tabela de preços'!$A:$G,7,0)</f>
        <v>AUTOMOTIVO</v>
      </c>
    </row>
    <row r="3117" spans="1:24" x14ac:dyDescent="0.3">
      <c r="A3117" t="s">
        <v>1222</v>
      </c>
      <c r="C3117" t="s">
        <v>3188</v>
      </c>
      <c r="D3117" s="1">
        <v>46071</v>
      </c>
      <c r="E3117" t="s">
        <v>3189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1225</v>
      </c>
      <c r="K3117" t="s">
        <v>1226</v>
      </c>
      <c r="L3117">
        <v>10240</v>
      </c>
      <c r="M3117" t="s">
        <v>81</v>
      </c>
      <c r="O3117" t="s">
        <v>11</v>
      </c>
      <c r="P3117">
        <v>5102</v>
      </c>
      <c r="Q3117">
        <v>50</v>
      </c>
      <c r="R3117">
        <v>2.79</v>
      </c>
      <c r="S3117">
        <v>139.5</v>
      </c>
      <c r="T3117">
        <v>112</v>
      </c>
      <c r="U3117">
        <v>19.71</v>
      </c>
      <c r="V3117" t="str">
        <f>VLOOKUP(L3117,'[2]tabela de preços'!$A:$D,4,0)</f>
        <v>NORTON</v>
      </c>
      <c r="W3117" t="str">
        <f>VLOOKUP(L3117,'[2]tabela de preços'!$A:$F,6,0)</f>
        <v xml:space="preserve">DISCOS / LIXAS / ABRASIVOS </v>
      </c>
      <c r="X3117" t="str">
        <f>VLOOKUP(L3117,'[2]tabela de preços'!$A:$G,7,0)</f>
        <v>AUTOMOTIVO</v>
      </c>
    </row>
    <row r="3118" spans="1:24" x14ac:dyDescent="0.3">
      <c r="A3118" t="s">
        <v>1222</v>
      </c>
      <c r="C3118" t="s">
        <v>3188</v>
      </c>
      <c r="D3118" s="1">
        <v>46071</v>
      </c>
      <c r="E3118" t="s">
        <v>3189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1225</v>
      </c>
      <c r="K3118" t="s">
        <v>1226</v>
      </c>
      <c r="L3118">
        <v>10242</v>
      </c>
      <c r="M3118" t="s">
        <v>82</v>
      </c>
      <c r="O3118" t="s">
        <v>11</v>
      </c>
      <c r="P3118">
        <v>5102</v>
      </c>
      <c r="Q3118">
        <v>50</v>
      </c>
      <c r="R3118">
        <v>2.79</v>
      </c>
      <c r="S3118">
        <v>139.5</v>
      </c>
      <c r="T3118">
        <v>112</v>
      </c>
      <c r="U3118">
        <v>19.71</v>
      </c>
      <c r="V3118" t="str">
        <f>VLOOKUP(L3118,'[2]tabela de preços'!$A:$D,4,0)</f>
        <v>NORTON</v>
      </c>
      <c r="W3118" t="str">
        <f>VLOOKUP(L3118,'[2]tabela de preços'!$A:$F,6,0)</f>
        <v xml:space="preserve">DISCOS / LIXAS / ABRASIVOS </v>
      </c>
      <c r="X3118" t="str">
        <f>VLOOKUP(L3118,'[2]tabela de preços'!$A:$G,7,0)</f>
        <v>AUTOMOTIVO</v>
      </c>
    </row>
    <row r="3119" spans="1:24" x14ac:dyDescent="0.3">
      <c r="A3119" t="s">
        <v>1222</v>
      </c>
      <c r="C3119" t="s">
        <v>3188</v>
      </c>
      <c r="D3119" s="1">
        <v>46071</v>
      </c>
      <c r="E3119" t="s">
        <v>3189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1225</v>
      </c>
      <c r="K3119" t="s">
        <v>1226</v>
      </c>
      <c r="L3119">
        <v>10243</v>
      </c>
      <c r="M3119" t="s">
        <v>83</v>
      </c>
      <c r="O3119" t="s">
        <v>11</v>
      </c>
      <c r="P3119">
        <v>5102</v>
      </c>
      <c r="Q3119">
        <v>50</v>
      </c>
      <c r="R3119">
        <v>2.79</v>
      </c>
      <c r="S3119">
        <v>139.5</v>
      </c>
      <c r="T3119">
        <v>96.5</v>
      </c>
      <c r="U3119">
        <v>30.82</v>
      </c>
      <c r="V3119" t="str">
        <f>VLOOKUP(L3119,'[2]tabela de preços'!$A:$D,4,0)</f>
        <v>NORTON</v>
      </c>
      <c r="W3119" t="str">
        <f>VLOOKUP(L3119,'[2]tabela de preços'!$A:$F,6,0)</f>
        <v xml:space="preserve">DISCOS / LIXAS / ABRASIVOS </v>
      </c>
      <c r="X3119" t="str">
        <f>VLOOKUP(L3119,'[2]tabela de preços'!$A:$G,7,0)</f>
        <v>AUTOMOTIVO</v>
      </c>
    </row>
    <row r="3120" spans="1:24" x14ac:dyDescent="0.3">
      <c r="A3120" t="s">
        <v>1222</v>
      </c>
      <c r="C3120" t="s">
        <v>3188</v>
      </c>
      <c r="D3120" s="1">
        <v>46071</v>
      </c>
      <c r="E3120" t="s">
        <v>3189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1225</v>
      </c>
      <c r="K3120" t="s">
        <v>1226</v>
      </c>
      <c r="L3120">
        <v>10244</v>
      </c>
      <c r="M3120" t="s">
        <v>84</v>
      </c>
      <c r="O3120" t="s">
        <v>11</v>
      </c>
      <c r="P3120">
        <v>5102</v>
      </c>
      <c r="Q3120">
        <v>50</v>
      </c>
      <c r="R3120">
        <v>2.79</v>
      </c>
      <c r="S3120">
        <v>139.5</v>
      </c>
      <c r="T3120">
        <v>96.5</v>
      </c>
      <c r="U3120">
        <v>30.82</v>
      </c>
      <c r="V3120" t="str">
        <f>VLOOKUP(L3120,'[2]tabela de preços'!$A:$D,4,0)</f>
        <v>NORTON</v>
      </c>
      <c r="W3120" t="str">
        <f>VLOOKUP(L3120,'[2]tabela de preços'!$A:$F,6,0)</f>
        <v xml:space="preserve">DISCOS / LIXAS / ABRASIVOS </v>
      </c>
      <c r="X3120" t="str">
        <f>VLOOKUP(L3120,'[2]tabela de preços'!$A:$G,7,0)</f>
        <v>AUTOMOTIVO</v>
      </c>
    </row>
    <row r="3121" spans="1:24" x14ac:dyDescent="0.3">
      <c r="A3121" t="s">
        <v>1222</v>
      </c>
      <c r="C3121" t="s">
        <v>3188</v>
      </c>
      <c r="D3121" s="1">
        <v>46071</v>
      </c>
      <c r="E3121" t="s">
        <v>3189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1225</v>
      </c>
      <c r="K3121" t="s">
        <v>1226</v>
      </c>
      <c r="L3121">
        <v>10245</v>
      </c>
      <c r="M3121" t="s">
        <v>195</v>
      </c>
      <c r="O3121" t="s">
        <v>11</v>
      </c>
      <c r="P3121">
        <v>5102</v>
      </c>
      <c r="Q3121">
        <v>50</v>
      </c>
      <c r="R3121">
        <v>2.79</v>
      </c>
      <c r="S3121">
        <v>139.5</v>
      </c>
      <c r="T3121">
        <v>96.5</v>
      </c>
      <c r="U3121">
        <v>30.82</v>
      </c>
      <c r="V3121" t="str">
        <f>VLOOKUP(L3121,'[2]tabela de preços'!$A:$D,4,0)</f>
        <v>NORTON</v>
      </c>
      <c r="W3121" t="str">
        <f>VLOOKUP(L3121,'[2]tabela de preços'!$A:$F,6,0)</f>
        <v xml:space="preserve">DISCOS / LIXAS / ABRASIVOS </v>
      </c>
      <c r="X3121" t="str">
        <f>VLOOKUP(L3121,'[2]tabela de preços'!$A:$G,7,0)</f>
        <v>AUTOMOTIVO</v>
      </c>
    </row>
    <row r="3122" spans="1:24" x14ac:dyDescent="0.3">
      <c r="A3122" t="s">
        <v>1222</v>
      </c>
      <c r="C3122" t="s">
        <v>3188</v>
      </c>
      <c r="D3122" s="1">
        <v>46071</v>
      </c>
      <c r="E3122" t="s">
        <v>3189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1225</v>
      </c>
      <c r="K3122" t="s">
        <v>1226</v>
      </c>
      <c r="L3122">
        <v>20817</v>
      </c>
      <c r="M3122" t="s">
        <v>153</v>
      </c>
      <c r="O3122" t="s">
        <v>11</v>
      </c>
      <c r="P3122">
        <v>5102</v>
      </c>
      <c r="Q3122">
        <v>12</v>
      </c>
      <c r="R3122">
        <v>22.89</v>
      </c>
      <c r="S3122">
        <v>274.68</v>
      </c>
      <c r="T3122">
        <v>223.44</v>
      </c>
      <c r="U3122">
        <v>18.649999999999999</v>
      </c>
      <c r="V3122" t="str">
        <f>VLOOKUP(L3122,'[2]tabela de preços'!$A:$D,4,0)</f>
        <v>AUTO AMERICA</v>
      </c>
      <c r="W3122" t="str">
        <f>VLOOKUP(L3122,'[2]tabela de preços'!$A:$F,6,0)</f>
        <v>MASSA DE POLIR</v>
      </c>
      <c r="X3122" t="str">
        <f>VLOOKUP(L3122,'[2]tabela de preços'!$A:$G,7,0)</f>
        <v>AUTOMOTIVO</v>
      </c>
    </row>
    <row r="3123" spans="1:24" x14ac:dyDescent="0.3">
      <c r="A3123" t="s">
        <v>1222</v>
      </c>
      <c r="C3123" t="s">
        <v>3188</v>
      </c>
      <c r="D3123" s="1">
        <v>46071</v>
      </c>
      <c r="E3123" t="s">
        <v>3189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1225</v>
      </c>
      <c r="K3123" t="s">
        <v>1226</v>
      </c>
      <c r="L3123">
        <v>21077</v>
      </c>
      <c r="M3123" t="s">
        <v>207</v>
      </c>
      <c r="O3123" t="s">
        <v>11</v>
      </c>
      <c r="P3123">
        <v>5102</v>
      </c>
      <c r="Q3123">
        <v>6</v>
      </c>
      <c r="R3123">
        <v>44.68</v>
      </c>
      <c r="S3123">
        <v>268.08</v>
      </c>
      <c r="T3123">
        <v>203.52</v>
      </c>
      <c r="U3123">
        <v>24.08</v>
      </c>
      <c r="V3123" t="str">
        <f>VLOOKUP(L3123,'[2]tabela de preços'!$A:$D,4,0)</f>
        <v>SHERWIN WILLIAMS</v>
      </c>
      <c r="W3123" t="str">
        <f>VLOOKUP(L3123,'[2]tabela de preços'!$A:$F,6,0)</f>
        <v>MASSA POLIÉSTER</v>
      </c>
      <c r="X3123" t="str">
        <f>VLOOKUP(L3123,'[2]tabela de preços'!$A:$G,7,0)</f>
        <v>AUTOMOTIVO</v>
      </c>
    </row>
    <row r="3124" spans="1:24" x14ac:dyDescent="0.3">
      <c r="A3124" t="s">
        <v>1222</v>
      </c>
      <c r="C3124" t="s">
        <v>3188</v>
      </c>
      <c r="D3124" s="1">
        <v>46071</v>
      </c>
      <c r="E3124" t="s">
        <v>3189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1225</v>
      </c>
      <c r="K3124" t="s">
        <v>1226</v>
      </c>
      <c r="L3124">
        <v>21078</v>
      </c>
      <c r="M3124" t="s">
        <v>141</v>
      </c>
      <c r="O3124" t="s">
        <v>11</v>
      </c>
      <c r="P3124">
        <v>5102</v>
      </c>
      <c r="Q3124">
        <v>12</v>
      </c>
      <c r="R3124">
        <v>22.89</v>
      </c>
      <c r="S3124">
        <v>274.68</v>
      </c>
      <c r="T3124">
        <v>223.92</v>
      </c>
      <c r="U3124">
        <v>18.48</v>
      </c>
      <c r="V3124" t="str">
        <f>VLOOKUP(L3124,'[2]tabela de preços'!$A:$D,4,0)</f>
        <v>SHERWIN WILLIAMS</v>
      </c>
      <c r="W3124" t="str">
        <f>VLOOKUP(L3124,'[2]tabela de preços'!$A:$F,6,0)</f>
        <v>MASSA POLIÉSTER</v>
      </c>
      <c r="X3124" t="str">
        <f>VLOOKUP(L3124,'[2]tabela de preços'!$A:$G,7,0)</f>
        <v>AUTOMOTIVO</v>
      </c>
    </row>
    <row r="3125" spans="1:24" x14ac:dyDescent="0.3">
      <c r="A3125" t="s">
        <v>1222</v>
      </c>
      <c r="C3125" t="s">
        <v>3188</v>
      </c>
      <c r="D3125" s="1">
        <v>46071</v>
      </c>
      <c r="E3125" t="s">
        <v>3189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1225</v>
      </c>
      <c r="K3125" t="s">
        <v>1226</v>
      </c>
      <c r="L3125">
        <v>20212</v>
      </c>
      <c r="M3125" t="s">
        <v>198</v>
      </c>
      <c r="O3125" t="s">
        <v>11</v>
      </c>
      <c r="P3125">
        <v>5405</v>
      </c>
      <c r="Q3125">
        <v>3</v>
      </c>
      <c r="R3125">
        <v>26.95</v>
      </c>
      <c r="S3125">
        <v>80.849999999999994</v>
      </c>
      <c r="T3125">
        <v>61.38</v>
      </c>
      <c r="U3125">
        <v>24.08</v>
      </c>
      <c r="V3125" t="str">
        <f>VLOOKUP(L3125,'[2]tabela de preços'!$A:$D,4,0)</f>
        <v>MAXI RUBBER</v>
      </c>
      <c r="W3125" t="str">
        <f>VLOOKUP(L3125,'[2]tabela de preços'!$A:$F,6,0)</f>
        <v>SELADORA P/ PLASTICO</v>
      </c>
      <c r="X3125" t="str">
        <f>VLOOKUP(L3125,'[2]tabela de preços'!$A:$G,7,0)</f>
        <v>AUTOMOTIVO</v>
      </c>
    </row>
    <row r="3126" spans="1:24" x14ac:dyDescent="0.3">
      <c r="A3126" t="s">
        <v>1222</v>
      </c>
      <c r="C3126" t="s">
        <v>3188</v>
      </c>
      <c r="D3126" s="1">
        <v>46071</v>
      </c>
      <c r="E3126" t="s">
        <v>3189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1225</v>
      </c>
      <c r="K3126" t="s">
        <v>1226</v>
      </c>
      <c r="L3126">
        <v>10404</v>
      </c>
      <c r="M3126" t="s">
        <v>130</v>
      </c>
      <c r="O3126" t="s">
        <v>11</v>
      </c>
      <c r="P3126">
        <v>5102</v>
      </c>
      <c r="Q3126">
        <v>24</v>
      </c>
      <c r="R3126">
        <v>16.29</v>
      </c>
      <c r="S3126">
        <v>390.96</v>
      </c>
      <c r="T3126">
        <v>300.24</v>
      </c>
      <c r="U3126">
        <v>23.2</v>
      </c>
      <c r="V3126" t="str">
        <f>VLOOKUP(L3126,'[2]tabela de preços'!$A:$D,4,0)</f>
        <v>MAXI RUBBER</v>
      </c>
      <c r="W3126" t="str">
        <f>VLOOKUP(L3126,'[2]tabela de preços'!$A:$F,6,0)</f>
        <v>VEDADORES / SELANTES</v>
      </c>
      <c r="X3126" t="str">
        <f>VLOOKUP(L3126,'[2]tabela de preços'!$A:$G,7,0)</f>
        <v>AUTOMOTIVO</v>
      </c>
    </row>
    <row r="3127" spans="1:24" x14ac:dyDescent="0.3">
      <c r="A3127" t="s">
        <v>2825</v>
      </c>
      <c r="C3127" t="s">
        <v>2826</v>
      </c>
      <c r="D3127" s="1">
        <v>46062</v>
      </c>
      <c r="E3127" t="s">
        <v>2827</v>
      </c>
      <c r="F3127">
        <v>9</v>
      </c>
      <c r="G3127">
        <v>174</v>
      </c>
      <c r="H3127" t="str">
        <f>VLOOKUP(G3127,[1]OPERADORES!$A:$B,2,0)</f>
        <v>MIRIÃ LOBATO RODRIGUES</v>
      </c>
      <c r="I3127" t="s">
        <v>21</v>
      </c>
      <c r="J3127" t="s">
        <v>730</v>
      </c>
      <c r="K3127" t="s">
        <v>2828</v>
      </c>
      <c r="L3127">
        <v>84268</v>
      </c>
      <c r="M3127" t="s">
        <v>1566</v>
      </c>
      <c r="O3127" t="s">
        <v>11</v>
      </c>
      <c r="P3127">
        <v>5403</v>
      </c>
      <c r="Q3127">
        <v>1</v>
      </c>
      <c r="R3127">
        <v>193.92</v>
      </c>
      <c r="S3127">
        <v>193.92</v>
      </c>
      <c r="T3127">
        <v>147.19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TINTA PAREDE</v>
      </c>
      <c r="X3127" t="str">
        <f>VLOOKUP(L3127,'[2]tabela de preços'!$A:$G,7,0)</f>
        <v>IMOBILIÁRIO</v>
      </c>
    </row>
    <row r="3128" spans="1:24" x14ac:dyDescent="0.3">
      <c r="A3128" t="s">
        <v>2825</v>
      </c>
      <c r="C3128" t="s">
        <v>2826</v>
      </c>
      <c r="D3128" s="1">
        <v>46062</v>
      </c>
      <c r="E3128" t="s">
        <v>2827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730</v>
      </c>
      <c r="K3128" t="s">
        <v>2828</v>
      </c>
      <c r="L3128">
        <v>86230</v>
      </c>
      <c r="M3128" t="s">
        <v>375</v>
      </c>
      <c r="O3128" t="s">
        <v>11</v>
      </c>
      <c r="P3128">
        <v>5403</v>
      </c>
      <c r="Q3128">
        <v>1</v>
      </c>
      <c r="R3128">
        <v>290.88</v>
      </c>
      <c r="S3128">
        <v>290.88</v>
      </c>
      <c r="T3128">
        <v>220.78</v>
      </c>
      <c r="U3128">
        <v>24.1</v>
      </c>
      <c r="V3128" t="str">
        <f>VLOOKUP(L3128,'[2]tabela de preços'!$A:$D,4,0)</f>
        <v>CORAL</v>
      </c>
      <c r="W3128" t="str">
        <f>VLOOKUP(L3128,'[2]tabela de preços'!$A:$F,6,0)</f>
        <v>TINTA PAREDE</v>
      </c>
      <c r="X3128" t="str">
        <f>VLOOKUP(L3128,'[2]tabela de preços'!$A:$G,7,0)</f>
        <v>IMOBILIÁRIO</v>
      </c>
    </row>
    <row r="3129" spans="1:24" x14ac:dyDescent="0.3">
      <c r="A3129" t="s">
        <v>2825</v>
      </c>
      <c r="C3129" t="s">
        <v>2826</v>
      </c>
      <c r="D3129" s="1">
        <v>46062</v>
      </c>
      <c r="E3129" t="s">
        <v>2827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730</v>
      </c>
      <c r="K3129" t="s">
        <v>2828</v>
      </c>
      <c r="L3129">
        <v>84036</v>
      </c>
      <c r="M3129" t="s">
        <v>289</v>
      </c>
      <c r="O3129" t="s">
        <v>11</v>
      </c>
      <c r="P3129">
        <v>5102</v>
      </c>
      <c r="Q3129">
        <v>2</v>
      </c>
      <c r="R3129">
        <v>47.9</v>
      </c>
      <c r="S3129">
        <v>95.8</v>
      </c>
      <c r="T3129">
        <v>83.26</v>
      </c>
      <c r="U3129">
        <v>13.09</v>
      </c>
      <c r="V3129" t="str">
        <f>VLOOKUP(L3129,'[2]tabela de preços'!$A:$D,4,0)</f>
        <v>BRASILUX</v>
      </c>
      <c r="W3129" t="str">
        <f>VLOOKUP(L3129,'[2]tabela de preços'!$A:$F,6,0)</f>
        <v>MASSA CORRIDA / ACRÍLICA</v>
      </c>
      <c r="X3129" t="str">
        <f>VLOOKUP(L3129,'[2]tabela de preços'!$A:$G,7,0)</f>
        <v>IMOBILIÁRIO</v>
      </c>
    </row>
    <row r="3130" spans="1:24" x14ac:dyDescent="0.3">
      <c r="A3130" t="s">
        <v>2825</v>
      </c>
      <c r="C3130" t="s">
        <v>3190</v>
      </c>
      <c r="D3130" s="1">
        <v>46072</v>
      </c>
      <c r="E3130" t="s">
        <v>3191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730</v>
      </c>
      <c r="K3130" t="s">
        <v>2828</v>
      </c>
      <c r="L3130">
        <v>84267</v>
      </c>
      <c r="M3130" t="s">
        <v>3192</v>
      </c>
      <c r="O3130" t="s">
        <v>11</v>
      </c>
      <c r="P3130">
        <v>5403</v>
      </c>
      <c r="Q3130">
        <v>3</v>
      </c>
      <c r="R3130">
        <v>193.92</v>
      </c>
      <c r="S3130">
        <v>581.76</v>
      </c>
      <c r="T3130">
        <v>441.57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TINTA PAREDE</v>
      </c>
      <c r="X3130" t="str">
        <f>VLOOKUP(L3130,'[2]tabela de preços'!$A:$G,7,0)</f>
        <v>IMOBILIÁRIO</v>
      </c>
    </row>
    <row r="3131" spans="1:24" x14ac:dyDescent="0.3">
      <c r="A3131" t="s">
        <v>2825</v>
      </c>
      <c r="C3131" t="s">
        <v>3190</v>
      </c>
      <c r="D3131" s="1">
        <v>46072</v>
      </c>
      <c r="E3131" t="s">
        <v>3191</v>
      </c>
      <c r="F3131">
        <v>9</v>
      </c>
      <c r="G3131">
        <v>174</v>
      </c>
      <c r="H3131" t="str">
        <f>VLOOKUP(G3131,[1]OPERADORES!$A:$B,2,0)</f>
        <v>MIRIÃ LOBATO RODRIGUES</v>
      </c>
      <c r="I3131" t="s">
        <v>21</v>
      </c>
      <c r="J3131" t="s">
        <v>730</v>
      </c>
      <c r="K3131" t="s">
        <v>2828</v>
      </c>
      <c r="L3131">
        <v>84268</v>
      </c>
      <c r="M3131" t="s">
        <v>1566</v>
      </c>
      <c r="O3131" t="s">
        <v>11</v>
      </c>
      <c r="P3131">
        <v>5403</v>
      </c>
      <c r="Q3131">
        <v>2</v>
      </c>
      <c r="R3131">
        <v>193.92</v>
      </c>
      <c r="S3131">
        <v>387.84</v>
      </c>
      <c r="T3131">
        <v>294.38</v>
      </c>
      <c r="U3131">
        <v>24.1</v>
      </c>
      <c r="V3131" t="str">
        <f>VLOOKUP(L3131,'[2]tabela de preços'!$A:$D,4,0)</f>
        <v>BRASILUX</v>
      </c>
      <c r="W3131" t="str">
        <f>VLOOKUP(L3131,'[2]tabela de preços'!$A:$F,6,0)</f>
        <v>TINTA PAREDE</v>
      </c>
      <c r="X3131" t="str">
        <f>VLOOKUP(L3131,'[2]tabela de preços'!$A:$G,7,0)</f>
        <v>IMOBILIÁRIO</v>
      </c>
    </row>
    <row r="3132" spans="1:24" x14ac:dyDescent="0.3">
      <c r="A3132" t="s">
        <v>2825</v>
      </c>
      <c r="C3132" t="s">
        <v>3190</v>
      </c>
      <c r="D3132" s="1">
        <v>46072</v>
      </c>
      <c r="E3132" t="s">
        <v>3191</v>
      </c>
      <c r="F3132">
        <v>9</v>
      </c>
      <c r="G3132">
        <v>174</v>
      </c>
      <c r="H3132" t="str">
        <f>VLOOKUP(G3132,[1]OPERADORES!$A:$B,2,0)</f>
        <v>MIRIÃ LOBATO RODRIGUES</v>
      </c>
      <c r="I3132" t="s">
        <v>21</v>
      </c>
      <c r="J3132" t="s">
        <v>730</v>
      </c>
      <c r="K3132" t="s">
        <v>2828</v>
      </c>
      <c r="L3132">
        <v>84021</v>
      </c>
      <c r="M3132" t="s">
        <v>1945</v>
      </c>
      <c r="O3132" t="s">
        <v>11</v>
      </c>
      <c r="P3132">
        <v>5102</v>
      </c>
      <c r="Q3132">
        <v>50</v>
      </c>
      <c r="R3132">
        <v>0.71</v>
      </c>
      <c r="S3132">
        <v>35.5</v>
      </c>
      <c r="T3132">
        <v>23</v>
      </c>
      <c r="U3132">
        <v>35.21</v>
      </c>
      <c r="V3132" t="str">
        <f>VLOOKUP(L3132,'[2]tabela de preços'!$A:$D,4,0)</f>
        <v>3M</v>
      </c>
      <c r="W3132" t="str">
        <f>VLOOKUP(L3132,'[2]tabela de preços'!$A:$F,6,0)</f>
        <v>LIXA MASSA  /MADEIRA / PAREDE</v>
      </c>
      <c r="X3132" t="str">
        <f>VLOOKUP(L3132,'[2]tabela de preços'!$A:$G,7,0)</f>
        <v>IMOBILIÁRIO</v>
      </c>
    </row>
    <row r="3133" spans="1:24" x14ac:dyDescent="0.3">
      <c r="A3133" t="s">
        <v>2825</v>
      </c>
      <c r="C3133" t="s">
        <v>3190</v>
      </c>
      <c r="D3133" s="1">
        <v>46072</v>
      </c>
      <c r="E3133" t="s">
        <v>3191</v>
      </c>
      <c r="F3133">
        <v>9</v>
      </c>
      <c r="G3133">
        <v>174</v>
      </c>
      <c r="H3133" t="str">
        <f>VLOOKUP(G3133,[1]OPERADORES!$A:$B,2,0)</f>
        <v>MIRIÃ LOBATO RODRIGUES</v>
      </c>
      <c r="I3133" t="s">
        <v>21</v>
      </c>
      <c r="J3133" t="s">
        <v>730</v>
      </c>
      <c r="K3133" t="s">
        <v>2828</v>
      </c>
      <c r="L3133">
        <v>84017</v>
      </c>
      <c r="M3133" t="s">
        <v>519</v>
      </c>
      <c r="O3133" t="s">
        <v>11</v>
      </c>
      <c r="P3133">
        <v>5102</v>
      </c>
      <c r="Q3133">
        <v>50</v>
      </c>
      <c r="R3133">
        <v>0.71</v>
      </c>
      <c r="S3133">
        <v>35.5</v>
      </c>
      <c r="T3133">
        <v>23</v>
      </c>
      <c r="U3133">
        <v>35.21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2825</v>
      </c>
      <c r="C3134" t="s">
        <v>3190</v>
      </c>
      <c r="D3134" s="1">
        <v>46072</v>
      </c>
      <c r="E3134" t="s">
        <v>3191</v>
      </c>
      <c r="F3134">
        <v>9</v>
      </c>
      <c r="G3134">
        <v>174</v>
      </c>
      <c r="H3134" t="str">
        <f>VLOOKUP(G3134,[1]OPERADORES!$A:$B,2,0)</f>
        <v>MIRIÃ LOBATO RODRIGUES</v>
      </c>
      <c r="I3134" t="s">
        <v>21</v>
      </c>
      <c r="J3134" t="s">
        <v>730</v>
      </c>
      <c r="K3134" t="s">
        <v>2828</v>
      </c>
      <c r="L3134">
        <v>84036</v>
      </c>
      <c r="M3134" t="s">
        <v>289</v>
      </c>
      <c r="O3134" t="s">
        <v>11</v>
      </c>
      <c r="P3134">
        <v>5102</v>
      </c>
      <c r="Q3134">
        <v>3</v>
      </c>
      <c r="R3134">
        <v>47.9</v>
      </c>
      <c r="S3134">
        <v>143.69999999999999</v>
      </c>
      <c r="T3134">
        <v>124.89</v>
      </c>
      <c r="U3134">
        <v>13.09</v>
      </c>
      <c r="V3134" t="str">
        <f>VLOOKUP(L3134,'[2]tabela de preços'!$A:$D,4,0)</f>
        <v>BRASILUX</v>
      </c>
      <c r="W3134" t="str">
        <f>VLOOKUP(L3134,'[2]tabela de preços'!$A:$F,6,0)</f>
        <v>MASSA CORRIDA / ACRÍLICA</v>
      </c>
      <c r="X3134" t="str">
        <f>VLOOKUP(L3134,'[2]tabela de preços'!$A:$G,7,0)</f>
        <v>IMOBILIÁRIO</v>
      </c>
    </row>
    <row r="3135" spans="1:24" x14ac:dyDescent="0.3">
      <c r="A3135" t="s">
        <v>2640</v>
      </c>
      <c r="C3135" t="s">
        <v>2641</v>
      </c>
      <c r="D3135" s="1">
        <v>46058</v>
      </c>
      <c r="E3135" t="s">
        <v>2642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2643</v>
      </c>
      <c r="L3135">
        <v>85424</v>
      </c>
      <c r="M3135" t="s">
        <v>2644</v>
      </c>
      <c r="O3135" t="s">
        <v>11</v>
      </c>
      <c r="P3135">
        <v>5102</v>
      </c>
      <c r="Q3135">
        <v>1</v>
      </c>
      <c r="R3135">
        <v>549.23</v>
      </c>
      <c r="S3135">
        <v>549.23</v>
      </c>
      <c r="T3135">
        <v>378.26</v>
      </c>
      <c r="U3135">
        <v>31.13</v>
      </c>
      <c r="V3135" t="str">
        <f>VLOOKUP(L3135,'[2]tabela de preços'!$A:$D,4,0)</f>
        <v>BRASILUX</v>
      </c>
      <c r="W3135" t="str">
        <f>VLOOKUP(L3135,'[2]tabela de preços'!$A:$F,6,0)</f>
        <v>TINTA EM PÓ</v>
      </c>
      <c r="X3135" t="str">
        <f>VLOOKUP(L3135,'[2]tabela de preços'!$A:$G,7,0)</f>
        <v>INDUSTRIAL</v>
      </c>
    </row>
    <row r="3136" spans="1:24" x14ac:dyDescent="0.3">
      <c r="A3136" t="s">
        <v>3193</v>
      </c>
      <c r="C3136" t="s">
        <v>3194</v>
      </c>
      <c r="D3136" s="1">
        <v>46066</v>
      </c>
      <c r="E3136" t="s">
        <v>3195</v>
      </c>
      <c r="F3136">
        <v>9</v>
      </c>
      <c r="G3136">
        <v>236</v>
      </c>
      <c r="H3136" t="str">
        <f>VLOOKUP(G3136,[1]OPERADORES!$A:$B,2,0)</f>
        <v>DANIEL</v>
      </c>
      <c r="I3136" t="s">
        <v>1489</v>
      </c>
      <c r="J3136" t="s">
        <v>1328</v>
      </c>
      <c r="K3136" t="s">
        <v>3196</v>
      </c>
      <c r="L3136">
        <v>23580</v>
      </c>
      <c r="M3136" t="s">
        <v>115</v>
      </c>
      <c r="O3136" t="s">
        <v>11</v>
      </c>
      <c r="P3136">
        <v>6102</v>
      </c>
      <c r="Q3136">
        <v>30</v>
      </c>
      <c r="R3136">
        <v>0.56000000000000005</v>
      </c>
      <c r="S3136">
        <v>16.8</v>
      </c>
      <c r="T3136">
        <v>10.8</v>
      </c>
      <c r="U3136">
        <v>35.71</v>
      </c>
      <c r="V3136" t="str">
        <f>VLOOKUP(L3136,'[2]tabela de preços'!$A:$D,4,0)</f>
        <v>RENOVA COADORES</v>
      </c>
      <c r="W3136" t="str">
        <f>VLOOKUP(L3136,'[2]tabela de preços'!$A:$F,6,0)</f>
        <v>COADORES</v>
      </c>
      <c r="X3136" t="str">
        <f>VLOOKUP(L3136,'[2]tabela de preços'!$A:$G,7,0)</f>
        <v>AUTOMOTIVO</v>
      </c>
    </row>
    <row r="3137" spans="1:24" x14ac:dyDescent="0.3">
      <c r="A3137" t="s">
        <v>3193</v>
      </c>
      <c r="C3137" t="s">
        <v>3194</v>
      </c>
      <c r="D3137" s="1">
        <v>46066</v>
      </c>
      <c r="E3137" t="s">
        <v>3195</v>
      </c>
      <c r="F3137">
        <v>9</v>
      </c>
      <c r="G3137">
        <v>236</v>
      </c>
      <c r="H3137" t="str">
        <f>VLOOKUP(G3137,[1]OPERADORES!$A:$B,2,0)</f>
        <v>DANIEL</v>
      </c>
      <c r="I3137" t="s">
        <v>1489</v>
      </c>
      <c r="J3137" t="s">
        <v>1328</v>
      </c>
      <c r="K3137" t="s">
        <v>3196</v>
      </c>
      <c r="L3137">
        <v>22339</v>
      </c>
      <c r="M3137" t="s">
        <v>2198</v>
      </c>
      <c r="O3137" t="s">
        <v>11</v>
      </c>
      <c r="P3137">
        <v>6102</v>
      </c>
      <c r="Q3137">
        <v>5</v>
      </c>
      <c r="R3137">
        <v>8.0299999999999994</v>
      </c>
      <c r="S3137">
        <v>40.15</v>
      </c>
      <c r="T3137">
        <v>29.45</v>
      </c>
      <c r="U3137">
        <v>26.65</v>
      </c>
      <c r="V3137" t="str">
        <f>VLOOKUP(L3137,'[2]tabela de preços'!$A:$D,4,0)</f>
        <v>WANDA</v>
      </c>
      <c r="W3137" t="str">
        <f>VLOOKUP(L3137,'[2]tabela de preços'!$A:$F,6,0)</f>
        <v>APLICADORES / ADAPTADORES / ENGATES / SUPORTES</v>
      </c>
      <c r="X3137" t="str">
        <f>VLOOKUP(L3137,'[2]tabela de preços'!$A:$G,7,0)</f>
        <v>AUTOMOTIVO</v>
      </c>
    </row>
    <row r="3138" spans="1:24" x14ac:dyDescent="0.3">
      <c r="A3138" t="s">
        <v>3193</v>
      </c>
      <c r="C3138" t="s">
        <v>3194</v>
      </c>
      <c r="D3138" s="1">
        <v>46066</v>
      </c>
      <c r="E3138" t="s">
        <v>3195</v>
      </c>
      <c r="F3138">
        <v>9</v>
      </c>
      <c r="G3138">
        <v>236</v>
      </c>
      <c r="H3138" t="str">
        <f>VLOOKUP(G3138,[1]OPERADORES!$A:$B,2,0)</f>
        <v>DANIEL</v>
      </c>
      <c r="I3138" t="s">
        <v>1489</v>
      </c>
      <c r="J3138" t="s">
        <v>1328</v>
      </c>
      <c r="K3138" t="s">
        <v>3196</v>
      </c>
      <c r="L3138">
        <v>20217</v>
      </c>
      <c r="M3138" t="s">
        <v>106</v>
      </c>
      <c r="O3138" t="s">
        <v>11</v>
      </c>
      <c r="P3138">
        <v>6102</v>
      </c>
      <c r="Q3138">
        <v>10</v>
      </c>
      <c r="R3138">
        <v>5.36</v>
      </c>
      <c r="S3138">
        <v>53.6</v>
      </c>
      <c r="T3138">
        <v>39.299999999999997</v>
      </c>
      <c r="U3138">
        <v>26.68</v>
      </c>
      <c r="V3138" t="str">
        <f>VLOOKUP(L3138,'[2]tabela de preços'!$A:$D,4,0)</f>
        <v>WANDA</v>
      </c>
      <c r="W3138" t="str">
        <f>VLOOKUP(L3138,'[2]tabela de preços'!$A:$F,6,0)</f>
        <v>APLICADORES / ADAPTADORES / ENGATES / SUPORTES</v>
      </c>
      <c r="X3138" t="str">
        <f>VLOOKUP(L3138,'[2]tabela de preços'!$A:$G,7,0)</f>
        <v>AUTOMOTIVO</v>
      </c>
    </row>
    <row r="3139" spans="1:24" x14ac:dyDescent="0.3">
      <c r="A3139" t="s">
        <v>3193</v>
      </c>
      <c r="C3139" t="s">
        <v>3194</v>
      </c>
      <c r="D3139" s="1">
        <v>46066</v>
      </c>
      <c r="E3139" t="s">
        <v>3195</v>
      </c>
      <c r="F3139">
        <v>9</v>
      </c>
      <c r="G3139">
        <v>236</v>
      </c>
      <c r="H3139" t="str">
        <f>VLOOKUP(G3139,[1]OPERADORES!$A:$B,2,0)</f>
        <v>DANIEL</v>
      </c>
      <c r="I3139" t="s">
        <v>1489</v>
      </c>
      <c r="J3139" t="s">
        <v>1328</v>
      </c>
      <c r="K3139" t="s">
        <v>3196</v>
      </c>
      <c r="L3139">
        <v>9804</v>
      </c>
      <c r="M3139" t="s">
        <v>1190</v>
      </c>
      <c r="O3139" t="s">
        <v>11</v>
      </c>
      <c r="P3139">
        <v>6102</v>
      </c>
      <c r="Q3139">
        <v>5</v>
      </c>
      <c r="R3139">
        <v>37.04</v>
      </c>
      <c r="S3139">
        <v>185.2</v>
      </c>
      <c r="T3139">
        <v>140.55000000000001</v>
      </c>
      <c r="U3139">
        <v>24.11</v>
      </c>
      <c r="V3139" t="str">
        <f>VLOOKUP(L3139,'[2]tabela de preços'!$A:$D,4,0)</f>
        <v>WANDA</v>
      </c>
      <c r="W3139" t="str">
        <f>VLOOKUP(L3139,'[2]tabela de preços'!$A:$F,6,0)</f>
        <v>DESENGRAXANTE</v>
      </c>
      <c r="X3139" t="str">
        <f>VLOOKUP(L3139,'[2]tabela de preços'!$A:$G,7,0)</f>
        <v>AUTOMOTIVO</v>
      </c>
    </row>
    <row r="3140" spans="1:24" x14ac:dyDescent="0.3">
      <c r="A3140" t="s">
        <v>3193</v>
      </c>
      <c r="C3140" t="s">
        <v>3194</v>
      </c>
      <c r="D3140" s="1">
        <v>46066</v>
      </c>
      <c r="E3140" t="s">
        <v>3195</v>
      </c>
      <c r="F3140">
        <v>9</v>
      </c>
      <c r="G3140">
        <v>236</v>
      </c>
      <c r="H3140" t="str">
        <f>VLOOKUP(G3140,[1]OPERADORES!$A:$B,2,0)</f>
        <v>DANIEL</v>
      </c>
      <c r="I3140" t="s">
        <v>1489</v>
      </c>
      <c r="J3140" t="s">
        <v>1328</v>
      </c>
      <c r="K3140" t="s">
        <v>3196</v>
      </c>
      <c r="L3140">
        <v>86942</v>
      </c>
      <c r="M3140" t="s">
        <v>3197</v>
      </c>
      <c r="O3140" t="s">
        <v>11</v>
      </c>
      <c r="P3140">
        <v>6403</v>
      </c>
      <c r="Q3140">
        <v>4</v>
      </c>
      <c r="R3140">
        <v>80.150000000000006</v>
      </c>
      <c r="S3140">
        <v>320.60000000000002</v>
      </c>
      <c r="T3140">
        <v>229.84</v>
      </c>
      <c r="U3140">
        <v>28.31</v>
      </c>
      <c r="V3140" t="str">
        <f>VLOOKUP(L3140,'[2]tabela de preços'!$A:$D,4,0)</f>
        <v>BRASILUX</v>
      </c>
      <c r="W3140" t="str">
        <f>VLOOKUP(L3140,'[2]tabela de preços'!$A:$F,6,0)</f>
        <v>ESMALTES</v>
      </c>
      <c r="X3140" t="str">
        <f>VLOOKUP(L3140,'[2]tabela de preços'!$A:$G,7,0)</f>
        <v>INDUSTRIAL</v>
      </c>
    </row>
    <row r="3141" spans="1:24" x14ac:dyDescent="0.3">
      <c r="A3141" t="s">
        <v>3193</v>
      </c>
      <c r="C3141" t="s">
        <v>3194</v>
      </c>
      <c r="D3141" s="1">
        <v>46066</v>
      </c>
      <c r="E3141" t="s">
        <v>3195</v>
      </c>
      <c r="F3141">
        <v>9</v>
      </c>
      <c r="G3141">
        <v>236</v>
      </c>
      <c r="H3141" t="str">
        <f>VLOOKUP(G3141,[1]OPERADORES!$A:$B,2,0)</f>
        <v>DANIEL</v>
      </c>
      <c r="I3141" t="s">
        <v>1489</v>
      </c>
      <c r="J3141" t="s">
        <v>1328</v>
      </c>
      <c r="K3141" t="s">
        <v>3196</v>
      </c>
      <c r="L3141">
        <v>20960</v>
      </c>
      <c r="M3141" t="s">
        <v>1734</v>
      </c>
      <c r="O3141" t="s">
        <v>11</v>
      </c>
      <c r="P3141">
        <v>6403</v>
      </c>
      <c r="Q3141">
        <v>5</v>
      </c>
      <c r="R3141">
        <v>79.56</v>
      </c>
      <c r="S3141">
        <v>397.8</v>
      </c>
      <c r="T3141">
        <v>301.95</v>
      </c>
      <c r="U3141">
        <v>24.1</v>
      </c>
      <c r="V3141" t="str">
        <f>VLOOKUP(L3141,'[2]tabela de preços'!$A:$D,4,0)</f>
        <v>SHERWIN WILLIAMS</v>
      </c>
      <c r="W3141" t="str">
        <f>VLOOKUP(L3141,'[2]tabela de preços'!$A:$F,6,0)</f>
        <v>VERNIZ AUTOMOTIVO</v>
      </c>
      <c r="X3141" t="str">
        <f>VLOOKUP(L3141,'[2]tabela de preços'!$A:$G,7,0)</f>
        <v>AUTOMOTIVO</v>
      </c>
    </row>
    <row r="3142" spans="1:24" x14ac:dyDescent="0.3">
      <c r="A3142" t="s">
        <v>3193</v>
      </c>
      <c r="C3142" t="s">
        <v>3194</v>
      </c>
      <c r="D3142" s="1">
        <v>46066</v>
      </c>
      <c r="E3142" t="s">
        <v>3195</v>
      </c>
      <c r="F3142">
        <v>9</v>
      </c>
      <c r="G3142">
        <v>236</v>
      </c>
      <c r="H3142" t="str">
        <f>VLOOKUP(G3142,[1]OPERADORES!$A:$B,2,0)</f>
        <v>DANIEL</v>
      </c>
      <c r="I3142" t="s">
        <v>1489</v>
      </c>
      <c r="J3142" t="s">
        <v>1328</v>
      </c>
      <c r="K3142" t="s">
        <v>3196</v>
      </c>
      <c r="L3142">
        <v>20212</v>
      </c>
      <c r="M3142" t="s">
        <v>198</v>
      </c>
      <c r="O3142" t="s">
        <v>11</v>
      </c>
      <c r="P3142">
        <v>6403</v>
      </c>
      <c r="Q3142">
        <v>5</v>
      </c>
      <c r="R3142">
        <v>27.9</v>
      </c>
      <c r="S3142">
        <v>139.5</v>
      </c>
      <c r="T3142">
        <v>102.3</v>
      </c>
      <c r="U3142">
        <v>26.67</v>
      </c>
      <c r="V3142" t="str">
        <f>VLOOKUP(L3142,'[2]tabela de preços'!$A:$D,4,0)</f>
        <v>MAXI RUBBER</v>
      </c>
      <c r="W3142" t="str">
        <f>VLOOKUP(L3142,'[2]tabela de preços'!$A:$F,6,0)</f>
        <v>SELADORA P/ PLASTICO</v>
      </c>
      <c r="X3142" t="str">
        <f>VLOOKUP(L3142,'[2]tabela de preços'!$A:$G,7,0)</f>
        <v>AUTOMOTIVO</v>
      </c>
    </row>
    <row r="3143" spans="1:24" x14ac:dyDescent="0.3">
      <c r="A3143" t="s">
        <v>3193</v>
      </c>
      <c r="C3143" t="s">
        <v>3194</v>
      </c>
      <c r="D3143" s="1">
        <v>46066</v>
      </c>
      <c r="E3143" t="s">
        <v>3195</v>
      </c>
      <c r="F3143">
        <v>9</v>
      </c>
      <c r="G3143">
        <v>236</v>
      </c>
      <c r="H3143" t="str">
        <f>VLOOKUP(G3143,[1]OPERADORES!$A:$B,2,0)</f>
        <v>DANIEL</v>
      </c>
      <c r="I3143" t="s">
        <v>1489</v>
      </c>
      <c r="J3143" t="s">
        <v>1328</v>
      </c>
      <c r="K3143" t="s">
        <v>3196</v>
      </c>
      <c r="L3143">
        <v>21755</v>
      </c>
      <c r="M3143" t="s">
        <v>2257</v>
      </c>
      <c r="O3143" t="s">
        <v>11</v>
      </c>
      <c r="P3143">
        <v>6403</v>
      </c>
      <c r="Q3143">
        <v>18</v>
      </c>
      <c r="R3143">
        <v>16.63</v>
      </c>
      <c r="S3143">
        <v>299.33999999999997</v>
      </c>
      <c r="T3143">
        <v>219.42</v>
      </c>
      <c r="U3143">
        <v>26.7</v>
      </c>
      <c r="V3143" t="str">
        <f>VLOOKUP(L3143,'[2]tabela de preços'!$A:$D,4,0)</f>
        <v>SHERWIN WILLIAMS</v>
      </c>
      <c r="W3143" t="str">
        <f>VLOOKUP(L3143,'[2]tabela de preços'!$A:$F,6,0)</f>
        <v xml:space="preserve">SPRAYS </v>
      </c>
      <c r="X3143" t="str">
        <f>VLOOKUP(L3143,'[2]tabela de preços'!$A:$G,7,0)</f>
        <v>AUTOMOTIVO</v>
      </c>
    </row>
    <row r="3144" spans="1:24" x14ac:dyDescent="0.3">
      <c r="A3144" t="s">
        <v>1267</v>
      </c>
      <c r="C3144" t="s">
        <v>2645</v>
      </c>
      <c r="D3144" s="1">
        <v>46057</v>
      </c>
      <c r="E3144" t="s">
        <v>2646</v>
      </c>
      <c r="F3144">
        <v>9</v>
      </c>
      <c r="G3144">
        <v>174</v>
      </c>
      <c r="H3144" t="str">
        <f>VLOOKUP(G3144,[1]OPERADORES!$A:$B,2,0)</f>
        <v>MIRIÃ LOBATO RODRIGUES</v>
      </c>
      <c r="I3144" t="s">
        <v>21</v>
      </c>
      <c r="J3144" t="s">
        <v>372</v>
      </c>
      <c r="K3144" t="s">
        <v>1270</v>
      </c>
      <c r="L3144">
        <v>23076</v>
      </c>
      <c r="M3144" t="s">
        <v>97</v>
      </c>
      <c r="O3144" t="s">
        <v>11</v>
      </c>
      <c r="P3144">
        <v>5403</v>
      </c>
      <c r="Q3144">
        <v>6</v>
      </c>
      <c r="R3144">
        <v>39.94</v>
      </c>
      <c r="S3144">
        <v>239.64</v>
      </c>
      <c r="T3144">
        <v>159.18</v>
      </c>
      <c r="U3144">
        <v>33.58</v>
      </c>
      <c r="V3144" t="str">
        <f>VLOOKUP(L3144,'[2]tabela de preços'!$A:$D,4,0)</f>
        <v>WANDA</v>
      </c>
      <c r="W3144" t="str">
        <f>VLOOKUP(L3144,'[2]tabela de preços'!$A:$F,6,0)</f>
        <v>PRIMER AUTOMOTIVO</v>
      </c>
      <c r="X3144" t="str">
        <f>VLOOKUP(L3144,'[2]tabela de preços'!$A:$G,7,0)</f>
        <v>AUTOMOTIVO</v>
      </c>
    </row>
    <row r="3145" spans="1:24" x14ac:dyDescent="0.3">
      <c r="A3145" t="s">
        <v>1275</v>
      </c>
      <c r="C3145" t="s">
        <v>2647</v>
      </c>
      <c r="D3145" s="1">
        <v>46058</v>
      </c>
      <c r="E3145" t="s">
        <v>2648</v>
      </c>
      <c r="F3145">
        <v>9</v>
      </c>
      <c r="G3145">
        <v>197</v>
      </c>
      <c r="H3145" t="str">
        <f>VLOOKUP(G3145,[1]OPERADORES!$A:$B,2,0)</f>
        <v xml:space="preserve">POLIANA LORRANE DE AMORIM </v>
      </c>
      <c r="I3145" t="s">
        <v>21</v>
      </c>
      <c r="J3145" t="s">
        <v>1278</v>
      </c>
      <c r="K3145" t="s">
        <v>1279</v>
      </c>
      <c r="L3145">
        <v>84243</v>
      </c>
      <c r="M3145" t="s">
        <v>2649</v>
      </c>
      <c r="O3145" t="s">
        <v>11</v>
      </c>
      <c r="P3145">
        <v>5403</v>
      </c>
      <c r="Q3145">
        <v>5</v>
      </c>
      <c r="R3145">
        <v>149.9</v>
      </c>
      <c r="S3145">
        <v>749.5</v>
      </c>
      <c r="T3145">
        <v>616.20000000000005</v>
      </c>
      <c r="U3145">
        <v>17.79</v>
      </c>
      <c r="V3145" t="str">
        <f>VLOOKUP(L3145,'[2]tabela de preços'!$A:$D,4,0)</f>
        <v>BRASILUX</v>
      </c>
      <c r="W3145" t="str">
        <f>VLOOKUP(L3145,'[2]tabela de preços'!$A:$F,6,0)</f>
        <v>IMPERMEABILIZANTES</v>
      </c>
      <c r="X3145" t="str">
        <f>VLOOKUP(L3145,'[2]tabela de preços'!$A:$G,7,0)</f>
        <v>IMOBILIÁRIO</v>
      </c>
    </row>
    <row r="3146" spans="1:24" x14ac:dyDescent="0.3">
      <c r="A3146" t="s">
        <v>1275</v>
      </c>
      <c r="C3146" t="s">
        <v>2647</v>
      </c>
      <c r="D3146" s="1">
        <v>46058</v>
      </c>
      <c r="E3146" t="s">
        <v>2648</v>
      </c>
      <c r="F3146">
        <v>9</v>
      </c>
      <c r="G3146">
        <v>197</v>
      </c>
      <c r="H3146" t="str">
        <f>VLOOKUP(G3146,[1]OPERADORES!$A:$B,2,0)</f>
        <v xml:space="preserve">POLIANA LORRANE DE AMORIM </v>
      </c>
      <c r="I3146" t="s">
        <v>21</v>
      </c>
      <c r="J3146" t="s">
        <v>1278</v>
      </c>
      <c r="K3146" t="s">
        <v>1279</v>
      </c>
      <c r="L3146">
        <v>84328</v>
      </c>
      <c r="M3146" t="s">
        <v>496</v>
      </c>
      <c r="O3146" t="s">
        <v>11</v>
      </c>
      <c r="P3146">
        <v>5403</v>
      </c>
      <c r="Q3146">
        <v>12</v>
      </c>
      <c r="R3146">
        <v>59.98</v>
      </c>
      <c r="S3146">
        <v>719.76</v>
      </c>
      <c r="T3146">
        <v>554.28</v>
      </c>
      <c r="U3146">
        <v>22.99</v>
      </c>
      <c r="V3146" t="str">
        <f>VLOOKUP(L3146,'[2]tabela de preços'!$A:$D,4,0)</f>
        <v>BRASILUX</v>
      </c>
      <c r="W3146" t="str">
        <f>VLOOKUP(L3146,'[2]tabela de preços'!$A:$F,6,0)</f>
        <v>ESMALTES</v>
      </c>
      <c r="X3146" t="str">
        <f>VLOOKUP(L3146,'[2]tabela de preços'!$A:$G,7,0)</f>
        <v>INDUSTRIAL</v>
      </c>
    </row>
    <row r="3147" spans="1:24" x14ac:dyDescent="0.3">
      <c r="A3147" t="s">
        <v>1275</v>
      </c>
      <c r="C3147" t="s">
        <v>2647</v>
      </c>
      <c r="D3147" s="1">
        <v>46058</v>
      </c>
      <c r="E3147" t="s">
        <v>2648</v>
      </c>
      <c r="F3147">
        <v>9</v>
      </c>
      <c r="G3147">
        <v>197</v>
      </c>
      <c r="H3147" t="str">
        <f>VLOOKUP(G3147,[1]OPERADORES!$A:$B,2,0)</f>
        <v xml:space="preserve">POLIANA LORRANE DE AMORIM </v>
      </c>
      <c r="I3147" t="s">
        <v>21</v>
      </c>
      <c r="J3147" t="s">
        <v>1278</v>
      </c>
      <c r="K3147" t="s">
        <v>1279</v>
      </c>
      <c r="L3147">
        <v>84357</v>
      </c>
      <c r="M3147" t="s">
        <v>580</v>
      </c>
      <c r="O3147" t="s">
        <v>11</v>
      </c>
      <c r="P3147">
        <v>5403</v>
      </c>
      <c r="Q3147">
        <v>6</v>
      </c>
      <c r="R3147">
        <v>21.7</v>
      </c>
      <c r="S3147">
        <v>130.19999999999999</v>
      </c>
      <c r="T3147">
        <v>98.82</v>
      </c>
      <c r="U3147">
        <v>24.1</v>
      </c>
      <c r="V3147" t="str">
        <f>VLOOKUP(L3147,'[2]tabela de preços'!$A:$D,4,0)</f>
        <v>BRASILUX</v>
      </c>
      <c r="W3147" t="str">
        <f>VLOOKUP(L3147,'[2]tabela de preços'!$A:$F,6,0)</f>
        <v>ESMALTES</v>
      </c>
      <c r="X3147" t="str">
        <f>VLOOKUP(L3147,'[2]tabela de preços'!$A:$G,7,0)</f>
        <v>INDUSTRIAL</v>
      </c>
    </row>
    <row r="3148" spans="1:24" x14ac:dyDescent="0.3">
      <c r="A3148" t="s">
        <v>1275</v>
      </c>
      <c r="C3148" t="s">
        <v>2647</v>
      </c>
      <c r="D3148" s="1">
        <v>46058</v>
      </c>
      <c r="E3148" t="s">
        <v>2648</v>
      </c>
      <c r="F3148">
        <v>9</v>
      </c>
      <c r="G3148">
        <v>197</v>
      </c>
      <c r="H3148" t="str">
        <f>VLOOKUP(G3148,[1]OPERADORES!$A:$B,2,0)</f>
        <v xml:space="preserve">POLIANA LORRANE DE AMORIM </v>
      </c>
      <c r="I3148" t="s">
        <v>21</v>
      </c>
      <c r="J3148" t="s">
        <v>1278</v>
      </c>
      <c r="K3148" t="s">
        <v>1279</v>
      </c>
      <c r="L3148">
        <v>84334</v>
      </c>
      <c r="M3148" t="s">
        <v>895</v>
      </c>
      <c r="O3148" t="s">
        <v>11</v>
      </c>
      <c r="P3148">
        <v>5403</v>
      </c>
      <c r="Q3148">
        <v>4</v>
      </c>
      <c r="R3148">
        <v>59.98</v>
      </c>
      <c r="S3148">
        <v>239.92</v>
      </c>
      <c r="T3148">
        <v>190.64</v>
      </c>
      <c r="U3148">
        <v>20.54</v>
      </c>
      <c r="V3148" t="str">
        <f>VLOOKUP(L3148,'[2]tabela de preços'!$A:$D,4,0)</f>
        <v>BRASILUX</v>
      </c>
      <c r="W3148" t="str">
        <f>VLOOKUP(L3148,'[2]tabela de preços'!$A:$F,6,0)</f>
        <v>ESMALTES</v>
      </c>
      <c r="X3148" t="str">
        <f>VLOOKUP(L3148,'[2]tabela de preços'!$A:$G,7,0)</f>
        <v>INDUSTRIAL</v>
      </c>
    </row>
    <row r="3149" spans="1:24" x14ac:dyDescent="0.3">
      <c r="A3149" t="s">
        <v>1275</v>
      </c>
      <c r="C3149" t="s">
        <v>2647</v>
      </c>
      <c r="D3149" s="1">
        <v>46058</v>
      </c>
      <c r="E3149" t="s">
        <v>2648</v>
      </c>
      <c r="F3149">
        <v>9</v>
      </c>
      <c r="G3149">
        <v>197</v>
      </c>
      <c r="H3149" t="str">
        <f>VLOOKUP(G3149,[1]OPERADORES!$A:$B,2,0)</f>
        <v xml:space="preserve">POLIANA LORRANE DE AMORIM </v>
      </c>
      <c r="I3149" t="s">
        <v>21</v>
      </c>
      <c r="J3149" t="s">
        <v>1278</v>
      </c>
      <c r="K3149" t="s">
        <v>1279</v>
      </c>
      <c r="L3149">
        <v>84335</v>
      </c>
      <c r="M3149" t="s">
        <v>269</v>
      </c>
      <c r="O3149" t="s">
        <v>11</v>
      </c>
      <c r="P3149">
        <v>5403</v>
      </c>
      <c r="Q3149">
        <v>4</v>
      </c>
      <c r="R3149">
        <v>59.98</v>
      </c>
      <c r="S3149">
        <v>239.92</v>
      </c>
      <c r="T3149">
        <v>202.6</v>
      </c>
      <c r="U3149">
        <v>15.56</v>
      </c>
      <c r="V3149" t="str">
        <f>VLOOKUP(L3149,'[2]tabela de preços'!$A:$D,4,0)</f>
        <v>BRASILUX</v>
      </c>
      <c r="W3149" t="str">
        <f>VLOOKUP(L3149,'[2]tabela de preços'!$A:$F,6,0)</f>
        <v>ESMALTES</v>
      </c>
      <c r="X3149" t="str">
        <f>VLOOKUP(L3149,'[2]tabela de preços'!$A:$G,7,0)</f>
        <v>INDUSTRIAL</v>
      </c>
    </row>
    <row r="3150" spans="1:24" x14ac:dyDescent="0.3">
      <c r="A3150" t="s">
        <v>1275</v>
      </c>
      <c r="C3150" t="s">
        <v>2647</v>
      </c>
      <c r="D3150" s="1">
        <v>46058</v>
      </c>
      <c r="E3150" t="s">
        <v>2648</v>
      </c>
      <c r="F3150">
        <v>9</v>
      </c>
      <c r="G3150">
        <v>197</v>
      </c>
      <c r="H3150" t="str">
        <f>VLOOKUP(G3150,[1]OPERADORES!$A:$B,2,0)</f>
        <v xml:space="preserve">POLIANA LORRANE DE AMORIM </v>
      </c>
      <c r="I3150" t="s">
        <v>21</v>
      </c>
      <c r="J3150" t="s">
        <v>1278</v>
      </c>
      <c r="K3150" t="s">
        <v>1279</v>
      </c>
      <c r="L3150">
        <v>84342</v>
      </c>
      <c r="M3150" t="s">
        <v>498</v>
      </c>
      <c r="O3150" t="s">
        <v>11</v>
      </c>
      <c r="P3150">
        <v>5403</v>
      </c>
      <c r="Q3150">
        <v>12</v>
      </c>
      <c r="R3150">
        <v>59.98</v>
      </c>
      <c r="S3150">
        <v>719.76</v>
      </c>
      <c r="T3150">
        <v>549.36</v>
      </c>
      <c r="U3150">
        <v>23.67</v>
      </c>
      <c r="V3150" t="str">
        <f>VLOOKUP(L3150,'[2]tabela de preços'!$A:$D,4,0)</f>
        <v>BRASILUX</v>
      </c>
      <c r="W3150" t="str">
        <f>VLOOKUP(L3150,'[2]tabela de preços'!$A:$F,6,0)</f>
        <v>ESMALTES</v>
      </c>
      <c r="X3150" t="str">
        <f>VLOOKUP(L3150,'[2]tabela de preços'!$A:$G,7,0)</f>
        <v>INDUSTRIAL</v>
      </c>
    </row>
    <row r="3151" spans="1:24" x14ac:dyDescent="0.3">
      <c r="A3151" t="s">
        <v>1275</v>
      </c>
      <c r="C3151" t="s">
        <v>2647</v>
      </c>
      <c r="D3151" s="1">
        <v>46058</v>
      </c>
      <c r="E3151" t="s">
        <v>2648</v>
      </c>
      <c r="F3151">
        <v>9</v>
      </c>
      <c r="G3151">
        <v>197</v>
      </c>
      <c r="H3151" t="str">
        <f>VLOOKUP(G3151,[1]OPERADORES!$A:$B,2,0)</f>
        <v xml:space="preserve">POLIANA LORRANE DE AMORIM </v>
      </c>
      <c r="I3151" t="s">
        <v>21</v>
      </c>
      <c r="J3151" t="s">
        <v>1278</v>
      </c>
      <c r="K3151" t="s">
        <v>1279</v>
      </c>
      <c r="L3151">
        <v>84200</v>
      </c>
      <c r="M3151" t="s">
        <v>1552</v>
      </c>
      <c r="O3151" t="s">
        <v>11</v>
      </c>
      <c r="P3151">
        <v>5403</v>
      </c>
      <c r="Q3151">
        <v>2</v>
      </c>
      <c r="R3151">
        <v>224.04</v>
      </c>
      <c r="S3151">
        <v>448.08</v>
      </c>
      <c r="T3151">
        <v>340.1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>EPOXI</v>
      </c>
      <c r="X3151" t="str">
        <f>VLOOKUP(L3151,'[2]tabela de preços'!$A:$G,7,0)</f>
        <v>INDUSTRIAL</v>
      </c>
    </row>
    <row r="3152" spans="1:24" x14ac:dyDescent="0.3">
      <c r="A3152" t="s">
        <v>1291</v>
      </c>
      <c r="C3152" t="s">
        <v>2519</v>
      </c>
      <c r="D3152" s="1">
        <v>46056</v>
      </c>
      <c r="E3152" t="s">
        <v>2520</v>
      </c>
      <c r="F3152">
        <v>9</v>
      </c>
      <c r="G3152">
        <v>197</v>
      </c>
      <c r="H3152" t="str">
        <f>VLOOKUP(G3152,[1]OPERADORES!$A:$B,2,0)</f>
        <v xml:space="preserve">POLIANA LORRANE DE AMORIM </v>
      </c>
      <c r="I3152" t="s">
        <v>282</v>
      </c>
      <c r="J3152" t="s">
        <v>1294</v>
      </c>
      <c r="K3152" t="s">
        <v>1295</v>
      </c>
      <c r="L3152">
        <v>84113</v>
      </c>
      <c r="M3152" t="s">
        <v>737</v>
      </c>
      <c r="O3152" t="s">
        <v>11</v>
      </c>
      <c r="P3152">
        <v>6403</v>
      </c>
      <c r="Q3152">
        <v>4</v>
      </c>
      <c r="R3152">
        <v>153.99</v>
      </c>
      <c r="S3152">
        <v>615.96</v>
      </c>
      <c r="T3152">
        <v>467.52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EPOXI</v>
      </c>
      <c r="X3152" t="str">
        <f>VLOOKUP(L3152,'[2]tabela de preços'!$A:$G,7,0)</f>
        <v>INDUSTRIAL</v>
      </c>
    </row>
    <row r="3153" spans="1:24" x14ac:dyDescent="0.3">
      <c r="A3153" t="s">
        <v>1291</v>
      </c>
      <c r="C3153" t="s">
        <v>2519</v>
      </c>
      <c r="D3153" s="1">
        <v>46056</v>
      </c>
      <c r="E3153" t="s">
        <v>2520</v>
      </c>
      <c r="F3153">
        <v>9</v>
      </c>
      <c r="G3153">
        <v>197</v>
      </c>
      <c r="H3153" t="str">
        <f>VLOOKUP(G3153,[1]OPERADORES!$A:$B,2,0)</f>
        <v xml:space="preserve">POLIANA LORRANE DE AMORIM </v>
      </c>
      <c r="I3153" t="s">
        <v>282</v>
      </c>
      <c r="J3153" t="s">
        <v>1294</v>
      </c>
      <c r="K3153" t="s">
        <v>1295</v>
      </c>
      <c r="L3153">
        <v>84767</v>
      </c>
      <c r="M3153" t="s">
        <v>732</v>
      </c>
      <c r="O3153" t="s">
        <v>11</v>
      </c>
      <c r="P3153">
        <v>6403</v>
      </c>
      <c r="Q3153">
        <v>10</v>
      </c>
      <c r="R3153">
        <v>153.99</v>
      </c>
      <c r="S3153" s="2">
        <v>1539.9</v>
      </c>
      <c r="T3153" s="2">
        <v>1168.8</v>
      </c>
      <c r="U3153">
        <v>24.1</v>
      </c>
      <c r="V3153" t="str">
        <f>VLOOKUP(L3153,'[2]tabela de preços'!$A:$D,4,0)</f>
        <v>BRASILUX</v>
      </c>
      <c r="W3153" t="str">
        <f>VLOOKUP(L3153,'[2]tabela de preços'!$A:$F,6,0)</f>
        <v>EPOXI</v>
      </c>
      <c r="X3153" t="str">
        <f>VLOOKUP(L3153,'[2]tabela de preços'!$A:$G,7,0)</f>
        <v>INDUSTRIAL</v>
      </c>
    </row>
    <row r="3154" spans="1:24" x14ac:dyDescent="0.3">
      <c r="A3154" t="s">
        <v>1291</v>
      </c>
      <c r="C3154" t="s">
        <v>3198</v>
      </c>
      <c r="D3154" s="1">
        <v>46072</v>
      </c>
      <c r="E3154" t="s">
        <v>3199</v>
      </c>
      <c r="F3154">
        <v>9</v>
      </c>
      <c r="G3154">
        <v>197</v>
      </c>
      <c r="H3154" t="str">
        <f>VLOOKUP(G3154,[1]OPERADORES!$A:$B,2,0)</f>
        <v xml:space="preserve">POLIANA LORRANE DE AMORIM </v>
      </c>
      <c r="I3154" t="s">
        <v>282</v>
      </c>
      <c r="J3154" t="s">
        <v>1294</v>
      </c>
      <c r="K3154" t="s">
        <v>1295</v>
      </c>
      <c r="L3154">
        <v>10298</v>
      </c>
      <c r="M3154" t="s">
        <v>85</v>
      </c>
      <c r="O3154" t="s">
        <v>11</v>
      </c>
      <c r="P3154">
        <v>6102</v>
      </c>
      <c r="Q3154">
        <v>40</v>
      </c>
      <c r="R3154">
        <v>54.9</v>
      </c>
      <c r="S3154" s="2">
        <v>2196</v>
      </c>
      <c r="T3154" s="2">
        <v>1895.2</v>
      </c>
      <c r="U3154">
        <v>13.7</v>
      </c>
      <c r="V3154" t="str">
        <f>VLOOKUP(L3154,'[2]tabela de preços'!$A:$D,4,0)</f>
        <v>ANJO</v>
      </c>
      <c r="W3154" t="str">
        <f>VLOOKUP(L3154,'[2]tabela de preços'!$A:$F,6,0)</f>
        <v>THINNER DE LIMPEZA</v>
      </c>
      <c r="X3154" t="str">
        <f>VLOOKUP(L3154,'[2]tabela de preços'!$A:$G,7,0)</f>
        <v>THINNER</v>
      </c>
    </row>
    <row r="3155" spans="1:24" x14ac:dyDescent="0.3">
      <c r="A3155" t="s">
        <v>1291</v>
      </c>
      <c r="C3155" t="s">
        <v>3198</v>
      </c>
      <c r="D3155" s="1">
        <v>46072</v>
      </c>
      <c r="E3155" t="s">
        <v>3199</v>
      </c>
      <c r="F3155">
        <v>9</v>
      </c>
      <c r="G3155">
        <v>197</v>
      </c>
      <c r="H3155" t="str">
        <f>VLOOKUP(G3155,[1]OPERADORES!$A:$B,2,0)</f>
        <v xml:space="preserve">POLIANA LORRANE DE AMORIM </v>
      </c>
      <c r="I3155" t="s">
        <v>282</v>
      </c>
      <c r="J3155" t="s">
        <v>1294</v>
      </c>
      <c r="K3155" t="s">
        <v>1295</v>
      </c>
      <c r="L3155">
        <v>10297</v>
      </c>
      <c r="M3155" t="s">
        <v>41</v>
      </c>
      <c r="O3155" t="s">
        <v>11</v>
      </c>
      <c r="P3155">
        <v>6102</v>
      </c>
      <c r="Q3155">
        <v>100</v>
      </c>
      <c r="R3155">
        <v>10.49</v>
      </c>
      <c r="S3155" s="2">
        <v>1049</v>
      </c>
      <c r="T3155">
        <v>917</v>
      </c>
      <c r="U3155">
        <v>12.58</v>
      </c>
      <c r="V3155" t="str">
        <f>VLOOKUP(L3155,'[2]tabela de preços'!$A:$D,4,0)</f>
        <v>ANJO</v>
      </c>
      <c r="W3155" t="str">
        <f>VLOOKUP(L3155,'[2]tabela de preços'!$A:$F,6,0)</f>
        <v>THINNER DE LIMPEZA</v>
      </c>
      <c r="X3155" t="str">
        <f>VLOOKUP(L3155,'[2]tabela de preços'!$A:$G,7,0)</f>
        <v>THINNER</v>
      </c>
    </row>
    <row r="3156" spans="1:24" x14ac:dyDescent="0.3">
      <c r="A3156" t="s">
        <v>1297</v>
      </c>
      <c r="C3156" t="s">
        <v>2441</v>
      </c>
      <c r="D3156" s="1">
        <v>46055</v>
      </c>
      <c r="E3156" t="s">
        <v>2442</v>
      </c>
      <c r="F3156">
        <v>9</v>
      </c>
      <c r="G3156">
        <v>236</v>
      </c>
      <c r="H3156" t="str">
        <f>VLOOKUP(G3156,[1]OPERADORES!$A:$B,2,0)</f>
        <v>DANIEL</v>
      </c>
      <c r="I3156" t="s">
        <v>168</v>
      </c>
      <c r="J3156" t="s">
        <v>1300</v>
      </c>
      <c r="K3156" t="s">
        <v>1301</v>
      </c>
      <c r="L3156">
        <v>84691</v>
      </c>
      <c r="M3156" t="s">
        <v>2443</v>
      </c>
      <c r="O3156" t="s">
        <v>11</v>
      </c>
      <c r="P3156">
        <v>6403</v>
      </c>
      <c r="Q3156">
        <v>3</v>
      </c>
      <c r="R3156">
        <v>8.68</v>
      </c>
      <c r="S3156">
        <v>26.04</v>
      </c>
      <c r="T3156">
        <v>19.079999999999998</v>
      </c>
      <c r="U3156">
        <v>26.73</v>
      </c>
      <c r="V3156" t="str">
        <f>VLOOKUP(L3156,'[2]tabela de preços'!$A:$D,4,0)</f>
        <v>BRASILUX</v>
      </c>
      <c r="W3156" t="str">
        <f>VLOOKUP(L3156,'[2]tabela de preços'!$A:$F,6,0)</f>
        <v>LINHA MOVELEIRA</v>
      </c>
      <c r="X3156" t="str">
        <f>VLOOKUP(L3156,'[2]tabela de preços'!$A:$G,7,0)</f>
        <v>MOVELEIRA</v>
      </c>
    </row>
    <row r="3157" spans="1:24" x14ac:dyDescent="0.3">
      <c r="A3157" t="s">
        <v>1297</v>
      </c>
      <c r="C3157" t="s">
        <v>2441</v>
      </c>
      <c r="D3157" s="1">
        <v>46055</v>
      </c>
      <c r="E3157" t="s">
        <v>2442</v>
      </c>
      <c r="F3157">
        <v>9</v>
      </c>
      <c r="G3157">
        <v>236</v>
      </c>
      <c r="H3157" t="str">
        <f>VLOOKUP(G3157,[1]OPERADORES!$A:$B,2,0)</f>
        <v>DANIEL</v>
      </c>
      <c r="I3157" t="s">
        <v>168</v>
      </c>
      <c r="J3157" t="s">
        <v>1300</v>
      </c>
      <c r="K3157" t="s">
        <v>1301</v>
      </c>
      <c r="L3157">
        <v>84024</v>
      </c>
      <c r="M3157" t="s">
        <v>2444</v>
      </c>
      <c r="O3157" t="s">
        <v>11</v>
      </c>
      <c r="P3157">
        <v>6102</v>
      </c>
      <c r="Q3157">
        <v>2</v>
      </c>
      <c r="R3157">
        <v>18.11</v>
      </c>
      <c r="S3157">
        <v>36.22</v>
      </c>
      <c r="T3157">
        <v>24.98</v>
      </c>
      <c r="U3157">
        <v>31.03</v>
      </c>
      <c r="V3157" t="str">
        <f>VLOOKUP(L3157,'[2]tabela de preços'!$A:$D,4,0)</f>
        <v>BRASILUX</v>
      </c>
      <c r="W3157" t="str">
        <f>VLOOKUP(L3157,'[2]tabela de preços'!$A:$F,6,0)</f>
        <v>EPOXI</v>
      </c>
      <c r="X3157" t="str">
        <f>VLOOKUP(L3157,'[2]tabela de preços'!$A:$G,7,0)</f>
        <v>INDUSTRIAL</v>
      </c>
    </row>
    <row r="3158" spans="1:24" x14ac:dyDescent="0.3">
      <c r="A3158" t="s">
        <v>1297</v>
      </c>
      <c r="C3158" t="s">
        <v>2441</v>
      </c>
      <c r="D3158" s="1">
        <v>46055</v>
      </c>
      <c r="E3158" t="s">
        <v>2442</v>
      </c>
      <c r="F3158">
        <v>9</v>
      </c>
      <c r="G3158">
        <v>236</v>
      </c>
      <c r="H3158" t="str">
        <f>VLOOKUP(G3158,[1]OPERADORES!$A:$B,2,0)</f>
        <v>DANIEL</v>
      </c>
      <c r="I3158" t="s">
        <v>168</v>
      </c>
      <c r="J3158" t="s">
        <v>1300</v>
      </c>
      <c r="K3158" t="s">
        <v>1301</v>
      </c>
      <c r="L3158">
        <v>84762</v>
      </c>
      <c r="M3158" t="s">
        <v>1014</v>
      </c>
      <c r="O3158" t="s">
        <v>11</v>
      </c>
      <c r="P3158">
        <v>6403</v>
      </c>
      <c r="Q3158">
        <v>2</v>
      </c>
      <c r="R3158">
        <v>163.04</v>
      </c>
      <c r="S3158">
        <v>326.08</v>
      </c>
      <c r="T3158">
        <v>233.76</v>
      </c>
      <c r="U3158">
        <v>28.31</v>
      </c>
      <c r="V3158" t="str">
        <f>VLOOKUP(L3158,'[2]tabela de preços'!$A:$D,4,0)</f>
        <v>BRASILUX</v>
      </c>
      <c r="W3158" t="str">
        <f>VLOOKUP(L3158,'[2]tabela de preços'!$A:$F,6,0)</f>
        <v>EPOXI</v>
      </c>
      <c r="X3158" t="str">
        <f>VLOOKUP(L3158,'[2]tabela de preços'!$A:$G,7,0)</f>
        <v>INDUSTRIAL</v>
      </c>
    </row>
    <row r="3159" spans="1:24" x14ac:dyDescent="0.3">
      <c r="A3159" t="s">
        <v>1297</v>
      </c>
      <c r="C3159" t="s">
        <v>2441</v>
      </c>
      <c r="D3159" s="1">
        <v>46055</v>
      </c>
      <c r="E3159" t="s">
        <v>2442</v>
      </c>
      <c r="F3159">
        <v>9</v>
      </c>
      <c r="G3159">
        <v>236</v>
      </c>
      <c r="H3159" t="str">
        <f>VLOOKUP(G3159,[1]OPERADORES!$A:$B,2,0)</f>
        <v>DANIEL</v>
      </c>
      <c r="I3159" t="s">
        <v>168</v>
      </c>
      <c r="J3159" t="s">
        <v>1300</v>
      </c>
      <c r="K3159" t="s">
        <v>1301</v>
      </c>
      <c r="L3159">
        <v>10297</v>
      </c>
      <c r="M3159" t="s">
        <v>41</v>
      </c>
      <c r="O3159" t="s">
        <v>11</v>
      </c>
      <c r="P3159">
        <v>6102</v>
      </c>
      <c r="Q3159">
        <v>6</v>
      </c>
      <c r="R3159">
        <v>10.89</v>
      </c>
      <c r="S3159">
        <v>65.34</v>
      </c>
      <c r="T3159">
        <v>55.02</v>
      </c>
      <c r="U3159">
        <v>15.79</v>
      </c>
      <c r="V3159" t="str">
        <f>VLOOKUP(L3159,'[2]tabela de preços'!$A:$D,4,0)</f>
        <v>ANJO</v>
      </c>
      <c r="W3159" t="str">
        <f>VLOOKUP(L3159,'[2]tabela de preços'!$A:$F,6,0)</f>
        <v>THINNER DE LIMPEZA</v>
      </c>
      <c r="X3159" t="str">
        <f>VLOOKUP(L3159,'[2]tabela de preços'!$A:$G,7,0)</f>
        <v>THINNER</v>
      </c>
    </row>
    <row r="3160" spans="1:24" x14ac:dyDescent="0.3">
      <c r="A3160" t="s">
        <v>1302</v>
      </c>
      <c r="C3160" t="s">
        <v>2650</v>
      </c>
      <c r="D3160" s="1">
        <v>46057</v>
      </c>
      <c r="E3160" t="s">
        <v>2651</v>
      </c>
      <c r="F3160">
        <v>9</v>
      </c>
      <c r="G3160">
        <v>236</v>
      </c>
      <c r="H3160" t="str">
        <f>VLOOKUP(G3160,[1]OPERADORES!$A:$B,2,0)</f>
        <v>DANIEL</v>
      </c>
      <c r="I3160" t="s">
        <v>21</v>
      </c>
      <c r="J3160" t="s">
        <v>494</v>
      </c>
      <c r="K3160" t="s">
        <v>1305</v>
      </c>
      <c r="L3160">
        <v>20099</v>
      </c>
      <c r="M3160" t="s">
        <v>1308</v>
      </c>
      <c r="O3160" t="s">
        <v>11</v>
      </c>
      <c r="P3160">
        <v>5403</v>
      </c>
      <c r="Q3160">
        <v>4</v>
      </c>
      <c r="R3160">
        <v>16.46</v>
      </c>
      <c r="S3160">
        <v>65.84</v>
      </c>
      <c r="T3160">
        <v>48.28</v>
      </c>
      <c r="U3160">
        <v>26.67</v>
      </c>
      <c r="V3160" t="str">
        <f>VLOOKUP(L3160,'[2]tabela de preços'!$A:$D,4,0)</f>
        <v>MAXI RUBBER</v>
      </c>
      <c r="W3160" t="str">
        <f>VLOOKUP(L3160,'[2]tabela de preços'!$A:$F,6,0)</f>
        <v>BATIDA DE PEDRA</v>
      </c>
      <c r="X3160" t="str">
        <f>VLOOKUP(L3160,'[2]tabela de preços'!$A:$G,7,0)</f>
        <v>AUTOMOTIVO</v>
      </c>
    </row>
    <row r="3161" spans="1:24" x14ac:dyDescent="0.3">
      <c r="A3161" t="s">
        <v>1302</v>
      </c>
      <c r="C3161" t="s">
        <v>2650</v>
      </c>
      <c r="D3161" s="1">
        <v>46057</v>
      </c>
      <c r="E3161" t="s">
        <v>2651</v>
      </c>
      <c r="F3161">
        <v>9</v>
      </c>
      <c r="G3161">
        <v>236</v>
      </c>
      <c r="H3161" t="str">
        <f>VLOOKUP(G3161,[1]OPERADORES!$A:$B,2,0)</f>
        <v>DANIEL</v>
      </c>
      <c r="I3161" t="s">
        <v>21</v>
      </c>
      <c r="J3161" t="s">
        <v>494</v>
      </c>
      <c r="K3161" t="s">
        <v>1305</v>
      </c>
      <c r="L3161">
        <v>10236</v>
      </c>
      <c r="M3161" t="s">
        <v>133</v>
      </c>
      <c r="O3161" t="s">
        <v>11</v>
      </c>
      <c r="P3161">
        <v>5102</v>
      </c>
      <c r="Q3161">
        <v>20</v>
      </c>
      <c r="R3161">
        <v>2.79</v>
      </c>
      <c r="S3161">
        <v>55.8</v>
      </c>
      <c r="T3161">
        <v>46.4</v>
      </c>
      <c r="U3161">
        <v>16.850000000000001</v>
      </c>
      <c r="V3161" t="str">
        <f>VLOOKUP(L3161,'[2]tabela de preços'!$A:$D,4,0)</f>
        <v>NORTON</v>
      </c>
      <c r="W3161" t="str">
        <f>VLOOKUP(L3161,'[2]tabela de preços'!$A:$F,6,0)</f>
        <v xml:space="preserve">DISCOS / LIXAS / ABRASIVOS </v>
      </c>
      <c r="X3161" t="str">
        <f>VLOOKUP(L3161,'[2]tabela de preços'!$A:$G,7,0)</f>
        <v>AUTOMOTIVO</v>
      </c>
    </row>
    <row r="3162" spans="1:24" x14ac:dyDescent="0.3">
      <c r="A3162" t="s">
        <v>1302</v>
      </c>
      <c r="C3162" t="s">
        <v>2650</v>
      </c>
      <c r="D3162" s="1">
        <v>46057</v>
      </c>
      <c r="E3162" t="s">
        <v>2651</v>
      </c>
      <c r="F3162">
        <v>9</v>
      </c>
      <c r="G3162">
        <v>236</v>
      </c>
      <c r="H3162" t="str">
        <f>VLOOKUP(G3162,[1]OPERADORES!$A:$B,2,0)</f>
        <v>DANIEL</v>
      </c>
      <c r="I3162" t="s">
        <v>21</v>
      </c>
      <c r="J3162" t="s">
        <v>494</v>
      </c>
      <c r="K3162" t="s">
        <v>1305</v>
      </c>
      <c r="L3162">
        <v>10232</v>
      </c>
      <c r="M3162" t="s">
        <v>134</v>
      </c>
      <c r="O3162" t="s">
        <v>11</v>
      </c>
      <c r="P3162">
        <v>5102</v>
      </c>
      <c r="Q3162">
        <v>20</v>
      </c>
      <c r="R3162">
        <v>2.79</v>
      </c>
      <c r="S3162">
        <v>55.8</v>
      </c>
      <c r="T3162">
        <v>45</v>
      </c>
      <c r="U3162">
        <v>19.350000000000001</v>
      </c>
      <c r="V3162" t="str">
        <f>VLOOKUP(L3162,'[2]tabela de preços'!$A:$D,4,0)</f>
        <v>NORTON</v>
      </c>
      <c r="W3162" t="str">
        <f>VLOOKUP(L3162,'[2]tabela de preços'!$A:$F,6,0)</f>
        <v xml:space="preserve">DISCOS / LIXAS / ABRASIVOS </v>
      </c>
      <c r="X3162" t="str">
        <f>VLOOKUP(L3162,'[2]tabela de preços'!$A:$G,7,0)</f>
        <v>AUTOMOTIVO</v>
      </c>
    </row>
    <row r="3163" spans="1:24" x14ac:dyDescent="0.3">
      <c r="A3163" t="s">
        <v>1302</v>
      </c>
      <c r="C3163" t="s">
        <v>2650</v>
      </c>
      <c r="D3163" s="1">
        <v>46057</v>
      </c>
      <c r="E3163" t="s">
        <v>2651</v>
      </c>
      <c r="F3163">
        <v>9</v>
      </c>
      <c r="G3163">
        <v>236</v>
      </c>
      <c r="H3163" t="str">
        <f>VLOOKUP(G3163,[1]OPERADORES!$A:$B,2,0)</f>
        <v>DANIEL</v>
      </c>
      <c r="I3163" t="s">
        <v>21</v>
      </c>
      <c r="J3163" t="s">
        <v>494</v>
      </c>
      <c r="K3163" t="s">
        <v>1305</v>
      </c>
      <c r="L3163">
        <v>10234</v>
      </c>
      <c r="M3163" t="s">
        <v>157</v>
      </c>
      <c r="O3163" t="s">
        <v>11</v>
      </c>
      <c r="P3163">
        <v>5102</v>
      </c>
      <c r="Q3163">
        <v>20</v>
      </c>
      <c r="R3163">
        <v>2.79</v>
      </c>
      <c r="S3163">
        <v>55.8</v>
      </c>
      <c r="T3163">
        <v>46.4</v>
      </c>
      <c r="U3163">
        <v>16.850000000000001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1302</v>
      </c>
      <c r="C3164" t="s">
        <v>2924</v>
      </c>
      <c r="D3164" s="1">
        <v>46063</v>
      </c>
      <c r="E3164" t="s">
        <v>2925</v>
      </c>
      <c r="F3164">
        <v>9</v>
      </c>
      <c r="G3164">
        <v>236</v>
      </c>
      <c r="H3164" t="str">
        <f>VLOOKUP(G3164,[1]OPERADORES!$A:$B,2,0)</f>
        <v>DANIEL</v>
      </c>
      <c r="I3164" t="s">
        <v>21</v>
      </c>
      <c r="J3164" t="s">
        <v>494</v>
      </c>
      <c r="K3164" t="s">
        <v>1305</v>
      </c>
      <c r="L3164">
        <v>20099</v>
      </c>
      <c r="M3164" t="s">
        <v>1308</v>
      </c>
      <c r="O3164" t="s">
        <v>11</v>
      </c>
      <c r="P3164">
        <v>5403</v>
      </c>
      <c r="Q3164">
        <v>6</v>
      </c>
      <c r="R3164">
        <v>16.46</v>
      </c>
      <c r="S3164">
        <v>98.76</v>
      </c>
      <c r="T3164">
        <v>72.42</v>
      </c>
      <c r="U3164">
        <v>26.67</v>
      </c>
      <c r="V3164" t="str">
        <f>VLOOKUP(L3164,'[2]tabela de preços'!$A:$D,4,0)</f>
        <v>MAXI RUBBER</v>
      </c>
      <c r="W3164" t="str">
        <f>VLOOKUP(L3164,'[2]tabela de preços'!$A:$F,6,0)</f>
        <v>BATIDA DE PEDRA</v>
      </c>
      <c r="X3164" t="str">
        <f>VLOOKUP(L3164,'[2]tabela de preços'!$A:$G,7,0)</f>
        <v>AUTOMOTIVO</v>
      </c>
    </row>
    <row r="3165" spans="1:24" x14ac:dyDescent="0.3">
      <c r="A3165" t="s">
        <v>1302</v>
      </c>
      <c r="C3165" t="s">
        <v>2924</v>
      </c>
      <c r="D3165" s="1">
        <v>46063</v>
      </c>
      <c r="E3165" t="s">
        <v>2925</v>
      </c>
      <c r="F3165">
        <v>9</v>
      </c>
      <c r="G3165">
        <v>236</v>
      </c>
      <c r="H3165" t="str">
        <f>VLOOKUP(G3165,[1]OPERADORES!$A:$B,2,0)</f>
        <v>DANIEL</v>
      </c>
      <c r="I3165" t="s">
        <v>21</v>
      </c>
      <c r="J3165" t="s">
        <v>494</v>
      </c>
      <c r="K3165" t="s">
        <v>1305</v>
      </c>
      <c r="L3165">
        <v>10236</v>
      </c>
      <c r="M3165" t="s">
        <v>133</v>
      </c>
      <c r="O3165" t="s">
        <v>11</v>
      </c>
      <c r="P3165">
        <v>5102</v>
      </c>
      <c r="Q3165">
        <v>20</v>
      </c>
      <c r="R3165">
        <v>2.79</v>
      </c>
      <c r="S3165">
        <v>55.8</v>
      </c>
      <c r="T3165">
        <v>46.4</v>
      </c>
      <c r="U3165">
        <v>16.850000000000001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1302</v>
      </c>
      <c r="C3166" t="s">
        <v>2924</v>
      </c>
      <c r="D3166" s="1">
        <v>46063</v>
      </c>
      <c r="E3166" t="s">
        <v>2925</v>
      </c>
      <c r="F3166">
        <v>9</v>
      </c>
      <c r="G3166">
        <v>236</v>
      </c>
      <c r="H3166" t="str">
        <f>VLOOKUP(G3166,[1]OPERADORES!$A:$B,2,0)</f>
        <v>DANIEL</v>
      </c>
      <c r="I3166" t="s">
        <v>21</v>
      </c>
      <c r="J3166" t="s">
        <v>494</v>
      </c>
      <c r="K3166" t="s">
        <v>1305</v>
      </c>
      <c r="L3166">
        <v>22684</v>
      </c>
      <c r="M3166" t="s">
        <v>73</v>
      </c>
      <c r="O3166" t="s">
        <v>11</v>
      </c>
      <c r="P3166">
        <v>5102</v>
      </c>
      <c r="Q3166">
        <v>4</v>
      </c>
      <c r="R3166">
        <v>3.65</v>
      </c>
      <c r="S3166">
        <v>14.6</v>
      </c>
      <c r="T3166">
        <v>12.32</v>
      </c>
      <c r="U3166">
        <v>15.62</v>
      </c>
      <c r="V3166" t="str">
        <f>VLOOKUP(L3166,'[2]tabela de preços'!$A:$D,4,0)</f>
        <v>3M</v>
      </c>
      <c r="W3166" t="str">
        <f>VLOOKUP(L3166,'[2]tabela de preços'!$A:$F,6,0)</f>
        <v>FITA AUTOMOTIVA</v>
      </c>
      <c r="X3166" t="str">
        <f>VLOOKUP(L3166,'[2]tabela de preços'!$A:$G,7,0)</f>
        <v>AUTOMOTIVO</v>
      </c>
    </row>
    <row r="3167" spans="1:24" x14ac:dyDescent="0.3">
      <c r="A3167" t="s">
        <v>1302</v>
      </c>
      <c r="C3167" t="s">
        <v>3200</v>
      </c>
      <c r="D3167" s="1">
        <v>46071</v>
      </c>
      <c r="E3167" t="s">
        <v>3201</v>
      </c>
      <c r="F3167">
        <v>9</v>
      </c>
      <c r="G3167">
        <v>236</v>
      </c>
      <c r="H3167" t="str">
        <f>VLOOKUP(G3167,[1]OPERADORES!$A:$B,2,0)</f>
        <v>DANIEL</v>
      </c>
      <c r="I3167" t="s">
        <v>21</v>
      </c>
      <c r="J3167" t="s">
        <v>494</v>
      </c>
      <c r="K3167" t="s">
        <v>1305</v>
      </c>
      <c r="L3167">
        <v>10236</v>
      </c>
      <c r="M3167" t="s">
        <v>133</v>
      </c>
      <c r="O3167" t="s">
        <v>11</v>
      </c>
      <c r="P3167">
        <v>5102</v>
      </c>
      <c r="Q3167">
        <v>30</v>
      </c>
      <c r="R3167">
        <v>2.79</v>
      </c>
      <c r="S3167">
        <v>83.7</v>
      </c>
      <c r="T3167">
        <v>69.599999999999994</v>
      </c>
      <c r="U3167">
        <v>16.850000000000001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1302</v>
      </c>
      <c r="C3168" t="s">
        <v>3200</v>
      </c>
      <c r="D3168" s="1">
        <v>46071</v>
      </c>
      <c r="E3168" t="s">
        <v>3201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494</v>
      </c>
      <c r="K3168" t="s">
        <v>1305</v>
      </c>
      <c r="L3168">
        <v>10238</v>
      </c>
      <c r="M3168" t="s">
        <v>79</v>
      </c>
      <c r="O3168" t="s">
        <v>11</v>
      </c>
      <c r="P3168">
        <v>5102</v>
      </c>
      <c r="Q3168">
        <v>20</v>
      </c>
      <c r="R3168">
        <v>2.79</v>
      </c>
      <c r="S3168">
        <v>55.8</v>
      </c>
      <c r="T3168">
        <v>44.8</v>
      </c>
      <c r="U3168">
        <v>19.71</v>
      </c>
      <c r="V3168" t="str">
        <f>VLOOKUP(L3168,'[2]tabela de preços'!$A:$D,4,0)</f>
        <v>NORTON</v>
      </c>
      <c r="W3168" t="str">
        <f>VLOOKUP(L3168,'[2]tabela de preços'!$A:$F,6,0)</f>
        <v xml:space="preserve">DISCOS / LIXAS / ABRASIVOS </v>
      </c>
      <c r="X3168" t="str">
        <f>VLOOKUP(L3168,'[2]tabela de preços'!$A:$G,7,0)</f>
        <v>AUTOMOTIVO</v>
      </c>
    </row>
    <row r="3169" spans="1:24" x14ac:dyDescent="0.3">
      <c r="A3169" t="s">
        <v>1302</v>
      </c>
      <c r="C3169" t="s">
        <v>3200</v>
      </c>
      <c r="D3169" s="1">
        <v>46071</v>
      </c>
      <c r="E3169" t="s">
        <v>3201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494</v>
      </c>
      <c r="K3169" t="s">
        <v>1305</v>
      </c>
      <c r="L3169">
        <v>10243</v>
      </c>
      <c r="M3169" t="s">
        <v>83</v>
      </c>
      <c r="O3169" t="s">
        <v>11</v>
      </c>
      <c r="P3169">
        <v>5102</v>
      </c>
      <c r="Q3169">
        <v>20</v>
      </c>
      <c r="R3169">
        <v>2.79</v>
      </c>
      <c r="S3169">
        <v>55.8</v>
      </c>
      <c r="T3169">
        <v>38.6</v>
      </c>
      <c r="U3169">
        <v>30.82</v>
      </c>
      <c r="V3169" t="str">
        <f>VLOOKUP(L3169,'[2]tabela de preços'!$A:$D,4,0)</f>
        <v>NORTON</v>
      </c>
      <c r="W3169" t="str">
        <f>VLOOKUP(L3169,'[2]tabela de preços'!$A:$F,6,0)</f>
        <v xml:space="preserve">DISCOS / LIXAS / ABRASIVOS </v>
      </c>
      <c r="X3169" t="str">
        <f>VLOOKUP(L3169,'[2]tabela de preços'!$A:$G,7,0)</f>
        <v>AUTOMOTIVO</v>
      </c>
    </row>
    <row r="3170" spans="1:24" x14ac:dyDescent="0.3">
      <c r="A3170" t="s">
        <v>1302</v>
      </c>
      <c r="C3170" t="s">
        <v>3200</v>
      </c>
      <c r="D3170" s="1">
        <v>46071</v>
      </c>
      <c r="E3170" t="s">
        <v>3201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494</v>
      </c>
      <c r="K3170" t="s">
        <v>1305</v>
      </c>
      <c r="L3170">
        <v>10298</v>
      </c>
      <c r="M3170" t="s">
        <v>85</v>
      </c>
      <c r="O3170" t="s">
        <v>11</v>
      </c>
      <c r="P3170">
        <v>5102</v>
      </c>
      <c r="Q3170">
        <v>1</v>
      </c>
      <c r="R3170">
        <v>56.89</v>
      </c>
      <c r="S3170">
        <v>56.89</v>
      </c>
      <c r="T3170">
        <v>47.38</v>
      </c>
      <c r="U3170">
        <v>16.72</v>
      </c>
      <c r="V3170" t="str">
        <f>VLOOKUP(L3170,'[2]tabela de preços'!$A:$D,4,0)</f>
        <v>ANJO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2926</v>
      </c>
      <c r="C3171" t="s">
        <v>2927</v>
      </c>
      <c r="D3171" s="1">
        <v>46063</v>
      </c>
      <c r="E3171" t="s">
        <v>2928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397</v>
      </c>
      <c r="K3171" t="s">
        <v>2929</v>
      </c>
      <c r="L3171">
        <v>84303</v>
      </c>
      <c r="M3171" t="s">
        <v>2930</v>
      </c>
      <c r="O3171" t="s">
        <v>11</v>
      </c>
      <c r="P3171">
        <v>5403</v>
      </c>
      <c r="Q3171">
        <v>1</v>
      </c>
      <c r="R3171">
        <v>47.48</v>
      </c>
      <c r="S3171">
        <v>47.48</v>
      </c>
      <c r="T3171">
        <v>34.81</v>
      </c>
      <c r="U3171">
        <v>26.68</v>
      </c>
      <c r="V3171" t="str">
        <f>VLOOKUP(L3171,'[2]tabela de preços'!$A:$D,4,0)</f>
        <v>BRASILUX</v>
      </c>
      <c r="W3171" t="str">
        <f>VLOOKUP(L3171,'[2]tabela de preços'!$A:$F,6,0)</f>
        <v>TINTA PARA PISO</v>
      </c>
      <c r="X3171" t="str">
        <f>VLOOKUP(L3171,'[2]tabela de preços'!$A:$G,7,0)</f>
        <v>IMOBILIÁRIO</v>
      </c>
    </row>
    <row r="3172" spans="1:24" x14ac:dyDescent="0.3">
      <c r="A3172" t="s">
        <v>2926</v>
      </c>
      <c r="C3172" t="s">
        <v>2927</v>
      </c>
      <c r="D3172" s="1">
        <v>46063</v>
      </c>
      <c r="E3172" t="s">
        <v>2928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397</v>
      </c>
      <c r="K3172" t="s">
        <v>2929</v>
      </c>
      <c r="L3172">
        <v>84383</v>
      </c>
      <c r="M3172" t="s">
        <v>836</v>
      </c>
      <c r="O3172" t="s">
        <v>11</v>
      </c>
      <c r="P3172">
        <v>5403</v>
      </c>
      <c r="Q3172">
        <v>1</v>
      </c>
      <c r="R3172">
        <v>159.9</v>
      </c>
      <c r="S3172">
        <v>159.9</v>
      </c>
      <c r="T3172">
        <v>137.61000000000001</v>
      </c>
      <c r="U3172">
        <v>13.94</v>
      </c>
      <c r="V3172" t="str">
        <f>VLOOKUP(L3172,'[2]tabela de preços'!$A:$D,4,0)</f>
        <v>BRASILUX</v>
      </c>
      <c r="W3172" t="str">
        <f>VLOOKUP(L3172,'[2]tabela de preços'!$A:$F,6,0)</f>
        <v>TINTA PARA PISO</v>
      </c>
      <c r="X3172" t="str">
        <f>VLOOKUP(L3172,'[2]tabela de preços'!$A:$G,7,0)</f>
        <v>IMOBILIÁRIO</v>
      </c>
    </row>
    <row r="3173" spans="1:24" x14ac:dyDescent="0.3">
      <c r="A3173" t="s">
        <v>2926</v>
      </c>
      <c r="C3173" t="s">
        <v>2927</v>
      </c>
      <c r="D3173" s="1">
        <v>46063</v>
      </c>
      <c r="E3173" t="s">
        <v>2928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397</v>
      </c>
      <c r="K3173" t="s">
        <v>2929</v>
      </c>
      <c r="L3173">
        <v>84388</v>
      </c>
      <c r="M3173" t="s">
        <v>1417</v>
      </c>
      <c r="O3173" t="s">
        <v>11</v>
      </c>
      <c r="P3173">
        <v>5403</v>
      </c>
      <c r="Q3173">
        <v>1</v>
      </c>
      <c r="R3173">
        <v>159.9</v>
      </c>
      <c r="S3173">
        <v>159.9</v>
      </c>
      <c r="T3173">
        <v>137.61000000000001</v>
      </c>
      <c r="U3173">
        <v>13.94</v>
      </c>
      <c r="V3173" t="str">
        <f>VLOOKUP(L3173,'[2]tabela de preços'!$A:$D,4,0)</f>
        <v>BRASILUX</v>
      </c>
      <c r="W3173" t="str">
        <f>VLOOKUP(L3173,'[2]tabela de preços'!$A:$F,6,0)</f>
        <v>TINTA PARA PISO</v>
      </c>
      <c r="X3173" t="str">
        <f>VLOOKUP(L3173,'[2]tabela de preços'!$A:$G,7,0)</f>
        <v>IMOBILIÁRIO</v>
      </c>
    </row>
    <row r="3174" spans="1:24" x14ac:dyDescent="0.3">
      <c r="A3174" t="s">
        <v>2926</v>
      </c>
      <c r="C3174" t="s">
        <v>2927</v>
      </c>
      <c r="D3174" s="1">
        <v>46063</v>
      </c>
      <c r="E3174" t="s">
        <v>2928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397</v>
      </c>
      <c r="K3174" t="s">
        <v>2929</v>
      </c>
      <c r="L3174">
        <v>85057</v>
      </c>
      <c r="M3174" t="s">
        <v>2931</v>
      </c>
      <c r="O3174" t="s">
        <v>11</v>
      </c>
      <c r="P3174">
        <v>5102</v>
      </c>
      <c r="Q3174">
        <v>3</v>
      </c>
      <c r="R3174">
        <v>10.87</v>
      </c>
      <c r="S3174">
        <v>32.61</v>
      </c>
      <c r="T3174">
        <v>23.91</v>
      </c>
      <c r="U3174">
        <v>26.68</v>
      </c>
      <c r="V3174" t="str">
        <f>VLOOKUP(L3174,'[2]tabela de preços'!$A:$D,4,0)</f>
        <v>ATLAS</v>
      </c>
      <c r="W3174" t="str">
        <f>VLOOKUP(L3174,'[2]tabela de preços'!$A:$F,6,0)</f>
        <v>ROLOS / TRINCHAS / PINCÉIS / ESPÁTULAS</v>
      </c>
      <c r="X3174" t="str">
        <f>VLOOKUP(L3174,'[2]tabela de preços'!$A:$G,7,0)</f>
        <v>IMOBILIÁRIO</v>
      </c>
    </row>
    <row r="3175" spans="1:24" x14ac:dyDescent="0.3">
      <c r="A3175" t="s">
        <v>2926</v>
      </c>
      <c r="C3175" t="s">
        <v>2927</v>
      </c>
      <c r="D3175" s="1">
        <v>46063</v>
      </c>
      <c r="E3175" t="s">
        <v>2928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397</v>
      </c>
      <c r="K3175" t="s">
        <v>2929</v>
      </c>
      <c r="L3175">
        <v>85038</v>
      </c>
      <c r="M3175" t="s">
        <v>2220</v>
      </c>
      <c r="O3175" t="s">
        <v>11</v>
      </c>
      <c r="P3175">
        <v>5102</v>
      </c>
      <c r="Q3175">
        <v>2</v>
      </c>
      <c r="R3175">
        <v>8.69</v>
      </c>
      <c r="S3175">
        <v>17.38</v>
      </c>
      <c r="T3175">
        <v>12.74</v>
      </c>
      <c r="U3175">
        <v>26.7</v>
      </c>
      <c r="V3175" t="str">
        <f>VLOOKUP(L3175,'[2]tabela de preços'!$A:$D,4,0)</f>
        <v>ATLAS</v>
      </c>
      <c r="W3175" t="str">
        <f>VLOOKUP(L3175,'[2]tabela de preços'!$A:$F,6,0)</f>
        <v>ROLOS / TRINCHAS / PINCÉIS / ESPÁTULAS</v>
      </c>
      <c r="X3175" t="str">
        <f>VLOOKUP(L3175,'[2]tabela de preços'!$A:$G,7,0)</f>
        <v>IMOBILIÁRIO</v>
      </c>
    </row>
    <row r="3176" spans="1:24" x14ac:dyDescent="0.3">
      <c r="A3176" t="s">
        <v>1324</v>
      </c>
      <c r="C3176" t="s">
        <v>3202</v>
      </c>
      <c r="D3176" s="1">
        <v>46065</v>
      </c>
      <c r="E3176" t="s">
        <v>3203</v>
      </c>
      <c r="F3176">
        <v>9</v>
      </c>
      <c r="G3176">
        <v>197</v>
      </c>
      <c r="H3176" t="str">
        <f>VLOOKUP(G3176,[1]OPERADORES!$A:$B,2,0)</f>
        <v xml:space="preserve">POLIANA LORRANE DE AMORIM </v>
      </c>
      <c r="I3176" t="s">
        <v>1327</v>
      </c>
      <c r="J3176" t="s">
        <v>1328</v>
      </c>
      <c r="K3176" t="s">
        <v>1329</v>
      </c>
      <c r="L3176">
        <v>23110</v>
      </c>
      <c r="M3176" t="s">
        <v>409</v>
      </c>
      <c r="O3176" t="s">
        <v>11</v>
      </c>
      <c r="P3176">
        <v>6102</v>
      </c>
      <c r="Q3176">
        <v>50</v>
      </c>
      <c r="R3176">
        <v>2.35</v>
      </c>
      <c r="S3176">
        <v>117.5</v>
      </c>
      <c r="T3176">
        <v>92.5</v>
      </c>
      <c r="U3176">
        <v>21.28</v>
      </c>
      <c r="V3176" t="str">
        <f>VLOOKUP(L3176,'[2]tabela de preços'!$A:$D,4,0)</f>
        <v>3M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1324</v>
      </c>
      <c r="C3177" t="s">
        <v>3202</v>
      </c>
      <c r="D3177" s="1">
        <v>46065</v>
      </c>
      <c r="E3177" t="s">
        <v>3203</v>
      </c>
      <c r="F3177">
        <v>9</v>
      </c>
      <c r="G3177">
        <v>197</v>
      </c>
      <c r="H3177" t="str">
        <f>VLOOKUP(G3177,[1]OPERADORES!$A:$B,2,0)</f>
        <v xml:space="preserve">POLIANA LORRANE DE AMORIM </v>
      </c>
      <c r="I3177" t="s">
        <v>1327</v>
      </c>
      <c r="J3177" t="s">
        <v>1328</v>
      </c>
      <c r="K3177" t="s">
        <v>1329</v>
      </c>
      <c r="L3177">
        <v>23107</v>
      </c>
      <c r="M3177" t="s">
        <v>247</v>
      </c>
      <c r="O3177" t="s">
        <v>11</v>
      </c>
      <c r="P3177">
        <v>6102</v>
      </c>
      <c r="Q3177">
        <v>50</v>
      </c>
      <c r="R3177">
        <v>2.35</v>
      </c>
      <c r="S3177">
        <v>117.5</v>
      </c>
      <c r="T3177">
        <v>92.5</v>
      </c>
      <c r="U3177">
        <v>21.28</v>
      </c>
      <c r="V3177" t="str">
        <f>VLOOKUP(L3177,'[2]tabela de preços'!$A:$D,4,0)</f>
        <v>3M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1324</v>
      </c>
      <c r="C3178" t="s">
        <v>3202</v>
      </c>
      <c r="D3178" s="1">
        <v>46065</v>
      </c>
      <c r="E3178" t="s">
        <v>3203</v>
      </c>
      <c r="F3178">
        <v>9</v>
      </c>
      <c r="G3178">
        <v>197</v>
      </c>
      <c r="H3178" t="str">
        <f>VLOOKUP(G3178,[1]OPERADORES!$A:$B,2,0)</f>
        <v xml:space="preserve">POLIANA LORRANE DE AMORIM </v>
      </c>
      <c r="I3178" t="s">
        <v>1327</v>
      </c>
      <c r="J3178" t="s">
        <v>1328</v>
      </c>
      <c r="K3178" t="s">
        <v>1329</v>
      </c>
      <c r="L3178">
        <v>9784</v>
      </c>
      <c r="M3178" t="s">
        <v>1330</v>
      </c>
      <c r="O3178" t="s">
        <v>11</v>
      </c>
      <c r="P3178">
        <v>6102</v>
      </c>
      <c r="Q3178">
        <v>6</v>
      </c>
      <c r="R3178">
        <v>10.46</v>
      </c>
      <c r="S3178">
        <v>62.76</v>
      </c>
      <c r="T3178">
        <v>47.64</v>
      </c>
      <c r="U3178">
        <v>24.09</v>
      </c>
      <c r="V3178" t="str">
        <f>VLOOKUP(L3178,'[2]tabela de preços'!$A:$D,4,0)</f>
        <v>WANDA</v>
      </c>
      <c r="W3178" t="str">
        <f>VLOOKUP(L3178,'[2]tabela de preços'!$A:$F,6,0)</f>
        <v>CATALISADORES INDIVIDUAS</v>
      </c>
      <c r="X3178" t="str">
        <f>VLOOKUP(L3178,'[2]tabela de preços'!$A:$G,7,0)</f>
        <v>AUTOMOTIVO</v>
      </c>
    </row>
    <row r="3179" spans="1:24" x14ac:dyDescent="0.3">
      <c r="A3179" t="s">
        <v>1324</v>
      </c>
      <c r="C3179" t="s">
        <v>3202</v>
      </c>
      <c r="D3179" s="1">
        <v>46065</v>
      </c>
      <c r="E3179" t="s">
        <v>3203</v>
      </c>
      <c r="F3179">
        <v>9</v>
      </c>
      <c r="G3179">
        <v>197</v>
      </c>
      <c r="H3179" t="str">
        <f>VLOOKUP(G3179,[1]OPERADORES!$A:$B,2,0)</f>
        <v xml:space="preserve">POLIANA LORRANE DE AMORIM </v>
      </c>
      <c r="I3179" t="s">
        <v>1327</v>
      </c>
      <c r="J3179" t="s">
        <v>1328</v>
      </c>
      <c r="K3179" t="s">
        <v>1329</v>
      </c>
      <c r="L3179">
        <v>9786</v>
      </c>
      <c r="M3179" t="s">
        <v>3204</v>
      </c>
      <c r="O3179" t="s">
        <v>11</v>
      </c>
      <c r="P3179">
        <v>6102</v>
      </c>
      <c r="Q3179">
        <v>6</v>
      </c>
      <c r="R3179">
        <v>13.78</v>
      </c>
      <c r="S3179">
        <v>82.68</v>
      </c>
      <c r="T3179">
        <v>62.76</v>
      </c>
      <c r="U3179">
        <v>24.09</v>
      </c>
      <c r="V3179" t="str">
        <f>VLOOKUP(L3179,'[2]tabela de preços'!$A:$D,4,0)</f>
        <v>WANDA</v>
      </c>
      <c r="W3179" t="str">
        <f>VLOOKUP(L3179,'[2]tabela de preços'!$A:$F,6,0)</f>
        <v>CATALISADORES INDIVIDUAS</v>
      </c>
      <c r="X3179" t="str">
        <f>VLOOKUP(L3179,'[2]tabela de preços'!$A:$G,7,0)</f>
        <v>AUTOMOTIVO</v>
      </c>
    </row>
    <row r="3180" spans="1:24" x14ac:dyDescent="0.3">
      <c r="A3180" t="s">
        <v>1324</v>
      </c>
      <c r="C3180" t="s">
        <v>3202</v>
      </c>
      <c r="D3180" s="1">
        <v>46065</v>
      </c>
      <c r="E3180" t="s">
        <v>3203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1327</v>
      </c>
      <c r="J3180" t="s">
        <v>1328</v>
      </c>
      <c r="K3180" t="s">
        <v>1329</v>
      </c>
      <c r="L3180">
        <v>22684</v>
      </c>
      <c r="M3180" t="s">
        <v>73</v>
      </c>
      <c r="O3180" t="s">
        <v>11</v>
      </c>
      <c r="P3180">
        <v>6102</v>
      </c>
      <c r="Q3180">
        <v>80</v>
      </c>
      <c r="R3180">
        <v>3.65</v>
      </c>
      <c r="S3180">
        <v>292</v>
      </c>
      <c r="T3180">
        <v>246.4</v>
      </c>
      <c r="U3180">
        <v>15.62</v>
      </c>
      <c r="V3180" t="str">
        <f>VLOOKUP(L3180,'[2]tabela de preços'!$A:$D,4,0)</f>
        <v>3M</v>
      </c>
      <c r="W3180" t="str">
        <f>VLOOKUP(L3180,'[2]tabela de preços'!$A:$F,6,0)</f>
        <v>FITA AUTOMOTIVA</v>
      </c>
      <c r="X3180" t="str">
        <f>VLOOKUP(L3180,'[2]tabela de preços'!$A:$G,7,0)</f>
        <v>AUTOMOTIVO</v>
      </c>
    </row>
    <row r="3181" spans="1:24" x14ac:dyDescent="0.3">
      <c r="A3181" t="s">
        <v>1324</v>
      </c>
      <c r="C3181" t="s">
        <v>3202</v>
      </c>
      <c r="D3181" s="1">
        <v>46065</v>
      </c>
      <c r="E3181" t="s">
        <v>3203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1327</v>
      </c>
      <c r="J3181" t="s">
        <v>1328</v>
      </c>
      <c r="K3181" t="s">
        <v>1329</v>
      </c>
      <c r="L3181">
        <v>85621</v>
      </c>
      <c r="M3181" t="s">
        <v>1656</v>
      </c>
      <c r="O3181" t="s">
        <v>11</v>
      </c>
      <c r="P3181">
        <v>6102</v>
      </c>
      <c r="Q3181">
        <v>4</v>
      </c>
      <c r="R3181">
        <v>16.75</v>
      </c>
      <c r="S3181">
        <v>67</v>
      </c>
      <c r="T3181">
        <v>49.12</v>
      </c>
      <c r="U3181">
        <v>26.69</v>
      </c>
      <c r="V3181" t="str">
        <f>VLOOKUP(L3181,'[2]tabela de preços'!$A:$D,4,0)</f>
        <v>ADERE</v>
      </c>
      <c r="W3181" t="str">
        <f>VLOOKUP(L3181,'[2]tabela de preços'!$A:$F,6,0)</f>
        <v xml:space="preserve">FITA DE USO GERAL </v>
      </c>
      <c r="X3181" t="str">
        <f>VLOOKUP(L3181,'[2]tabela de preços'!$A:$G,7,0)</f>
        <v>IMOBILIÁRIO</v>
      </c>
    </row>
    <row r="3182" spans="1:24" x14ac:dyDescent="0.3">
      <c r="A3182" t="s">
        <v>1324</v>
      </c>
      <c r="C3182" t="s">
        <v>3202</v>
      </c>
      <c r="D3182" s="1">
        <v>46065</v>
      </c>
      <c r="E3182" t="s">
        <v>3203</v>
      </c>
      <c r="F3182">
        <v>9</v>
      </c>
      <c r="G3182">
        <v>197</v>
      </c>
      <c r="H3182" t="str">
        <f>VLOOKUP(G3182,[1]OPERADORES!$A:$B,2,0)</f>
        <v xml:space="preserve">POLIANA LORRANE DE AMORIM </v>
      </c>
      <c r="I3182" t="s">
        <v>1327</v>
      </c>
      <c r="J3182" t="s">
        <v>1328</v>
      </c>
      <c r="K3182" t="s">
        <v>1329</v>
      </c>
      <c r="L3182">
        <v>20414</v>
      </c>
      <c r="M3182" t="s">
        <v>112</v>
      </c>
      <c r="O3182" t="s">
        <v>11</v>
      </c>
      <c r="P3182">
        <v>6102</v>
      </c>
      <c r="Q3182">
        <v>20</v>
      </c>
      <c r="R3182">
        <v>21.89</v>
      </c>
      <c r="S3182">
        <v>437.8</v>
      </c>
      <c r="T3182">
        <v>360</v>
      </c>
      <c r="U3182">
        <v>17.77</v>
      </c>
      <c r="V3182" t="str">
        <f>VLOOKUP(L3182,'[2]tabela de preços'!$A:$D,4,0)</f>
        <v>SHERWIN WILLIAMS</v>
      </c>
      <c r="W3182" t="str">
        <f>VLOOKUP(L3182,'[2]tabela de preços'!$A:$F,6,0)</f>
        <v>DILUENTE</v>
      </c>
      <c r="X3182" t="str">
        <f>VLOOKUP(L3182,'[2]tabela de preços'!$A:$G,7,0)</f>
        <v>AUTOMOTIVO</v>
      </c>
    </row>
    <row r="3183" spans="1:24" x14ac:dyDescent="0.3">
      <c r="A3183" t="s">
        <v>1337</v>
      </c>
      <c r="C3183" t="s">
        <v>2445</v>
      </c>
      <c r="D3183" s="1">
        <v>46055</v>
      </c>
      <c r="E3183" t="s">
        <v>2446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1340</v>
      </c>
      <c r="K3183" t="s">
        <v>1341</v>
      </c>
      <c r="L3183">
        <v>24248</v>
      </c>
      <c r="M3183" t="s">
        <v>107</v>
      </c>
      <c r="O3183" t="s">
        <v>11</v>
      </c>
      <c r="P3183">
        <v>5102</v>
      </c>
      <c r="Q3183">
        <v>8</v>
      </c>
      <c r="R3183">
        <v>8</v>
      </c>
      <c r="S3183">
        <v>64</v>
      </c>
      <c r="T3183">
        <v>52</v>
      </c>
      <c r="U3183">
        <v>18.75</v>
      </c>
      <c r="V3183" t="str">
        <f>VLOOKUP(L3183,'[2]tabela de preços'!$A:$D,4,0)</f>
        <v>SHERWIN WILLIAMS</v>
      </c>
      <c r="W3183" t="str">
        <f>VLOOKUP(L3183,'[2]tabela de preços'!$A:$F,6,0)</f>
        <v>PRIMER AUTOMOTIVO</v>
      </c>
      <c r="X3183" t="str">
        <f>VLOOKUP(L3183,'[2]tabela de preços'!$A:$G,7,0)</f>
        <v>AUTOMOTIVO</v>
      </c>
    </row>
    <row r="3184" spans="1:24" x14ac:dyDescent="0.3">
      <c r="A3184" t="s">
        <v>1337</v>
      </c>
      <c r="C3184" t="s">
        <v>2445</v>
      </c>
      <c r="D3184" s="1">
        <v>46055</v>
      </c>
      <c r="E3184" t="s">
        <v>2446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1340</v>
      </c>
      <c r="K3184" t="s">
        <v>1341</v>
      </c>
      <c r="L3184">
        <v>22684</v>
      </c>
      <c r="M3184" t="s">
        <v>73</v>
      </c>
      <c r="O3184" t="s">
        <v>11</v>
      </c>
      <c r="P3184">
        <v>5102</v>
      </c>
      <c r="Q3184">
        <v>10</v>
      </c>
      <c r="R3184">
        <v>3.65</v>
      </c>
      <c r="S3184">
        <v>36.5</v>
      </c>
      <c r="T3184">
        <v>30.8</v>
      </c>
      <c r="U3184">
        <v>15.62</v>
      </c>
      <c r="V3184" t="str">
        <f>VLOOKUP(L3184,'[2]tabela de preços'!$A:$D,4,0)</f>
        <v>3M</v>
      </c>
      <c r="W3184" t="str">
        <f>VLOOKUP(L3184,'[2]tabela de preços'!$A:$F,6,0)</f>
        <v>FITA AUTOMOTIVA</v>
      </c>
      <c r="X3184" t="str">
        <f>VLOOKUP(L3184,'[2]tabela de preços'!$A:$G,7,0)</f>
        <v>AUTOMOTIVO</v>
      </c>
    </row>
    <row r="3185" spans="1:24" x14ac:dyDescent="0.3">
      <c r="A3185" t="s">
        <v>1337</v>
      </c>
      <c r="C3185" t="s">
        <v>2445</v>
      </c>
      <c r="D3185" s="1">
        <v>46055</v>
      </c>
      <c r="E3185" t="s">
        <v>2446</v>
      </c>
      <c r="F3185">
        <v>9</v>
      </c>
      <c r="G3185">
        <v>174</v>
      </c>
      <c r="H3185" t="str">
        <f>VLOOKUP(G3185,[1]OPERADORES!$A:$B,2,0)</f>
        <v>MIRIÃ LOBATO RODRIGUES</v>
      </c>
      <c r="I3185" t="s">
        <v>21</v>
      </c>
      <c r="J3185" t="s">
        <v>1340</v>
      </c>
      <c r="K3185" t="s">
        <v>1341</v>
      </c>
      <c r="L3185">
        <v>10242</v>
      </c>
      <c r="M3185" t="s">
        <v>82</v>
      </c>
      <c r="O3185" t="s">
        <v>11</v>
      </c>
      <c r="P3185">
        <v>5102</v>
      </c>
      <c r="Q3185">
        <v>10</v>
      </c>
      <c r="R3185">
        <v>2.79</v>
      </c>
      <c r="S3185">
        <v>27.9</v>
      </c>
      <c r="T3185">
        <v>22.4</v>
      </c>
      <c r="U3185">
        <v>19.71</v>
      </c>
      <c r="V3185" t="str">
        <f>VLOOKUP(L3185,'[2]tabela de preços'!$A:$D,4,0)</f>
        <v>NORTON</v>
      </c>
      <c r="W3185" t="str">
        <f>VLOOKUP(L3185,'[2]tabela de preços'!$A:$F,6,0)</f>
        <v xml:space="preserve">DISCOS / LIXAS / ABRASIVOS </v>
      </c>
      <c r="X3185" t="str">
        <f>VLOOKUP(L3185,'[2]tabela de preços'!$A:$G,7,0)</f>
        <v>AUTOMOTIVO</v>
      </c>
    </row>
    <row r="3186" spans="1:24" x14ac:dyDescent="0.3">
      <c r="A3186" t="s">
        <v>1337</v>
      </c>
      <c r="C3186" t="s">
        <v>2445</v>
      </c>
      <c r="D3186" s="1">
        <v>46055</v>
      </c>
      <c r="E3186" t="s">
        <v>2446</v>
      </c>
      <c r="F3186">
        <v>9</v>
      </c>
      <c r="G3186">
        <v>174</v>
      </c>
      <c r="H3186" t="str">
        <f>VLOOKUP(G3186,[1]OPERADORES!$A:$B,2,0)</f>
        <v>MIRIÃ LOBATO RODRIGUES</v>
      </c>
      <c r="I3186" t="s">
        <v>21</v>
      </c>
      <c r="J3186" t="s">
        <v>1340</v>
      </c>
      <c r="K3186" t="s">
        <v>1341</v>
      </c>
      <c r="L3186">
        <v>10243</v>
      </c>
      <c r="M3186" t="s">
        <v>83</v>
      </c>
      <c r="O3186" t="s">
        <v>11</v>
      </c>
      <c r="P3186">
        <v>5102</v>
      </c>
      <c r="Q3186">
        <v>10</v>
      </c>
      <c r="R3186">
        <v>2.79</v>
      </c>
      <c r="S3186">
        <v>27.9</v>
      </c>
      <c r="T3186">
        <v>19.3</v>
      </c>
      <c r="U3186">
        <v>30.82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1337</v>
      </c>
      <c r="C3187" t="s">
        <v>2445</v>
      </c>
      <c r="D3187" s="1">
        <v>46055</v>
      </c>
      <c r="E3187" t="s">
        <v>2446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1340</v>
      </c>
      <c r="K3187" t="s">
        <v>1341</v>
      </c>
      <c r="L3187">
        <v>10245</v>
      </c>
      <c r="M3187" t="s">
        <v>195</v>
      </c>
      <c r="O3187" t="s">
        <v>11</v>
      </c>
      <c r="P3187">
        <v>5102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1337</v>
      </c>
      <c r="C3188" t="s">
        <v>2445</v>
      </c>
      <c r="D3188" s="1">
        <v>46055</v>
      </c>
      <c r="E3188" t="s">
        <v>2446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21</v>
      </c>
      <c r="J3188" t="s">
        <v>1340</v>
      </c>
      <c r="K3188" t="s">
        <v>1341</v>
      </c>
      <c r="L3188">
        <v>21078</v>
      </c>
      <c r="M3188" t="s">
        <v>141</v>
      </c>
      <c r="O3188" t="s">
        <v>11</v>
      </c>
      <c r="P3188">
        <v>5102</v>
      </c>
      <c r="Q3188">
        <v>8</v>
      </c>
      <c r="R3188">
        <v>19.46</v>
      </c>
      <c r="S3188">
        <v>155.68</v>
      </c>
      <c r="T3188">
        <v>149.28</v>
      </c>
      <c r="U3188">
        <v>4.1100000000000003</v>
      </c>
      <c r="V3188" t="str">
        <f>VLOOKUP(L3188,'[2]tabela de preços'!$A:$D,4,0)</f>
        <v>SHERWIN WILLIAMS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1337</v>
      </c>
      <c r="C3189" t="s">
        <v>2445</v>
      </c>
      <c r="D3189" s="1">
        <v>46055</v>
      </c>
      <c r="E3189" t="s">
        <v>2446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21</v>
      </c>
      <c r="J3189" t="s">
        <v>1340</v>
      </c>
      <c r="K3189" t="s">
        <v>1341</v>
      </c>
      <c r="L3189">
        <v>24247</v>
      </c>
      <c r="M3189" t="s">
        <v>160</v>
      </c>
      <c r="O3189" t="s">
        <v>11</v>
      </c>
      <c r="P3189">
        <v>5405</v>
      </c>
      <c r="Q3189">
        <v>8</v>
      </c>
      <c r="R3189">
        <v>21</v>
      </c>
      <c r="S3189">
        <v>168</v>
      </c>
      <c r="T3189">
        <v>134.96</v>
      </c>
      <c r="U3189">
        <v>19.670000000000002</v>
      </c>
      <c r="V3189" t="str">
        <f>VLOOKUP(L3189,'[2]tabela de preços'!$A:$D,4,0)</f>
        <v>SHERWIN WILLIAMS</v>
      </c>
      <c r="W3189" t="str">
        <f>VLOOKUP(L3189,'[2]tabela de preços'!$A:$F,6,0)</f>
        <v>PRIMER AUTOMOTIVO</v>
      </c>
      <c r="X3189" t="str">
        <f>VLOOKUP(L3189,'[2]tabela de preços'!$A:$G,7,0)</f>
        <v>AUTOMOTIVO</v>
      </c>
    </row>
    <row r="3190" spans="1:24" x14ac:dyDescent="0.3">
      <c r="A3190" t="s">
        <v>1337</v>
      </c>
      <c r="C3190" t="s">
        <v>2445</v>
      </c>
      <c r="D3190" s="1">
        <v>46055</v>
      </c>
      <c r="E3190" t="s">
        <v>2446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1340</v>
      </c>
      <c r="K3190" t="s">
        <v>1341</v>
      </c>
      <c r="L3190">
        <v>10298</v>
      </c>
      <c r="M3190" t="s">
        <v>85</v>
      </c>
      <c r="O3190" t="s">
        <v>11</v>
      </c>
      <c r="P3190">
        <v>5102</v>
      </c>
      <c r="Q3190">
        <v>20</v>
      </c>
      <c r="R3190">
        <v>54.9</v>
      </c>
      <c r="S3190" s="2">
        <v>1098</v>
      </c>
      <c r="T3190">
        <v>947.6</v>
      </c>
      <c r="U3190">
        <v>13.7</v>
      </c>
      <c r="V3190" t="str">
        <f>VLOOKUP(L3190,'[2]tabela de preços'!$A:$D,4,0)</f>
        <v>ANJO</v>
      </c>
      <c r="W3190" t="str">
        <f>VLOOKUP(L3190,'[2]tabela de preços'!$A:$F,6,0)</f>
        <v>THINNER DE LIMPEZA</v>
      </c>
      <c r="X3190" t="str">
        <f>VLOOKUP(L3190,'[2]tabela de preços'!$A:$G,7,0)</f>
        <v>THINNER</v>
      </c>
    </row>
    <row r="3191" spans="1:24" x14ac:dyDescent="0.3">
      <c r="A3191" t="s">
        <v>1337</v>
      </c>
      <c r="C3191" t="s">
        <v>2445</v>
      </c>
      <c r="D3191" s="1">
        <v>46055</v>
      </c>
      <c r="E3191" t="s">
        <v>2446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1340</v>
      </c>
      <c r="K3191" t="s">
        <v>1341</v>
      </c>
      <c r="L3191">
        <v>20414</v>
      </c>
      <c r="M3191" t="s">
        <v>112</v>
      </c>
      <c r="O3191" t="s">
        <v>11</v>
      </c>
      <c r="P3191">
        <v>5102</v>
      </c>
      <c r="Q3191">
        <v>30</v>
      </c>
      <c r="R3191">
        <v>21.89</v>
      </c>
      <c r="S3191">
        <v>656.7</v>
      </c>
      <c r="T3191">
        <v>540</v>
      </c>
      <c r="U3191">
        <v>17.77</v>
      </c>
      <c r="V3191" t="str">
        <f>VLOOKUP(L3191,'[2]tabela de preços'!$A:$D,4,0)</f>
        <v>SHERWIN WILLIAMS</v>
      </c>
      <c r="W3191" t="str">
        <f>VLOOKUP(L3191,'[2]tabela de preços'!$A:$F,6,0)</f>
        <v>DILUENTE</v>
      </c>
      <c r="X3191" t="str">
        <f>VLOOKUP(L3191,'[2]tabela de preços'!$A:$G,7,0)</f>
        <v>AUTOMOTIVO</v>
      </c>
    </row>
    <row r="3192" spans="1:24" x14ac:dyDescent="0.3">
      <c r="A3192" t="s">
        <v>1337</v>
      </c>
      <c r="C3192" t="s">
        <v>3205</v>
      </c>
      <c r="D3192" s="1">
        <v>46071</v>
      </c>
      <c r="E3192" t="s">
        <v>3206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1340</v>
      </c>
      <c r="K3192" t="s">
        <v>1341</v>
      </c>
      <c r="L3192">
        <v>10226</v>
      </c>
      <c r="M3192" t="s">
        <v>145</v>
      </c>
      <c r="O3192" t="s">
        <v>11</v>
      </c>
      <c r="P3192">
        <v>5102</v>
      </c>
      <c r="Q3192">
        <v>10</v>
      </c>
      <c r="R3192">
        <v>2.79</v>
      </c>
      <c r="S3192">
        <v>27.9</v>
      </c>
      <c r="T3192">
        <v>23.2</v>
      </c>
      <c r="U3192">
        <v>16.850000000000001</v>
      </c>
      <c r="V3192" t="str">
        <f>VLOOKUP(L3192,'[2]tabela de preços'!$A:$D,4,0)</f>
        <v>NORTON</v>
      </c>
      <c r="W3192" t="str">
        <f>VLOOKUP(L3192,'[2]tabela de preços'!$A:$F,6,0)</f>
        <v xml:space="preserve">DISCOS / LIXAS / ABRASIVOS </v>
      </c>
      <c r="X3192" t="str">
        <f>VLOOKUP(L3192,'[2]tabela de preços'!$A:$G,7,0)</f>
        <v>AUTOMOTIVO</v>
      </c>
    </row>
    <row r="3193" spans="1:24" x14ac:dyDescent="0.3">
      <c r="A3193" t="s">
        <v>1337</v>
      </c>
      <c r="C3193" t="s">
        <v>3205</v>
      </c>
      <c r="D3193" s="1">
        <v>46071</v>
      </c>
      <c r="E3193" t="s">
        <v>3206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1340</v>
      </c>
      <c r="K3193" t="s">
        <v>1341</v>
      </c>
      <c r="L3193">
        <v>24248</v>
      </c>
      <c r="M3193" t="s">
        <v>107</v>
      </c>
      <c r="O3193" t="s">
        <v>11</v>
      </c>
      <c r="P3193">
        <v>5102</v>
      </c>
      <c r="Q3193">
        <v>12</v>
      </c>
      <c r="R3193">
        <v>8</v>
      </c>
      <c r="S3193">
        <v>96</v>
      </c>
      <c r="T3193">
        <v>78</v>
      </c>
      <c r="U3193">
        <v>18.75</v>
      </c>
      <c r="V3193" t="str">
        <f>VLOOKUP(L3193,'[2]tabela de preços'!$A:$D,4,0)</f>
        <v>SHERWIN WILLIAMS</v>
      </c>
      <c r="W3193" t="str">
        <f>VLOOKUP(L3193,'[2]tabela de preços'!$A:$F,6,0)</f>
        <v>PRIMER AUTOMOTIVO</v>
      </c>
      <c r="X3193" t="str">
        <f>VLOOKUP(L3193,'[2]tabela de preços'!$A:$G,7,0)</f>
        <v>AUTOMOTIVO</v>
      </c>
    </row>
    <row r="3194" spans="1:24" x14ac:dyDescent="0.3">
      <c r="A3194" t="s">
        <v>1337</v>
      </c>
      <c r="C3194" t="s">
        <v>3205</v>
      </c>
      <c r="D3194" s="1">
        <v>46071</v>
      </c>
      <c r="E3194" t="s">
        <v>3206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1340</v>
      </c>
      <c r="K3194" t="s">
        <v>1341</v>
      </c>
      <c r="L3194">
        <v>23076</v>
      </c>
      <c r="M3194" t="s">
        <v>97</v>
      </c>
      <c r="O3194" t="s">
        <v>11</v>
      </c>
      <c r="P3194">
        <v>5405</v>
      </c>
      <c r="Q3194">
        <v>12</v>
      </c>
      <c r="R3194">
        <v>34.89</v>
      </c>
      <c r="S3194">
        <v>418.68</v>
      </c>
      <c r="T3194">
        <v>318.36</v>
      </c>
      <c r="U3194">
        <v>23.96</v>
      </c>
      <c r="V3194" t="str">
        <f>VLOOKUP(L3194,'[2]tabela de preços'!$A:$D,4,0)</f>
        <v>WANDA</v>
      </c>
      <c r="W3194" t="str">
        <f>VLOOKUP(L3194,'[2]tabela de preços'!$A:$F,6,0)</f>
        <v>PRIMER AUTOMOTIVO</v>
      </c>
      <c r="X3194" t="str">
        <f>VLOOKUP(L3194,'[2]tabela de preços'!$A:$G,7,0)</f>
        <v>AUTOMOTIVO</v>
      </c>
    </row>
    <row r="3195" spans="1:24" x14ac:dyDescent="0.3">
      <c r="A3195" t="s">
        <v>1337</v>
      </c>
      <c r="C3195" t="s">
        <v>3205</v>
      </c>
      <c r="D3195" s="1">
        <v>46071</v>
      </c>
      <c r="E3195" t="s">
        <v>3206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1340</v>
      </c>
      <c r="K3195" t="s">
        <v>1341</v>
      </c>
      <c r="L3195">
        <v>21078</v>
      </c>
      <c r="M3195" t="s">
        <v>141</v>
      </c>
      <c r="O3195" t="s">
        <v>11</v>
      </c>
      <c r="P3195">
        <v>5102</v>
      </c>
      <c r="Q3195">
        <v>12</v>
      </c>
      <c r="R3195">
        <v>22.89</v>
      </c>
      <c r="S3195">
        <v>274.68</v>
      </c>
      <c r="T3195">
        <v>223.92</v>
      </c>
      <c r="U3195">
        <v>18.48</v>
      </c>
      <c r="V3195" t="str">
        <f>VLOOKUP(L3195,'[2]tabela de preços'!$A:$D,4,0)</f>
        <v>SHERWIN WILLIAMS</v>
      </c>
      <c r="W3195" t="str">
        <f>VLOOKUP(L3195,'[2]tabela de preços'!$A:$F,6,0)</f>
        <v>MASSA POLIÉSTER</v>
      </c>
      <c r="X3195" t="str">
        <f>VLOOKUP(L3195,'[2]tabela de preços'!$A:$G,7,0)</f>
        <v>AUTOMOTIVO</v>
      </c>
    </row>
    <row r="3196" spans="1:24" x14ac:dyDescent="0.3">
      <c r="A3196" t="s">
        <v>1337</v>
      </c>
      <c r="C3196" t="s">
        <v>3205</v>
      </c>
      <c r="D3196" s="1">
        <v>46071</v>
      </c>
      <c r="E3196" t="s">
        <v>3206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1340</v>
      </c>
      <c r="K3196" t="s">
        <v>1341</v>
      </c>
      <c r="L3196">
        <v>24247</v>
      </c>
      <c r="M3196" t="s">
        <v>160</v>
      </c>
      <c r="O3196" t="s">
        <v>11</v>
      </c>
      <c r="P3196">
        <v>5405</v>
      </c>
      <c r="Q3196">
        <v>12</v>
      </c>
      <c r="R3196">
        <v>21</v>
      </c>
      <c r="S3196">
        <v>252</v>
      </c>
      <c r="T3196">
        <v>202.44</v>
      </c>
      <c r="U3196">
        <v>19.670000000000002</v>
      </c>
      <c r="V3196" t="str">
        <f>VLOOKUP(L3196,'[2]tabela de preços'!$A:$D,4,0)</f>
        <v>SHERWIN WILLIAMS</v>
      </c>
      <c r="W3196" t="str">
        <f>VLOOKUP(L3196,'[2]tabela de preços'!$A:$F,6,0)</f>
        <v>PRIMER AUTOMOTIVO</v>
      </c>
      <c r="X3196" t="str">
        <f>VLOOKUP(L3196,'[2]tabela de preços'!$A:$G,7,0)</f>
        <v>AUTOMOTIVO</v>
      </c>
    </row>
    <row r="3197" spans="1:24" x14ac:dyDescent="0.3">
      <c r="A3197" t="s">
        <v>1337</v>
      </c>
      <c r="C3197" t="s">
        <v>3205</v>
      </c>
      <c r="D3197" s="1">
        <v>46071</v>
      </c>
      <c r="E3197" t="s">
        <v>3206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1340</v>
      </c>
      <c r="K3197" t="s">
        <v>1341</v>
      </c>
      <c r="L3197">
        <v>10298</v>
      </c>
      <c r="M3197" t="s">
        <v>85</v>
      </c>
      <c r="O3197" t="s">
        <v>11</v>
      </c>
      <c r="P3197">
        <v>5102</v>
      </c>
      <c r="Q3197">
        <v>20</v>
      </c>
      <c r="R3197">
        <v>54.9</v>
      </c>
      <c r="S3197" s="2">
        <v>1098</v>
      </c>
      <c r="T3197">
        <v>947.6</v>
      </c>
      <c r="U3197">
        <v>13.7</v>
      </c>
      <c r="V3197" t="str">
        <f>VLOOKUP(L3197,'[2]tabela de preços'!$A:$D,4,0)</f>
        <v>ANJO</v>
      </c>
      <c r="W3197" t="str">
        <f>VLOOKUP(L3197,'[2]tabela de preços'!$A:$F,6,0)</f>
        <v>THINNER DE LIMPEZA</v>
      </c>
      <c r="X3197" t="str">
        <f>VLOOKUP(L3197,'[2]tabela de preços'!$A:$G,7,0)</f>
        <v>THINNER</v>
      </c>
    </row>
    <row r="3198" spans="1:24" x14ac:dyDescent="0.3">
      <c r="A3198" t="s">
        <v>1337</v>
      </c>
      <c r="C3198" t="s">
        <v>3205</v>
      </c>
      <c r="D3198" s="1">
        <v>46071</v>
      </c>
      <c r="E3198" t="s">
        <v>3206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1340</v>
      </c>
      <c r="K3198" t="s">
        <v>1341</v>
      </c>
      <c r="L3198">
        <v>20414</v>
      </c>
      <c r="M3198" t="s">
        <v>112</v>
      </c>
      <c r="O3198" t="s">
        <v>11</v>
      </c>
      <c r="P3198">
        <v>5102</v>
      </c>
      <c r="Q3198">
        <v>10</v>
      </c>
      <c r="R3198">
        <v>21.89</v>
      </c>
      <c r="S3198">
        <v>218.9</v>
      </c>
      <c r="T3198">
        <v>180</v>
      </c>
      <c r="U3198">
        <v>17.77</v>
      </c>
      <c r="V3198" t="str">
        <f>VLOOKUP(L3198,'[2]tabela de preços'!$A:$D,4,0)</f>
        <v>SHERWIN WILLIAMS</v>
      </c>
      <c r="W3198" t="str">
        <f>VLOOKUP(L3198,'[2]tabela de preços'!$A:$F,6,0)</f>
        <v>DILUENTE</v>
      </c>
      <c r="X3198" t="str">
        <f>VLOOKUP(L3198,'[2]tabela de preços'!$A:$G,7,0)</f>
        <v>AUTOMOTIVO</v>
      </c>
    </row>
    <row r="3199" spans="1:24" x14ac:dyDescent="0.3">
      <c r="A3199" t="s">
        <v>1381</v>
      </c>
      <c r="C3199" t="s">
        <v>2829</v>
      </c>
      <c r="D3199" s="1">
        <v>46062</v>
      </c>
      <c r="E3199" t="s">
        <v>2830</v>
      </c>
      <c r="F3199">
        <v>9</v>
      </c>
      <c r="G3199">
        <v>231</v>
      </c>
      <c r="H3199" t="str">
        <f>VLOOKUP(G3199,[1]OPERADORES!$A:$B,2,0)</f>
        <v>EDIJANE</v>
      </c>
      <c r="I3199" t="s">
        <v>168</v>
      </c>
      <c r="J3199" t="s">
        <v>1384</v>
      </c>
      <c r="K3199" t="s">
        <v>1385</v>
      </c>
      <c r="L3199">
        <v>85355</v>
      </c>
      <c r="M3199" t="s">
        <v>1434</v>
      </c>
      <c r="O3199" t="s">
        <v>11</v>
      </c>
      <c r="P3199">
        <v>6102</v>
      </c>
      <c r="Q3199">
        <v>1</v>
      </c>
      <c r="R3199">
        <v>594.16999999999996</v>
      </c>
      <c r="S3199">
        <v>594.16999999999996</v>
      </c>
      <c r="T3199">
        <v>423.65</v>
      </c>
      <c r="U3199">
        <v>28.7</v>
      </c>
      <c r="V3199" t="str">
        <f>VLOOKUP(L3199,'[2]tabela de preços'!$A:$D,4,0)</f>
        <v>BRASILUX</v>
      </c>
      <c r="W3199" t="str">
        <f>VLOOKUP(L3199,'[2]tabela de preços'!$A:$F,6,0)</f>
        <v>TINTA EM PÓ</v>
      </c>
      <c r="X3199" t="str">
        <f>VLOOKUP(L3199,'[2]tabela de preços'!$A:$G,7,0)</f>
        <v>INDUSTRIAL</v>
      </c>
    </row>
    <row r="3200" spans="1:24" x14ac:dyDescent="0.3">
      <c r="A3200" t="s">
        <v>1389</v>
      </c>
      <c r="C3200" t="s">
        <v>2521</v>
      </c>
      <c r="D3200" s="1">
        <v>46056</v>
      </c>
      <c r="E3200" t="s">
        <v>2522</v>
      </c>
      <c r="F3200">
        <v>9</v>
      </c>
      <c r="G3200">
        <v>230</v>
      </c>
      <c r="H3200" t="str">
        <f>VLOOKUP(G3200,[1]OPERADORES!$A:$B,2,0)</f>
        <v>SÔNIA</v>
      </c>
      <c r="I3200" t="s">
        <v>21</v>
      </c>
      <c r="J3200" t="s">
        <v>66</v>
      </c>
      <c r="K3200" t="s">
        <v>1392</v>
      </c>
      <c r="L3200">
        <v>84785</v>
      </c>
      <c r="M3200" t="s">
        <v>944</v>
      </c>
      <c r="O3200" t="s">
        <v>11</v>
      </c>
      <c r="P3200">
        <v>5403</v>
      </c>
      <c r="Q3200">
        <v>11</v>
      </c>
      <c r="R3200">
        <v>202.62</v>
      </c>
      <c r="S3200" s="2">
        <v>2228.8200000000002</v>
      </c>
      <c r="T3200" s="2">
        <v>1437.92</v>
      </c>
      <c r="U3200">
        <v>35.49</v>
      </c>
      <c r="V3200" t="str">
        <f>VLOOKUP(L3200,'[2]tabela de preços'!$A:$D,4,0)</f>
        <v>BRASILUX</v>
      </c>
      <c r="W3200" t="str">
        <f>VLOOKUP(L3200,'[2]tabela de preços'!$A:$F,6,0)</f>
        <v>EPOXI</v>
      </c>
      <c r="X3200" t="str">
        <f>VLOOKUP(L3200,'[2]tabela de preços'!$A:$G,7,0)</f>
        <v>INDUSTRIAL</v>
      </c>
    </row>
    <row r="3201" spans="1:24" x14ac:dyDescent="0.3">
      <c r="A3201" t="s">
        <v>1389</v>
      </c>
      <c r="C3201" t="s">
        <v>2521</v>
      </c>
      <c r="D3201" s="1">
        <v>46056</v>
      </c>
      <c r="E3201" t="s">
        <v>2522</v>
      </c>
      <c r="F3201">
        <v>9</v>
      </c>
      <c r="G3201">
        <v>230</v>
      </c>
      <c r="H3201" t="str">
        <f>VLOOKUP(G3201,[1]OPERADORES!$A:$B,2,0)</f>
        <v>SÔNIA</v>
      </c>
      <c r="I3201" t="s">
        <v>21</v>
      </c>
      <c r="J3201" t="s">
        <v>66</v>
      </c>
      <c r="K3201" t="s">
        <v>1392</v>
      </c>
      <c r="L3201">
        <v>85558</v>
      </c>
      <c r="M3201" t="s">
        <v>1643</v>
      </c>
      <c r="O3201" t="s">
        <v>11</v>
      </c>
      <c r="P3201">
        <v>5405</v>
      </c>
      <c r="Q3201">
        <v>23</v>
      </c>
      <c r="R3201">
        <v>164.47</v>
      </c>
      <c r="S3201" s="2">
        <v>3782.81</v>
      </c>
      <c r="T3201" s="2">
        <v>2871.09</v>
      </c>
      <c r="U3201">
        <v>24.1</v>
      </c>
      <c r="V3201" t="str">
        <f>VLOOKUP(L3201,'[2]tabela de preços'!$A:$D,4,0)</f>
        <v>BRASILUX</v>
      </c>
      <c r="W3201" t="str">
        <f>VLOOKUP(L3201,'[2]tabela de preços'!$A:$F,6,0)</f>
        <v>EPOXI</v>
      </c>
      <c r="X3201" t="str">
        <f>VLOOKUP(L3201,'[2]tabela de preços'!$A:$G,7,0)</f>
        <v>INDUSTRIAL</v>
      </c>
    </row>
    <row r="3202" spans="1:24" x14ac:dyDescent="0.3">
      <c r="A3202" t="s">
        <v>1389</v>
      </c>
      <c r="C3202" t="s">
        <v>2652</v>
      </c>
      <c r="D3202" s="1">
        <v>46057</v>
      </c>
      <c r="F3202">
        <v>9</v>
      </c>
      <c r="G3202">
        <v>230</v>
      </c>
      <c r="H3202" t="str">
        <f>VLOOKUP(G3202,[1]OPERADORES!$A:$B,2,0)</f>
        <v>SÔNIA</v>
      </c>
      <c r="I3202" t="s">
        <v>21</v>
      </c>
      <c r="J3202" t="s">
        <v>66</v>
      </c>
      <c r="K3202" t="s">
        <v>1392</v>
      </c>
      <c r="L3202">
        <v>84785</v>
      </c>
      <c r="M3202" t="s">
        <v>944</v>
      </c>
      <c r="N3202" t="s">
        <v>2653</v>
      </c>
      <c r="O3202" t="s">
        <v>11</v>
      </c>
      <c r="P3202">
        <v>1411</v>
      </c>
      <c r="Q3202">
        <v>-11</v>
      </c>
      <c r="R3202">
        <v>202.62</v>
      </c>
      <c r="S3202" s="2">
        <v>-2228.8200000000002</v>
      </c>
      <c r="T3202" s="2">
        <v>-1437.92</v>
      </c>
      <c r="U3202">
        <v>35.49</v>
      </c>
      <c r="V3202" t="str">
        <f>VLOOKUP(L3202,'[2]tabela de preços'!$A:$D,4,0)</f>
        <v>BRASILUX</v>
      </c>
      <c r="W3202" t="str">
        <f>VLOOKUP(L3202,'[2]tabela de preços'!$A:$F,6,0)</f>
        <v>EPOXI</v>
      </c>
      <c r="X3202" t="str">
        <f>VLOOKUP(L3202,'[2]tabela de preços'!$A:$G,7,0)</f>
        <v>INDUSTRIAL</v>
      </c>
    </row>
    <row r="3203" spans="1:24" x14ac:dyDescent="0.3">
      <c r="A3203" t="s">
        <v>1389</v>
      </c>
      <c r="C3203" t="s">
        <v>2652</v>
      </c>
      <c r="D3203" s="1">
        <v>46057</v>
      </c>
      <c r="F3203">
        <v>9</v>
      </c>
      <c r="G3203">
        <v>230</v>
      </c>
      <c r="H3203" t="str">
        <f>VLOOKUP(G3203,[1]OPERADORES!$A:$B,2,0)</f>
        <v>SÔNIA</v>
      </c>
      <c r="I3203" t="s">
        <v>21</v>
      </c>
      <c r="J3203" t="s">
        <v>66</v>
      </c>
      <c r="K3203" t="s">
        <v>1392</v>
      </c>
      <c r="L3203">
        <v>85558</v>
      </c>
      <c r="M3203" t="s">
        <v>1643</v>
      </c>
      <c r="N3203" t="s">
        <v>2653</v>
      </c>
      <c r="O3203" t="s">
        <v>11</v>
      </c>
      <c r="P3203">
        <v>1411</v>
      </c>
      <c r="Q3203">
        <v>-23</v>
      </c>
      <c r="R3203">
        <v>164.47</v>
      </c>
      <c r="S3203" s="2">
        <v>-3782.81</v>
      </c>
      <c r="T3203" s="2">
        <v>-2871.09</v>
      </c>
      <c r="U3203">
        <v>24.1</v>
      </c>
      <c r="V3203" t="str">
        <f>VLOOKUP(L3203,'[2]tabela de preços'!$A:$D,4,0)</f>
        <v>BRASILUX</v>
      </c>
      <c r="W3203" t="str">
        <f>VLOOKUP(L3203,'[2]tabela de preços'!$A:$F,6,0)</f>
        <v>EPOXI</v>
      </c>
      <c r="X3203" t="str">
        <f>VLOOKUP(L3203,'[2]tabela de preços'!$A:$G,7,0)</f>
        <v>INDUSTRIAL</v>
      </c>
    </row>
    <row r="3204" spans="1:24" x14ac:dyDescent="0.3">
      <c r="A3204" t="s">
        <v>1389</v>
      </c>
      <c r="C3204" t="s">
        <v>2654</v>
      </c>
      <c r="D3204" s="1">
        <v>46057</v>
      </c>
      <c r="E3204" t="s">
        <v>2655</v>
      </c>
      <c r="F3204">
        <v>9</v>
      </c>
      <c r="G3204">
        <v>230</v>
      </c>
      <c r="H3204" t="str">
        <f>VLOOKUP(G3204,[1]OPERADORES!$A:$B,2,0)</f>
        <v>SÔNIA</v>
      </c>
      <c r="I3204" t="s">
        <v>21</v>
      </c>
      <c r="J3204" t="s">
        <v>66</v>
      </c>
      <c r="K3204" t="s">
        <v>1392</v>
      </c>
      <c r="L3204">
        <v>5</v>
      </c>
      <c r="M3204" t="s">
        <v>147</v>
      </c>
      <c r="O3204" t="s">
        <v>11</v>
      </c>
      <c r="P3204">
        <v>5102</v>
      </c>
      <c r="Q3204">
        <v>2</v>
      </c>
      <c r="R3204">
        <v>6.06</v>
      </c>
      <c r="S3204">
        <v>12.12</v>
      </c>
      <c r="T3204">
        <v>7.82</v>
      </c>
      <c r="U3204">
        <v>35.479999999999997</v>
      </c>
      <c r="V3204" t="str">
        <f>VLOOKUP(L3204,'[2]tabela de preços'!$A:$D,4,0)</f>
        <v>BRILHO ESTOPA</v>
      </c>
      <c r="W3204" t="str">
        <f>VLOOKUP(L3204,'[2]tabela de preços'!$A:$F,6,0)</f>
        <v>ESTOPAS</v>
      </c>
      <c r="X3204" t="str">
        <f>VLOOKUP(L3204,'[2]tabela de preços'!$A:$G,7,0)</f>
        <v>AUTOMOTIVO</v>
      </c>
    </row>
    <row r="3205" spans="1:24" x14ac:dyDescent="0.3">
      <c r="A3205" t="s">
        <v>1389</v>
      </c>
      <c r="C3205" t="s">
        <v>2654</v>
      </c>
      <c r="D3205" s="1">
        <v>46057</v>
      </c>
      <c r="E3205" t="s">
        <v>2655</v>
      </c>
      <c r="F3205">
        <v>9</v>
      </c>
      <c r="G3205">
        <v>230</v>
      </c>
      <c r="H3205" t="str">
        <f>VLOOKUP(G3205,[1]OPERADORES!$A:$B,2,0)</f>
        <v>SÔNIA</v>
      </c>
      <c r="I3205" t="s">
        <v>21</v>
      </c>
      <c r="J3205" t="s">
        <v>66</v>
      </c>
      <c r="K3205" t="s">
        <v>1392</v>
      </c>
      <c r="L3205">
        <v>85677</v>
      </c>
      <c r="M3205" t="s">
        <v>2656</v>
      </c>
      <c r="O3205" t="s">
        <v>11</v>
      </c>
      <c r="P3205">
        <v>5102</v>
      </c>
      <c r="Q3205">
        <v>1</v>
      </c>
      <c r="R3205">
        <v>74.03</v>
      </c>
      <c r="S3205">
        <v>74.03</v>
      </c>
      <c r="T3205">
        <v>56.19</v>
      </c>
      <c r="U3205">
        <v>24.1</v>
      </c>
      <c r="V3205" t="str">
        <f>VLOOKUP(L3205,'[2]tabela de preços'!$A:$D,4,0)</f>
        <v>UNIPEGA</v>
      </c>
      <c r="W3205" t="str">
        <f>VLOOKUP(L3205,'[2]tabela de preços'!$A:$F,6,0)</f>
        <v>ESPUMA EXPANSIVA</v>
      </c>
      <c r="X3205" t="str">
        <f>VLOOKUP(L3205,'[2]tabela de preços'!$A:$G,7,0)</f>
        <v>IMOBILIÁRIO</v>
      </c>
    </row>
    <row r="3206" spans="1:24" x14ac:dyDescent="0.3">
      <c r="A3206" t="s">
        <v>1389</v>
      </c>
      <c r="C3206" t="s">
        <v>2654</v>
      </c>
      <c r="D3206" s="1">
        <v>46057</v>
      </c>
      <c r="E3206" t="s">
        <v>2655</v>
      </c>
      <c r="F3206">
        <v>9</v>
      </c>
      <c r="G3206">
        <v>230</v>
      </c>
      <c r="H3206" t="str">
        <f>VLOOKUP(G3206,[1]OPERADORES!$A:$B,2,0)</f>
        <v>SÔNIA</v>
      </c>
      <c r="I3206" t="s">
        <v>21</v>
      </c>
      <c r="J3206" t="s">
        <v>66</v>
      </c>
      <c r="K3206" t="s">
        <v>1392</v>
      </c>
      <c r="L3206">
        <v>84928</v>
      </c>
      <c r="M3206" t="s">
        <v>36</v>
      </c>
      <c r="O3206" t="s">
        <v>11</v>
      </c>
      <c r="P3206">
        <v>5102</v>
      </c>
      <c r="Q3206">
        <v>12</v>
      </c>
      <c r="R3206">
        <v>9.39</v>
      </c>
      <c r="S3206">
        <v>112.68</v>
      </c>
      <c r="T3206">
        <v>85.56</v>
      </c>
      <c r="U3206">
        <v>24.07</v>
      </c>
      <c r="V3206" t="str">
        <f>VLOOKUP(L3206,'[2]tabela de preços'!$A:$D,4,0)</f>
        <v>ADERE</v>
      </c>
      <c r="W3206" t="str">
        <f>VLOOKUP(L3206,'[2]tabela de preços'!$A:$F,6,0)</f>
        <v xml:space="preserve">FITA DE USO GERAL </v>
      </c>
      <c r="X3206" t="str">
        <f>VLOOKUP(L3206,'[2]tabela de preços'!$A:$G,7,0)</f>
        <v>IMOBILIÁRIO</v>
      </c>
    </row>
    <row r="3207" spans="1:24" x14ac:dyDescent="0.3">
      <c r="A3207" t="s">
        <v>1389</v>
      </c>
      <c r="C3207" t="s">
        <v>2654</v>
      </c>
      <c r="D3207" s="1">
        <v>46057</v>
      </c>
      <c r="E3207" t="s">
        <v>2655</v>
      </c>
      <c r="F3207">
        <v>9</v>
      </c>
      <c r="G3207">
        <v>230</v>
      </c>
      <c r="H3207" t="str">
        <f>VLOOKUP(G3207,[1]OPERADORES!$A:$B,2,0)</f>
        <v>SÔNIA</v>
      </c>
      <c r="I3207" t="s">
        <v>21</v>
      </c>
      <c r="J3207" t="s">
        <v>66</v>
      </c>
      <c r="K3207" t="s">
        <v>1392</v>
      </c>
      <c r="L3207">
        <v>84785</v>
      </c>
      <c r="M3207" t="s">
        <v>944</v>
      </c>
      <c r="O3207" t="s">
        <v>11</v>
      </c>
      <c r="P3207">
        <v>5403</v>
      </c>
      <c r="Q3207">
        <v>3</v>
      </c>
      <c r="R3207">
        <v>172.23</v>
      </c>
      <c r="S3207">
        <v>516.69000000000005</v>
      </c>
      <c r="T3207">
        <v>392.16</v>
      </c>
      <c r="U3207">
        <v>24.1</v>
      </c>
      <c r="V3207" t="str">
        <f>VLOOKUP(L3207,'[2]tabela de preços'!$A:$D,4,0)</f>
        <v>BRASILUX</v>
      </c>
      <c r="W3207" t="str">
        <f>VLOOKUP(L3207,'[2]tabela de preços'!$A:$F,6,0)</f>
        <v>EPOXI</v>
      </c>
      <c r="X3207" t="str">
        <f>VLOOKUP(L3207,'[2]tabela de preços'!$A:$G,7,0)</f>
        <v>INDUSTRIAL</v>
      </c>
    </row>
    <row r="3208" spans="1:24" x14ac:dyDescent="0.3">
      <c r="A3208" t="s">
        <v>1389</v>
      </c>
      <c r="C3208" t="s">
        <v>2654</v>
      </c>
      <c r="D3208" s="1">
        <v>46057</v>
      </c>
      <c r="E3208" t="s">
        <v>2655</v>
      </c>
      <c r="F3208">
        <v>9</v>
      </c>
      <c r="G3208">
        <v>230</v>
      </c>
      <c r="H3208" t="str">
        <f>VLOOKUP(G3208,[1]OPERADORES!$A:$B,2,0)</f>
        <v>SÔNIA</v>
      </c>
      <c r="I3208" t="s">
        <v>21</v>
      </c>
      <c r="J3208" t="s">
        <v>66</v>
      </c>
      <c r="K3208" t="s">
        <v>1392</v>
      </c>
      <c r="L3208">
        <v>85626</v>
      </c>
      <c r="M3208" t="s">
        <v>1040</v>
      </c>
      <c r="O3208" t="s">
        <v>11</v>
      </c>
      <c r="P3208">
        <v>5102</v>
      </c>
      <c r="Q3208">
        <v>1</v>
      </c>
      <c r="R3208">
        <v>34.9</v>
      </c>
      <c r="S3208">
        <v>34.9</v>
      </c>
      <c r="T3208">
        <v>28.68</v>
      </c>
      <c r="U3208">
        <v>17.82</v>
      </c>
      <c r="V3208" t="str">
        <f>VLOOKUP(L3208,'[2]tabela de preços'!$A:$D,4,0)</f>
        <v>WD-40</v>
      </c>
      <c r="W3208" t="str">
        <f>VLOOKUP(L3208,'[2]tabela de preços'!$A:$F,6,0)</f>
        <v>DESENGRIPANTE</v>
      </c>
      <c r="X3208" t="str">
        <f>VLOOKUP(L3208,'[2]tabela de preços'!$A:$G,7,0)</f>
        <v>AUTOMOTIVO</v>
      </c>
    </row>
    <row r="3209" spans="1:24" x14ac:dyDescent="0.3">
      <c r="A3209" t="s">
        <v>1389</v>
      </c>
      <c r="C3209" t="s">
        <v>2654</v>
      </c>
      <c r="D3209" s="1">
        <v>46057</v>
      </c>
      <c r="E3209" t="s">
        <v>2655</v>
      </c>
      <c r="F3209">
        <v>9</v>
      </c>
      <c r="G3209">
        <v>230</v>
      </c>
      <c r="H3209" t="str">
        <f>VLOOKUP(G3209,[1]OPERADORES!$A:$B,2,0)</f>
        <v>SÔNIA</v>
      </c>
      <c r="I3209" t="s">
        <v>21</v>
      </c>
      <c r="J3209" t="s">
        <v>66</v>
      </c>
      <c r="K3209" t="s">
        <v>1392</v>
      </c>
      <c r="L3209">
        <v>85226</v>
      </c>
      <c r="M3209" t="s">
        <v>2657</v>
      </c>
      <c r="O3209" t="s">
        <v>11</v>
      </c>
      <c r="P3209">
        <v>5102</v>
      </c>
      <c r="Q3209">
        <v>5</v>
      </c>
      <c r="R3209">
        <v>6.17</v>
      </c>
      <c r="S3209">
        <v>30.85</v>
      </c>
      <c r="T3209">
        <v>19.899999999999999</v>
      </c>
      <c r="U3209">
        <v>35.49</v>
      </c>
      <c r="V3209" t="str">
        <f>VLOOKUP(L3209,'[2]tabela de preços'!$A:$D,4,0)</f>
        <v>ATLAS</v>
      </c>
      <c r="W3209" t="str">
        <f>VLOOKUP(L3209,'[2]tabela de preços'!$A:$F,6,0)</f>
        <v>ROLOS / TRINCHAS / PINCÉIS / ESPÁTULAS</v>
      </c>
      <c r="X3209" t="str">
        <f>VLOOKUP(L3209,'[2]tabela de preços'!$A:$G,7,0)</f>
        <v>IMOBILIÁRIO</v>
      </c>
    </row>
    <row r="3210" spans="1:24" x14ac:dyDescent="0.3">
      <c r="A3210" t="s">
        <v>1389</v>
      </c>
      <c r="C3210" t="s">
        <v>2654</v>
      </c>
      <c r="D3210" s="1">
        <v>46057</v>
      </c>
      <c r="E3210" t="s">
        <v>2655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66</v>
      </c>
      <c r="K3210" t="s">
        <v>1392</v>
      </c>
      <c r="L3210">
        <v>85227</v>
      </c>
      <c r="M3210" t="s">
        <v>1042</v>
      </c>
      <c r="O3210" t="s">
        <v>11</v>
      </c>
      <c r="P3210">
        <v>5102</v>
      </c>
      <c r="Q3210">
        <v>5</v>
      </c>
      <c r="R3210">
        <v>7.13</v>
      </c>
      <c r="S3210">
        <v>35.65</v>
      </c>
      <c r="T3210">
        <v>23</v>
      </c>
      <c r="U3210">
        <v>35.479999999999997</v>
      </c>
      <c r="V3210" t="str">
        <f>VLOOKUP(L3210,'[2]tabela de preços'!$A:$D,4,0)</f>
        <v>ATLAS</v>
      </c>
      <c r="W3210" t="str">
        <f>VLOOKUP(L3210,'[2]tabela de preços'!$A:$F,6,0)</f>
        <v>ROLOS / TRINCHAS / PINCÉIS / ESPÁTULAS</v>
      </c>
      <c r="X3210" t="str">
        <f>VLOOKUP(L3210,'[2]tabela de preços'!$A:$G,7,0)</f>
        <v>IMOBILIÁRIO</v>
      </c>
    </row>
    <row r="3211" spans="1:24" x14ac:dyDescent="0.3">
      <c r="A3211" t="s">
        <v>1389</v>
      </c>
      <c r="C3211" t="s">
        <v>2654</v>
      </c>
      <c r="D3211" s="1">
        <v>46057</v>
      </c>
      <c r="E3211" t="s">
        <v>2655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66</v>
      </c>
      <c r="K3211" t="s">
        <v>1392</v>
      </c>
      <c r="L3211">
        <v>85558</v>
      </c>
      <c r="M3211" t="s">
        <v>1643</v>
      </c>
      <c r="O3211" t="s">
        <v>11</v>
      </c>
      <c r="P3211">
        <v>5405</v>
      </c>
      <c r="Q3211">
        <v>23</v>
      </c>
      <c r="R3211">
        <v>164.47</v>
      </c>
      <c r="S3211" s="2">
        <v>3782.81</v>
      </c>
      <c r="T3211" s="2">
        <v>2871.09</v>
      </c>
      <c r="U3211">
        <v>24.1</v>
      </c>
      <c r="V3211" t="str">
        <f>VLOOKUP(L3211,'[2]tabela de preços'!$A:$D,4,0)</f>
        <v>BRASILUX</v>
      </c>
      <c r="W3211" t="str">
        <f>VLOOKUP(L3211,'[2]tabela de preços'!$A:$F,6,0)</f>
        <v>EPOXI</v>
      </c>
      <c r="X3211" t="str">
        <f>VLOOKUP(L3211,'[2]tabela de preços'!$A:$G,7,0)</f>
        <v>INDUSTRIAL</v>
      </c>
    </row>
    <row r="3212" spans="1:24" x14ac:dyDescent="0.3">
      <c r="A3212" t="s">
        <v>1389</v>
      </c>
      <c r="C3212" t="s">
        <v>2654</v>
      </c>
      <c r="D3212" s="1">
        <v>46057</v>
      </c>
      <c r="E3212" t="s">
        <v>2655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66</v>
      </c>
      <c r="K3212" t="s">
        <v>1392</v>
      </c>
      <c r="L3212">
        <v>10117</v>
      </c>
      <c r="M3212" t="s">
        <v>1043</v>
      </c>
      <c r="O3212" t="s">
        <v>11</v>
      </c>
      <c r="P3212">
        <v>5102</v>
      </c>
      <c r="Q3212">
        <v>5</v>
      </c>
      <c r="R3212">
        <v>7.67</v>
      </c>
      <c r="S3212">
        <v>38.35</v>
      </c>
      <c r="T3212">
        <v>24.75</v>
      </c>
      <c r="U3212">
        <v>35.46</v>
      </c>
      <c r="V3212" t="str">
        <f>VLOOKUP(L3212,'[2]tabela de preços'!$A:$D,4,0)</f>
        <v>ATLAS</v>
      </c>
      <c r="W3212" t="str">
        <f>VLOOKUP(L3212,'[2]tabela de preços'!$A:$F,6,0)</f>
        <v>ROLOS / TRINCHAS / PINCÉIS / ESPÁTULAS</v>
      </c>
      <c r="X3212" t="str">
        <f>VLOOKUP(L3212,'[2]tabela de preços'!$A:$G,7,0)</f>
        <v>IMOBILIÁRIO</v>
      </c>
    </row>
    <row r="3213" spans="1:24" x14ac:dyDescent="0.3">
      <c r="A3213" t="s">
        <v>1389</v>
      </c>
      <c r="C3213" t="s">
        <v>2831</v>
      </c>
      <c r="D3213" s="1">
        <v>46062</v>
      </c>
      <c r="E3213" t="s">
        <v>2832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66</v>
      </c>
      <c r="K3213" t="s">
        <v>1392</v>
      </c>
      <c r="L3213">
        <v>84439</v>
      </c>
      <c r="M3213" t="s">
        <v>2721</v>
      </c>
      <c r="O3213" t="s">
        <v>11</v>
      </c>
      <c r="P3213">
        <v>5102</v>
      </c>
      <c r="Q3213">
        <v>3</v>
      </c>
      <c r="R3213">
        <v>35.659999999999997</v>
      </c>
      <c r="S3213">
        <v>106.98</v>
      </c>
      <c r="T3213">
        <v>78.42</v>
      </c>
      <c r="U3213">
        <v>26.7</v>
      </c>
      <c r="V3213" t="str">
        <f>VLOOKUP(L3213,'[2]tabela de preços'!$A:$D,4,0)</f>
        <v>ATLAS</v>
      </c>
      <c r="W3213" t="str">
        <f>VLOOKUP(L3213,'[2]tabela de preços'!$A:$F,6,0)</f>
        <v>ROLOS / TRINCHAS / PINCÉIS / ESPÁTULAS</v>
      </c>
      <c r="X3213" t="str">
        <f>VLOOKUP(L3213,'[2]tabela de preços'!$A:$G,7,0)</f>
        <v>IMOBILIÁRIO</v>
      </c>
    </row>
    <row r="3214" spans="1:24" x14ac:dyDescent="0.3">
      <c r="A3214" t="s">
        <v>1389</v>
      </c>
      <c r="C3214" t="s">
        <v>2833</v>
      </c>
      <c r="D3214" s="1">
        <v>46062</v>
      </c>
      <c r="E3214" t="s">
        <v>2834</v>
      </c>
      <c r="F3214">
        <v>9</v>
      </c>
      <c r="G3214">
        <v>230</v>
      </c>
      <c r="H3214" t="str">
        <f>VLOOKUP(G3214,[1]OPERADORES!$A:$B,2,0)</f>
        <v>SÔNIA</v>
      </c>
      <c r="I3214" t="s">
        <v>21</v>
      </c>
      <c r="J3214" t="s">
        <v>66</v>
      </c>
      <c r="K3214" t="s">
        <v>1392</v>
      </c>
      <c r="L3214">
        <v>84024</v>
      </c>
      <c r="M3214" t="s">
        <v>2444</v>
      </c>
      <c r="O3214" t="s">
        <v>11</v>
      </c>
      <c r="P3214">
        <v>5102</v>
      </c>
      <c r="Q3214">
        <v>20</v>
      </c>
      <c r="R3214">
        <v>17.100000000000001</v>
      </c>
      <c r="S3214">
        <v>342</v>
      </c>
      <c r="T3214">
        <v>249.8</v>
      </c>
      <c r="U3214">
        <v>26.96</v>
      </c>
      <c r="V3214" t="str">
        <f>VLOOKUP(L3214,'[2]tabela de preços'!$A:$D,4,0)</f>
        <v>BRASILUX</v>
      </c>
      <c r="W3214" t="str">
        <f>VLOOKUP(L3214,'[2]tabela de preços'!$A:$F,6,0)</f>
        <v>EPOXI</v>
      </c>
      <c r="X3214" t="str">
        <f>VLOOKUP(L3214,'[2]tabela de preços'!$A:$G,7,0)</f>
        <v>INDUSTRIAL</v>
      </c>
    </row>
    <row r="3215" spans="1:24" x14ac:dyDescent="0.3">
      <c r="A3215" t="s">
        <v>1389</v>
      </c>
      <c r="C3215" t="s">
        <v>2833</v>
      </c>
      <c r="D3215" s="1">
        <v>46062</v>
      </c>
      <c r="E3215" t="s">
        <v>2834</v>
      </c>
      <c r="F3215">
        <v>9</v>
      </c>
      <c r="G3215">
        <v>230</v>
      </c>
      <c r="H3215" t="str">
        <f>VLOOKUP(G3215,[1]OPERADORES!$A:$B,2,0)</f>
        <v>SÔNIA</v>
      </c>
      <c r="I3215" t="s">
        <v>21</v>
      </c>
      <c r="J3215" t="s">
        <v>66</v>
      </c>
      <c r="K3215" t="s">
        <v>1392</v>
      </c>
      <c r="L3215">
        <v>84785</v>
      </c>
      <c r="M3215" t="s">
        <v>944</v>
      </c>
      <c r="O3215" t="s">
        <v>11</v>
      </c>
      <c r="P3215">
        <v>5403</v>
      </c>
      <c r="Q3215">
        <v>4</v>
      </c>
      <c r="R3215">
        <v>172.23</v>
      </c>
      <c r="S3215">
        <v>688.92</v>
      </c>
      <c r="T3215">
        <v>522.88</v>
      </c>
      <c r="U3215">
        <v>24.1</v>
      </c>
      <c r="V3215" t="str">
        <f>VLOOKUP(L3215,'[2]tabela de preços'!$A:$D,4,0)</f>
        <v>BRASILUX</v>
      </c>
      <c r="W3215" t="str">
        <f>VLOOKUP(L3215,'[2]tabela de preços'!$A:$F,6,0)</f>
        <v>EPOXI</v>
      </c>
      <c r="X3215" t="str">
        <f>VLOOKUP(L3215,'[2]tabela de preços'!$A:$G,7,0)</f>
        <v>INDUSTRIAL</v>
      </c>
    </row>
    <row r="3216" spans="1:24" x14ac:dyDescent="0.3">
      <c r="A3216" t="s">
        <v>2932</v>
      </c>
      <c r="C3216" t="s">
        <v>2933</v>
      </c>
      <c r="D3216" s="1">
        <v>46063</v>
      </c>
      <c r="E3216" t="s">
        <v>2934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2935</v>
      </c>
      <c r="K3216" t="s">
        <v>2936</v>
      </c>
      <c r="L3216">
        <v>24240</v>
      </c>
      <c r="M3216" t="s">
        <v>240</v>
      </c>
      <c r="O3216" t="s">
        <v>11</v>
      </c>
      <c r="P3216">
        <v>5102</v>
      </c>
      <c r="Q3216">
        <v>32</v>
      </c>
      <c r="R3216">
        <v>3.81</v>
      </c>
      <c r="S3216">
        <v>121.92</v>
      </c>
      <c r="T3216">
        <v>104.96</v>
      </c>
      <c r="U3216">
        <v>13.91</v>
      </c>
      <c r="V3216" t="str">
        <f>VLOOKUP(L3216,'[2]tabela de preços'!$A:$D,4,0)</f>
        <v>ADERE</v>
      </c>
      <c r="W3216" t="str">
        <f>VLOOKUP(L3216,'[2]tabela de preços'!$A:$F,6,0)</f>
        <v>FITA AUTOMOTIVA</v>
      </c>
      <c r="X3216" t="str">
        <f>VLOOKUP(L3216,'[2]tabela de preços'!$A:$G,7,0)</f>
        <v>AUTOMOTIVO</v>
      </c>
    </row>
    <row r="3217" spans="1:24" x14ac:dyDescent="0.3">
      <c r="A3217" t="s">
        <v>2932</v>
      </c>
      <c r="C3217" t="s">
        <v>2933</v>
      </c>
      <c r="D3217" s="1">
        <v>46063</v>
      </c>
      <c r="E3217" t="s">
        <v>2934</v>
      </c>
      <c r="F3217">
        <v>9</v>
      </c>
      <c r="G3217">
        <v>174</v>
      </c>
      <c r="H3217" t="str">
        <f>VLOOKUP(G3217,[1]OPERADORES!$A:$B,2,0)</f>
        <v>MIRIÃ LOBATO RODRIGUES</v>
      </c>
      <c r="I3217" t="s">
        <v>21</v>
      </c>
      <c r="J3217" t="s">
        <v>2935</v>
      </c>
      <c r="K3217" t="s">
        <v>2936</v>
      </c>
      <c r="L3217">
        <v>20431</v>
      </c>
      <c r="M3217" t="s">
        <v>202</v>
      </c>
      <c r="O3217" t="s">
        <v>11</v>
      </c>
      <c r="P3217">
        <v>5403</v>
      </c>
      <c r="Q3217">
        <v>9</v>
      </c>
      <c r="R3217">
        <v>36.89</v>
      </c>
      <c r="S3217">
        <v>332.01</v>
      </c>
      <c r="T3217">
        <v>272.33999999999997</v>
      </c>
      <c r="U3217">
        <v>17.97</v>
      </c>
      <c r="V3217" t="str">
        <f>VLOOKUP(L3217,'[2]tabela de preços'!$A:$D,4,0)</f>
        <v>SHERWIN WILLIAMS</v>
      </c>
      <c r="W3217" t="str">
        <f>VLOOKUP(L3217,'[2]tabela de preços'!$A:$F,6,0)</f>
        <v>VERNIZ AUTOMOTIVO</v>
      </c>
      <c r="X3217" t="str">
        <f>VLOOKUP(L3217,'[2]tabela de preços'!$A:$G,7,0)</f>
        <v>AUTOMOTIVO</v>
      </c>
    </row>
    <row r="3218" spans="1:24" x14ac:dyDescent="0.3">
      <c r="A3218" t="s">
        <v>2932</v>
      </c>
      <c r="C3218" t="s">
        <v>2933</v>
      </c>
      <c r="D3218" s="1">
        <v>46063</v>
      </c>
      <c r="E3218" t="s">
        <v>2934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2935</v>
      </c>
      <c r="K3218" t="s">
        <v>2936</v>
      </c>
      <c r="L3218">
        <v>13</v>
      </c>
      <c r="M3218" t="s">
        <v>152</v>
      </c>
      <c r="O3218" t="s">
        <v>11</v>
      </c>
      <c r="P3218">
        <v>5102</v>
      </c>
      <c r="Q3218">
        <v>10</v>
      </c>
      <c r="R3218">
        <v>5.79</v>
      </c>
      <c r="S3218">
        <v>57.9</v>
      </c>
      <c r="T3218">
        <v>41.6</v>
      </c>
      <c r="U3218">
        <v>28.15</v>
      </c>
      <c r="V3218" t="str">
        <f>VLOOKUP(L3218,'[2]tabela de preços'!$A:$D,4,0)</f>
        <v>3M</v>
      </c>
      <c r="W3218" t="str">
        <f>VLOOKUP(L3218,'[2]tabela de preços'!$A:$F,6,0)</f>
        <v>LIXA DÁGUA</v>
      </c>
      <c r="X3218" t="str">
        <f>VLOOKUP(L3218,'[2]tabela de preços'!$A:$G,7,0)</f>
        <v>AUTOMOTIVO</v>
      </c>
    </row>
    <row r="3219" spans="1:24" x14ac:dyDescent="0.3">
      <c r="A3219" t="s">
        <v>2932</v>
      </c>
      <c r="C3219" t="s">
        <v>2933</v>
      </c>
      <c r="D3219" s="1">
        <v>46063</v>
      </c>
      <c r="E3219" t="s">
        <v>2934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2935</v>
      </c>
      <c r="K3219" t="s">
        <v>2936</v>
      </c>
      <c r="L3219">
        <v>21077</v>
      </c>
      <c r="M3219" t="s">
        <v>207</v>
      </c>
      <c r="O3219" t="s">
        <v>11</v>
      </c>
      <c r="P3219">
        <v>5102</v>
      </c>
      <c r="Q3219">
        <v>6</v>
      </c>
      <c r="R3219">
        <v>44.68</v>
      </c>
      <c r="S3219">
        <v>268.08</v>
      </c>
      <c r="T3219">
        <v>203.52</v>
      </c>
      <c r="U3219">
        <v>24.08</v>
      </c>
      <c r="V3219" t="str">
        <f>VLOOKUP(L3219,'[2]tabela de preços'!$A:$D,4,0)</f>
        <v>SHERWIN WILLIAMS</v>
      </c>
      <c r="W3219" t="str">
        <f>VLOOKUP(L3219,'[2]tabela de preços'!$A:$F,6,0)</f>
        <v>MASSA POLIÉSTER</v>
      </c>
      <c r="X3219" t="str">
        <f>VLOOKUP(L3219,'[2]tabela de preços'!$A:$G,7,0)</f>
        <v>AUTOMOTIVO</v>
      </c>
    </row>
    <row r="3220" spans="1:24" x14ac:dyDescent="0.3">
      <c r="A3220" t="s">
        <v>2932</v>
      </c>
      <c r="C3220" t="s">
        <v>2933</v>
      </c>
      <c r="D3220" s="1">
        <v>46063</v>
      </c>
      <c r="E3220" t="s">
        <v>2934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2935</v>
      </c>
      <c r="K3220" t="s">
        <v>2936</v>
      </c>
      <c r="L3220">
        <v>23287</v>
      </c>
      <c r="M3220" t="s">
        <v>273</v>
      </c>
      <c r="O3220" t="s">
        <v>11</v>
      </c>
      <c r="P3220">
        <v>5102</v>
      </c>
      <c r="Q3220">
        <v>1</v>
      </c>
      <c r="R3220">
        <v>39.979999999999997</v>
      </c>
      <c r="S3220">
        <v>39.979999999999997</v>
      </c>
      <c r="T3220">
        <v>30.35</v>
      </c>
      <c r="U3220">
        <v>24.09</v>
      </c>
      <c r="V3220" t="str">
        <f>VLOOKUP(L3220,'[2]tabela de preços'!$A:$D,4,0)</f>
        <v>AUTO AMERICA</v>
      </c>
      <c r="W3220" t="str">
        <f>VLOOKUP(L3220,'[2]tabela de preços'!$A:$F,6,0)</f>
        <v>CERA  / LIMPEZA /  POLIMENTO VEICULAR</v>
      </c>
      <c r="X3220" t="str">
        <f>VLOOKUP(L3220,'[2]tabela de preços'!$A:$G,7,0)</f>
        <v>AUTOMOTIVO</v>
      </c>
    </row>
    <row r="3221" spans="1:24" x14ac:dyDescent="0.3">
      <c r="A3221" t="s">
        <v>2932</v>
      </c>
      <c r="C3221" t="s">
        <v>2933</v>
      </c>
      <c r="D3221" s="1">
        <v>46063</v>
      </c>
      <c r="E3221" t="s">
        <v>2934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2935</v>
      </c>
      <c r="K3221" t="s">
        <v>2936</v>
      </c>
      <c r="L3221">
        <v>10404</v>
      </c>
      <c r="M3221" t="s">
        <v>130</v>
      </c>
      <c r="O3221" t="s">
        <v>11</v>
      </c>
      <c r="P3221">
        <v>5102</v>
      </c>
      <c r="Q3221">
        <v>3</v>
      </c>
      <c r="R3221">
        <v>16.29</v>
      </c>
      <c r="S3221">
        <v>48.87</v>
      </c>
      <c r="T3221">
        <v>37.53</v>
      </c>
      <c r="U3221">
        <v>23.2</v>
      </c>
      <c r="V3221" t="str">
        <f>VLOOKUP(L3221,'[2]tabela de preços'!$A:$D,4,0)</f>
        <v>MAXI RUBBER</v>
      </c>
      <c r="W3221" t="str">
        <f>VLOOKUP(L3221,'[2]tabela de preços'!$A:$F,6,0)</f>
        <v>VEDADORES / SELANTES</v>
      </c>
      <c r="X3221" t="str">
        <f>VLOOKUP(L3221,'[2]tabela de preços'!$A:$G,7,0)</f>
        <v>AUTOMOTIVO</v>
      </c>
    </row>
    <row r="3222" spans="1:24" x14ac:dyDescent="0.3">
      <c r="A3222" t="s">
        <v>1411</v>
      </c>
      <c r="C3222" t="s">
        <v>2447</v>
      </c>
      <c r="D3222" s="1">
        <v>46055</v>
      </c>
      <c r="E3222" t="s">
        <v>2448</v>
      </c>
      <c r="F3222">
        <v>9</v>
      </c>
      <c r="G3222">
        <v>197</v>
      </c>
      <c r="H3222" t="str">
        <f>VLOOKUP(G3222,[1]OPERADORES!$A:$B,2,0)</f>
        <v xml:space="preserve">POLIANA LORRANE DE AMORIM </v>
      </c>
      <c r="I3222" t="s">
        <v>21</v>
      </c>
      <c r="J3222" t="s">
        <v>1414</v>
      </c>
      <c r="K3222" t="s">
        <v>1415</v>
      </c>
      <c r="L3222">
        <v>23399</v>
      </c>
      <c r="M3222" t="s">
        <v>462</v>
      </c>
      <c r="O3222" t="s">
        <v>11</v>
      </c>
      <c r="P3222">
        <v>5102</v>
      </c>
      <c r="Q3222">
        <v>1</v>
      </c>
      <c r="R3222">
        <v>239.3</v>
      </c>
      <c r="S3222">
        <v>239.3</v>
      </c>
      <c r="T3222">
        <v>175.44</v>
      </c>
      <c r="U3222">
        <v>26.69</v>
      </c>
      <c r="V3222" t="str">
        <f>VLOOKUP(L3222,'[2]tabela de preços'!$A:$D,4,0)</f>
        <v>3M</v>
      </c>
      <c r="W3222" t="str">
        <f>VLOOKUP(L3222,'[2]tabela de preços'!$A:$F,6,0)</f>
        <v>EPI´S</v>
      </c>
      <c r="X3222" t="str">
        <f>VLOOKUP(L3222,'[2]tabela de preços'!$A:$G,7,0)</f>
        <v>AUTOMOTIVO</v>
      </c>
    </row>
    <row r="3223" spans="1:24" x14ac:dyDescent="0.3">
      <c r="A3223" t="s">
        <v>1411</v>
      </c>
      <c r="C3223" t="s">
        <v>3207</v>
      </c>
      <c r="D3223" s="1">
        <v>46065</v>
      </c>
      <c r="E3223" t="s">
        <v>3208</v>
      </c>
      <c r="F3223">
        <v>9</v>
      </c>
      <c r="G3223">
        <v>197</v>
      </c>
      <c r="H3223" t="str">
        <f>VLOOKUP(G3223,[1]OPERADORES!$A:$B,2,0)</f>
        <v xml:space="preserve">POLIANA LORRANE DE AMORIM </v>
      </c>
      <c r="I3223" t="s">
        <v>21</v>
      </c>
      <c r="J3223" t="s">
        <v>1414</v>
      </c>
      <c r="K3223" t="s">
        <v>1415</v>
      </c>
      <c r="L3223">
        <v>84564</v>
      </c>
      <c r="M3223" t="s">
        <v>2176</v>
      </c>
      <c r="O3223" t="s">
        <v>11</v>
      </c>
      <c r="P3223">
        <v>5403</v>
      </c>
      <c r="Q3223">
        <v>2</v>
      </c>
      <c r="R3223">
        <v>25.49</v>
      </c>
      <c r="S3223">
        <v>50.98</v>
      </c>
      <c r="T3223">
        <v>36.54</v>
      </c>
      <c r="U3223">
        <v>28.32</v>
      </c>
      <c r="V3223" t="str">
        <f>VLOOKUP(L3223,'[2]tabela de preços'!$A:$D,4,0)</f>
        <v>BRASILUX</v>
      </c>
      <c r="W3223" t="str">
        <f>VLOOKUP(L3223,'[2]tabela de preços'!$A:$F,6,0)</f>
        <v>PRETO FOSCO VINÍLICO</v>
      </c>
      <c r="X3223" t="str">
        <f>VLOOKUP(L3223,'[2]tabela de preços'!$A:$G,7,0)</f>
        <v>AUTOMOTIVO</v>
      </c>
    </row>
    <row r="3224" spans="1:24" x14ac:dyDescent="0.3">
      <c r="A3224" t="s">
        <v>1411</v>
      </c>
      <c r="C3224" t="s">
        <v>3207</v>
      </c>
      <c r="D3224" s="1">
        <v>46065</v>
      </c>
      <c r="E3224" t="s">
        <v>3208</v>
      </c>
      <c r="F3224">
        <v>9</v>
      </c>
      <c r="G3224">
        <v>197</v>
      </c>
      <c r="H3224" t="str">
        <f>VLOOKUP(G3224,[1]OPERADORES!$A:$B,2,0)</f>
        <v xml:space="preserve">POLIANA LORRANE DE AMORIM </v>
      </c>
      <c r="I3224" t="s">
        <v>21</v>
      </c>
      <c r="J3224" t="s">
        <v>1414</v>
      </c>
      <c r="K3224" t="s">
        <v>1415</v>
      </c>
      <c r="L3224">
        <v>84565</v>
      </c>
      <c r="M3224" t="s">
        <v>236</v>
      </c>
      <c r="O3224" t="s">
        <v>11</v>
      </c>
      <c r="P3224">
        <v>5102</v>
      </c>
      <c r="Q3224">
        <v>2</v>
      </c>
      <c r="R3224">
        <v>9.7799999999999994</v>
      </c>
      <c r="S3224">
        <v>19.559999999999999</v>
      </c>
      <c r="T3224">
        <v>14.02</v>
      </c>
      <c r="U3224">
        <v>28.32</v>
      </c>
      <c r="V3224" t="str">
        <f>VLOOKUP(L3224,'[2]tabela de preços'!$A:$D,4,0)</f>
        <v>BRASILUX</v>
      </c>
      <c r="W3224" t="str">
        <f>VLOOKUP(L3224,'[2]tabela de preços'!$A:$F,6,0)</f>
        <v>PRETO FOSCO VINÍLICO</v>
      </c>
      <c r="X3224" t="str">
        <f>VLOOKUP(L3224,'[2]tabela de preços'!$A:$G,7,0)</f>
        <v>AUTOMOTIVO</v>
      </c>
    </row>
    <row r="3225" spans="1:24" x14ac:dyDescent="0.3">
      <c r="A3225" t="s">
        <v>2835</v>
      </c>
      <c r="C3225" t="s">
        <v>2836</v>
      </c>
      <c r="D3225" s="1">
        <v>46062</v>
      </c>
      <c r="E3225" t="s">
        <v>2837</v>
      </c>
      <c r="F3225">
        <v>9</v>
      </c>
      <c r="G3225">
        <v>231</v>
      </c>
      <c r="H3225" t="str">
        <f>VLOOKUP(G3225,[1]OPERADORES!$A:$B,2,0)</f>
        <v>EDIJANE</v>
      </c>
      <c r="I3225" t="s">
        <v>21</v>
      </c>
      <c r="J3225" t="s">
        <v>104</v>
      </c>
      <c r="K3225" t="s">
        <v>2838</v>
      </c>
      <c r="L3225">
        <v>85318</v>
      </c>
      <c r="M3225" t="s">
        <v>258</v>
      </c>
      <c r="O3225" t="s">
        <v>11</v>
      </c>
      <c r="P3225">
        <v>5102</v>
      </c>
      <c r="Q3225">
        <v>1</v>
      </c>
      <c r="R3225">
        <v>775.32</v>
      </c>
      <c r="S3225">
        <v>775.32</v>
      </c>
      <c r="T3225">
        <v>552.80999999999995</v>
      </c>
      <c r="U3225">
        <v>28.7</v>
      </c>
      <c r="V3225" t="str">
        <f>VLOOKUP(L3225,'[2]tabela de preços'!$A:$D,4,0)</f>
        <v>BRASILUX</v>
      </c>
      <c r="W3225" t="str">
        <f>VLOOKUP(L3225,'[2]tabela de preços'!$A:$F,6,0)</f>
        <v>TINTA EM PÓ</v>
      </c>
      <c r="X3225" t="str">
        <f>VLOOKUP(L3225,'[2]tabela de preços'!$A:$G,7,0)</f>
        <v>INDUSTRIAL</v>
      </c>
    </row>
    <row r="3226" spans="1:24" x14ac:dyDescent="0.3">
      <c r="A3226" t="s">
        <v>1424</v>
      </c>
      <c r="C3226" t="s">
        <v>2658</v>
      </c>
      <c r="D3226" s="1">
        <v>46057</v>
      </c>
      <c r="E3226" t="s">
        <v>2659</v>
      </c>
      <c r="F3226">
        <v>9</v>
      </c>
      <c r="G3226">
        <v>230</v>
      </c>
      <c r="H3226" t="str">
        <f>VLOOKUP(G3226,[1]OPERADORES!$A:$B,2,0)</f>
        <v>SÔNIA</v>
      </c>
      <c r="I3226" t="s">
        <v>21</v>
      </c>
      <c r="J3226" t="s">
        <v>1427</v>
      </c>
      <c r="K3226" t="s">
        <v>1428</v>
      </c>
      <c r="L3226">
        <v>84325</v>
      </c>
      <c r="M3226" t="s">
        <v>678</v>
      </c>
      <c r="O3226" t="s">
        <v>11</v>
      </c>
      <c r="P3226">
        <v>5403</v>
      </c>
      <c r="Q3226">
        <v>1</v>
      </c>
      <c r="R3226">
        <v>59.98</v>
      </c>
      <c r="S3226">
        <v>59.98</v>
      </c>
      <c r="T3226">
        <v>52</v>
      </c>
      <c r="U3226">
        <v>13.3</v>
      </c>
      <c r="V3226" t="str">
        <f>VLOOKUP(L3226,'[2]tabela de preços'!$A:$D,4,0)</f>
        <v>BRASILUX</v>
      </c>
      <c r="W3226" t="str">
        <f>VLOOKUP(L3226,'[2]tabela de preços'!$A:$F,6,0)</f>
        <v>ESMALTES</v>
      </c>
      <c r="X3226" t="str">
        <f>VLOOKUP(L3226,'[2]tabela de preços'!$A:$G,7,0)</f>
        <v>INDUSTRIAL</v>
      </c>
    </row>
    <row r="3227" spans="1:24" x14ac:dyDescent="0.3">
      <c r="A3227" t="s">
        <v>1424</v>
      </c>
      <c r="C3227" t="s">
        <v>2658</v>
      </c>
      <c r="D3227" s="1">
        <v>46057</v>
      </c>
      <c r="E3227" t="s">
        <v>2659</v>
      </c>
      <c r="F3227">
        <v>9</v>
      </c>
      <c r="G3227">
        <v>230</v>
      </c>
      <c r="H3227" t="str">
        <f>VLOOKUP(G3227,[1]OPERADORES!$A:$B,2,0)</f>
        <v>SÔNIA</v>
      </c>
      <c r="I3227" t="s">
        <v>21</v>
      </c>
      <c r="J3227" t="s">
        <v>1427</v>
      </c>
      <c r="K3227" t="s">
        <v>1428</v>
      </c>
      <c r="L3227">
        <v>84175</v>
      </c>
      <c r="M3227" t="s">
        <v>1429</v>
      </c>
      <c r="O3227" t="s">
        <v>11</v>
      </c>
      <c r="P3227">
        <v>5403</v>
      </c>
      <c r="Q3227">
        <v>1</v>
      </c>
      <c r="R3227">
        <v>107.97</v>
      </c>
      <c r="S3227">
        <v>107.97</v>
      </c>
      <c r="T3227">
        <v>69.66</v>
      </c>
      <c r="U3227">
        <v>35.479999999999997</v>
      </c>
      <c r="V3227" t="str">
        <f>VLOOKUP(L3227,'[2]tabela de preços'!$A:$D,4,0)</f>
        <v>BRASILUX</v>
      </c>
      <c r="W3227" t="str">
        <f>VLOOKUP(L3227,'[2]tabela de preços'!$A:$F,6,0)</f>
        <v>ESMALTES</v>
      </c>
      <c r="X3227" t="str">
        <f>VLOOKUP(L3227,'[2]tabela de preços'!$A:$G,7,0)</f>
        <v>INDUSTRIAL</v>
      </c>
    </row>
    <row r="3228" spans="1:24" x14ac:dyDescent="0.3">
      <c r="A3228" t="s">
        <v>1430</v>
      </c>
      <c r="C3228" t="s">
        <v>2449</v>
      </c>
      <c r="D3228" s="1">
        <v>46055</v>
      </c>
      <c r="E3228" t="s">
        <v>2450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21</v>
      </c>
      <c r="J3228" t="s">
        <v>363</v>
      </c>
      <c r="K3228" t="s">
        <v>1433</v>
      </c>
      <c r="L3228">
        <v>85401</v>
      </c>
      <c r="M3228" t="s">
        <v>261</v>
      </c>
      <c r="O3228" t="s">
        <v>11</v>
      </c>
      <c r="P3228">
        <v>5102</v>
      </c>
      <c r="Q3228">
        <v>1</v>
      </c>
      <c r="R3228">
        <v>670.69</v>
      </c>
      <c r="S3228">
        <v>670.69</v>
      </c>
      <c r="T3228">
        <v>451.64</v>
      </c>
      <c r="U3228">
        <v>32.659999999999997</v>
      </c>
      <c r="V3228" t="str">
        <f>VLOOKUP(L3228,'[2]tabela de preços'!$A:$D,4,0)</f>
        <v>BRASILUX</v>
      </c>
      <c r="W3228" t="str">
        <f>VLOOKUP(L3228,'[2]tabela de preços'!$A:$F,6,0)</f>
        <v>TINTA EM PÓ</v>
      </c>
      <c r="X3228" t="str">
        <f>VLOOKUP(L3228,'[2]tabela de preços'!$A:$G,7,0)</f>
        <v>INDUSTRIAL</v>
      </c>
    </row>
    <row r="3229" spans="1:24" x14ac:dyDescent="0.3">
      <c r="A3229" t="s">
        <v>1430</v>
      </c>
      <c r="C3229" t="s">
        <v>2660</v>
      </c>
      <c r="D3229" s="1">
        <v>46057</v>
      </c>
      <c r="E3229" t="s">
        <v>2661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21</v>
      </c>
      <c r="J3229" t="s">
        <v>363</v>
      </c>
      <c r="K3229" t="s">
        <v>1433</v>
      </c>
      <c r="L3229">
        <v>85318</v>
      </c>
      <c r="M3229" t="s">
        <v>258</v>
      </c>
      <c r="O3229" t="s">
        <v>11</v>
      </c>
      <c r="P3229">
        <v>5102</v>
      </c>
      <c r="Q3229">
        <v>1</v>
      </c>
      <c r="R3229">
        <v>775.32</v>
      </c>
      <c r="S3229">
        <v>775.32</v>
      </c>
      <c r="T3229">
        <v>552.80999999999995</v>
      </c>
      <c r="U3229">
        <v>28.7</v>
      </c>
      <c r="V3229" t="str">
        <f>VLOOKUP(L3229,'[2]tabela de preços'!$A:$D,4,0)</f>
        <v>BRASILUX</v>
      </c>
      <c r="W3229" t="str">
        <f>VLOOKUP(L3229,'[2]tabela de preços'!$A:$F,6,0)</f>
        <v>TINTA EM PÓ</v>
      </c>
      <c r="X3229" t="str">
        <f>VLOOKUP(L3229,'[2]tabela de preços'!$A:$G,7,0)</f>
        <v>INDUSTRIAL</v>
      </c>
    </row>
    <row r="3230" spans="1:24" x14ac:dyDescent="0.3">
      <c r="A3230" t="s">
        <v>1430</v>
      </c>
      <c r="C3230" t="s">
        <v>2937</v>
      </c>
      <c r="D3230" s="1">
        <v>46063</v>
      </c>
      <c r="E3230" t="s">
        <v>2938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21</v>
      </c>
      <c r="J3230" t="s">
        <v>363</v>
      </c>
      <c r="K3230" t="s">
        <v>1433</v>
      </c>
      <c r="L3230">
        <v>85318</v>
      </c>
      <c r="M3230" t="s">
        <v>258</v>
      </c>
      <c r="O3230" t="s">
        <v>11</v>
      </c>
      <c r="P3230">
        <v>5102</v>
      </c>
      <c r="Q3230">
        <v>1</v>
      </c>
      <c r="R3230">
        <v>775.32</v>
      </c>
      <c r="S3230">
        <v>775.32</v>
      </c>
      <c r="T3230">
        <v>552.80999999999995</v>
      </c>
      <c r="U3230">
        <v>28.7</v>
      </c>
      <c r="V3230" t="str">
        <f>VLOOKUP(L3230,'[2]tabela de preços'!$A:$D,4,0)</f>
        <v>BRASILUX</v>
      </c>
      <c r="W3230" t="str">
        <f>VLOOKUP(L3230,'[2]tabela de preços'!$A:$F,6,0)</f>
        <v>TINTA EM PÓ</v>
      </c>
      <c r="X3230" t="str">
        <f>VLOOKUP(L3230,'[2]tabela de preços'!$A:$G,7,0)</f>
        <v>INDUSTRIAL</v>
      </c>
    </row>
    <row r="3231" spans="1:24" x14ac:dyDescent="0.3">
      <c r="A3231" t="s">
        <v>1430</v>
      </c>
      <c r="C3231" t="s">
        <v>3209</v>
      </c>
      <c r="D3231" s="1">
        <v>46065</v>
      </c>
      <c r="E3231" t="s">
        <v>3210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21</v>
      </c>
      <c r="J3231" t="s">
        <v>363</v>
      </c>
      <c r="K3231" t="s">
        <v>1433</v>
      </c>
      <c r="L3231">
        <v>85318</v>
      </c>
      <c r="M3231" t="s">
        <v>258</v>
      </c>
      <c r="O3231" t="s">
        <v>11</v>
      </c>
      <c r="P3231">
        <v>5102</v>
      </c>
      <c r="Q3231">
        <v>1</v>
      </c>
      <c r="R3231">
        <v>819</v>
      </c>
      <c r="S3231">
        <v>819</v>
      </c>
      <c r="T3231">
        <v>583.96</v>
      </c>
      <c r="U3231">
        <v>28.7</v>
      </c>
      <c r="V3231" t="str">
        <f>VLOOKUP(L3231,'[2]tabela de preços'!$A:$D,4,0)</f>
        <v>BRASILUX</v>
      </c>
      <c r="W3231" t="str">
        <f>VLOOKUP(L3231,'[2]tabela de preços'!$A:$F,6,0)</f>
        <v>TINTA EM PÓ</v>
      </c>
      <c r="X3231" t="str">
        <f>VLOOKUP(L3231,'[2]tabela de preços'!$A:$G,7,0)</f>
        <v>INDUSTRIAL</v>
      </c>
    </row>
    <row r="3232" spans="1:24" x14ac:dyDescent="0.3">
      <c r="A3232" t="s">
        <v>1430</v>
      </c>
      <c r="C3232" t="s">
        <v>3211</v>
      </c>
      <c r="D3232" s="1">
        <v>46072</v>
      </c>
      <c r="E3232" t="s">
        <v>3212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21</v>
      </c>
      <c r="J3232" t="s">
        <v>363</v>
      </c>
      <c r="K3232" t="s">
        <v>1433</v>
      </c>
      <c r="L3232">
        <v>10298</v>
      </c>
      <c r="M3232" t="s">
        <v>85</v>
      </c>
      <c r="O3232" t="s">
        <v>11</v>
      </c>
      <c r="P3232">
        <v>5102</v>
      </c>
      <c r="Q3232">
        <v>1</v>
      </c>
      <c r="R3232">
        <v>56.89</v>
      </c>
      <c r="S3232">
        <v>56.89</v>
      </c>
      <c r="T3232">
        <v>47.38</v>
      </c>
      <c r="U3232">
        <v>16.72</v>
      </c>
      <c r="V3232" t="str">
        <f>VLOOKUP(L3232,'[2]tabela de preços'!$A:$D,4,0)</f>
        <v>ANJO</v>
      </c>
      <c r="W3232" t="str">
        <f>VLOOKUP(L3232,'[2]tabela de preços'!$A:$F,6,0)</f>
        <v>THINNER DE LIMPEZA</v>
      </c>
      <c r="X3232" t="str">
        <f>VLOOKUP(L3232,'[2]tabela de preços'!$A:$G,7,0)</f>
        <v>THINNER</v>
      </c>
    </row>
    <row r="3233" spans="1:24" x14ac:dyDescent="0.3">
      <c r="A3233" t="s">
        <v>1430</v>
      </c>
      <c r="C3233" t="s">
        <v>3211</v>
      </c>
      <c r="D3233" s="1">
        <v>46072</v>
      </c>
      <c r="E3233" t="s">
        <v>3212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21</v>
      </c>
      <c r="J3233" t="s">
        <v>363</v>
      </c>
      <c r="K3233" t="s">
        <v>1433</v>
      </c>
      <c r="L3233">
        <v>85324</v>
      </c>
      <c r="M3233" t="s">
        <v>1846</v>
      </c>
      <c r="O3233" t="s">
        <v>11</v>
      </c>
      <c r="P3233">
        <v>5102</v>
      </c>
      <c r="Q3233">
        <v>1</v>
      </c>
      <c r="R3233">
        <v>550</v>
      </c>
      <c r="S3233">
        <v>550</v>
      </c>
      <c r="T3233">
        <v>366.65</v>
      </c>
      <c r="U3233">
        <v>33.340000000000003</v>
      </c>
      <c r="V3233" t="str">
        <f>VLOOKUP(L3233,'[2]tabela de preços'!$A:$D,4,0)</f>
        <v>BRASILUX</v>
      </c>
      <c r="W3233" t="str">
        <f>VLOOKUP(L3233,'[2]tabela de preços'!$A:$F,6,0)</f>
        <v>TINTA EM PÓ</v>
      </c>
      <c r="X3233" t="str">
        <f>VLOOKUP(L3233,'[2]tabela de preços'!$A:$G,7,0)</f>
        <v>INDUSTRIAL</v>
      </c>
    </row>
    <row r="3234" spans="1:24" x14ac:dyDescent="0.3">
      <c r="A3234" t="s">
        <v>2939</v>
      </c>
      <c r="C3234" t="s">
        <v>2940</v>
      </c>
      <c r="D3234" s="1">
        <v>46064</v>
      </c>
      <c r="E3234" t="s">
        <v>2941</v>
      </c>
      <c r="F3234">
        <v>9</v>
      </c>
      <c r="G3234">
        <v>174</v>
      </c>
      <c r="H3234" t="str">
        <f>VLOOKUP(G3234,[1]OPERADORES!$A:$B,2,0)</f>
        <v>MIRIÃ LOBATO RODRIGUES</v>
      </c>
      <c r="I3234" t="s">
        <v>21</v>
      </c>
      <c r="J3234" t="s">
        <v>363</v>
      </c>
      <c r="K3234" t="s">
        <v>2942</v>
      </c>
      <c r="L3234">
        <v>85403</v>
      </c>
      <c r="M3234" t="s">
        <v>2582</v>
      </c>
      <c r="O3234" t="s">
        <v>11</v>
      </c>
      <c r="P3234">
        <v>5102</v>
      </c>
      <c r="Q3234">
        <v>1</v>
      </c>
      <c r="R3234">
        <v>584</v>
      </c>
      <c r="S3234">
        <v>584</v>
      </c>
      <c r="T3234">
        <v>406.86</v>
      </c>
      <c r="U3234">
        <v>30.33</v>
      </c>
      <c r="V3234" t="str">
        <f>VLOOKUP(L3234,'[2]tabela de preços'!$A:$D,4,0)</f>
        <v>BRASILUX</v>
      </c>
      <c r="W3234" t="str">
        <f>VLOOKUP(L3234,'[2]tabela de preços'!$A:$F,6,0)</f>
        <v>TINTA EM PÓ</v>
      </c>
      <c r="X3234" t="str">
        <f>VLOOKUP(L3234,'[2]tabela de preços'!$A:$G,7,0)</f>
        <v>INDUSTRIAL</v>
      </c>
    </row>
    <row r="3235" spans="1:24" x14ac:dyDescent="0.3">
      <c r="A3235" t="s">
        <v>1460</v>
      </c>
      <c r="C3235" t="s">
        <v>2662</v>
      </c>
      <c r="D3235" s="1">
        <v>46058</v>
      </c>
      <c r="E3235" t="s">
        <v>2663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1463</v>
      </c>
      <c r="K3235" t="s">
        <v>1464</v>
      </c>
      <c r="L3235">
        <v>85472</v>
      </c>
      <c r="M3235" t="s">
        <v>1465</v>
      </c>
      <c r="O3235" t="s">
        <v>11</v>
      </c>
      <c r="P3235">
        <v>5102</v>
      </c>
      <c r="Q3235">
        <v>2</v>
      </c>
      <c r="R3235">
        <v>554.63</v>
      </c>
      <c r="S3235" s="2">
        <v>1109.26</v>
      </c>
      <c r="T3235">
        <v>790.92</v>
      </c>
      <c r="U3235">
        <v>28.7</v>
      </c>
      <c r="V3235" t="str">
        <f>VLOOKUP(L3235,'[2]tabela de preços'!$A:$D,4,0)</f>
        <v>BRASILUX</v>
      </c>
      <c r="W3235" t="str">
        <f>VLOOKUP(L3235,'[2]tabela de preços'!$A:$F,6,0)</f>
        <v>TINTA EM PÓ</v>
      </c>
      <c r="X3235" t="str">
        <f>VLOOKUP(L3235,'[2]tabela de preços'!$A:$G,7,0)</f>
        <v>INDUSTRIAL</v>
      </c>
    </row>
    <row r="3236" spans="1:24" x14ac:dyDescent="0.3">
      <c r="A3236" t="s">
        <v>1468</v>
      </c>
      <c r="C3236" t="s">
        <v>2451</v>
      </c>
      <c r="D3236" s="1">
        <v>46055</v>
      </c>
      <c r="E3236" t="s">
        <v>2452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494</v>
      </c>
      <c r="K3236" t="s">
        <v>1471</v>
      </c>
      <c r="L3236">
        <v>84976</v>
      </c>
      <c r="M3236" t="s">
        <v>2453</v>
      </c>
      <c r="O3236" t="s">
        <v>11</v>
      </c>
      <c r="P3236">
        <v>5403</v>
      </c>
      <c r="Q3236">
        <v>1</v>
      </c>
      <c r="R3236">
        <v>271.19</v>
      </c>
      <c r="S3236">
        <v>271.19</v>
      </c>
      <c r="T3236">
        <v>198.82</v>
      </c>
      <c r="U3236">
        <v>26.69</v>
      </c>
      <c r="V3236" t="str">
        <f>VLOOKUP(L3236,'[2]tabela de preços'!$A:$D,4,0)</f>
        <v>BRASILUX</v>
      </c>
      <c r="W3236" t="str">
        <f>VLOOKUP(L3236,'[2]tabela de preços'!$A:$F,6,0)</f>
        <v>TINTA EMBORRACHADA</v>
      </c>
      <c r="X3236" t="str">
        <f>VLOOKUP(L3236,'[2]tabela de preços'!$A:$G,7,0)</f>
        <v>IMOBILIÁRIO</v>
      </c>
    </row>
    <row r="3237" spans="1:24" x14ac:dyDescent="0.3">
      <c r="A3237" t="s">
        <v>1468</v>
      </c>
      <c r="C3237" t="s">
        <v>2664</v>
      </c>
      <c r="D3237" s="1">
        <v>46058</v>
      </c>
      <c r="E3237" t="s">
        <v>2665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494</v>
      </c>
      <c r="K3237" t="s">
        <v>1471</v>
      </c>
      <c r="L3237">
        <v>10236</v>
      </c>
      <c r="M3237" t="s">
        <v>133</v>
      </c>
      <c r="O3237" t="s">
        <v>11</v>
      </c>
      <c r="P3237">
        <v>5102</v>
      </c>
      <c r="Q3237">
        <v>102</v>
      </c>
      <c r="R3237">
        <v>2.79</v>
      </c>
      <c r="S3237">
        <v>284.58</v>
      </c>
      <c r="T3237">
        <v>236.64</v>
      </c>
      <c r="U3237">
        <v>16.850000000000001</v>
      </c>
      <c r="V3237" t="str">
        <f>VLOOKUP(L3237,'[2]tabela de preços'!$A:$D,4,0)</f>
        <v>NORTON</v>
      </c>
      <c r="W3237" t="str">
        <f>VLOOKUP(L3237,'[2]tabela de preços'!$A:$F,6,0)</f>
        <v xml:space="preserve">DISCOS / LIXAS / ABRASIVOS </v>
      </c>
      <c r="X3237" t="str">
        <f>VLOOKUP(L3237,'[2]tabela de preços'!$A:$G,7,0)</f>
        <v>AUTOMOTIVO</v>
      </c>
    </row>
    <row r="3238" spans="1:24" x14ac:dyDescent="0.3">
      <c r="A3238" t="s">
        <v>1468</v>
      </c>
      <c r="C3238" t="s">
        <v>2664</v>
      </c>
      <c r="D3238" s="1">
        <v>46058</v>
      </c>
      <c r="E3238" t="s">
        <v>2665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494</v>
      </c>
      <c r="K3238" t="s">
        <v>1471</v>
      </c>
      <c r="L3238">
        <v>10226</v>
      </c>
      <c r="M3238" t="s">
        <v>145</v>
      </c>
      <c r="O3238" t="s">
        <v>11</v>
      </c>
      <c r="P3238">
        <v>5102</v>
      </c>
      <c r="Q3238">
        <v>102</v>
      </c>
      <c r="R3238">
        <v>2.79</v>
      </c>
      <c r="S3238">
        <v>284.58</v>
      </c>
      <c r="T3238">
        <v>236.64</v>
      </c>
      <c r="U3238">
        <v>16.850000000000001</v>
      </c>
      <c r="V3238" t="str">
        <f>VLOOKUP(L3238,'[2]tabela de preços'!$A:$D,4,0)</f>
        <v>NORTON</v>
      </c>
      <c r="W3238" t="str">
        <f>VLOOKUP(L3238,'[2]tabela de preços'!$A:$F,6,0)</f>
        <v xml:space="preserve">DISCOS / LIXAS / ABRASIVOS </v>
      </c>
      <c r="X3238" t="str">
        <f>VLOOKUP(L3238,'[2]tabela de preços'!$A:$G,7,0)</f>
        <v>AUTOMOTIVO</v>
      </c>
    </row>
    <row r="3239" spans="1:24" x14ac:dyDescent="0.3">
      <c r="A3239" t="s">
        <v>1468</v>
      </c>
      <c r="C3239" t="s">
        <v>2664</v>
      </c>
      <c r="D3239" s="1">
        <v>46058</v>
      </c>
      <c r="E3239" t="s">
        <v>2665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494</v>
      </c>
      <c r="K3239" t="s">
        <v>1471</v>
      </c>
      <c r="L3239">
        <v>10230</v>
      </c>
      <c r="M3239" t="s">
        <v>193</v>
      </c>
      <c r="O3239" t="s">
        <v>11</v>
      </c>
      <c r="P3239">
        <v>5102</v>
      </c>
      <c r="Q3239">
        <v>102</v>
      </c>
      <c r="R3239">
        <v>2.79</v>
      </c>
      <c r="S3239">
        <v>284.58</v>
      </c>
      <c r="T3239">
        <v>236.64</v>
      </c>
      <c r="U3239">
        <v>16.850000000000001</v>
      </c>
      <c r="V3239" t="str">
        <f>VLOOKUP(L3239,'[2]tabela de preços'!$A:$D,4,0)</f>
        <v>NORTON</v>
      </c>
      <c r="W3239" t="str">
        <f>VLOOKUP(L3239,'[2]tabela de preços'!$A:$F,6,0)</f>
        <v xml:space="preserve">DISCOS / LIXAS / ABRASIVOS </v>
      </c>
      <c r="X3239" t="str">
        <f>VLOOKUP(L3239,'[2]tabela de preços'!$A:$G,7,0)</f>
        <v>AUTOMOTIVO</v>
      </c>
    </row>
    <row r="3240" spans="1:24" x14ac:dyDescent="0.3">
      <c r="A3240" t="s">
        <v>1468</v>
      </c>
      <c r="C3240" t="s">
        <v>2664</v>
      </c>
      <c r="D3240" s="1">
        <v>46058</v>
      </c>
      <c r="E3240" t="s">
        <v>2665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494</v>
      </c>
      <c r="K3240" t="s">
        <v>1471</v>
      </c>
      <c r="L3240">
        <v>10232</v>
      </c>
      <c r="M3240" t="s">
        <v>134</v>
      </c>
      <c r="O3240" t="s">
        <v>11</v>
      </c>
      <c r="P3240">
        <v>5102</v>
      </c>
      <c r="Q3240">
        <v>102</v>
      </c>
      <c r="R3240">
        <v>2.79</v>
      </c>
      <c r="S3240">
        <v>284.58</v>
      </c>
      <c r="T3240">
        <v>229.5</v>
      </c>
      <c r="U3240">
        <v>19.350000000000001</v>
      </c>
      <c r="V3240" t="str">
        <f>VLOOKUP(L3240,'[2]tabela de preços'!$A:$D,4,0)</f>
        <v>NORTON</v>
      </c>
      <c r="W3240" t="str">
        <f>VLOOKUP(L3240,'[2]tabela de preços'!$A:$F,6,0)</f>
        <v xml:space="preserve">DISCOS / LIXAS / ABRASIVOS </v>
      </c>
      <c r="X3240" t="str">
        <f>VLOOKUP(L3240,'[2]tabela de preços'!$A:$G,7,0)</f>
        <v>AUTOMOTIVO</v>
      </c>
    </row>
    <row r="3241" spans="1:24" x14ac:dyDescent="0.3">
      <c r="A3241" t="s">
        <v>1468</v>
      </c>
      <c r="C3241" t="s">
        <v>2664</v>
      </c>
      <c r="D3241" s="1">
        <v>46058</v>
      </c>
      <c r="E3241" t="s">
        <v>2665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494</v>
      </c>
      <c r="K3241" t="s">
        <v>1471</v>
      </c>
      <c r="L3241">
        <v>23364</v>
      </c>
      <c r="M3241" t="s">
        <v>55</v>
      </c>
      <c r="O3241" t="s">
        <v>11</v>
      </c>
      <c r="P3241">
        <v>5102</v>
      </c>
      <c r="Q3241">
        <v>15</v>
      </c>
      <c r="R3241">
        <v>6.19</v>
      </c>
      <c r="S3241">
        <v>92.85</v>
      </c>
      <c r="T3241">
        <v>73.650000000000006</v>
      </c>
      <c r="U3241">
        <v>20.68</v>
      </c>
      <c r="V3241" t="str">
        <f>VLOOKUP(L3241,'[2]tabela de preços'!$A:$D,4,0)</f>
        <v>AUTO AMERICA</v>
      </c>
      <c r="W3241" t="str">
        <f>VLOOKUP(L3241,'[2]tabela de preços'!$A:$F,6,0)</f>
        <v>FLANELAS / PANOS</v>
      </c>
      <c r="X3241" t="str">
        <f>VLOOKUP(L3241,'[2]tabela de preços'!$A:$G,7,0)</f>
        <v>AUTOMOTIVO</v>
      </c>
    </row>
    <row r="3242" spans="1:24" x14ac:dyDescent="0.3">
      <c r="A3242" t="s">
        <v>1468</v>
      </c>
      <c r="C3242" t="s">
        <v>2664</v>
      </c>
      <c r="D3242" s="1">
        <v>46058</v>
      </c>
      <c r="E3242" t="s">
        <v>2665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494</v>
      </c>
      <c r="K3242" t="s">
        <v>1471</v>
      </c>
      <c r="L3242">
        <v>9764</v>
      </c>
      <c r="M3242" t="s">
        <v>173</v>
      </c>
      <c r="O3242" t="s">
        <v>11</v>
      </c>
      <c r="P3242">
        <v>5102</v>
      </c>
      <c r="Q3242">
        <v>3</v>
      </c>
      <c r="R3242">
        <v>33.54</v>
      </c>
      <c r="S3242">
        <v>100.62</v>
      </c>
      <c r="T3242">
        <v>76.38</v>
      </c>
      <c r="U3242">
        <v>24.09</v>
      </c>
      <c r="V3242" t="str">
        <f>VLOOKUP(L3242,'[2]tabela de preços'!$A:$D,4,0)</f>
        <v>SIKKENS</v>
      </c>
      <c r="W3242" t="str">
        <f>VLOOKUP(L3242,'[2]tabela de preços'!$A:$F,6,0)</f>
        <v>MASSA DE PEQUENOS REPAROS</v>
      </c>
      <c r="X3242" t="str">
        <f>VLOOKUP(L3242,'[2]tabela de preços'!$A:$G,7,0)</f>
        <v>AUTOMOTIVO</v>
      </c>
    </row>
    <row r="3243" spans="1:24" x14ac:dyDescent="0.3">
      <c r="A3243" t="s">
        <v>1468</v>
      </c>
      <c r="C3243" t="s">
        <v>2664</v>
      </c>
      <c r="D3243" s="1">
        <v>46058</v>
      </c>
      <c r="E3243" t="s">
        <v>2665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494</v>
      </c>
      <c r="K3243" t="s">
        <v>1471</v>
      </c>
      <c r="L3243">
        <v>20414</v>
      </c>
      <c r="M3243" t="s">
        <v>112</v>
      </c>
      <c r="O3243" t="s">
        <v>11</v>
      </c>
      <c r="P3243">
        <v>5102</v>
      </c>
      <c r="Q3243">
        <v>40</v>
      </c>
      <c r="R3243">
        <v>21.89</v>
      </c>
      <c r="S3243">
        <v>875.6</v>
      </c>
      <c r="T3243">
        <v>720</v>
      </c>
      <c r="U3243">
        <v>17.77</v>
      </c>
      <c r="V3243" t="str">
        <f>VLOOKUP(L3243,'[2]tabela de preços'!$A:$D,4,0)</f>
        <v>SHERWIN WILLIAMS</v>
      </c>
      <c r="W3243" t="str">
        <f>VLOOKUP(L3243,'[2]tabela de preços'!$A:$F,6,0)</f>
        <v>DILUENTE</v>
      </c>
      <c r="X3243" t="str">
        <f>VLOOKUP(L3243,'[2]tabela de preços'!$A:$G,7,0)</f>
        <v>AUTOMOTIVO</v>
      </c>
    </row>
    <row r="3244" spans="1:24" x14ac:dyDescent="0.3">
      <c r="A3244" t="s">
        <v>1468</v>
      </c>
      <c r="C3244" t="s">
        <v>2943</v>
      </c>
      <c r="D3244" s="1">
        <v>46064</v>
      </c>
      <c r="E3244" t="s">
        <v>2944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494</v>
      </c>
      <c r="K3244" t="s">
        <v>1471</v>
      </c>
      <c r="L3244">
        <v>24183</v>
      </c>
      <c r="M3244" t="s">
        <v>1655</v>
      </c>
      <c r="O3244" t="s">
        <v>11</v>
      </c>
      <c r="P3244">
        <v>5102</v>
      </c>
      <c r="Q3244">
        <v>7</v>
      </c>
      <c r="R3244">
        <v>30.45</v>
      </c>
      <c r="S3244">
        <v>213.15</v>
      </c>
      <c r="T3244">
        <v>161.77000000000001</v>
      </c>
      <c r="U3244">
        <v>24.11</v>
      </c>
      <c r="V3244" t="str">
        <f>VLOOKUP(L3244,'[2]tabela de preços'!$A:$D,4,0)</f>
        <v>3M</v>
      </c>
      <c r="W3244" t="str">
        <f>VLOOKUP(L3244,'[2]tabela de preços'!$A:$F,6,0)</f>
        <v>FITA DUPLA FACE</v>
      </c>
      <c r="X3244" t="str">
        <f>VLOOKUP(L3244,'[2]tabela de preços'!$A:$G,7,0)</f>
        <v>AUTOMOTIVO</v>
      </c>
    </row>
    <row r="3245" spans="1:24" x14ac:dyDescent="0.3">
      <c r="A3245" t="s">
        <v>1468</v>
      </c>
      <c r="C3245" t="s">
        <v>2943</v>
      </c>
      <c r="D3245" s="1">
        <v>46064</v>
      </c>
      <c r="E3245" t="s">
        <v>2944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494</v>
      </c>
      <c r="K3245" t="s">
        <v>1471</v>
      </c>
      <c r="L3245">
        <v>13</v>
      </c>
      <c r="M3245" t="s">
        <v>152</v>
      </c>
      <c r="O3245" t="s">
        <v>11</v>
      </c>
      <c r="P3245">
        <v>5102</v>
      </c>
      <c r="Q3245">
        <v>50</v>
      </c>
      <c r="R3245">
        <v>5.79</v>
      </c>
      <c r="S3245">
        <v>289.5</v>
      </c>
      <c r="T3245">
        <v>208</v>
      </c>
      <c r="U3245">
        <v>28.15</v>
      </c>
      <c r="V3245" t="str">
        <f>VLOOKUP(L3245,'[2]tabela de preços'!$A:$D,4,0)</f>
        <v>3M</v>
      </c>
      <c r="W3245" t="str">
        <f>VLOOKUP(L3245,'[2]tabela de preços'!$A:$F,6,0)</f>
        <v>LIXA DÁGUA</v>
      </c>
      <c r="X3245" t="str">
        <f>VLOOKUP(L3245,'[2]tabela de preços'!$A:$G,7,0)</f>
        <v>AUTOMOTIVO</v>
      </c>
    </row>
    <row r="3246" spans="1:24" x14ac:dyDescent="0.3">
      <c r="A3246" t="s">
        <v>1468</v>
      </c>
      <c r="C3246" t="s">
        <v>2943</v>
      </c>
      <c r="D3246" s="1">
        <v>46064</v>
      </c>
      <c r="E3246" t="s">
        <v>2944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494</v>
      </c>
      <c r="K3246" t="s">
        <v>1471</v>
      </c>
      <c r="L3246">
        <v>15</v>
      </c>
      <c r="M3246" t="s">
        <v>205</v>
      </c>
      <c r="O3246" t="s">
        <v>11</v>
      </c>
      <c r="P3246">
        <v>5102</v>
      </c>
      <c r="Q3246">
        <v>50</v>
      </c>
      <c r="R3246">
        <v>5.79</v>
      </c>
      <c r="S3246">
        <v>289.5</v>
      </c>
      <c r="T3246">
        <v>208</v>
      </c>
      <c r="U3246">
        <v>28.15</v>
      </c>
      <c r="V3246" t="str">
        <f>VLOOKUP(L3246,'[2]tabela de preços'!$A:$D,4,0)</f>
        <v>3M</v>
      </c>
      <c r="W3246" t="str">
        <f>VLOOKUP(L3246,'[2]tabela de preços'!$A:$F,6,0)</f>
        <v>LIXA DÁGUA</v>
      </c>
      <c r="X3246" t="str">
        <f>VLOOKUP(L3246,'[2]tabela de preços'!$A:$G,7,0)</f>
        <v>AUTOMOTIVO</v>
      </c>
    </row>
    <row r="3247" spans="1:24" x14ac:dyDescent="0.3">
      <c r="A3247" t="s">
        <v>1468</v>
      </c>
      <c r="C3247" t="s">
        <v>2943</v>
      </c>
      <c r="D3247" s="1">
        <v>46064</v>
      </c>
      <c r="E3247" t="s">
        <v>2944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494</v>
      </c>
      <c r="K3247" t="s">
        <v>1471</v>
      </c>
      <c r="L3247">
        <v>10238</v>
      </c>
      <c r="M3247" t="s">
        <v>79</v>
      </c>
      <c r="O3247" t="s">
        <v>11</v>
      </c>
      <c r="P3247">
        <v>5102</v>
      </c>
      <c r="Q3247">
        <v>200</v>
      </c>
      <c r="R3247">
        <v>2.79</v>
      </c>
      <c r="S3247">
        <v>558</v>
      </c>
      <c r="T3247">
        <v>448</v>
      </c>
      <c r="U3247">
        <v>19.71</v>
      </c>
      <c r="V3247" t="str">
        <f>VLOOKUP(L3247,'[2]tabela de preços'!$A:$D,4,0)</f>
        <v>NORTON</v>
      </c>
      <c r="W3247" t="str">
        <f>VLOOKUP(L3247,'[2]tabela de preços'!$A:$F,6,0)</f>
        <v xml:space="preserve">DISCOS / LIXAS / ABRASIVOS </v>
      </c>
      <c r="X3247" t="str">
        <f>VLOOKUP(L3247,'[2]tabela de preços'!$A:$G,7,0)</f>
        <v>AUTOMOTIVO</v>
      </c>
    </row>
    <row r="3248" spans="1:24" x14ac:dyDescent="0.3">
      <c r="A3248" t="s">
        <v>1468</v>
      </c>
      <c r="C3248" t="s">
        <v>2943</v>
      </c>
      <c r="D3248" s="1">
        <v>46064</v>
      </c>
      <c r="E3248" t="s">
        <v>2944</v>
      </c>
      <c r="F3248">
        <v>9</v>
      </c>
      <c r="G3248">
        <v>174</v>
      </c>
      <c r="H3248" t="str">
        <f>VLOOKUP(G3248,[1]OPERADORES!$A:$B,2,0)</f>
        <v>MIRIÃ LOBATO RODRIGUES</v>
      </c>
      <c r="I3248" t="s">
        <v>21</v>
      </c>
      <c r="J3248" t="s">
        <v>494</v>
      </c>
      <c r="K3248" t="s">
        <v>1471</v>
      </c>
      <c r="L3248">
        <v>10242</v>
      </c>
      <c r="M3248" t="s">
        <v>82</v>
      </c>
      <c r="O3248" t="s">
        <v>11</v>
      </c>
      <c r="P3248">
        <v>5102</v>
      </c>
      <c r="Q3248">
        <v>100</v>
      </c>
      <c r="R3248">
        <v>2.79</v>
      </c>
      <c r="S3248">
        <v>279</v>
      </c>
      <c r="T3248">
        <v>224</v>
      </c>
      <c r="U3248">
        <v>19.71</v>
      </c>
      <c r="V3248" t="str">
        <f>VLOOKUP(L3248,'[2]tabela de preços'!$A:$D,4,0)</f>
        <v>NORTON</v>
      </c>
      <c r="W3248" t="str">
        <f>VLOOKUP(L3248,'[2]tabela de preços'!$A:$F,6,0)</f>
        <v xml:space="preserve">DISCOS / LIXAS / ABRASIVOS </v>
      </c>
      <c r="X3248" t="str">
        <f>VLOOKUP(L3248,'[2]tabela de preços'!$A:$G,7,0)</f>
        <v>AUTOMOTIVO</v>
      </c>
    </row>
    <row r="3249" spans="1:24" x14ac:dyDescent="0.3">
      <c r="A3249" t="s">
        <v>1468</v>
      </c>
      <c r="C3249" t="s">
        <v>2943</v>
      </c>
      <c r="D3249" s="1">
        <v>46064</v>
      </c>
      <c r="E3249" t="s">
        <v>2944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494</v>
      </c>
      <c r="K3249" t="s">
        <v>1471</v>
      </c>
      <c r="L3249">
        <v>10243</v>
      </c>
      <c r="M3249" t="s">
        <v>83</v>
      </c>
      <c r="O3249" t="s">
        <v>11</v>
      </c>
      <c r="P3249">
        <v>5102</v>
      </c>
      <c r="Q3249">
        <v>200</v>
      </c>
      <c r="R3249">
        <v>2.79</v>
      </c>
      <c r="S3249">
        <v>558</v>
      </c>
      <c r="T3249">
        <v>386</v>
      </c>
      <c r="U3249">
        <v>30.82</v>
      </c>
      <c r="V3249" t="str">
        <f>VLOOKUP(L3249,'[2]tabela de preços'!$A:$D,4,0)</f>
        <v>NORTON</v>
      </c>
      <c r="W3249" t="str">
        <f>VLOOKUP(L3249,'[2]tabela de preços'!$A:$F,6,0)</f>
        <v xml:space="preserve">DISCOS / LIXAS / ABRASIVOS </v>
      </c>
      <c r="X3249" t="str">
        <f>VLOOKUP(L3249,'[2]tabela de preços'!$A:$G,7,0)</f>
        <v>AUTOMOTIVO</v>
      </c>
    </row>
    <row r="3250" spans="1:24" x14ac:dyDescent="0.3">
      <c r="A3250" t="s">
        <v>1468</v>
      </c>
      <c r="C3250" t="s">
        <v>2943</v>
      </c>
      <c r="D3250" s="1">
        <v>46064</v>
      </c>
      <c r="E3250" t="s">
        <v>2944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494</v>
      </c>
      <c r="K3250" t="s">
        <v>1471</v>
      </c>
      <c r="L3250">
        <v>10244</v>
      </c>
      <c r="M3250" t="s">
        <v>84</v>
      </c>
      <c r="O3250" t="s">
        <v>11</v>
      </c>
      <c r="P3250">
        <v>5102</v>
      </c>
      <c r="Q3250">
        <v>150</v>
      </c>
      <c r="R3250">
        <v>2.79</v>
      </c>
      <c r="S3250">
        <v>418.5</v>
      </c>
      <c r="T3250">
        <v>289.5</v>
      </c>
      <c r="U3250">
        <v>30.82</v>
      </c>
      <c r="V3250" t="str">
        <f>VLOOKUP(L3250,'[2]tabela de preços'!$A:$D,4,0)</f>
        <v>NORTON</v>
      </c>
      <c r="W3250" t="str">
        <f>VLOOKUP(L3250,'[2]tabela de preços'!$A:$F,6,0)</f>
        <v xml:space="preserve">DISCOS / LIXAS / ABRASIVOS </v>
      </c>
      <c r="X3250" t="str">
        <f>VLOOKUP(L3250,'[2]tabela de preços'!$A:$G,7,0)</f>
        <v>AUTOMOTIVO</v>
      </c>
    </row>
    <row r="3251" spans="1:24" x14ac:dyDescent="0.3">
      <c r="A3251" t="s">
        <v>1468</v>
      </c>
      <c r="C3251" t="s">
        <v>2943</v>
      </c>
      <c r="D3251" s="1">
        <v>46064</v>
      </c>
      <c r="E3251" t="s">
        <v>2944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494</v>
      </c>
      <c r="K3251" t="s">
        <v>1471</v>
      </c>
      <c r="L3251">
        <v>10245</v>
      </c>
      <c r="M3251" t="s">
        <v>195</v>
      </c>
      <c r="O3251" t="s">
        <v>11</v>
      </c>
      <c r="P3251">
        <v>5102</v>
      </c>
      <c r="Q3251">
        <v>100</v>
      </c>
      <c r="R3251">
        <v>2.79</v>
      </c>
      <c r="S3251">
        <v>279</v>
      </c>
      <c r="T3251">
        <v>193</v>
      </c>
      <c r="U3251">
        <v>30.82</v>
      </c>
      <c r="V3251" t="str">
        <f>VLOOKUP(L3251,'[2]tabela de preços'!$A:$D,4,0)</f>
        <v>NORTON</v>
      </c>
      <c r="W3251" t="str">
        <f>VLOOKUP(L3251,'[2]tabela de preços'!$A:$F,6,0)</f>
        <v xml:space="preserve">DISCOS / LIXAS / ABRASIVOS </v>
      </c>
      <c r="X3251" t="str">
        <f>VLOOKUP(L3251,'[2]tabela de preços'!$A:$G,7,0)</f>
        <v>AUTOMOTIVO</v>
      </c>
    </row>
    <row r="3252" spans="1:24" x14ac:dyDescent="0.3">
      <c r="A3252" t="s">
        <v>1468</v>
      </c>
      <c r="C3252" t="s">
        <v>2943</v>
      </c>
      <c r="D3252" s="1">
        <v>46064</v>
      </c>
      <c r="E3252" t="s">
        <v>2944</v>
      </c>
      <c r="F3252">
        <v>9</v>
      </c>
      <c r="G3252">
        <v>174</v>
      </c>
      <c r="H3252" t="str">
        <f>VLOOKUP(G3252,[1]OPERADORES!$A:$B,2,0)</f>
        <v>MIRIÃ LOBATO RODRIGUES</v>
      </c>
      <c r="I3252" t="s">
        <v>21</v>
      </c>
      <c r="J3252" t="s">
        <v>494</v>
      </c>
      <c r="K3252" t="s">
        <v>1471</v>
      </c>
      <c r="L3252">
        <v>10246</v>
      </c>
      <c r="M3252" t="s">
        <v>206</v>
      </c>
      <c r="O3252" t="s">
        <v>11</v>
      </c>
      <c r="P3252">
        <v>5102</v>
      </c>
      <c r="Q3252">
        <v>100</v>
      </c>
      <c r="R3252">
        <v>2.79</v>
      </c>
      <c r="S3252">
        <v>279</v>
      </c>
      <c r="T3252">
        <v>193</v>
      </c>
      <c r="U3252">
        <v>30.82</v>
      </c>
      <c r="V3252" t="str">
        <f>VLOOKUP(L3252,'[2]tabela de preços'!$A:$D,4,0)</f>
        <v>NORTON</v>
      </c>
      <c r="W3252" t="str">
        <f>VLOOKUP(L3252,'[2]tabela de preços'!$A:$F,6,0)</f>
        <v xml:space="preserve">DISCOS / LIXAS / ABRASIVOS </v>
      </c>
      <c r="X3252" t="str">
        <f>VLOOKUP(L3252,'[2]tabela de preços'!$A:$G,7,0)</f>
        <v>AUTOMOTIVO</v>
      </c>
    </row>
    <row r="3253" spans="1:24" x14ac:dyDescent="0.3">
      <c r="A3253" t="s">
        <v>1468</v>
      </c>
      <c r="C3253" t="s">
        <v>3213</v>
      </c>
      <c r="D3253" s="1">
        <v>46071</v>
      </c>
      <c r="E3253" t="s">
        <v>3214</v>
      </c>
      <c r="F3253">
        <v>9</v>
      </c>
      <c r="G3253">
        <v>174</v>
      </c>
      <c r="H3253" t="str">
        <f>VLOOKUP(G3253,[1]OPERADORES!$A:$B,2,0)</f>
        <v>MIRIÃ LOBATO RODRIGUES</v>
      </c>
      <c r="I3253" t="s">
        <v>21</v>
      </c>
      <c r="J3253" t="s">
        <v>494</v>
      </c>
      <c r="K3253" t="s">
        <v>1471</v>
      </c>
      <c r="L3253">
        <v>10236</v>
      </c>
      <c r="M3253" t="s">
        <v>133</v>
      </c>
      <c r="O3253" t="s">
        <v>11</v>
      </c>
      <c r="P3253">
        <v>5102</v>
      </c>
      <c r="Q3253">
        <v>204</v>
      </c>
      <c r="R3253">
        <v>2.79</v>
      </c>
      <c r="S3253">
        <v>569.16</v>
      </c>
      <c r="T3253">
        <v>473.28</v>
      </c>
      <c r="U3253">
        <v>16.850000000000001</v>
      </c>
      <c r="V3253" t="str">
        <f>VLOOKUP(L3253,'[2]tabela de preços'!$A:$D,4,0)</f>
        <v>NORTON</v>
      </c>
      <c r="W3253" t="str">
        <f>VLOOKUP(L3253,'[2]tabela de preços'!$A:$F,6,0)</f>
        <v xml:space="preserve">DISCOS / LIXAS / ABRASIVOS </v>
      </c>
      <c r="X3253" t="str">
        <f>VLOOKUP(L3253,'[2]tabela de preços'!$A:$G,7,0)</f>
        <v>AUTOMOTIVO</v>
      </c>
    </row>
    <row r="3254" spans="1:24" x14ac:dyDescent="0.3">
      <c r="A3254" t="s">
        <v>1468</v>
      </c>
      <c r="C3254" t="s">
        <v>3213</v>
      </c>
      <c r="D3254" s="1">
        <v>46071</v>
      </c>
      <c r="E3254" t="s">
        <v>3214</v>
      </c>
      <c r="F3254">
        <v>9</v>
      </c>
      <c r="G3254">
        <v>174</v>
      </c>
      <c r="H3254" t="str">
        <f>VLOOKUP(G3254,[1]OPERADORES!$A:$B,2,0)</f>
        <v>MIRIÃ LOBATO RODRIGUES</v>
      </c>
      <c r="I3254" t="s">
        <v>21</v>
      </c>
      <c r="J3254" t="s">
        <v>494</v>
      </c>
      <c r="K3254" t="s">
        <v>1471</v>
      </c>
      <c r="L3254">
        <v>10226</v>
      </c>
      <c r="M3254" t="s">
        <v>145</v>
      </c>
      <c r="O3254" t="s">
        <v>11</v>
      </c>
      <c r="P3254">
        <v>5102</v>
      </c>
      <c r="Q3254">
        <v>204</v>
      </c>
      <c r="R3254">
        <v>2.79</v>
      </c>
      <c r="S3254">
        <v>569.16</v>
      </c>
      <c r="T3254">
        <v>473.28</v>
      </c>
      <c r="U3254">
        <v>16.850000000000001</v>
      </c>
      <c r="V3254" t="str">
        <f>VLOOKUP(L3254,'[2]tabela de preços'!$A:$D,4,0)</f>
        <v>NORTON</v>
      </c>
      <c r="W3254" t="str">
        <f>VLOOKUP(L3254,'[2]tabela de preços'!$A:$F,6,0)</f>
        <v xml:space="preserve">DISCOS / LIXAS / ABRASIVOS </v>
      </c>
      <c r="X3254" t="str">
        <f>VLOOKUP(L3254,'[2]tabela de preços'!$A:$G,7,0)</f>
        <v>AUTOMOTIVO</v>
      </c>
    </row>
    <row r="3255" spans="1:24" x14ac:dyDescent="0.3">
      <c r="A3255" t="s">
        <v>1468</v>
      </c>
      <c r="C3255" t="s">
        <v>3213</v>
      </c>
      <c r="D3255" s="1">
        <v>46071</v>
      </c>
      <c r="E3255" t="s">
        <v>3214</v>
      </c>
      <c r="F3255">
        <v>9</v>
      </c>
      <c r="G3255">
        <v>174</v>
      </c>
      <c r="H3255" t="str">
        <f>VLOOKUP(G3255,[1]OPERADORES!$A:$B,2,0)</f>
        <v>MIRIÃ LOBATO RODRIGUES</v>
      </c>
      <c r="I3255" t="s">
        <v>21</v>
      </c>
      <c r="J3255" t="s">
        <v>494</v>
      </c>
      <c r="K3255" t="s">
        <v>1471</v>
      </c>
      <c r="L3255">
        <v>10230</v>
      </c>
      <c r="M3255" t="s">
        <v>193</v>
      </c>
      <c r="O3255" t="s">
        <v>11</v>
      </c>
      <c r="P3255">
        <v>5102</v>
      </c>
      <c r="Q3255">
        <v>204</v>
      </c>
      <c r="R3255">
        <v>2.79</v>
      </c>
      <c r="S3255">
        <v>569.16</v>
      </c>
      <c r="T3255">
        <v>473.28</v>
      </c>
      <c r="U3255">
        <v>16.850000000000001</v>
      </c>
      <c r="V3255" t="str">
        <f>VLOOKUP(L3255,'[2]tabela de preços'!$A:$D,4,0)</f>
        <v>NORTON</v>
      </c>
      <c r="W3255" t="str">
        <f>VLOOKUP(L3255,'[2]tabela de preços'!$A:$F,6,0)</f>
        <v xml:space="preserve">DISCOS / LIXAS / ABRASIVOS </v>
      </c>
      <c r="X3255" t="str">
        <f>VLOOKUP(L3255,'[2]tabela de preços'!$A:$G,7,0)</f>
        <v>AUTOMOTIVO</v>
      </c>
    </row>
    <row r="3256" spans="1:24" x14ac:dyDescent="0.3">
      <c r="A3256" t="s">
        <v>1468</v>
      </c>
      <c r="C3256" t="s">
        <v>3213</v>
      </c>
      <c r="D3256" s="1">
        <v>46071</v>
      </c>
      <c r="E3256" t="s">
        <v>3214</v>
      </c>
      <c r="F3256">
        <v>9</v>
      </c>
      <c r="G3256">
        <v>174</v>
      </c>
      <c r="H3256" t="str">
        <f>VLOOKUP(G3256,[1]OPERADORES!$A:$B,2,0)</f>
        <v>MIRIÃ LOBATO RODRIGUES</v>
      </c>
      <c r="I3256" t="s">
        <v>21</v>
      </c>
      <c r="J3256" t="s">
        <v>494</v>
      </c>
      <c r="K3256" t="s">
        <v>1471</v>
      </c>
      <c r="L3256">
        <v>10232</v>
      </c>
      <c r="M3256" t="s">
        <v>134</v>
      </c>
      <c r="O3256" t="s">
        <v>11</v>
      </c>
      <c r="P3256">
        <v>5102</v>
      </c>
      <c r="Q3256">
        <v>204</v>
      </c>
      <c r="R3256">
        <v>2.79</v>
      </c>
      <c r="S3256">
        <v>569.16</v>
      </c>
      <c r="T3256">
        <v>459</v>
      </c>
      <c r="U3256">
        <v>19.350000000000001</v>
      </c>
      <c r="V3256" t="str">
        <f>VLOOKUP(L3256,'[2]tabela de preços'!$A:$D,4,0)</f>
        <v>NORTON</v>
      </c>
      <c r="W3256" t="str">
        <f>VLOOKUP(L3256,'[2]tabela de preços'!$A:$F,6,0)</f>
        <v xml:space="preserve">DISCOS / LIXAS / ABRASIVOS </v>
      </c>
      <c r="X3256" t="str">
        <f>VLOOKUP(L3256,'[2]tabela de preços'!$A:$G,7,0)</f>
        <v>AUTOMOTIVO</v>
      </c>
    </row>
    <row r="3257" spans="1:24" x14ac:dyDescent="0.3">
      <c r="A3257" t="s">
        <v>2666</v>
      </c>
      <c r="C3257" t="s">
        <v>2667</v>
      </c>
      <c r="D3257" s="1">
        <v>46058</v>
      </c>
      <c r="E3257" t="s">
        <v>2668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397</v>
      </c>
      <c r="K3257" t="s">
        <v>2669</v>
      </c>
      <c r="L3257">
        <v>24227</v>
      </c>
      <c r="M3257" t="s">
        <v>2670</v>
      </c>
      <c r="O3257" t="s">
        <v>11</v>
      </c>
      <c r="P3257">
        <v>5102</v>
      </c>
      <c r="Q3257">
        <v>1</v>
      </c>
      <c r="R3257">
        <v>90.98</v>
      </c>
      <c r="S3257">
        <v>90.98</v>
      </c>
      <c r="T3257">
        <v>69.05</v>
      </c>
      <c r="U3257">
        <v>24.1</v>
      </c>
      <c r="V3257" t="str">
        <f>VLOOKUP(L3257,'[2]tabela de preços'!$A:$D,4,0)</f>
        <v>VONIXX</v>
      </c>
      <c r="W3257" t="str">
        <f>VLOOKUP(L3257,'[2]tabela de preços'!$A:$F,6,0)</f>
        <v>LINHA DE HIGENIZAÇÃO E ESTÉTICA  AUTOMOTIVA</v>
      </c>
      <c r="X3257" t="str">
        <f>VLOOKUP(L3257,'[2]tabela de preços'!$A:$G,7,0)</f>
        <v>AUTOMOTIVO</v>
      </c>
    </row>
    <row r="3258" spans="1:24" x14ac:dyDescent="0.3">
      <c r="A3258" t="s">
        <v>2666</v>
      </c>
      <c r="C3258" t="s">
        <v>2667</v>
      </c>
      <c r="D3258" s="1">
        <v>46058</v>
      </c>
      <c r="E3258" t="s">
        <v>2668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397</v>
      </c>
      <c r="K3258" t="s">
        <v>2669</v>
      </c>
      <c r="L3258">
        <v>84543</v>
      </c>
      <c r="M3258" t="s">
        <v>2671</v>
      </c>
      <c r="O3258" t="s">
        <v>11</v>
      </c>
      <c r="P3258">
        <v>5102</v>
      </c>
      <c r="Q3258">
        <v>1</v>
      </c>
      <c r="R3258">
        <v>81.87</v>
      </c>
      <c r="S3258">
        <v>81.87</v>
      </c>
      <c r="T3258">
        <v>62.14</v>
      </c>
      <c r="U3258">
        <v>24.1</v>
      </c>
      <c r="V3258" t="str">
        <f>VLOOKUP(L3258,'[2]tabela de preços'!$A:$D,4,0)</f>
        <v>VONIXX</v>
      </c>
      <c r="W3258" t="str">
        <f>VLOOKUP(L3258,'[2]tabela de preços'!$A:$F,6,0)</f>
        <v>LINHA DE HIGENIZAÇÃO E ESTÉTICA  AUTOMOTIVA</v>
      </c>
      <c r="X3258" t="str">
        <f>VLOOKUP(L3258,'[2]tabela de preços'!$A:$G,7,0)</f>
        <v>AUTOMOTIVO</v>
      </c>
    </row>
    <row r="3259" spans="1:24" x14ac:dyDescent="0.3">
      <c r="A3259" t="s">
        <v>2666</v>
      </c>
      <c r="C3259" t="s">
        <v>2667</v>
      </c>
      <c r="D3259" s="1">
        <v>46058</v>
      </c>
      <c r="E3259" t="s">
        <v>2668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397</v>
      </c>
      <c r="K3259" t="s">
        <v>2669</v>
      </c>
      <c r="L3259">
        <v>22188</v>
      </c>
      <c r="M3259" t="s">
        <v>78</v>
      </c>
      <c r="O3259" t="s">
        <v>11</v>
      </c>
      <c r="P3259">
        <v>5102</v>
      </c>
      <c r="Q3259">
        <v>1</v>
      </c>
      <c r="R3259">
        <v>14.35</v>
      </c>
      <c r="S3259">
        <v>14.35</v>
      </c>
      <c r="T3259">
        <v>10.89</v>
      </c>
      <c r="U3259">
        <v>24.11</v>
      </c>
      <c r="V3259" t="str">
        <f>VLOOKUP(L3259,'[2]tabela de preços'!$A:$D,4,0)</f>
        <v>3M</v>
      </c>
      <c r="W3259" t="str">
        <f>VLOOKUP(L3259,'[2]tabela de preços'!$A:$F,6,0)</f>
        <v>FITA AUTOMOTIVA</v>
      </c>
      <c r="X3259" t="str">
        <f>VLOOKUP(L3259,'[2]tabela de preços'!$A:$G,7,0)</f>
        <v>AUTOMOTIVO</v>
      </c>
    </row>
    <row r="3260" spans="1:24" x14ac:dyDescent="0.3">
      <c r="A3260" t="s">
        <v>2666</v>
      </c>
      <c r="C3260" t="s">
        <v>2667</v>
      </c>
      <c r="D3260" s="1">
        <v>46058</v>
      </c>
      <c r="E3260" t="s">
        <v>2668</v>
      </c>
      <c r="F3260">
        <v>9</v>
      </c>
      <c r="G3260">
        <v>236</v>
      </c>
      <c r="H3260" t="str">
        <f>VLOOKUP(G3260,[1]OPERADORES!$A:$B,2,0)</f>
        <v>DANIEL</v>
      </c>
      <c r="I3260" t="s">
        <v>21</v>
      </c>
      <c r="J3260" t="s">
        <v>397</v>
      </c>
      <c r="K3260" t="s">
        <v>2669</v>
      </c>
      <c r="L3260">
        <v>23364</v>
      </c>
      <c r="M3260" t="s">
        <v>55</v>
      </c>
      <c r="O3260" t="s">
        <v>11</v>
      </c>
      <c r="P3260">
        <v>5102</v>
      </c>
      <c r="Q3260">
        <v>10</v>
      </c>
      <c r="R3260">
        <v>6.19</v>
      </c>
      <c r="S3260">
        <v>61.9</v>
      </c>
      <c r="T3260">
        <v>49.1</v>
      </c>
      <c r="U3260">
        <v>20.68</v>
      </c>
      <c r="V3260" t="str">
        <f>VLOOKUP(L3260,'[2]tabela de preços'!$A:$D,4,0)</f>
        <v>AUTO AMERICA</v>
      </c>
      <c r="W3260" t="str">
        <f>VLOOKUP(L3260,'[2]tabela de preços'!$A:$F,6,0)</f>
        <v>FLANELAS / PANOS</v>
      </c>
      <c r="X3260" t="str">
        <f>VLOOKUP(L3260,'[2]tabela de preços'!$A:$G,7,0)</f>
        <v>AUTOMOTIVO</v>
      </c>
    </row>
    <row r="3261" spans="1:24" x14ac:dyDescent="0.3">
      <c r="A3261" t="s">
        <v>2666</v>
      </c>
      <c r="C3261" t="s">
        <v>2667</v>
      </c>
      <c r="D3261" s="1">
        <v>46058</v>
      </c>
      <c r="E3261" t="s">
        <v>2668</v>
      </c>
      <c r="F3261">
        <v>9</v>
      </c>
      <c r="G3261">
        <v>236</v>
      </c>
      <c r="H3261" t="str">
        <f>VLOOKUP(G3261,[1]OPERADORES!$A:$B,2,0)</f>
        <v>DANIEL</v>
      </c>
      <c r="I3261" t="s">
        <v>21</v>
      </c>
      <c r="J3261" t="s">
        <v>397</v>
      </c>
      <c r="K3261" t="s">
        <v>2669</v>
      </c>
      <c r="L3261">
        <v>85545</v>
      </c>
      <c r="M3261" t="s">
        <v>2672</v>
      </c>
      <c r="O3261" t="s">
        <v>11</v>
      </c>
      <c r="P3261">
        <v>5102</v>
      </c>
      <c r="Q3261">
        <v>1</v>
      </c>
      <c r="R3261">
        <v>39.700000000000003</v>
      </c>
      <c r="S3261">
        <v>39.700000000000003</v>
      </c>
      <c r="T3261">
        <v>30.13</v>
      </c>
      <c r="U3261">
        <v>24.11</v>
      </c>
      <c r="V3261" t="str">
        <f>VLOOKUP(L3261,'[2]tabela de preços'!$A:$D,4,0)</f>
        <v>VONIXX</v>
      </c>
      <c r="W3261" t="str">
        <f>VLOOKUP(L3261,'[2]tabela de preços'!$A:$F,6,0)</f>
        <v>LINHA DE HIGENIZAÇÃO E ESTÉTICA  AUTOMOTIVA</v>
      </c>
      <c r="X3261" t="str">
        <f>VLOOKUP(L3261,'[2]tabela de preços'!$A:$G,7,0)</f>
        <v>AUTOMOTIVO</v>
      </c>
    </row>
    <row r="3262" spans="1:24" x14ac:dyDescent="0.3">
      <c r="A3262" t="s">
        <v>2666</v>
      </c>
      <c r="C3262" t="s">
        <v>2667</v>
      </c>
      <c r="D3262" s="1">
        <v>46058</v>
      </c>
      <c r="E3262" t="s">
        <v>2668</v>
      </c>
      <c r="F3262">
        <v>9</v>
      </c>
      <c r="G3262">
        <v>236</v>
      </c>
      <c r="H3262" t="str">
        <f>VLOOKUP(G3262,[1]OPERADORES!$A:$B,2,0)</f>
        <v>DANIEL</v>
      </c>
      <c r="I3262" t="s">
        <v>21</v>
      </c>
      <c r="J3262" t="s">
        <v>397</v>
      </c>
      <c r="K3262" t="s">
        <v>2669</v>
      </c>
      <c r="L3262">
        <v>24386</v>
      </c>
      <c r="M3262" t="s">
        <v>2673</v>
      </c>
      <c r="O3262" t="s">
        <v>11</v>
      </c>
      <c r="P3262">
        <v>5102</v>
      </c>
      <c r="Q3262">
        <v>1</v>
      </c>
      <c r="R3262">
        <v>58.11</v>
      </c>
      <c r="S3262">
        <v>58.11</v>
      </c>
      <c r="T3262">
        <v>44.1</v>
      </c>
      <c r="U3262">
        <v>24.11</v>
      </c>
      <c r="V3262" t="str">
        <f>VLOOKUP(L3262,'[2]tabela de preços'!$A:$D,4,0)</f>
        <v>VONIXX</v>
      </c>
      <c r="W3262" t="str">
        <f>VLOOKUP(L3262,'[2]tabela de preços'!$A:$F,6,0)</f>
        <v>LINHA DE HIGENIZAÇÃO E ESTÉTICA  AUTOMOTIVA</v>
      </c>
      <c r="X3262" t="str">
        <f>VLOOKUP(L3262,'[2]tabela de preços'!$A:$G,7,0)</f>
        <v>AUTOMOTIVO</v>
      </c>
    </row>
    <row r="3263" spans="1:24" x14ac:dyDescent="0.3">
      <c r="A3263" t="s">
        <v>2666</v>
      </c>
      <c r="C3263" t="s">
        <v>2667</v>
      </c>
      <c r="D3263" s="1">
        <v>46058</v>
      </c>
      <c r="E3263" t="s">
        <v>2668</v>
      </c>
      <c r="F3263">
        <v>9</v>
      </c>
      <c r="G3263">
        <v>236</v>
      </c>
      <c r="H3263" t="str">
        <f>VLOOKUP(G3263,[1]OPERADORES!$A:$B,2,0)</f>
        <v>DANIEL</v>
      </c>
      <c r="I3263" t="s">
        <v>21</v>
      </c>
      <c r="J3263" t="s">
        <v>397</v>
      </c>
      <c r="K3263" t="s">
        <v>2669</v>
      </c>
      <c r="L3263">
        <v>85247</v>
      </c>
      <c r="M3263" t="s">
        <v>2674</v>
      </c>
      <c r="O3263" t="s">
        <v>11</v>
      </c>
      <c r="P3263">
        <v>5102</v>
      </c>
      <c r="Q3263">
        <v>1</v>
      </c>
      <c r="R3263">
        <v>56.89</v>
      </c>
      <c r="S3263">
        <v>56.89</v>
      </c>
      <c r="T3263">
        <v>43.18</v>
      </c>
      <c r="U3263">
        <v>24.1</v>
      </c>
      <c r="V3263" t="str">
        <f>VLOOKUP(L3263,'[2]tabela de preços'!$A:$D,4,0)</f>
        <v>VONIXX</v>
      </c>
      <c r="W3263" t="str">
        <f>VLOOKUP(L3263,'[2]tabela de preços'!$A:$F,6,0)</f>
        <v>LINHA DE HIGENIZAÇÃO E ESTÉTICA  AUTOMOTIVA</v>
      </c>
      <c r="X3263" t="str">
        <f>VLOOKUP(L3263,'[2]tabela de preços'!$A:$G,7,0)</f>
        <v>AUTOMOTIVO</v>
      </c>
    </row>
    <row r="3264" spans="1:24" x14ac:dyDescent="0.3">
      <c r="A3264" t="s">
        <v>2666</v>
      </c>
      <c r="C3264" t="s">
        <v>2667</v>
      </c>
      <c r="D3264" s="1">
        <v>46058</v>
      </c>
      <c r="E3264" t="s">
        <v>2668</v>
      </c>
      <c r="F3264">
        <v>9</v>
      </c>
      <c r="G3264">
        <v>236</v>
      </c>
      <c r="H3264" t="str">
        <f>VLOOKUP(G3264,[1]OPERADORES!$A:$B,2,0)</f>
        <v>DANIEL</v>
      </c>
      <c r="I3264" t="s">
        <v>21</v>
      </c>
      <c r="J3264" t="s">
        <v>397</v>
      </c>
      <c r="K3264" t="s">
        <v>2669</v>
      </c>
      <c r="L3264">
        <v>85248</v>
      </c>
      <c r="M3264" t="s">
        <v>2675</v>
      </c>
      <c r="O3264" t="s">
        <v>11</v>
      </c>
      <c r="P3264">
        <v>5102</v>
      </c>
      <c r="Q3264">
        <v>1</v>
      </c>
      <c r="R3264">
        <v>67.09</v>
      </c>
      <c r="S3264">
        <v>67.09</v>
      </c>
      <c r="T3264">
        <v>50.92</v>
      </c>
      <c r="U3264">
        <v>24.1</v>
      </c>
      <c r="V3264" t="str">
        <f>VLOOKUP(L3264,'[2]tabela de preços'!$A:$D,4,0)</f>
        <v>VONIXX</v>
      </c>
      <c r="W3264" t="str">
        <f>VLOOKUP(L3264,'[2]tabela de preços'!$A:$F,6,0)</f>
        <v>LINHA DE HIGENIZAÇÃO E ESTÉTICA  AUTOMOTIVA</v>
      </c>
      <c r="X3264" t="str">
        <f>VLOOKUP(L3264,'[2]tabela de preços'!$A:$G,7,0)</f>
        <v>AUTOMOTIVO</v>
      </c>
    </row>
    <row r="3265" spans="1:24" x14ac:dyDescent="0.3">
      <c r="A3265" t="s">
        <v>2666</v>
      </c>
      <c r="C3265" t="s">
        <v>2676</v>
      </c>
      <c r="D3265" s="1">
        <v>46058</v>
      </c>
      <c r="E3265" t="s">
        <v>2677</v>
      </c>
      <c r="F3265">
        <v>9</v>
      </c>
      <c r="G3265">
        <v>236</v>
      </c>
      <c r="H3265" t="str">
        <f>VLOOKUP(G3265,[1]OPERADORES!$A:$B,2,0)</f>
        <v>DANIEL</v>
      </c>
      <c r="I3265" t="s">
        <v>21</v>
      </c>
      <c r="J3265" t="s">
        <v>397</v>
      </c>
      <c r="K3265" t="s">
        <v>2669</v>
      </c>
      <c r="L3265">
        <v>83788</v>
      </c>
      <c r="M3265" t="s">
        <v>2678</v>
      </c>
      <c r="O3265" t="s">
        <v>11</v>
      </c>
      <c r="P3265">
        <v>5102</v>
      </c>
      <c r="Q3265">
        <v>1</v>
      </c>
      <c r="R3265">
        <v>58.11</v>
      </c>
      <c r="S3265">
        <v>58.11</v>
      </c>
      <c r="T3265">
        <v>44.1</v>
      </c>
      <c r="U3265">
        <v>24.11</v>
      </c>
      <c r="V3265" t="str">
        <f>VLOOKUP(L3265,'[2]tabela de preços'!$A:$D,4,0)</f>
        <v>VONIXX</v>
      </c>
      <c r="W3265" t="str">
        <f>VLOOKUP(L3265,'[2]tabela de preços'!$A:$F,6,0)</f>
        <v>BOINAS PARA POLIMENTO</v>
      </c>
      <c r="X3265" t="str">
        <f>VLOOKUP(L3265,'[2]tabela de preços'!$A:$G,7,0)</f>
        <v>AUTOMOTIVO</v>
      </c>
    </row>
    <row r="3266" spans="1:24" x14ac:dyDescent="0.3">
      <c r="A3266" t="s">
        <v>2666</v>
      </c>
      <c r="C3266" t="s">
        <v>2676</v>
      </c>
      <c r="D3266" s="1">
        <v>46058</v>
      </c>
      <c r="E3266" t="s">
        <v>2677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397</v>
      </c>
      <c r="K3266" t="s">
        <v>2669</v>
      </c>
      <c r="L3266">
        <v>20983</v>
      </c>
      <c r="M3266" t="s">
        <v>2107</v>
      </c>
      <c r="O3266" t="s">
        <v>11</v>
      </c>
      <c r="P3266">
        <v>5102</v>
      </c>
      <c r="Q3266">
        <v>1</v>
      </c>
      <c r="R3266">
        <v>16.84</v>
      </c>
      <c r="S3266">
        <v>16.84</v>
      </c>
      <c r="T3266">
        <v>12.78</v>
      </c>
      <c r="U3266">
        <v>24.11</v>
      </c>
      <c r="V3266" t="str">
        <f>VLOOKUP(L3266,'[2]tabela de preços'!$A:$D,4,0)</f>
        <v>3M</v>
      </c>
      <c r="W3266" t="str">
        <f>VLOOKUP(L3266,'[2]tabela de preços'!$A:$F,6,0)</f>
        <v>DISCO TRIZACT</v>
      </c>
      <c r="X3266" t="str">
        <f>VLOOKUP(L3266,'[2]tabela de preços'!$A:$G,7,0)</f>
        <v>AUTOMOTIVO</v>
      </c>
    </row>
    <row r="3267" spans="1:24" x14ac:dyDescent="0.3">
      <c r="A3267" t="s">
        <v>2666</v>
      </c>
      <c r="C3267" t="s">
        <v>2676</v>
      </c>
      <c r="D3267" s="1">
        <v>46058</v>
      </c>
      <c r="E3267" t="s">
        <v>2677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397</v>
      </c>
      <c r="K3267" t="s">
        <v>2669</v>
      </c>
      <c r="L3267">
        <v>20135</v>
      </c>
      <c r="M3267" t="s">
        <v>459</v>
      </c>
      <c r="O3267" t="s">
        <v>11</v>
      </c>
      <c r="P3267">
        <v>5102</v>
      </c>
      <c r="Q3267">
        <v>1</v>
      </c>
      <c r="R3267">
        <v>25.37</v>
      </c>
      <c r="S3267">
        <v>25.37</v>
      </c>
      <c r="T3267">
        <v>19.260000000000002</v>
      </c>
      <c r="U3267">
        <v>24.08</v>
      </c>
      <c r="V3267" t="str">
        <f>VLOOKUP(L3267,'[2]tabela de preços'!$A:$D,4,0)</f>
        <v>3M</v>
      </c>
      <c r="W3267" t="str">
        <f>VLOOKUP(L3267,'[2]tabela de preços'!$A:$F,6,0)</f>
        <v>DISCO TRIZACT</v>
      </c>
      <c r="X3267" t="str">
        <f>VLOOKUP(L3267,'[2]tabela de preços'!$A:$G,7,0)</f>
        <v>AUTOMOTIVO</v>
      </c>
    </row>
    <row r="3268" spans="1:24" x14ac:dyDescent="0.3">
      <c r="A3268" t="s">
        <v>2666</v>
      </c>
      <c r="C3268" t="s">
        <v>3215</v>
      </c>
      <c r="D3268" s="1">
        <v>46066</v>
      </c>
      <c r="E3268" t="s">
        <v>3216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397</v>
      </c>
      <c r="K3268" t="s">
        <v>2669</v>
      </c>
      <c r="L3268">
        <v>83787</v>
      </c>
      <c r="M3268" t="s">
        <v>3217</v>
      </c>
      <c r="O3268" t="s">
        <v>11</v>
      </c>
      <c r="P3268">
        <v>5102</v>
      </c>
      <c r="Q3268">
        <v>1</v>
      </c>
      <c r="R3268">
        <v>54.62</v>
      </c>
      <c r="S3268">
        <v>54.62</v>
      </c>
      <c r="T3268">
        <v>41.46</v>
      </c>
      <c r="U3268">
        <v>24.09</v>
      </c>
      <c r="V3268" t="str">
        <f>VLOOKUP(L3268,'[2]tabela de preços'!$A:$D,4,0)</f>
        <v>VONIXX</v>
      </c>
      <c r="W3268" t="str">
        <f>VLOOKUP(L3268,'[2]tabela de preços'!$A:$F,6,0)</f>
        <v>BOINAS PARA POLIMENTO</v>
      </c>
      <c r="X3268" t="str">
        <f>VLOOKUP(L3268,'[2]tabela de preços'!$A:$G,7,0)</f>
        <v>AUTOMOTIVO</v>
      </c>
    </row>
    <row r="3269" spans="1:24" x14ac:dyDescent="0.3">
      <c r="A3269" t="s">
        <v>2666</v>
      </c>
      <c r="C3269" t="s">
        <v>3215</v>
      </c>
      <c r="D3269" s="1">
        <v>46066</v>
      </c>
      <c r="E3269" t="s">
        <v>3216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397</v>
      </c>
      <c r="K3269" t="s">
        <v>2669</v>
      </c>
      <c r="L3269">
        <v>83788</v>
      </c>
      <c r="M3269" t="s">
        <v>2678</v>
      </c>
      <c r="O3269" t="s">
        <v>11</v>
      </c>
      <c r="P3269">
        <v>5102</v>
      </c>
      <c r="Q3269">
        <v>1</v>
      </c>
      <c r="R3269">
        <v>58.11</v>
      </c>
      <c r="S3269">
        <v>58.11</v>
      </c>
      <c r="T3269">
        <v>44.1</v>
      </c>
      <c r="U3269">
        <v>24.11</v>
      </c>
      <c r="V3269" t="str">
        <f>VLOOKUP(L3269,'[2]tabela de preços'!$A:$D,4,0)</f>
        <v>VONIXX</v>
      </c>
      <c r="W3269" t="str">
        <f>VLOOKUP(L3269,'[2]tabela de preços'!$A:$F,6,0)</f>
        <v>BOINAS PARA POLIMENTO</v>
      </c>
      <c r="X3269" t="str">
        <f>VLOOKUP(L3269,'[2]tabela de preços'!$A:$G,7,0)</f>
        <v>AUTOMOTIVO</v>
      </c>
    </row>
    <row r="3270" spans="1:24" x14ac:dyDescent="0.3">
      <c r="A3270" t="s">
        <v>2666</v>
      </c>
      <c r="C3270" t="s">
        <v>3215</v>
      </c>
      <c r="D3270" s="1">
        <v>46066</v>
      </c>
      <c r="E3270" t="s">
        <v>3216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397</v>
      </c>
      <c r="K3270" t="s">
        <v>2669</v>
      </c>
      <c r="L3270">
        <v>22188</v>
      </c>
      <c r="M3270" t="s">
        <v>78</v>
      </c>
      <c r="O3270" t="s">
        <v>11</v>
      </c>
      <c r="P3270">
        <v>5102</v>
      </c>
      <c r="Q3270">
        <v>1</v>
      </c>
      <c r="R3270">
        <v>14.35</v>
      </c>
      <c r="S3270">
        <v>14.35</v>
      </c>
      <c r="T3270">
        <v>10.89</v>
      </c>
      <c r="U3270">
        <v>24.11</v>
      </c>
      <c r="V3270" t="str">
        <f>VLOOKUP(L3270,'[2]tabela de preços'!$A:$D,4,0)</f>
        <v>3M</v>
      </c>
      <c r="W3270" t="str">
        <f>VLOOKUP(L3270,'[2]tabela de preços'!$A:$F,6,0)</f>
        <v>FITA AUTOMOTIVA</v>
      </c>
      <c r="X3270" t="str">
        <f>VLOOKUP(L3270,'[2]tabela de preços'!$A:$G,7,0)</f>
        <v>AUTOMOTIVO</v>
      </c>
    </row>
    <row r="3271" spans="1:24" x14ac:dyDescent="0.3">
      <c r="A3271" t="s">
        <v>2785</v>
      </c>
      <c r="B3271" t="s">
        <v>2786</v>
      </c>
      <c r="C3271" t="s">
        <v>2787</v>
      </c>
      <c r="D3271" s="1">
        <v>46059</v>
      </c>
      <c r="E3271" t="s">
        <v>2788</v>
      </c>
      <c r="F3271">
        <v>9</v>
      </c>
      <c r="G3271">
        <v>174</v>
      </c>
      <c r="H3271" t="str">
        <f>VLOOKUP(G3271,[1]OPERADORES!$A:$B,2,0)</f>
        <v>MIRIÃ LOBATO RODRIGUES</v>
      </c>
      <c r="I3271" t="s">
        <v>21</v>
      </c>
      <c r="J3271" t="s">
        <v>1691</v>
      </c>
      <c r="K3271" t="s">
        <v>2789</v>
      </c>
      <c r="L3271">
        <v>85319</v>
      </c>
      <c r="M3271" t="s">
        <v>1388</v>
      </c>
      <c r="O3271" t="s">
        <v>11</v>
      </c>
      <c r="P3271">
        <v>5102</v>
      </c>
      <c r="Q3271">
        <v>1</v>
      </c>
      <c r="R3271" s="2">
        <v>1400</v>
      </c>
      <c r="S3271" s="2">
        <v>1400</v>
      </c>
      <c r="T3271" s="2">
        <v>1049.08</v>
      </c>
      <c r="U3271">
        <v>25.07</v>
      </c>
      <c r="V3271" t="str">
        <f>VLOOKUP(L3271,'[2]tabela de preços'!$A:$D,4,0)</f>
        <v>BRASILUX</v>
      </c>
      <c r="W3271" t="str">
        <f>VLOOKUP(L3271,'[2]tabela de preços'!$A:$F,6,0)</f>
        <v>TINTA EM PÓ</v>
      </c>
      <c r="X3271" t="str">
        <f>VLOOKUP(L3271,'[2]tabela de preços'!$A:$G,7,0)</f>
        <v>INDUSTRIAL</v>
      </c>
    </row>
    <row r="3272" spans="1:24" x14ac:dyDescent="0.3">
      <c r="A3272" t="s">
        <v>1479</v>
      </c>
      <c r="B3272" t="s">
        <v>1480</v>
      </c>
      <c r="C3272" t="s">
        <v>3218</v>
      </c>
      <c r="D3272" s="1">
        <v>46066</v>
      </c>
      <c r="E3272" t="s">
        <v>3219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1483</v>
      </c>
      <c r="K3272" t="s">
        <v>1484</v>
      </c>
      <c r="L3272">
        <v>84214</v>
      </c>
      <c r="M3272" t="s">
        <v>1485</v>
      </c>
      <c r="O3272" t="s">
        <v>11</v>
      </c>
      <c r="P3272">
        <v>5403</v>
      </c>
      <c r="Q3272">
        <v>2</v>
      </c>
      <c r="R3272">
        <v>242.61</v>
      </c>
      <c r="S3272">
        <v>485.22</v>
      </c>
      <c r="T3272">
        <v>368.28</v>
      </c>
      <c r="U3272">
        <v>24.1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1486</v>
      </c>
      <c r="C3273" t="s">
        <v>2523</v>
      </c>
      <c r="D3273" s="1">
        <v>46056</v>
      </c>
      <c r="E3273" t="s">
        <v>2524</v>
      </c>
      <c r="F3273">
        <v>9</v>
      </c>
      <c r="G3273">
        <v>236</v>
      </c>
      <c r="H3273" t="str">
        <f>VLOOKUP(G3273,[1]OPERADORES!$A:$B,2,0)</f>
        <v>DANIEL</v>
      </c>
      <c r="I3273" t="s">
        <v>1489</v>
      </c>
      <c r="J3273" t="s">
        <v>1490</v>
      </c>
      <c r="K3273" t="s">
        <v>1491</v>
      </c>
      <c r="L3273">
        <v>24198</v>
      </c>
      <c r="M3273" t="s">
        <v>2525</v>
      </c>
      <c r="O3273" t="s">
        <v>11</v>
      </c>
      <c r="P3273">
        <v>6102</v>
      </c>
      <c r="Q3273">
        <v>20</v>
      </c>
      <c r="R3273">
        <v>18.010000000000002</v>
      </c>
      <c r="S3273">
        <v>360.2</v>
      </c>
      <c r="T3273">
        <v>273.39999999999998</v>
      </c>
      <c r="U3273">
        <v>24.1</v>
      </c>
      <c r="V3273" t="str">
        <f>VLOOKUP(L3273,'[2]tabela de preços'!$A:$D,4,0)</f>
        <v>SKY</v>
      </c>
      <c r="W3273" t="str">
        <f>VLOOKUP(L3273,'[2]tabela de preços'!$A:$F,6,0)</f>
        <v>CATALISADORES INDIVIDUAS</v>
      </c>
      <c r="X3273" t="str">
        <f>VLOOKUP(L3273,'[2]tabela de preços'!$A:$G,7,0)</f>
        <v>AUTOMOTIVO</v>
      </c>
    </row>
    <row r="3274" spans="1:24" x14ac:dyDescent="0.3">
      <c r="A3274" t="s">
        <v>1486</v>
      </c>
      <c r="C3274" t="s">
        <v>2523</v>
      </c>
      <c r="D3274" s="1">
        <v>46056</v>
      </c>
      <c r="E3274" t="s">
        <v>2524</v>
      </c>
      <c r="F3274">
        <v>9</v>
      </c>
      <c r="G3274">
        <v>236</v>
      </c>
      <c r="H3274" t="str">
        <f>VLOOKUP(G3274,[1]OPERADORES!$A:$B,2,0)</f>
        <v>DANIEL</v>
      </c>
      <c r="I3274" t="s">
        <v>1489</v>
      </c>
      <c r="J3274" t="s">
        <v>1490</v>
      </c>
      <c r="K3274" t="s">
        <v>1491</v>
      </c>
      <c r="L3274">
        <v>23690</v>
      </c>
      <c r="M3274" t="s">
        <v>98</v>
      </c>
      <c r="O3274" t="s">
        <v>11</v>
      </c>
      <c r="P3274">
        <v>6403</v>
      </c>
      <c r="Q3274">
        <v>12</v>
      </c>
      <c r="R3274">
        <v>42.68</v>
      </c>
      <c r="S3274">
        <v>512.16</v>
      </c>
      <c r="T3274">
        <v>379.32</v>
      </c>
      <c r="U3274">
        <v>25.94</v>
      </c>
      <c r="V3274" t="str">
        <f>VLOOKUP(L3274,'[2]tabela de preços'!$A:$D,4,0)</f>
        <v>WANDA</v>
      </c>
      <c r="W3274" t="str">
        <f>VLOOKUP(L3274,'[2]tabela de preços'!$A:$F,6,0)</f>
        <v>VERNIZ AUTOMOTIVO</v>
      </c>
      <c r="X3274" t="str">
        <f>VLOOKUP(L3274,'[2]tabela de preços'!$A:$G,7,0)</f>
        <v>AUTOMOTIVO</v>
      </c>
    </row>
    <row r="3275" spans="1:24" x14ac:dyDescent="0.3">
      <c r="A3275" t="s">
        <v>1486</v>
      </c>
      <c r="C3275" t="s">
        <v>2523</v>
      </c>
      <c r="D3275" s="1">
        <v>46056</v>
      </c>
      <c r="E3275" t="s">
        <v>2524</v>
      </c>
      <c r="F3275">
        <v>9</v>
      </c>
      <c r="G3275">
        <v>236</v>
      </c>
      <c r="H3275" t="str">
        <f>VLOOKUP(G3275,[1]OPERADORES!$A:$B,2,0)</f>
        <v>DANIEL</v>
      </c>
      <c r="I3275" t="s">
        <v>1489</v>
      </c>
      <c r="J3275" t="s">
        <v>1490</v>
      </c>
      <c r="K3275" t="s">
        <v>1491</v>
      </c>
      <c r="L3275">
        <v>23100</v>
      </c>
      <c r="M3275" t="s">
        <v>99</v>
      </c>
      <c r="O3275" t="s">
        <v>11</v>
      </c>
      <c r="P3275">
        <v>6102</v>
      </c>
      <c r="Q3275">
        <v>100</v>
      </c>
      <c r="R3275">
        <v>2.35</v>
      </c>
      <c r="S3275">
        <v>235</v>
      </c>
      <c r="T3275">
        <v>169</v>
      </c>
      <c r="U3275">
        <v>28.09</v>
      </c>
      <c r="V3275" t="str">
        <f>VLOOKUP(L3275,'[2]tabela de preços'!$A:$D,4,0)</f>
        <v>3M</v>
      </c>
      <c r="W3275" t="str">
        <f>VLOOKUP(L3275,'[2]tabela de preços'!$A:$F,6,0)</f>
        <v xml:space="preserve">DISCOS / LIXAS / ABRASIVOS </v>
      </c>
      <c r="X3275" t="str">
        <f>VLOOKUP(L3275,'[2]tabela de preços'!$A:$G,7,0)</f>
        <v>AUTOMOTIVO</v>
      </c>
    </row>
    <row r="3276" spans="1:24" x14ac:dyDescent="0.3">
      <c r="A3276" t="s">
        <v>1486</v>
      </c>
      <c r="C3276" t="s">
        <v>2523</v>
      </c>
      <c r="D3276" s="1">
        <v>46056</v>
      </c>
      <c r="E3276" t="s">
        <v>2524</v>
      </c>
      <c r="F3276">
        <v>9</v>
      </c>
      <c r="G3276">
        <v>236</v>
      </c>
      <c r="H3276" t="str">
        <f>VLOOKUP(G3276,[1]OPERADORES!$A:$B,2,0)</f>
        <v>DANIEL</v>
      </c>
      <c r="I3276" t="s">
        <v>1489</v>
      </c>
      <c r="J3276" t="s">
        <v>1490</v>
      </c>
      <c r="K3276" t="s">
        <v>1491</v>
      </c>
      <c r="L3276">
        <v>23101</v>
      </c>
      <c r="M3276" t="s">
        <v>410</v>
      </c>
      <c r="O3276" t="s">
        <v>411</v>
      </c>
      <c r="P3276">
        <v>6102</v>
      </c>
      <c r="Q3276">
        <v>100</v>
      </c>
      <c r="R3276">
        <v>2.35</v>
      </c>
      <c r="S3276">
        <v>235</v>
      </c>
      <c r="T3276">
        <v>169</v>
      </c>
      <c r="U3276">
        <v>28.09</v>
      </c>
      <c r="V3276" t="str">
        <f>VLOOKUP(L3276,'[2]tabela de preços'!$A:$D,4,0)</f>
        <v>3M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1486</v>
      </c>
      <c r="C3277" t="s">
        <v>2523</v>
      </c>
      <c r="D3277" s="1">
        <v>46056</v>
      </c>
      <c r="E3277" t="s">
        <v>2524</v>
      </c>
      <c r="F3277">
        <v>9</v>
      </c>
      <c r="G3277">
        <v>236</v>
      </c>
      <c r="H3277" t="str">
        <f>VLOOKUP(G3277,[1]OPERADORES!$A:$B,2,0)</f>
        <v>DANIEL</v>
      </c>
      <c r="I3277" t="s">
        <v>1489</v>
      </c>
      <c r="J3277" t="s">
        <v>1490</v>
      </c>
      <c r="K3277" t="s">
        <v>1491</v>
      </c>
      <c r="L3277">
        <v>23096</v>
      </c>
      <c r="M3277" t="s">
        <v>656</v>
      </c>
      <c r="O3277" t="s">
        <v>411</v>
      </c>
      <c r="P3277">
        <v>6102</v>
      </c>
      <c r="Q3277">
        <v>100</v>
      </c>
      <c r="R3277">
        <v>2.35</v>
      </c>
      <c r="S3277">
        <v>235</v>
      </c>
      <c r="T3277">
        <v>169</v>
      </c>
      <c r="U3277">
        <v>28.09</v>
      </c>
      <c r="V3277" t="str">
        <f>VLOOKUP(L3277,'[2]tabela de preços'!$A:$D,4,0)</f>
        <v>3M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1486</v>
      </c>
      <c r="C3278" t="s">
        <v>2523</v>
      </c>
      <c r="D3278" s="1">
        <v>46056</v>
      </c>
      <c r="E3278" t="s">
        <v>2524</v>
      </c>
      <c r="F3278">
        <v>9</v>
      </c>
      <c r="G3278">
        <v>236</v>
      </c>
      <c r="H3278" t="str">
        <f>VLOOKUP(G3278,[1]OPERADORES!$A:$B,2,0)</f>
        <v>DANIEL</v>
      </c>
      <c r="I3278" t="s">
        <v>1489</v>
      </c>
      <c r="J3278" t="s">
        <v>1490</v>
      </c>
      <c r="K3278" t="s">
        <v>1491</v>
      </c>
      <c r="L3278">
        <v>23097</v>
      </c>
      <c r="M3278" t="s">
        <v>412</v>
      </c>
      <c r="O3278" t="s">
        <v>411</v>
      </c>
      <c r="P3278">
        <v>6102</v>
      </c>
      <c r="Q3278">
        <v>100</v>
      </c>
      <c r="R3278">
        <v>2.35</v>
      </c>
      <c r="S3278">
        <v>235</v>
      </c>
      <c r="T3278">
        <v>136</v>
      </c>
      <c r="U3278">
        <v>42.13</v>
      </c>
      <c r="V3278" t="str">
        <f>VLOOKUP(L3278,'[2]tabela de preços'!$A:$D,4,0)</f>
        <v>3M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1486</v>
      </c>
      <c r="C3279" t="s">
        <v>2523</v>
      </c>
      <c r="D3279" s="1">
        <v>46056</v>
      </c>
      <c r="E3279" t="s">
        <v>2524</v>
      </c>
      <c r="F3279">
        <v>9</v>
      </c>
      <c r="G3279">
        <v>236</v>
      </c>
      <c r="H3279" t="str">
        <f>VLOOKUP(G3279,[1]OPERADORES!$A:$B,2,0)</f>
        <v>DANIEL</v>
      </c>
      <c r="I3279" t="s">
        <v>1489</v>
      </c>
      <c r="J3279" t="s">
        <v>1490</v>
      </c>
      <c r="K3279" t="s">
        <v>1491</v>
      </c>
      <c r="L3279">
        <v>13</v>
      </c>
      <c r="M3279" t="s">
        <v>152</v>
      </c>
      <c r="O3279" t="s">
        <v>11</v>
      </c>
      <c r="P3279">
        <v>6102</v>
      </c>
      <c r="Q3279">
        <v>100</v>
      </c>
      <c r="R3279">
        <v>5.79</v>
      </c>
      <c r="S3279">
        <v>579</v>
      </c>
      <c r="T3279">
        <v>416</v>
      </c>
      <c r="U3279">
        <v>28.15</v>
      </c>
      <c r="V3279" t="str">
        <f>VLOOKUP(L3279,'[2]tabela de preços'!$A:$D,4,0)</f>
        <v>3M</v>
      </c>
      <c r="W3279" t="str">
        <f>VLOOKUP(L3279,'[2]tabela de preços'!$A:$F,6,0)</f>
        <v>LIXA DÁGUA</v>
      </c>
      <c r="X3279" t="str">
        <f>VLOOKUP(L3279,'[2]tabela de preços'!$A:$G,7,0)</f>
        <v>AUTOMOTIVO</v>
      </c>
    </row>
    <row r="3280" spans="1:24" x14ac:dyDescent="0.3">
      <c r="A3280" t="s">
        <v>1486</v>
      </c>
      <c r="C3280" t="s">
        <v>2523</v>
      </c>
      <c r="D3280" s="1">
        <v>46056</v>
      </c>
      <c r="E3280" t="s">
        <v>2524</v>
      </c>
      <c r="F3280">
        <v>9</v>
      </c>
      <c r="G3280">
        <v>236</v>
      </c>
      <c r="H3280" t="str">
        <f>VLOOKUP(G3280,[1]OPERADORES!$A:$B,2,0)</f>
        <v>DANIEL</v>
      </c>
      <c r="I3280" t="s">
        <v>1489</v>
      </c>
      <c r="J3280" t="s">
        <v>1490</v>
      </c>
      <c r="K3280" t="s">
        <v>1491</v>
      </c>
      <c r="L3280">
        <v>15</v>
      </c>
      <c r="M3280" t="s">
        <v>205</v>
      </c>
      <c r="O3280" t="s">
        <v>11</v>
      </c>
      <c r="P3280">
        <v>6102</v>
      </c>
      <c r="Q3280">
        <v>50</v>
      </c>
      <c r="R3280">
        <v>5.79</v>
      </c>
      <c r="S3280">
        <v>289.5</v>
      </c>
      <c r="T3280">
        <v>208</v>
      </c>
      <c r="U3280">
        <v>28.15</v>
      </c>
      <c r="V3280" t="str">
        <f>VLOOKUP(L3280,'[2]tabela de preços'!$A:$D,4,0)</f>
        <v>3M</v>
      </c>
      <c r="W3280" t="str">
        <f>VLOOKUP(L3280,'[2]tabela de preços'!$A:$F,6,0)</f>
        <v>LIXA DÁGUA</v>
      </c>
      <c r="X3280" t="str">
        <f>VLOOKUP(L3280,'[2]tabela de preços'!$A:$G,7,0)</f>
        <v>AUTOMOTIVO</v>
      </c>
    </row>
    <row r="3281" spans="1:24" x14ac:dyDescent="0.3">
      <c r="A3281" t="s">
        <v>1486</v>
      </c>
      <c r="C3281" t="s">
        <v>2523</v>
      </c>
      <c r="D3281" s="1">
        <v>46056</v>
      </c>
      <c r="E3281" t="s">
        <v>2526</v>
      </c>
      <c r="F3281">
        <v>9</v>
      </c>
      <c r="G3281">
        <v>236</v>
      </c>
      <c r="H3281" t="str">
        <f>VLOOKUP(G3281,[1]OPERADORES!$A:$B,2,0)</f>
        <v>DANIEL</v>
      </c>
      <c r="I3281" t="s">
        <v>1489</v>
      </c>
      <c r="J3281" t="s">
        <v>1490</v>
      </c>
      <c r="K3281" t="s">
        <v>1491</v>
      </c>
      <c r="L3281">
        <v>20414</v>
      </c>
      <c r="M3281" t="s">
        <v>112</v>
      </c>
      <c r="O3281" t="s">
        <v>11</v>
      </c>
      <c r="P3281">
        <v>6102</v>
      </c>
      <c r="Q3281">
        <v>20</v>
      </c>
      <c r="R3281">
        <v>21.89</v>
      </c>
      <c r="S3281">
        <v>437.8</v>
      </c>
      <c r="T3281">
        <v>360</v>
      </c>
      <c r="U3281">
        <v>17.77</v>
      </c>
      <c r="V3281" t="str">
        <f>VLOOKUP(L3281,'[2]tabela de preços'!$A:$D,4,0)</f>
        <v>SHERWIN WILLIAMS</v>
      </c>
      <c r="W3281" t="str">
        <f>VLOOKUP(L3281,'[2]tabela de preços'!$A:$F,6,0)</f>
        <v>DILUENTE</v>
      </c>
      <c r="X3281" t="str">
        <f>VLOOKUP(L3281,'[2]tabela de preços'!$A:$G,7,0)</f>
        <v>AUTOMOTIVO</v>
      </c>
    </row>
    <row r="3282" spans="1:24" x14ac:dyDescent="0.3">
      <c r="A3282" t="s">
        <v>1486</v>
      </c>
      <c r="C3282" t="s">
        <v>2523</v>
      </c>
      <c r="D3282" s="1">
        <v>46056</v>
      </c>
      <c r="E3282" t="s">
        <v>2524</v>
      </c>
      <c r="F3282">
        <v>9</v>
      </c>
      <c r="G3282">
        <v>236</v>
      </c>
      <c r="H3282" t="str">
        <f>VLOOKUP(G3282,[1]OPERADORES!$A:$B,2,0)</f>
        <v>DANIEL</v>
      </c>
      <c r="I3282" t="s">
        <v>1489</v>
      </c>
      <c r="J3282" t="s">
        <v>1490</v>
      </c>
      <c r="K3282" t="s">
        <v>1491</v>
      </c>
      <c r="L3282">
        <v>23408</v>
      </c>
      <c r="M3282" t="s">
        <v>2527</v>
      </c>
      <c r="O3282" t="s">
        <v>11</v>
      </c>
      <c r="P3282">
        <v>6102</v>
      </c>
      <c r="Q3282">
        <v>1</v>
      </c>
      <c r="R3282">
        <v>460.74</v>
      </c>
      <c r="S3282">
        <v>460.74</v>
      </c>
      <c r="T3282">
        <v>349.71</v>
      </c>
      <c r="U3282">
        <v>24.1</v>
      </c>
      <c r="V3282" t="str">
        <f>VLOOKUP(L3282,'[2]tabela de preços'!$A:$D,4,0)</f>
        <v>WANDA</v>
      </c>
      <c r="W3282" t="str">
        <f>VLOOKUP(L3282,'[2]tabela de preços'!$A:$F,6,0)</f>
        <v>BASES POLIÉSTER</v>
      </c>
      <c r="X3282" t="str">
        <f>VLOOKUP(L3282,'[2]tabela de preços'!$A:$G,7,0)</f>
        <v>AUTOMOTIVO</v>
      </c>
    </row>
    <row r="3283" spans="1:24" x14ac:dyDescent="0.3">
      <c r="A3283" t="s">
        <v>1486</v>
      </c>
      <c r="C3283" t="s">
        <v>2528</v>
      </c>
      <c r="D3283" s="1">
        <v>46056</v>
      </c>
      <c r="E3283" t="s">
        <v>2529</v>
      </c>
      <c r="F3283">
        <v>9</v>
      </c>
      <c r="G3283">
        <v>236</v>
      </c>
      <c r="H3283" t="str">
        <f>VLOOKUP(G3283,[1]OPERADORES!$A:$B,2,0)</f>
        <v>DANIEL</v>
      </c>
      <c r="I3283" t="s">
        <v>1489</v>
      </c>
      <c r="J3283" t="s">
        <v>1490</v>
      </c>
      <c r="K3283" t="s">
        <v>1491</v>
      </c>
      <c r="L3283">
        <v>84310</v>
      </c>
      <c r="M3283" t="s">
        <v>2530</v>
      </c>
      <c r="O3283" t="s">
        <v>11</v>
      </c>
      <c r="P3283">
        <v>6403</v>
      </c>
      <c r="Q3283">
        <v>1</v>
      </c>
      <c r="R3283">
        <v>46.17</v>
      </c>
      <c r="S3283">
        <v>46.17</v>
      </c>
      <c r="T3283">
        <v>32.92</v>
      </c>
      <c r="U3283">
        <v>28.7</v>
      </c>
      <c r="V3283" t="str">
        <f>VLOOKUP(L3283,'[2]tabela de preços'!$A:$D,4,0)</f>
        <v>BRASILUX</v>
      </c>
      <c r="W3283" t="str">
        <f>VLOOKUP(L3283,'[2]tabela de preços'!$A:$F,6,0)</f>
        <v>TINTA PARA PISO</v>
      </c>
      <c r="X3283" t="str">
        <f>VLOOKUP(L3283,'[2]tabela de preços'!$A:$G,7,0)</f>
        <v>IMOBILIÁRIO</v>
      </c>
    </row>
    <row r="3284" spans="1:24" x14ac:dyDescent="0.3">
      <c r="A3284" t="s">
        <v>1486</v>
      </c>
      <c r="C3284" t="s">
        <v>2945</v>
      </c>
      <c r="D3284" s="1">
        <v>46063</v>
      </c>
      <c r="E3284" t="s">
        <v>2946</v>
      </c>
      <c r="F3284">
        <v>9</v>
      </c>
      <c r="G3284">
        <v>236</v>
      </c>
      <c r="H3284" t="str">
        <f>VLOOKUP(G3284,[1]OPERADORES!$A:$B,2,0)</f>
        <v>DANIEL</v>
      </c>
      <c r="I3284" t="s">
        <v>1489</v>
      </c>
      <c r="J3284" t="s">
        <v>1490</v>
      </c>
      <c r="K3284" t="s">
        <v>1491</v>
      </c>
      <c r="L3284">
        <v>20426</v>
      </c>
      <c r="M3284" t="s">
        <v>2947</v>
      </c>
      <c r="O3284" t="s">
        <v>11</v>
      </c>
      <c r="P3284">
        <v>6403</v>
      </c>
      <c r="Q3284">
        <v>1</v>
      </c>
      <c r="R3284">
        <v>397.89</v>
      </c>
      <c r="S3284">
        <v>397.89</v>
      </c>
      <c r="T3284">
        <v>283.7</v>
      </c>
      <c r="U3284">
        <v>28.7</v>
      </c>
      <c r="V3284" t="str">
        <f>VLOOKUP(L3284,'[2]tabela de preços'!$A:$D,4,0)</f>
        <v>WANDA</v>
      </c>
      <c r="W3284" t="str">
        <f>VLOOKUP(L3284,'[2]tabela de preços'!$A:$F,6,0)</f>
        <v>BASES POLIÉSTER</v>
      </c>
      <c r="X3284" t="str">
        <f>VLOOKUP(L3284,'[2]tabela de preços'!$A:$G,7,0)</f>
        <v>AUTOMOTIVO</v>
      </c>
    </row>
    <row r="3285" spans="1:24" x14ac:dyDescent="0.3">
      <c r="A3285" t="s">
        <v>1486</v>
      </c>
      <c r="C3285" t="s">
        <v>3220</v>
      </c>
      <c r="D3285" s="1">
        <v>46065</v>
      </c>
      <c r="E3285" t="s">
        <v>3221</v>
      </c>
      <c r="F3285">
        <v>9</v>
      </c>
      <c r="G3285">
        <v>236</v>
      </c>
      <c r="H3285" t="str">
        <f>VLOOKUP(G3285,[1]OPERADORES!$A:$B,2,0)</f>
        <v>DANIEL</v>
      </c>
      <c r="I3285" t="s">
        <v>1489</v>
      </c>
      <c r="J3285" t="s">
        <v>1490</v>
      </c>
      <c r="K3285" t="s">
        <v>1491</v>
      </c>
      <c r="L3285">
        <v>9861</v>
      </c>
      <c r="M3285" t="s">
        <v>3222</v>
      </c>
      <c r="O3285" t="s">
        <v>11</v>
      </c>
      <c r="P3285">
        <v>6403</v>
      </c>
      <c r="Q3285">
        <v>1</v>
      </c>
      <c r="R3285">
        <v>192.23</v>
      </c>
      <c r="S3285">
        <v>192.23</v>
      </c>
      <c r="T3285">
        <v>137.06</v>
      </c>
      <c r="U3285">
        <v>28.7</v>
      </c>
      <c r="V3285" t="str">
        <f>VLOOKUP(L3285,'[2]tabela de preços'!$A:$D,4,0)</f>
        <v>WANDA</v>
      </c>
      <c r="W3285" t="str">
        <f>VLOOKUP(L3285,'[2]tabela de preços'!$A:$F,6,0)</f>
        <v>BASES POLIÉSTER</v>
      </c>
      <c r="X3285" t="str">
        <f>VLOOKUP(L3285,'[2]tabela de preços'!$A:$G,7,0)</f>
        <v>AUTOMOTIVO</v>
      </c>
    </row>
    <row r="3286" spans="1:24" x14ac:dyDescent="0.3">
      <c r="A3286" t="s">
        <v>1486</v>
      </c>
      <c r="C3286" t="s">
        <v>3220</v>
      </c>
      <c r="D3286" s="1">
        <v>46065</v>
      </c>
      <c r="E3286" t="s">
        <v>3221</v>
      </c>
      <c r="F3286">
        <v>9</v>
      </c>
      <c r="G3286">
        <v>236</v>
      </c>
      <c r="H3286" t="str">
        <f>VLOOKUP(G3286,[1]OPERADORES!$A:$B,2,0)</f>
        <v>DANIEL</v>
      </c>
      <c r="I3286" t="s">
        <v>1489</v>
      </c>
      <c r="J3286" t="s">
        <v>1490</v>
      </c>
      <c r="K3286" t="s">
        <v>1491</v>
      </c>
      <c r="L3286">
        <v>20114</v>
      </c>
      <c r="M3286" t="s">
        <v>3223</v>
      </c>
      <c r="O3286" t="s">
        <v>11</v>
      </c>
      <c r="P3286">
        <v>6403</v>
      </c>
      <c r="Q3286">
        <v>1</v>
      </c>
      <c r="R3286">
        <v>311.02</v>
      </c>
      <c r="S3286">
        <v>311.02</v>
      </c>
      <c r="T3286">
        <v>221.76</v>
      </c>
      <c r="U3286">
        <v>28.7</v>
      </c>
      <c r="V3286" t="str">
        <f>VLOOKUP(L3286,'[2]tabela de preços'!$A:$D,4,0)</f>
        <v>WANDA</v>
      </c>
      <c r="W3286" t="str">
        <f>VLOOKUP(L3286,'[2]tabela de preços'!$A:$F,6,0)</f>
        <v>BASES POLIÉSTER</v>
      </c>
      <c r="X3286" t="str">
        <f>VLOOKUP(L3286,'[2]tabela de preços'!$A:$G,7,0)</f>
        <v>AUTOMOTIVO</v>
      </c>
    </row>
    <row r="3287" spans="1:24" x14ac:dyDescent="0.3">
      <c r="A3287" t="s">
        <v>1486</v>
      </c>
      <c r="C3287" t="s">
        <v>3220</v>
      </c>
      <c r="D3287" s="1">
        <v>46065</v>
      </c>
      <c r="E3287" t="s">
        <v>3221</v>
      </c>
      <c r="F3287">
        <v>9</v>
      </c>
      <c r="G3287">
        <v>236</v>
      </c>
      <c r="H3287" t="str">
        <f>VLOOKUP(G3287,[1]OPERADORES!$A:$B,2,0)</f>
        <v>DANIEL</v>
      </c>
      <c r="I3287" t="s">
        <v>1489</v>
      </c>
      <c r="J3287" t="s">
        <v>1490</v>
      </c>
      <c r="K3287" t="s">
        <v>1491</v>
      </c>
      <c r="L3287">
        <v>21250</v>
      </c>
      <c r="M3287" t="s">
        <v>3224</v>
      </c>
      <c r="O3287" t="s">
        <v>11</v>
      </c>
      <c r="P3287">
        <v>6403</v>
      </c>
      <c r="Q3287">
        <v>1</v>
      </c>
      <c r="R3287">
        <v>354.53</v>
      </c>
      <c r="S3287">
        <v>354.53</v>
      </c>
      <c r="T3287">
        <v>252.78</v>
      </c>
      <c r="U3287">
        <v>28.7</v>
      </c>
      <c r="V3287" t="str">
        <f>VLOOKUP(L3287,'[2]tabela de preços'!$A:$D,4,0)</f>
        <v>WANDA</v>
      </c>
      <c r="W3287" t="str">
        <f>VLOOKUP(L3287,'[2]tabela de preços'!$A:$F,6,0)</f>
        <v>BASES POLIÉSTER</v>
      </c>
      <c r="X3287" t="str">
        <f>VLOOKUP(L3287,'[2]tabela de preços'!$A:$G,7,0)</f>
        <v>AUTOMOTIVO</v>
      </c>
    </row>
    <row r="3288" spans="1:24" x14ac:dyDescent="0.3">
      <c r="A3288" t="s">
        <v>1486</v>
      </c>
      <c r="C3288" t="s">
        <v>3220</v>
      </c>
      <c r="D3288" s="1">
        <v>46065</v>
      </c>
      <c r="E3288" t="s">
        <v>3221</v>
      </c>
      <c r="F3288">
        <v>9</v>
      </c>
      <c r="G3288">
        <v>236</v>
      </c>
      <c r="H3288" t="str">
        <f>VLOOKUP(G3288,[1]OPERADORES!$A:$B,2,0)</f>
        <v>DANIEL</v>
      </c>
      <c r="I3288" t="s">
        <v>1489</v>
      </c>
      <c r="J3288" t="s">
        <v>1490</v>
      </c>
      <c r="K3288" t="s">
        <v>1491</v>
      </c>
      <c r="L3288">
        <v>9869</v>
      </c>
      <c r="M3288" t="s">
        <v>390</v>
      </c>
      <c r="O3288" t="s">
        <v>11</v>
      </c>
      <c r="P3288">
        <v>6403</v>
      </c>
      <c r="Q3288">
        <v>1</v>
      </c>
      <c r="R3288">
        <v>70.61</v>
      </c>
      <c r="S3288">
        <v>70.61</v>
      </c>
      <c r="T3288">
        <v>50.34</v>
      </c>
      <c r="U3288">
        <v>28.71</v>
      </c>
      <c r="V3288" t="str">
        <f>VLOOKUP(L3288,'[2]tabela de preços'!$A:$D,4,0)</f>
        <v>WANDA</v>
      </c>
      <c r="W3288" t="str">
        <f>VLOOKUP(L3288,'[2]tabela de preços'!$A:$F,6,0)</f>
        <v>BASES POLIÉSTER</v>
      </c>
      <c r="X3288" t="str">
        <f>VLOOKUP(L3288,'[2]tabela de preços'!$A:$G,7,0)</f>
        <v>AUTOMOTIVO</v>
      </c>
    </row>
    <row r="3289" spans="1:24" x14ac:dyDescent="0.3">
      <c r="A3289" t="s">
        <v>1486</v>
      </c>
      <c r="C3289" t="s">
        <v>3220</v>
      </c>
      <c r="D3289" s="1">
        <v>46065</v>
      </c>
      <c r="E3289" t="s">
        <v>3221</v>
      </c>
      <c r="F3289">
        <v>9</v>
      </c>
      <c r="G3289">
        <v>236</v>
      </c>
      <c r="H3289" t="str">
        <f>VLOOKUP(G3289,[1]OPERADORES!$A:$B,2,0)</f>
        <v>DANIEL</v>
      </c>
      <c r="I3289" t="s">
        <v>1489</v>
      </c>
      <c r="J3289" t="s">
        <v>1490</v>
      </c>
      <c r="K3289" t="s">
        <v>1491</v>
      </c>
      <c r="L3289">
        <v>9907</v>
      </c>
      <c r="M3289" t="s">
        <v>3225</v>
      </c>
      <c r="O3289" t="s">
        <v>11</v>
      </c>
      <c r="P3289">
        <v>6403</v>
      </c>
      <c r="Q3289">
        <v>2</v>
      </c>
      <c r="R3289">
        <v>178.31</v>
      </c>
      <c r="S3289">
        <v>356.62</v>
      </c>
      <c r="T3289">
        <v>254.28</v>
      </c>
      <c r="U3289">
        <v>28.7</v>
      </c>
      <c r="V3289" t="str">
        <f>VLOOKUP(L3289,'[2]tabela de preços'!$A:$D,4,0)</f>
        <v>WANDA</v>
      </c>
      <c r="W3289" t="str">
        <f>VLOOKUP(L3289,'[2]tabela de preços'!$A:$F,6,0)</f>
        <v>BASES POLIÉSTER</v>
      </c>
      <c r="X3289" t="str">
        <f>VLOOKUP(L3289,'[2]tabela de preços'!$A:$G,7,0)</f>
        <v>AUTOMOTIVO</v>
      </c>
    </row>
    <row r="3290" spans="1:24" x14ac:dyDescent="0.3">
      <c r="A3290" t="s">
        <v>1486</v>
      </c>
      <c r="C3290" t="s">
        <v>3220</v>
      </c>
      <c r="D3290" s="1">
        <v>46065</v>
      </c>
      <c r="E3290" t="s">
        <v>3221</v>
      </c>
      <c r="F3290">
        <v>9</v>
      </c>
      <c r="G3290">
        <v>236</v>
      </c>
      <c r="H3290" t="str">
        <f>VLOOKUP(G3290,[1]OPERADORES!$A:$B,2,0)</f>
        <v>DANIEL</v>
      </c>
      <c r="I3290" t="s">
        <v>1489</v>
      </c>
      <c r="J3290" t="s">
        <v>1490</v>
      </c>
      <c r="K3290" t="s">
        <v>1491</v>
      </c>
      <c r="L3290">
        <v>9911</v>
      </c>
      <c r="M3290" t="s">
        <v>2591</v>
      </c>
      <c r="O3290" t="s">
        <v>11</v>
      </c>
      <c r="P3290">
        <v>6403</v>
      </c>
      <c r="Q3290">
        <v>1</v>
      </c>
      <c r="R3290">
        <v>303.37</v>
      </c>
      <c r="S3290">
        <v>303.37</v>
      </c>
      <c r="T3290">
        <v>216.31</v>
      </c>
      <c r="U3290">
        <v>28.7</v>
      </c>
      <c r="V3290" t="str">
        <f>VLOOKUP(L3290,'[2]tabela de preços'!$A:$D,4,0)</f>
        <v>WANDA</v>
      </c>
      <c r="W3290" t="str">
        <f>VLOOKUP(L3290,'[2]tabela de preços'!$A:$F,6,0)</f>
        <v>BASES POLIÉSTER</v>
      </c>
      <c r="X3290" t="str">
        <f>VLOOKUP(L3290,'[2]tabela de preços'!$A:$G,7,0)</f>
        <v>AUTOMOTIVO</v>
      </c>
    </row>
    <row r="3291" spans="1:24" x14ac:dyDescent="0.3">
      <c r="A3291" t="s">
        <v>1486</v>
      </c>
      <c r="C3291" t="s">
        <v>3226</v>
      </c>
      <c r="D3291" s="1">
        <v>46065</v>
      </c>
      <c r="E3291" t="s">
        <v>3227</v>
      </c>
      <c r="F3291">
        <v>9</v>
      </c>
      <c r="G3291">
        <v>236</v>
      </c>
      <c r="H3291" t="str">
        <f>VLOOKUP(G3291,[1]OPERADORES!$A:$B,2,0)</f>
        <v>DANIEL</v>
      </c>
      <c r="I3291" t="s">
        <v>1489</v>
      </c>
      <c r="J3291" t="s">
        <v>1490</v>
      </c>
      <c r="K3291" t="s">
        <v>1491</v>
      </c>
      <c r="L3291">
        <v>21321</v>
      </c>
      <c r="M3291" t="s">
        <v>272</v>
      </c>
      <c r="O3291" t="s">
        <v>11</v>
      </c>
      <c r="P3291">
        <v>6102</v>
      </c>
      <c r="Q3291">
        <v>24</v>
      </c>
      <c r="R3291">
        <v>20.239999999999998</v>
      </c>
      <c r="S3291">
        <v>485.76</v>
      </c>
      <c r="T3291">
        <v>368.64</v>
      </c>
      <c r="U3291">
        <v>24.11</v>
      </c>
      <c r="V3291" t="str">
        <f>VLOOKUP(L3291,'[2]tabela de preços'!$A:$D,4,0)</f>
        <v>AUTO AMERICA</v>
      </c>
      <c r="W3291" t="str">
        <f>VLOOKUP(L3291,'[2]tabela de preços'!$A:$F,6,0)</f>
        <v>CERA  / LIMPEZA /  POLIMENTO VEICULAR</v>
      </c>
      <c r="X3291" t="str">
        <f>VLOOKUP(L3291,'[2]tabela de preços'!$A:$G,7,0)</f>
        <v>AUTOMOTIVO</v>
      </c>
    </row>
    <row r="3292" spans="1:24" x14ac:dyDescent="0.3">
      <c r="A3292" t="s">
        <v>1516</v>
      </c>
      <c r="C3292" t="s">
        <v>2531</v>
      </c>
      <c r="D3292" s="1">
        <v>46056</v>
      </c>
      <c r="E3292" t="s">
        <v>2532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372</v>
      </c>
      <c r="K3292" t="s">
        <v>1519</v>
      </c>
      <c r="L3292">
        <v>84815</v>
      </c>
      <c r="M3292" t="s">
        <v>949</v>
      </c>
      <c r="O3292" t="s">
        <v>11</v>
      </c>
      <c r="P3292">
        <v>5403</v>
      </c>
      <c r="Q3292">
        <v>4</v>
      </c>
      <c r="R3292">
        <v>32.35</v>
      </c>
      <c r="S3292">
        <v>129.4</v>
      </c>
      <c r="T3292">
        <v>98.2</v>
      </c>
      <c r="U3292">
        <v>24.11</v>
      </c>
      <c r="V3292" t="str">
        <f>VLOOKUP(L3292,'[2]tabela de preços'!$A:$D,4,0)</f>
        <v>BRASILUX</v>
      </c>
      <c r="W3292" t="str">
        <f>VLOOKUP(L3292,'[2]tabela de preços'!$A:$F,6,0)</f>
        <v>KIT BRASCORTEN</v>
      </c>
      <c r="X3292" t="str">
        <f>VLOOKUP(L3292,'[2]tabela de preços'!$A:$G,7,0)</f>
        <v>IMOBILIÁRIO</v>
      </c>
    </row>
    <row r="3293" spans="1:24" x14ac:dyDescent="0.3">
      <c r="A3293" t="s">
        <v>1516</v>
      </c>
      <c r="C3293" t="s">
        <v>2531</v>
      </c>
      <c r="D3293" s="1">
        <v>46056</v>
      </c>
      <c r="E3293" t="s">
        <v>2532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21</v>
      </c>
      <c r="J3293" t="s">
        <v>372</v>
      </c>
      <c r="K3293" t="s">
        <v>1519</v>
      </c>
      <c r="L3293">
        <v>84814</v>
      </c>
      <c r="M3293" t="s">
        <v>950</v>
      </c>
      <c r="O3293" t="s">
        <v>11</v>
      </c>
      <c r="P3293">
        <v>5403</v>
      </c>
      <c r="Q3293">
        <v>1</v>
      </c>
      <c r="R3293">
        <v>118.93</v>
      </c>
      <c r="S3293">
        <v>118.93</v>
      </c>
      <c r="T3293">
        <v>90.27</v>
      </c>
      <c r="U3293">
        <v>24.1</v>
      </c>
      <c r="V3293" t="str">
        <f>VLOOKUP(L3293,'[2]tabela de preços'!$A:$D,4,0)</f>
        <v>BRASILUX</v>
      </c>
      <c r="W3293" t="str">
        <f>VLOOKUP(L3293,'[2]tabela de preços'!$A:$F,6,0)</f>
        <v>KIT BRASCORTEN</v>
      </c>
      <c r="X3293" t="str">
        <f>VLOOKUP(L3293,'[2]tabela de preços'!$A:$G,7,0)</f>
        <v>IMOBILIÁRIO</v>
      </c>
    </row>
    <row r="3294" spans="1:24" x14ac:dyDescent="0.3">
      <c r="A3294" t="s">
        <v>1516</v>
      </c>
      <c r="C3294" t="s">
        <v>2839</v>
      </c>
      <c r="D3294" s="1">
        <v>46062</v>
      </c>
      <c r="E3294" t="s">
        <v>2840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21</v>
      </c>
      <c r="J3294" t="s">
        <v>372</v>
      </c>
      <c r="K3294" t="s">
        <v>1519</v>
      </c>
      <c r="L3294">
        <v>84462</v>
      </c>
      <c r="M3294" t="s">
        <v>1026</v>
      </c>
      <c r="O3294" t="s">
        <v>11</v>
      </c>
      <c r="P3294">
        <v>5403</v>
      </c>
      <c r="Q3294">
        <v>2</v>
      </c>
      <c r="R3294">
        <v>109.29</v>
      </c>
      <c r="S3294">
        <v>218.58</v>
      </c>
      <c r="T3294">
        <v>160.24</v>
      </c>
      <c r="U3294">
        <v>26.69</v>
      </c>
      <c r="V3294" t="str">
        <f>VLOOKUP(L3294,'[2]tabela de preços'!$A:$D,4,0)</f>
        <v>BRASILUX</v>
      </c>
      <c r="W3294" t="str">
        <f>VLOOKUP(L3294,'[2]tabela de preços'!$A:$F,6,0)</f>
        <v>ESMALTES</v>
      </c>
      <c r="X3294" t="str">
        <f>VLOOKUP(L3294,'[2]tabela de preços'!$A:$G,7,0)</f>
        <v>INDUSTRIAL</v>
      </c>
    </row>
    <row r="3295" spans="1:24" x14ac:dyDescent="0.3">
      <c r="A3295" t="s">
        <v>2679</v>
      </c>
      <c r="C3295" t="s">
        <v>2680</v>
      </c>
      <c r="D3295" s="1">
        <v>46058</v>
      </c>
      <c r="E3295" t="s">
        <v>2681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2682</v>
      </c>
      <c r="L3295">
        <v>85321</v>
      </c>
      <c r="M3295" t="s">
        <v>1063</v>
      </c>
      <c r="O3295" t="s">
        <v>11</v>
      </c>
      <c r="P3295">
        <v>5102</v>
      </c>
      <c r="Q3295">
        <v>1</v>
      </c>
      <c r="R3295">
        <v>614.41</v>
      </c>
      <c r="S3295">
        <v>614.41</v>
      </c>
      <c r="T3295">
        <v>438.08</v>
      </c>
      <c r="U3295">
        <v>28.7</v>
      </c>
      <c r="V3295" t="str">
        <f>VLOOKUP(L3295,'[2]tabela de preços'!$A:$D,4,0)</f>
        <v>BRASILUX</v>
      </c>
      <c r="W3295" t="str">
        <f>VLOOKUP(L3295,'[2]tabela de preços'!$A:$F,6,0)</f>
        <v>TINTA EM PÓ</v>
      </c>
      <c r="X3295" t="str">
        <f>VLOOKUP(L3295,'[2]tabela de preços'!$A:$G,7,0)</f>
        <v>INDUSTRIAL</v>
      </c>
    </row>
    <row r="3296" spans="1:24" x14ac:dyDescent="0.3">
      <c r="A3296" t="s">
        <v>2679</v>
      </c>
      <c r="C3296" t="s">
        <v>2948</v>
      </c>
      <c r="D3296" s="1">
        <v>46063</v>
      </c>
      <c r="E3296" t="s">
        <v>2949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2682</v>
      </c>
      <c r="L3296">
        <v>85318</v>
      </c>
      <c r="M3296" t="s">
        <v>258</v>
      </c>
      <c r="O3296" t="s">
        <v>11</v>
      </c>
      <c r="P3296">
        <v>5102</v>
      </c>
      <c r="Q3296">
        <v>1</v>
      </c>
      <c r="R3296">
        <v>775.32</v>
      </c>
      <c r="S3296">
        <v>775.32</v>
      </c>
      <c r="T3296">
        <v>552.80999999999995</v>
      </c>
      <c r="U3296">
        <v>28.7</v>
      </c>
      <c r="V3296" t="str">
        <f>VLOOKUP(L3296,'[2]tabela de preços'!$A:$D,4,0)</f>
        <v>BRASILUX</v>
      </c>
      <c r="W3296" t="str">
        <f>VLOOKUP(L3296,'[2]tabela de preços'!$A:$F,6,0)</f>
        <v>TINTA EM PÓ</v>
      </c>
      <c r="X3296" t="str">
        <f>VLOOKUP(L3296,'[2]tabela de preços'!$A:$G,7,0)</f>
        <v>INDUSTRIAL</v>
      </c>
    </row>
    <row r="3297" spans="1:24" x14ac:dyDescent="0.3">
      <c r="A3297" t="s">
        <v>1602</v>
      </c>
      <c r="C3297" t="s">
        <v>3228</v>
      </c>
      <c r="D3297" s="1">
        <v>46065</v>
      </c>
      <c r="E3297" t="s">
        <v>3229</v>
      </c>
      <c r="F3297">
        <v>9</v>
      </c>
      <c r="G3297">
        <v>145</v>
      </c>
      <c r="H3297" t="str">
        <f>VLOOKUP(G3297,[1]OPERADORES!$A:$B,2,0)</f>
        <v xml:space="preserve">FABRICIA </v>
      </c>
      <c r="I3297" t="s">
        <v>21</v>
      </c>
      <c r="J3297" t="s">
        <v>1188</v>
      </c>
      <c r="K3297" t="s">
        <v>1605</v>
      </c>
      <c r="L3297">
        <v>84347</v>
      </c>
      <c r="M3297" t="s">
        <v>1150</v>
      </c>
      <c r="O3297" t="s">
        <v>11</v>
      </c>
      <c r="P3297">
        <v>5403</v>
      </c>
      <c r="Q3297">
        <v>8</v>
      </c>
      <c r="R3297">
        <v>60.89</v>
      </c>
      <c r="S3297">
        <v>487.12</v>
      </c>
      <c r="T3297">
        <v>416</v>
      </c>
      <c r="U3297">
        <v>14.6</v>
      </c>
      <c r="V3297" t="str">
        <f>VLOOKUP(L3297,'[2]tabela de preços'!$A:$D,4,0)</f>
        <v>BRASILUX</v>
      </c>
      <c r="W3297" t="str">
        <f>VLOOKUP(L3297,'[2]tabela de preços'!$A:$F,6,0)</f>
        <v>ESMALTES</v>
      </c>
      <c r="X3297" t="str">
        <f>VLOOKUP(L3297,'[2]tabela de preços'!$A:$G,7,0)</f>
        <v>INDUSTRIAL</v>
      </c>
    </row>
    <row r="3298" spans="1:24" x14ac:dyDescent="0.3">
      <c r="A3298" t="s">
        <v>1606</v>
      </c>
      <c r="C3298" t="s">
        <v>2454</v>
      </c>
      <c r="D3298" s="1">
        <v>46055</v>
      </c>
      <c r="E3298" t="s">
        <v>2455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397</v>
      </c>
      <c r="K3298" t="s">
        <v>1609</v>
      </c>
      <c r="L3298">
        <v>9764</v>
      </c>
      <c r="M3298" t="s">
        <v>173</v>
      </c>
      <c r="O3298" t="s">
        <v>11</v>
      </c>
      <c r="P3298">
        <v>5102</v>
      </c>
      <c r="Q3298">
        <v>48</v>
      </c>
      <c r="R3298">
        <v>33.54</v>
      </c>
      <c r="S3298" s="2">
        <v>1609.92</v>
      </c>
      <c r="T3298" s="2">
        <v>1222.08</v>
      </c>
      <c r="U3298">
        <v>24.09</v>
      </c>
      <c r="V3298" t="str">
        <f>VLOOKUP(L3298,'[2]tabela de preços'!$A:$D,4,0)</f>
        <v>SIKKENS</v>
      </c>
      <c r="W3298" t="str">
        <f>VLOOKUP(L3298,'[2]tabela de preços'!$A:$F,6,0)</f>
        <v>MASSA DE PEQUENOS REPAROS</v>
      </c>
      <c r="X3298" t="str">
        <f>VLOOKUP(L3298,'[2]tabela de preços'!$A:$G,7,0)</f>
        <v>AUTOMOTIVO</v>
      </c>
    </row>
    <row r="3299" spans="1:24" x14ac:dyDescent="0.3">
      <c r="A3299" t="s">
        <v>1606</v>
      </c>
      <c r="C3299" t="s">
        <v>2454</v>
      </c>
      <c r="D3299" s="1">
        <v>46055</v>
      </c>
      <c r="E3299" t="s">
        <v>2455</v>
      </c>
      <c r="F3299">
        <v>9</v>
      </c>
      <c r="G3299">
        <v>230</v>
      </c>
      <c r="H3299" t="str">
        <f>VLOOKUP(G3299,[1]OPERADORES!$A:$B,2,0)</f>
        <v>SÔNIA</v>
      </c>
      <c r="I3299" t="s">
        <v>21</v>
      </c>
      <c r="J3299" t="s">
        <v>397</v>
      </c>
      <c r="K3299" t="s">
        <v>1609</v>
      </c>
      <c r="L3299">
        <v>21067</v>
      </c>
      <c r="M3299" t="s">
        <v>640</v>
      </c>
      <c r="O3299" t="s">
        <v>11</v>
      </c>
      <c r="P3299">
        <v>5102</v>
      </c>
      <c r="Q3299">
        <v>6</v>
      </c>
      <c r="R3299">
        <v>36.07</v>
      </c>
      <c r="S3299">
        <v>216.42</v>
      </c>
      <c r="T3299">
        <v>164.28</v>
      </c>
      <c r="U3299">
        <v>24.09</v>
      </c>
      <c r="V3299" t="str">
        <f>VLOOKUP(L3299,'[2]tabela de preços'!$A:$D,4,0)</f>
        <v>SIKKENS</v>
      </c>
      <c r="W3299" t="str">
        <f>VLOOKUP(L3299,'[2]tabela de preços'!$A:$F,6,0)</f>
        <v>DILUENTE</v>
      </c>
      <c r="X3299" t="str">
        <f>VLOOKUP(L3299,'[2]tabela de preços'!$A:$G,7,0)</f>
        <v>AUTOMOTIVO</v>
      </c>
    </row>
    <row r="3300" spans="1:24" x14ac:dyDescent="0.3">
      <c r="A3300" t="s">
        <v>1623</v>
      </c>
      <c r="C3300" t="s">
        <v>2456</v>
      </c>
      <c r="D3300" s="1">
        <v>46055</v>
      </c>
      <c r="E3300" t="s">
        <v>2457</v>
      </c>
      <c r="F3300">
        <v>9</v>
      </c>
      <c r="G3300">
        <v>231</v>
      </c>
      <c r="H3300" t="str">
        <f>VLOOKUP(G3300,[1]OPERADORES!$A:$B,2,0)</f>
        <v>EDIJANE</v>
      </c>
      <c r="I3300" t="s">
        <v>21</v>
      </c>
      <c r="J3300" t="s">
        <v>531</v>
      </c>
      <c r="K3300" t="s">
        <v>1626</v>
      </c>
      <c r="L3300">
        <v>84406</v>
      </c>
      <c r="M3300" t="s">
        <v>2110</v>
      </c>
      <c r="O3300" t="s">
        <v>11</v>
      </c>
      <c r="P3300">
        <v>5102</v>
      </c>
      <c r="Q3300">
        <v>1</v>
      </c>
      <c r="R3300">
        <v>32.159999999999997</v>
      </c>
      <c r="S3300">
        <v>32.159999999999997</v>
      </c>
      <c r="T3300">
        <v>24.41</v>
      </c>
      <c r="U3300">
        <v>24.1</v>
      </c>
      <c r="V3300" t="str">
        <f>VLOOKUP(L3300,'[2]tabela de preços'!$A:$D,4,0)</f>
        <v>3M</v>
      </c>
      <c r="W3300" t="str">
        <f>VLOOKUP(L3300,'[2]tabela de preços'!$A:$F,6,0)</f>
        <v>FITA DUPLA FACE</v>
      </c>
      <c r="X3300" t="str">
        <f>VLOOKUP(L3300,'[2]tabela de preços'!$A:$G,7,0)</f>
        <v>AUTOMOTIVO</v>
      </c>
    </row>
    <row r="3301" spans="1:24" x14ac:dyDescent="0.3">
      <c r="A3301" t="s">
        <v>1623</v>
      </c>
      <c r="C3301" t="s">
        <v>2456</v>
      </c>
      <c r="D3301" s="1">
        <v>46055</v>
      </c>
      <c r="E3301" t="s">
        <v>2457</v>
      </c>
      <c r="F3301">
        <v>9</v>
      </c>
      <c r="G3301">
        <v>231</v>
      </c>
      <c r="H3301" t="str">
        <f>VLOOKUP(G3301,[1]OPERADORES!$A:$B,2,0)</f>
        <v>EDIJANE</v>
      </c>
      <c r="I3301" t="s">
        <v>21</v>
      </c>
      <c r="J3301" t="s">
        <v>531</v>
      </c>
      <c r="K3301" t="s">
        <v>1626</v>
      </c>
      <c r="L3301">
        <v>85326</v>
      </c>
      <c r="M3301" t="s">
        <v>1627</v>
      </c>
      <c r="O3301" t="s">
        <v>11</v>
      </c>
      <c r="P3301">
        <v>5102</v>
      </c>
      <c r="Q3301">
        <v>1</v>
      </c>
      <c r="R3301">
        <v>565.9</v>
      </c>
      <c r="S3301">
        <v>565.9</v>
      </c>
      <c r="T3301">
        <v>403.49</v>
      </c>
      <c r="U3301">
        <v>28.7</v>
      </c>
      <c r="V3301" t="str">
        <f>VLOOKUP(L3301,'[2]tabela de preços'!$A:$D,4,0)</f>
        <v>BRASILUX</v>
      </c>
      <c r="W3301" t="str">
        <f>VLOOKUP(L3301,'[2]tabela de preços'!$A:$F,6,0)</f>
        <v>TINTA EM PÓ</v>
      </c>
      <c r="X3301" t="str">
        <f>VLOOKUP(L3301,'[2]tabela de preços'!$A:$G,7,0)</f>
        <v>INDUSTRIAL</v>
      </c>
    </row>
    <row r="3302" spans="1:24" x14ac:dyDescent="0.3">
      <c r="A3302" t="s">
        <v>1623</v>
      </c>
      <c r="C3302" t="s">
        <v>2950</v>
      </c>
      <c r="D3302" s="1">
        <v>46063</v>
      </c>
      <c r="E3302" t="s">
        <v>2951</v>
      </c>
      <c r="F3302">
        <v>9</v>
      </c>
      <c r="G3302">
        <v>231</v>
      </c>
      <c r="H3302" t="str">
        <f>VLOOKUP(G3302,[1]OPERADORES!$A:$B,2,0)</f>
        <v>EDIJANE</v>
      </c>
      <c r="I3302" t="s">
        <v>21</v>
      </c>
      <c r="J3302" t="s">
        <v>531</v>
      </c>
      <c r="K3302" t="s">
        <v>1626</v>
      </c>
      <c r="L3302">
        <v>85321</v>
      </c>
      <c r="M3302" t="s">
        <v>1063</v>
      </c>
      <c r="O3302" t="s">
        <v>11</v>
      </c>
      <c r="P3302">
        <v>5102</v>
      </c>
      <c r="Q3302">
        <v>2</v>
      </c>
      <c r="R3302">
        <v>614.41</v>
      </c>
      <c r="S3302" s="2">
        <v>1228.82</v>
      </c>
      <c r="T3302">
        <v>876.16</v>
      </c>
      <c r="U3302">
        <v>28.7</v>
      </c>
      <c r="V3302" t="str">
        <f>VLOOKUP(L3302,'[2]tabela de preços'!$A:$D,4,0)</f>
        <v>BRASILUX</v>
      </c>
      <c r="W3302" t="str">
        <f>VLOOKUP(L3302,'[2]tabela de preços'!$A:$F,6,0)</f>
        <v>TINTA EM PÓ</v>
      </c>
      <c r="X3302" t="str">
        <f>VLOOKUP(L3302,'[2]tabela de preços'!$A:$G,7,0)</f>
        <v>INDUSTRIAL</v>
      </c>
    </row>
    <row r="3303" spans="1:24" x14ac:dyDescent="0.3">
      <c r="A3303" t="s">
        <v>1623</v>
      </c>
      <c r="C3303" t="s">
        <v>3230</v>
      </c>
      <c r="D3303" s="1">
        <v>46071</v>
      </c>
      <c r="E3303" t="s">
        <v>3231</v>
      </c>
      <c r="F3303">
        <v>9</v>
      </c>
      <c r="G3303">
        <v>231</v>
      </c>
      <c r="H3303" t="str">
        <f>VLOOKUP(G3303,[1]OPERADORES!$A:$B,2,0)</f>
        <v>EDIJANE</v>
      </c>
      <c r="I3303" t="s">
        <v>21</v>
      </c>
      <c r="J3303" t="s">
        <v>531</v>
      </c>
      <c r="K3303" t="s">
        <v>1626</v>
      </c>
      <c r="L3303">
        <v>85401</v>
      </c>
      <c r="M3303" t="s">
        <v>261</v>
      </c>
      <c r="O3303" t="s">
        <v>11</v>
      </c>
      <c r="P3303">
        <v>5102</v>
      </c>
      <c r="Q3303">
        <v>1</v>
      </c>
      <c r="R3303">
        <v>633.42999999999995</v>
      </c>
      <c r="S3303">
        <v>633.42999999999995</v>
      </c>
      <c r="T3303">
        <v>451.64</v>
      </c>
      <c r="U3303">
        <v>28.7</v>
      </c>
      <c r="V3303" t="str">
        <f>VLOOKUP(L3303,'[2]tabela de preços'!$A:$D,4,0)</f>
        <v>BRASILUX</v>
      </c>
      <c r="W3303" t="str">
        <f>VLOOKUP(L3303,'[2]tabela de preços'!$A:$F,6,0)</f>
        <v>TINTA EM PÓ</v>
      </c>
      <c r="X3303" t="str">
        <f>VLOOKUP(L3303,'[2]tabela de preços'!$A:$G,7,0)</f>
        <v>INDUSTRIAL</v>
      </c>
    </row>
    <row r="3304" spans="1:24" x14ac:dyDescent="0.3">
      <c r="A3304" t="s">
        <v>1623</v>
      </c>
      <c r="C3304" t="s">
        <v>3230</v>
      </c>
      <c r="D3304" s="1">
        <v>46071</v>
      </c>
      <c r="E3304" t="s">
        <v>3231</v>
      </c>
      <c r="F3304">
        <v>9</v>
      </c>
      <c r="G3304">
        <v>231</v>
      </c>
      <c r="H3304" t="str">
        <f>VLOOKUP(G3304,[1]OPERADORES!$A:$B,2,0)</f>
        <v>EDIJANE</v>
      </c>
      <c r="I3304" t="s">
        <v>21</v>
      </c>
      <c r="J3304" t="s">
        <v>531</v>
      </c>
      <c r="K3304" t="s">
        <v>1626</v>
      </c>
      <c r="L3304">
        <v>85326</v>
      </c>
      <c r="M3304" t="s">
        <v>1627</v>
      </c>
      <c r="O3304" t="s">
        <v>11</v>
      </c>
      <c r="P3304">
        <v>5102</v>
      </c>
      <c r="Q3304">
        <v>1</v>
      </c>
      <c r="R3304">
        <v>565.9</v>
      </c>
      <c r="S3304">
        <v>565.9</v>
      </c>
      <c r="T3304">
        <v>403.49</v>
      </c>
      <c r="U3304">
        <v>28.7</v>
      </c>
      <c r="V3304" t="str">
        <f>VLOOKUP(L3304,'[2]tabela de preços'!$A:$D,4,0)</f>
        <v>BRASILUX</v>
      </c>
      <c r="W3304" t="str">
        <f>VLOOKUP(L3304,'[2]tabela de preços'!$A:$F,6,0)</f>
        <v>TINTA EM PÓ</v>
      </c>
      <c r="X3304" t="str">
        <f>VLOOKUP(L3304,'[2]tabela de preços'!$A:$G,7,0)</f>
        <v>INDUSTRIAL</v>
      </c>
    </row>
    <row r="3305" spans="1:24" x14ac:dyDescent="0.3">
      <c r="A3305" t="s">
        <v>1630</v>
      </c>
      <c r="C3305" t="s">
        <v>2683</v>
      </c>
      <c r="D3305" s="1">
        <v>46057</v>
      </c>
      <c r="E3305" t="s">
        <v>2684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762</v>
      </c>
      <c r="K3305" t="s">
        <v>1633</v>
      </c>
      <c r="L3305">
        <v>20135</v>
      </c>
      <c r="M3305" t="s">
        <v>459</v>
      </c>
      <c r="O3305" t="s">
        <v>11</v>
      </c>
      <c r="P3305">
        <v>5102</v>
      </c>
      <c r="Q3305">
        <v>15</v>
      </c>
      <c r="R3305">
        <v>25.37</v>
      </c>
      <c r="S3305">
        <v>380.55</v>
      </c>
      <c r="T3305">
        <v>288.89999999999998</v>
      </c>
      <c r="U3305">
        <v>24.08</v>
      </c>
      <c r="V3305" t="str">
        <f>VLOOKUP(L3305,'[2]tabela de preços'!$A:$D,4,0)</f>
        <v>3M</v>
      </c>
      <c r="W3305" t="str">
        <f>VLOOKUP(L3305,'[2]tabela de preços'!$A:$F,6,0)</f>
        <v>DISCO TRIZACT</v>
      </c>
      <c r="X3305" t="str">
        <f>VLOOKUP(L3305,'[2]tabela de preços'!$A:$G,7,0)</f>
        <v>AUTOMOTIVO</v>
      </c>
    </row>
    <row r="3306" spans="1:24" x14ac:dyDescent="0.3">
      <c r="A3306" t="s">
        <v>1630</v>
      </c>
      <c r="C3306" t="s">
        <v>2683</v>
      </c>
      <c r="D3306" s="1">
        <v>46057</v>
      </c>
      <c r="E3306" t="s">
        <v>2684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762</v>
      </c>
      <c r="K3306" t="s">
        <v>1633</v>
      </c>
      <c r="L3306">
        <v>84785</v>
      </c>
      <c r="M3306" t="s">
        <v>944</v>
      </c>
      <c r="O3306" t="s">
        <v>11</v>
      </c>
      <c r="P3306">
        <v>5403</v>
      </c>
      <c r="Q3306">
        <v>6</v>
      </c>
      <c r="R3306">
        <v>170.2</v>
      </c>
      <c r="S3306" s="2">
        <v>1021.2</v>
      </c>
      <c r="T3306">
        <v>784.32</v>
      </c>
      <c r="U3306">
        <v>23.2</v>
      </c>
      <c r="V3306" t="str">
        <f>VLOOKUP(L3306,'[2]tabela de preços'!$A:$D,4,0)</f>
        <v>BRASILUX</v>
      </c>
      <c r="W3306" t="str">
        <f>VLOOKUP(L3306,'[2]tabela de preços'!$A:$F,6,0)</f>
        <v>EPOXI</v>
      </c>
      <c r="X3306" t="str">
        <f>VLOOKUP(L3306,'[2]tabela de preços'!$A:$G,7,0)</f>
        <v>INDUSTRIAL</v>
      </c>
    </row>
    <row r="3307" spans="1:24" x14ac:dyDescent="0.3">
      <c r="A3307" t="s">
        <v>1630</v>
      </c>
      <c r="C3307" t="s">
        <v>2683</v>
      </c>
      <c r="D3307" s="1">
        <v>46057</v>
      </c>
      <c r="E3307" t="s">
        <v>2684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762</v>
      </c>
      <c r="K3307" t="s">
        <v>1633</v>
      </c>
      <c r="L3307">
        <v>84900</v>
      </c>
      <c r="M3307" t="s">
        <v>1261</v>
      </c>
      <c r="O3307" t="s">
        <v>11</v>
      </c>
      <c r="P3307">
        <v>5403</v>
      </c>
      <c r="Q3307">
        <v>9</v>
      </c>
      <c r="R3307">
        <v>167.4</v>
      </c>
      <c r="S3307" s="2">
        <v>1506.6</v>
      </c>
      <c r="T3307" s="2">
        <v>1157.1300000000001</v>
      </c>
      <c r="U3307">
        <v>23.2</v>
      </c>
      <c r="V3307" t="str">
        <f>VLOOKUP(L3307,'[2]tabela de preços'!$A:$D,4,0)</f>
        <v>BRASILUX</v>
      </c>
      <c r="W3307" t="str">
        <f>VLOOKUP(L3307,'[2]tabela de preços'!$A:$F,6,0)</f>
        <v>EPOXI</v>
      </c>
      <c r="X3307" t="str">
        <f>VLOOKUP(L3307,'[2]tabela de preços'!$A:$G,7,0)</f>
        <v>INDUSTRIAL</v>
      </c>
    </row>
    <row r="3308" spans="1:24" x14ac:dyDescent="0.3">
      <c r="A3308" t="s">
        <v>1630</v>
      </c>
      <c r="C3308" t="s">
        <v>2685</v>
      </c>
      <c r="D3308" s="1">
        <v>46057</v>
      </c>
      <c r="E3308" t="s">
        <v>2686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762</v>
      </c>
      <c r="K3308" t="s">
        <v>1633</v>
      </c>
      <c r="L3308">
        <v>10238</v>
      </c>
      <c r="M3308" t="s">
        <v>79</v>
      </c>
      <c r="O3308" t="s">
        <v>11</v>
      </c>
      <c r="P3308">
        <v>5102</v>
      </c>
      <c r="Q3308">
        <v>200</v>
      </c>
      <c r="R3308">
        <v>2.79</v>
      </c>
      <c r="S3308">
        <v>558</v>
      </c>
      <c r="T3308">
        <v>448</v>
      </c>
      <c r="U3308">
        <v>19.71</v>
      </c>
      <c r="V3308" t="str">
        <f>VLOOKUP(L3308,'[2]tabela de preços'!$A:$D,4,0)</f>
        <v>NORTON</v>
      </c>
      <c r="W3308" t="str">
        <f>VLOOKUP(L3308,'[2]tabela de preços'!$A:$F,6,0)</f>
        <v xml:space="preserve">DISCOS / LIXAS / ABRASIVOS </v>
      </c>
      <c r="X3308" t="str">
        <f>VLOOKUP(L3308,'[2]tabela de preços'!$A:$G,7,0)</f>
        <v>AUTOMOTIVO</v>
      </c>
    </row>
    <row r="3309" spans="1:24" x14ac:dyDescent="0.3">
      <c r="A3309" t="s">
        <v>1630</v>
      </c>
      <c r="C3309" t="s">
        <v>2687</v>
      </c>
      <c r="D3309" s="1">
        <v>46058</v>
      </c>
      <c r="E3309" t="s">
        <v>2688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762</v>
      </c>
      <c r="K3309" t="s">
        <v>1633</v>
      </c>
      <c r="L3309">
        <v>85292</v>
      </c>
      <c r="M3309" t="s">
        <v>1288</v>
      </c>
      <c r="O3309" t="s">
        <v>11</v>
      </c>
      <c r="P3309">
        <v>5403</v>
      </c>
      <c r="Q3309">
        <v>3</v>
      </c>
      <c r="R3309">
        <v>169.39</v>
      </c>
      <c r="S3309">
        <v>508.17</v>
      </c>
      <c r="T3309">
        <v>385.71</v>
      </c>
      <c r="U3309">
        <v>24.1</v>
      </c>
      <c r="V3309" t="str">
        <f>VLOOKUP(L3309,'[2]tabela de preços'!$A:$D,4,0)</f>
        <v>BRASILUX</v>
      </c>
      <c r="W3309" t="str">
        <f>VLOOKUP(L3309,'[2]tabela de preços'!$A:$F,6,0)</f>
        <v>EPOXI</v>
      </c>
      <c r="X3309" t="str">
        <f>VLOOKUP(L3309,'[2]tabela de preços'!$A:$G,7,0)</f>
        <v>INDUSTRIAL</v>
      </c>
    </row>
    <row r="3310" spans="1:24" x14ac:dyDescent="0.3">
      <c r="A3310" t="s">
        <v>1649</v>
      </c>
      <c r="B3310" t="s">
        <v>1650</v>
      </c>
      <c r="C3310" t="s">
        <v>2689</v>
      </c>
      <c r="D3310" s="1">
        <v>46058</v>
      </c>
      <c r="E3310" t="s">
        <v>2690</v>
      </c>
      <c r="F3310">
        <v>9</v>
      </c>
      <c r="G3310">
        <v>236</v>
      </c>
      <c r="H3310" t="str">
        <f>VLOOKUP(G3310,[1]OPERADORES!$A:$B,2,0)</f>
        <v>DANIEL</v>
      </c>
      <c r="I3310" t="s">
        <v>21</v>
      </c>
      <c r="J3310" t="s">
        <v>1653</v>
      </c>
      <c r="K3310" t="s">
        <v>1654</v>
      </c>
      <c r="L3310">
        <v>84490</v>
      </c>
      <c r="M3310" t="s">
        <v>2691</v>
      </c>
      <c r="O3310" t="s">
        <v>11</v>
      </c>
      <c r="P3310">
        <v>5403</v>
      </c>
      <c r="Q3310">
        <v>4</v>
      </c>
      <c r="R3310">
        <v>118.42</v>
      </c>
      <c r="S3310">
        <v>473.68</v>
      </c>
      <c r="T3310">
        <v>339.56</v>
      </c>
      <c r="U3310">
        <v>28.31</v>
      </c>
      <c r="V3310" t="str">
        <f>VLOOKUP(L3310,'[2]tabela de preços'!$A:$D,4,0)</f>
        <v>BRASILUX</v>
      </c>
      <c r="W3310" t="str">
        <f>VLOOKUP(L3310,'[2]tabela de preços'!$A:$F,6,0)</f>
        <v xml:space="preserve">BASES SISTEMA NO MACHINE </v>
      </c>
      <c r="X3310" t="str">
        <f>VLOOKUP(L3310,'[2]tabela de preços'!$A:$G,7,0)</f>
        <v>INDUSTRIAL</v>
      </c>
    </row>
    <row r="3311" spans="1:24" x14ac:dyDescent="0.3">
      <c r="A3311" t="s">
        <v>1649</v>
      </c>
      <c r="B3311" t="s">
        <v>1650</v>
      </c>
      <c r="C3311" t="s">
        <v>3232</v>
      </c>
      <c r="D3311" s="1">
        <v>46065</v>
      </c>
      <c r="E3311" t="s">
        <v>3233</v>
      </c>
      <c r="F3311">
        <v>9</v>
      </c>
      <c r="G3311">
        <v>236</v>
      </c>
      <c r="H3311" t="str">
        <f>VLOOKUP(G3311,[1]OPERADORES!$A:$B,2,0)</f>
        <v>DANIEL</v>
      </c>
      <c r="I3311" t="s">
        <v>21</v>
      </c>
      <c r="J3311" t="s">
        <v>1653</v>
      </c>
      <c r="K3311" t="s">
        <v>1654</v>
      </c>
      <c r="L3311">
        <v>10226</v>
      </c>
      <c r="M3311" t="s">
        <v>145</v>
      </c>
      <c r="O3311" t="s">
        <v>11</v>
      </c>
      <c r="P3311">
        <v>5102</v>
      </c>
      <c r="Q3311">
        <v>102</v>
      </c>
      <c r="R3311">
        <v>2.79</v>
      </c>
      <c r="S3311">
        <v>284.58</v>
      </c>
      <c r="T3311">
        <v>236.64</v>
      </c>
      <c r="U3311">
        <v>16.850000000000001</v>
      </c>
      <c r="V3311" t="str">
        <f>VLOOKUP(L3311,'[2]tabela de preços'!$A:$D,4,0)</f>
        <v>NORTON</v>
      </c>
      <c r="W3311" t="str">
        <f>VLOOKUP(L3311,'[2]tabela de preços'!$A:$F,6,0)</f>
        <v xml:space="preserve">DISCOS / LIXAS / ABRASIVOS </v>
      </c>
      <c r="X3311" t="str">
        <f>VLOOKUP(L3311,'[2]tabela de preços'!$A:$G,7,0)</f>
        <v>AUTOMOTIVO</v>
      </c>
    </row>
    <row r="3312" spans="1:24" x14ac:dyDescent="0.3">
      <c r="A3312" t="s">
        <v>1649</v>
      </c>
      <c r="B3312" t="s">
        <v>1650</v>
      </c>
      <c r="C3312" t="s">
        <v>3232</v>
      </c>
      <c r="D3312" s="1">
        <v>46065</v>
      </c>
      <c r="E3312" t="s">
        <v>3233</v>
      </c>
      <c r="F3312">
        <v>9</v>
      </c>
      <c r="G3312">
        <v>236</v>
      </c>
      <c r="H3312" t="str">
        <f>VLOOKUP(G3312,[1]OPERADORES!$A:$B,2,0)</f>
        <v>DANIEL</v>
      </c>
      <c r="I3312" t="s">
        <v>21</v>
      </c>
      <c r="J3312" t="s">
        <v>1653</v>
      </c>
      <c r="K3312" t="s">
        <v>1654</v>
      </c>
      <c r="L3312">
        <v>23399</v>
      </c>
      <c r="M3312" t="s">
        <v>462</v>
      </c>
      <c r="O3312" t="s">
        <v>11</v>
      </c>
      <c r="P3312">
        <v>5102</v>
      </c>
      <c r="Q3312">
        <v>2</v>
      </c>
      <c r="R3312">
        <v>231.14</v>
      </c>
      <c r="S3312">
        <v>462.28</v>
      </c>
      <c r="T3312">
        <v>350.88</v>
      </c>
      <c r="U3312">
        <v>24.1</v>
      </c>
      <c r="V3312" t="str">
        <f>VLOOKUP(L3312,'[2]tabela de preços'!$A:$D,4,0)</f>
        <v>3M</v>
      </c>
      <c r="W3312" t="str">
        <f>VLOOKUP(L3312,'[2]tabela de preços'!$A:$F,6,0)</f>
        <v>EPI´S</v>
      </c>
      <c r="X3312" t="str">
        <f>VLOOKUP(L3312,'[2]tabela de preços'!$A:$G,7,0)</f>
        <v>AUTOMOTIVO</v>
      </c>
    </row>
    <row r="3313" spans="1:24" x14ac:dyDescent="0.3">
      <c r="A3313" t="s">
        <v>1649</v>
      </c>
      <c r="B3313" t="s">
        <v>1650</v>
      </c>
      <c r="C3313" t="s">
        <v>3234</v>
      </c>
      <c r="D3313" s="1">
        <v>46065</v>
      </c>
      <c r="E3313" t="s">
        <v>3235</v>
      </c>
      <c r="F3313">
        <v>9</v>
      </c>
      <c r="G3313">
        <v>236</v>
      </c>
      <c r="H3313" t="str">
        <f>VLOOKUP(G3313,[1]OPERADORES!$A:$B,2,0)</f>
        <v>DANIEL</v>
      </c>
      <c r="I3313" t="s">
        <v>21</v>
      </c>
      <c r="J3313" t="s">
        <v>1653</v>
      </c>
      <c r="K3313" t="s">
        <v>1654</v>
      </c>
      <c r="L3313">
        <v>84925</v>
      </c>
      <c r="M3313" t="s">
        <v>1659</v>
      </c>
      <c r="O3313" t="s">
        <v>11</v>
      </c>
      <c r="P3313">
        <v>5403</v>
      </c>
      <c r="Q3313">
        <v>1</v>
      </c>
      <c r="R3313">
        <v>159.41999999999999</v>
      </c>
      <c r="S3313">
        <v>159.41999999999999</v>
      </c>
      <c r="T3313">
        <v>116.88</v>
      </c>
      <c r="U3313">
        <v>26.68</v>
      </c>
      <c r="V3313" t="str">
        <f>VLOOKUP(L3313,'[2]tabela de preços'!$A:$D,4,0)</f>
        <v>BRASILUX</v>
      </c>
      <c r="W3313" t="str">
        <f>VLOOKUP(L3313,'[2]tabela de preços'!$A:$F,6,0)</f>
        <v>EPOXI</v>
      </c>
      <c r="X3313" t="str">
        <f>VLOOKUP(L3313,'[2]tabela de preços'!$A:$G,7,0)</f>
        <v>INDUSTRIAL</v>
      </c>
    </row>
    <row r="3314" spans="1:24" x14ac:dyDescent="0.3">
      <c r="A3314" t="s">
        <v>1701</v>
      </c>
      <c r="C3314" t="s">
        <v>2533</v>
      </c>
      <c r="D3314" s="1">
        <v>46056</v>
      </c>
      <c r="E3314" t="s">
        <v>2534</v>
      </c>
      <c r="F3314">
        <v>9</v>
      </c>
      <c r="G3314">
        <v>197</v>
      </c>
      <c r="H3314" t="str">
        <f>VLOOKUP(G3314,[1]OPERADORES!$A:$B,2,0)</f>
        <v xml:space="preserve">POLIANA LORRANE DE AMORIM </v>
      </c>
      <c r="I3314" t="s">
        <v>21</v>
      </c>
      <c r="J3314" t="s">
        <v>265</v>
      </c>
      <c r="K3314" t="s">
        <v>1704</v>
      </c>
      <c r="L3314">
        <v>84329</v>
      </c>
      <c r="M3314" t="s">
        <v>285</v>
      </c>
      <c r="O3314" t="s">
        <v>11</v>
      </c>
      <c r="P3314">
        <v>5403</v>
      </c>
      <c r="Q3314">
        <v>1</v>
      </c>
      <c r="R3314">
        <v>59.98</v>
      </c>
      <c r="S3314">
        <v>59.98</v>
      </c>
      <c r="T3314">
        <v>48.27</v>
      </c>
      <c r="U3314">
        <v>19.52</v>
      </c>
      <c r="V3314" t="str">
        <f>VLOOKUP(L3314,'[2]tabela de preços'!$A:$D,4,0)</f>
        <v>BRASILUX</v>
      </c>
      <c r="W3314" t="str">
        <f>VLOOKUP(L3314,'[2]tabela de preços'!$A:$F,6,0)</f>
        <v>ESMALTES</v>
      </c>
      <c r="X3314" t="str">
        <f>VLOOKUP(L3314,'[2]tabela de preços'!$A:$G,7,0)</f>
        <v>INDUSTRIAL</v>
      </c>
    </row>
    <row r="3315" spans="1:24" x14ac:dyDescent="0.3">
      <c r="A3315" t="s">
        <v>1701</v>
      </c>
      <c r="C3315" t="s">
        <v>2533</v>
      </c>
      <c r="D3315" s="1">
        <v>46056</v>
      </c>
      <c r="E3315" t="s">
        <v>2534</v>
      </c>
      <c r="F3315">
        <v>9</v>
      </c>
      <c r="G3315">
        <v>197</v>
      </c>
      <c r="H3315" t="str">
        <f>VLOOKUP(G3315,[1]OPERADORES!$A:$B,2,0)</f>
        <v xml:space="preserve">POLIANA LORRANE DE AMORIM </v>
      </c>
      <c r="I3315" t="s">
        <v>21</v>
      </c>
      <c r="J3315" t="s">
        <v>265</v>
      </c>
      <c r="K3315" t="s">
        <v>1704</v>
      </c>
      <c r="L3315">
        <v>84355</v>
      </c>
      <c r="M3315" t="s">
        <v>1705</v>
      </c>
      <c r="O3315" t="s">
        <v>11</v>
      </c>
      <c r="P3315">
        <v>5403</v>
      </c>
      <c r="Q3315">
        <v>1</v>
      </c>
      <c r="R3315">
        <v>20.03</v>
      </c>
      <c r="S3315">
        <v>20.03</v>
      </c>
      <c r="T3315">
        <v>15.21</v>
      </c>
      <c r="U3315">
        <v>24.06</v>
      </c>
      <c r="V3315" t="str">
        <f>VLOOKUP(L3315,'[2]tabela de preços'!$A:$D,4,0)</f>
        <v>BRASILUX</v>
      </c>
      <c r="W3315" t="str">
        <f>VLOOKUP(L3315,'[2]tabela de preços'!$A:$F,6,0)</f>
        <v>ESMALTES</v>
      </c>
      <c r="X3315" t="str">
        <f>VLOOKUP(L3315,'[2]tabela de preços'!$A:$G,7,0)</f>
        <v>INDUSTRIAL</v>
      </c>
    </row>
    <row r="3316" spans="1:24" x14ac:dyDescent="0.3">
      <c r="A3316" t="s">
        <v>1701</v>
      </c>
      <c r="C3316" t="s">
        <v>2533</v>
      </c>
      <c r="D3316" s="1">
        <v>46056</v>
      </c>
      <c r="E3316" t="s">
        <v>2534</v>
      </c>
      <c r="F3316">
        <v>9</v>
      </c>
      <c r="G3316">
        <v>197</v>
      </c>
      <c r="H3316" t="str">
        <f>VLOOKUP(G3316,[1]OPERADORES!$A:$B,2,0)</f>
        <v xml:space="preserve">POLIANA LORRANE DE AMORIM </v>
      </c>
      <c r="I3316" t="s">
        <v>21</v>
      </c>
      <c r="J3316" t="s">
        <v>265</v>
      </c>
      <c r="K3316" t="s">
        <v>1704</v>
      </c>
      <c r="L3316">
        <v>84142</v>
      </c>
      <c r="M3316" t="s">
        <v>1594</v>
      </c>
      <c r="O3316" t="s">
        <v>11</v>
      </c>
      <c r="P3316">
        <v>5403</v>
      </c>
      <c r="Q3316">
        <v>2</v>
      </c>
      <c r="R3316">
        <v>74.94</v>
      </c>
      <c r="S3316">
        <v>149.88</v>
      </c>
      <c r="T3316">
        <v>113.76</v>
      </c>
      <c r="U3316">
        <v>24.1</v>
      </c>
      <c r="V3316" t="str">
        <f>VLOOKUP(L3316,'[2]tabela de preços'!$A:$D,4,0)</f>
        <v>BRASILUX</v>
      </c>
      <c r="W3316" t="str">
        <f>VLOOKUP(L3316,'[2]tabela de preços'!$A:$F,6,0)</f>
        <v>ESMALTES</v>
      </c>
      <c r="X3316" t="str">
        <f>VLOOKUP(L3316,'[2]tabela de preços'!$A:$G,7,0)</f>
        <v>INDUSTRIAL</v>
      </c>
    </row>
    <row r="3317" spans="1:24" x14ac:dyDescent="0.3">
      <c r="A3317" t="s">
        <v>1701</v>
      </c>
      <c r="C3317" t="s">
        <v>2533</v>
      </c>
      <c r="D3317" s="1">
        <v>46056</v>
      </c>
      <c r="E3317" t="s">
        <v>2534</v>
      </c>
      <c r="F3317">
        <v>9</v>
      </c>
      <c r="G3317">
        <v>197</v>
      </c>
      <c r="H3317" t="str">
        <f>VLOOKUP(G3317,[1]OPERADORES!$A:$B,2,0)</f>
        <v xml:space="preserve">POLIANA LORRANE DE AMORIM </v>
      </c>
      <c r="I3317" t="s">
        <v>21</v>
      </c>
      <c r="J3317" t="s">
        <v>265</v>
      </c>
      <c r="K3317" t="s">
        <v>1704</v>
      </c>
      <c r="L3317">
        <v>84143</v>
      </c>
      <c r="M3317" t="s">
        <v>1706</v>
      </c>
      <c r="O3317" t="s">
        <v>11</v>
      </c>
      <c r="P3317">
        <v>5403</v>
      </c>
      <c r="Q3317">
        <v>3</v>
      </c>
      <c r="R3317">
        <v>20.41</v>
      </c>
      <c r="S3317">
        <v>61.23</v>
      </c>
      <c r="T3317">
        <v>46.47</v>
      </c>
      <c r="U3317">
        <v>24.11</v>
      </c>
      <c r="V3317" t="str">
        <f>VLOOKUP(L3317,'[2]tabela de preços'!$A:$D,4,0)</f>
        <v>BRASILUX</v>
      </c>
      <c r="W3317" t="str">
        <f>VLOOKUP(L3317,'[2]tabela de preços'!$A:$F,6,0)</f>
        <v>ESMALTES</v>
      </c>
      <c r="X3317" t="str">
        <f>VLOOKUP(L3317,'[2]tabela de preços'!$A:$G,7,0)</f>
        <v>INDUSTRIAL</v>
      </c>
    </row>
    <row r="3318" spans="1:24" x14ac:dyDescent="0.3">
      <c r="A3318" t="s">
        <v>1701</v>
      </c>
      <c r="C3318" t="s">
        <v>2533</v>
      </c>
      <c r="D3318" s="1">
        <v>46056</v>
      </c>
      <c r="E3318" t="s">
        <v>2534</v>
      </c>
      <c r="F3318">
        <v>9</v>
      </c>
      <c r="G3318">
        <v>197</v>
      </c>
      <c r="H3318" t="str">
        <f>VLOOKUP(G3318,[1]OPERADORES!$A:$B,2,0)</f>
        <v xml:space="preserve">POLIANA LORRANE DE AMORIM </v>
      </c>
      <c r="I3318" t="s">
        <v>21</v>
      </c>
      <c r="J3318" t="s">
        <v>265</v>
      </c>
      <c r="K3318" t="s">
        <v>1704</v>
      </c>
      <c r="L3318">
        <v>84331</v>
      </c>
      <c r="M3318" t="s">
        <v>497</v>
      </c>
      <c r="O3318" t="s">
        <v>11</v>
      </c>
      <c r="P3318">
        <v>5403</v>
      </c>
      <c r="Q3318">
        <v>4</v>
      </c>
      <c r="R3318">
        <v>59.98</v>
      </c>
      <c r="S3318">
        <v>239.92</v>
      </c>
      <c r="T3318">
        <v>208</v>
      </c>
      <c r="U3318">
        <v>13.3</v>
      </c>
      <c r="V3318" t="str">
        <f>VLOOKUP(L3318,'[2]tabela de preços'!$A:$D,4,0)</f>
        <v>BRASILUX</v>
      </c>
      <c r="W3318" t="str">
        <f>VLOOKUP(L3318,'[2]tabela de preços'!$A:$F,6,0)</f>
        <v>ESMALTES</v>
      </c>
      <c r="X3318" t="str">
        <f>VLOOKUP(L3318,'[2]tabela de preços'!$A:$G,7,0)</f>
        <v>INDUSTRIAL</v>
      </c>
    </row>
    <row r="3319" spans="1:24" x14ac:dyDescent="0.3">
      <c r="A3319" t="s">
        <v>1701</v>
      </c>
      <c r="C3319" t="s">
        <v>2533</v>
      </c>
      <c r="D3319" s="1">
        <v>46056</v>
      </c>
      <c r="E3319" t="s">
        <v>2534</v>
      </c>
      <c r="F3319">
        <v>9</v>
      </c>
      <c r="G3319">
        <v>197</v>
      </c>
      <c r="H3319" t="str">
        <f>VLOOKUP(G3319,[1]OPERADORES!$A:$B,2,0)</f>
        <v xml:space="preserve">POLIANA LORRANE DE AMORIM </v>
      </c>
      <c r="I3319" t="s">
        <v>21</v>
      </c>
      <c r="J3319" t="s">
        <v>265</v>
      </c>
      <c r="K3319" t="s">
        <v>1704</v>
      </c>
      <c r="L3319">
        <v>84357</v>
      </c>
      <c r="M3319" t="s">
        <v>580</v>
      </c>
      <c r="O3319" t="s">
        <v>11</v>
      </c>
      <c r="P3319">
        <v>5403</v>
      </c>
      <c r="Q3319">
        <v>6</v>
      </c>
      <c r="R3319">
        <v>21.7</v>
      </c>
      <c r="S3319">
        <v>130.19999999999999</v>
      </c>
      <c r="T3319">
        <v>98.82</v>
      </c>
      <c r="U3319">
        <v>24.1</v>
      </c>
      <c r="V3319" t="str">
        <f>VLOOKUP(L3319,'[2]tabela de preços'!$A:$D,4,0)</f>
        <v>BRASILUX</v>
      </c>
      <c r="W3319" t="str">
        <f>VLOOKUP(L3319,'[2]tabela de preços'!$A:$F,6,0)</f>
        <v>ESMALTES</v>
      </c>
      <c r="X3319" t="str">
        <f>VLOOKUP(L3319,'[2]tabela de preços'!$A:$G,7,0)</f>
        <v>INDUSTRIAL</v>
      </c>
    </row>
    <row r="3320" spans="1:24" x14ac:dyDescent="0.3">
      <c r="A3320" t="s">
        <v>1701</v>
      </c>
      <c r="C3320" t="s">
        <v>2533</v>
      </c>
      <c r="D3320" s="1">
        <v>46056</v>
      </c>
      <c r="E3320" t="s">
        <v>2534</v>
      </c>
      <c r="F3320">
        <v>9</v>
      </c>
      <c r="G3320">
        <v>197</v>
      </c>
      <c r="H3320" t="str">
        <f>VLOOKUP(G3320,[1]OPERADORES!$A:$B,2,0)</f>
        <v xml:space="preserve">POLIANA LORRANE DE AMORIM </v>
      </c>
      <c r="I3320" t="s">
        <v>21</v>
      </c>
      <c r="J3320" t="s">
        <v>265</v>
      </c>
      <c r="K3320" t="s">
        <v>1704</v>
      </c>
      <c r="L3320">
        <v>84144</v>
      </c>
      <c r="M3320" t="s">
        <v>1287</v>
      </c>
      <c r="O3320" t="s">
        <v>11</v>
      </c>
      <c r="P3320">
        <v>5403</v>
      </c>
      <c r="Q3320">
        <v>2</v>
      </c>
      <c r="R3320">
        <v>59.98</v>
      </c>
      <c r="S3320">
        <v>119.96</v>
      </c>
      <c r="T3320">
        <v>104</v>
      </c>
      <c r="U3320">
        <v>13.3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1701</v>
      </c>
      <c r="C3321" t="s">
        <v>2533</v>
      </c>
      <c r="D3321" s="1">
        <v>46056</v>
      </c>
      <c r="E3321" t="s">
        <v>2534</v>
      </c>
      <c r="F3321">
        <v>9</v>
      </c>
      <c r="G3321">
        <v>197</v>
      </c>
      <c r="H3321" t="str">
        <f>VLOOKUP(G3321,[1]OPERADORES!$A:$B,2,0)</f>
        <v xml:space="preserve">POLIANA LORRANE DE AMORIM </v>
      </c>
      <c r="I3321" t="s">
        <v>21</v>
      </c>
      <c r="J3321" t="s">
        <v>265</v>
      </c>
      <c r="K3321" t="s">
        <v>1704</v>
      </c>
      <c r="L3321">
        <v>84333</v>
      </c>
      <c r="M3321" t="s">
        <v>1025</v>
      </c>
      <c r="O3321" t="s">
        <v>11</v>
      </c>
      <c r="P3321">
        <v>5403</v>
      </c>
      <c r="Q3321">
        <v>3</v>
      </c>
      <c r="R3321">
        <v>59.98</v>
      </c>
      <c r="S3321">
        <v>179.94</v>
      </c>
      <c r="T3321">
        <v>141.12</v>
      </c>
      <c r="U3321">
        <v>21.57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1701</v>
      </c>
      <c r="C3322" t="s">
        <v>2533</v>
      </c>
      <c r="D3322" s="1">
        <v>46056</v>
      </c>
      <c r="E3322" t="s">
        <v>2534</v>
      </c>
      <c r="F3322">
        <v>9</v>
      </c>
      <c r="G3322">
        <v>197</v>
      </c>
      <c r="H3322" t="str">
        <f>VLOOKUP(G3322,[1]OPERADORES!$A:$B,2,0)</f>
        <v xml:space="preserve">POLIANA LORRANE DE AMORIM </v>
      </c>
      <c r="I3322" t="s">
        <v>21</v>
      </c>
      <c r="J3322" t="s">
        <v>265</v>
      </c>
      <c r="K3322" t="s">
        <v>1704</v>
      </c>
      <c r="L3322">
        <v>84342</v>
      </c>
      <c r="M3322" t="s">
        <v>498</v>
      </c>
      <c r="O3322" t="s">
        <v>11</v>
      </c>
      <c r="P3322">
        <v>5403</v>
      </c>
      <c r="Q3322">
        <v>4</v>
      </c>
      <c r="R3322">
        <v>59.98</v>
      </c>
      <c r="S3322">
        <v>239.92</v>
      </c>
      <c r="T3322">
        <v>183.12</v>
      </c>
      <c r="U3322">
        <v>23.67</v>
      </c>
      <c r="V3322" t="str">
        <f>VLOOKUP(L3322,'[2]tabela de preços'!$A:$D,4,0)</f>
        <v>BRASILUX</v>
      </c>
      <c r="W3322" t="str">
        <f>VLOOKUP(L3322,'[2]tabela de preços'!$A:$F,6,0)</f>
        <v>ESMALTES</v>
      </c>
      <c r="X3322" t="str">
        <f>VLOOKUP(L3322,'[2]tabela de preços'!$A:$G,7,0)</f>
        <v>INDUSTRIAL</v>
      </c>
    </row>
    <row r="3323" spans="1:24" x14ac:dyDescent="0.3">
      <c r="A3323" t="s">
        <v>1701</v>
      </c>
      <c r="C3323" t="s">
        <v>2533</v>
      </c>
      <c r="D3323" s="1">
        <v>46056</v>
      </c>
      <c r="E3323" t="s">
        <v>2534</v>
      </c>
      <c r="F3323">
        <v>9</v>
      </c>
      <c r="G3323">
        <v>197</v>
      </c>
      <c r="H3323" t="str">
        <f>VLOOKUP(G3323,[1]OPERADORES!$A:$B,2,0)</f>
        <v xml:space="preserve">POLIANA LORRANE DE AMORIM </v>
      </c>
      <c r="I3323" t="s">
        <v>21</v>
      </c>
      <c r="J3323" t="s">
        <v>265</v>
      </c>
      <c r="K3323" t="s">
        <v>1704</v>
      </c>
      <c r="L3323">
        <v>84347</v>
      </c>
      <c r="M3323" t="s">
        <v>1150</v>
      </c>
      <c r="O3323" t="s">
        <v>11</v>
      </c>
      <c r="P3323">
        <v>5403</v>
      </c>
      <c r="Q3323">
        <v>1</v>
      </c>
      <c r="R3323">
        <v>59.98</v>
      </c>
      <c r="S3323">
        <v>59.98</v>
      </c>
      <c r="T3323">
        <v>52</v>
      </c>
      <c r="U3323">
        <v>13.3</v>
      </c>
      <c r="V3323" t="str">
        <f>VLOOKUP(L3323,'[2]tabela de preços'!$A:$D,4,0)</f>
        <v>BRASILUX</v>
      </c>
      <c r="W3323" t="str">
        <f>VLOOKUP(L3323,'[2]tabela de preços'!$A:$F,6,0)</f>
        <v>ESMALTES</v>
      </c>
      <c r="X3323" t="str">
        <f>VLOOKUP(L3323,'[2]tabela de preços'!$A:$G,7,0)</f>
        <v>INDUSTRIAL</v>
      </c>
    </row>
    <row r="3324" spans="1:24" x14ac:dyDescent="0.3">
      <c r="A3324" t="s">
        <v>1701</v>
      </c>
      <c r="C3324" t="s">
        <v>2533</v>
      </c>
      <c r="D3324" s="1">
        <v>46056</v>
      </c>
      <c r="E3324" t="s">
        <v>2534</v>
      </c>
      <c r="F3324">
        <v>9</v>
      </c>
      <c r="G3324">
        <v>197</v>
      </c>
      <c r="H3324" t="str">
        <f>VLOOKUP(G3324,[1]OPERADORES!$A:$B,2,0)</f>
        <v xml:space="preserve">POLIANA LORRANE DE AMORIM </v>
      </c>
      <c r="I3324" t="s">
        <v>21</v>
      </c>
      <c r="J3324" t="s">
        <v>265</v>
      </c>
      <c r="K3324" t="s">
        <v>1704</v>
      </c>
      <c r="L3324">
        <v>84348</v>
      </c>
      <c r="M3324" t="s">
        <v>1711</v>
      </c>
      <c r="O3324" t="s">
        <v>11</v>
      </c>
      <c r="P3324">
        <v>5403</v>
      </c>
      <c r="Q3324">
        <v>1</v>
      </c>
      <c r="R3324">
        <v>59.98</v>
      </c>
      <c r="S3324">
        <v>59.98</v>
      </c>
      <c r="T3324">
        <v>47.66</v>
      </c>
      <c r="U3324">
        <v>20.54</v>
      </c>
      <c r="V3324" t="str">
        <f>VLOOKUP(L3324,'[2]tabela de preços'!$A:$D,4,0)</f>
        <v>BRASILUX</v>
      </c>
      <c r="W3324" t="str">
        <f>VLOOKUP(L3324,'[2]tabela de preços'!$A:$F,6,0)</f>
        <v>ESMALTES</v>
      </c>
      <c r="X3324" t="str">
        <f>VLOOKUP(L3324,'[2]tabela de preços'!$A:$G,7,0)</f>
        <v>INDUSTRIAL</v>
      </c>
    </row>
    <row r="3325" spans="1:24" x14ac:dyDescent="0.3">
      <c r="A3325" t="s">
        <v>1701</v>
      </c>
      <c r="C3325" t="s">
        <v>2533</v>
      </c>
      <c r="D3325" s="1">
        <v>46056</v>
      </c>
      <c r="E3325" t="s">
        <v>2534</v>
      </c>
      <c r="F3325">
        <v>9</v>
      </c>
      <c r="G3325">
        <v>197</v>
      </c>
      <c r="H3325" t="str">
        <f>VLOOKUP(G3325,[1]OPERADORES!$A:$B,2,0)</f>
        <v xml:space="preserve">POLIANA LORRANE DE AMORIM </v>
      </c>
      <c r="I3325" t="s">
        <v>21</v>
      </c>
      <c r="J3325" t="s">
        <v>265</v>
      </c>
      <c r="K3325" t="s">
        <v>1704</v>
      </c>
      <c r="L3325">
        <v>84174</v>
      </c>
      <c r="M3325" t="s">
        <v>1532</v>
      </c>
      <c r="O3325" t="s">
        <v>11</v>
      </c>
      <c r="P3325">
        <v>5403</v>
      </c>
      <c r="Q3325">
        <v>4</v>
      </c>
      <c r="R3325">
        <v>92.33</v>
      </c>
      <c r="S3325">
        <v>369.32</v>
      </c>
      <c r="T3325">
        <v>280.32</v>
      </c>
      <c r="U3325">
        <v>24.1</v>
      </c>
      <c r="V3325" t="str">
        <f>VLOOKUP(L3325,'[2]tabela de preços'!$A:$D,4,0)</f>
        <v>BRASILUX</v>
      </c>
      <c r="W3325" t="str">
        <f>VLOOKUP(L3325,'[2]tabela de preços'!$A:$F,6,0)</f>
        <v>ESMALTES</v>
      </c>
      <c r="X3325" t="str">
        <f>VLOOKUP(L3325,'[2]tabela de preços'!$A:$G,7,0)</f>
        <v>INDUSTRIAL</v>
      </c>
    </row>
    <row r="3326" spans="1:24" x14ac:dyDescent="0.3">
      <c r="A3326" t="s">
        <v>1701</v>
      </c>
      <c r="C3326" t="s">
        <v>2692</v>
      </c>
      <c r="D3326" s="1">
        <v>46058</v>
      </c>
      <c r="E3326" t="s">
        <v>2693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21</v>
      </c>
      <c r="J3326" t="s">
        <v>265</v>
      </c>
      <c r="K3326" t="s">
        <v>1704</v>
      </c>
      <c r="L3326">
        <v>84329</v>
      </c>
      <c r="M3326" t="s">
        <v>285</v>
      </c>
      <c r="O3326" t="s">
        <v>11</v>
      </c>
      <c r="P3326">
        <v>5403</v>
      </c>
      <c r="Q3326">
        <v>2</v>
      </c>
      <c r="R3326">
        <v>59.98</v>
      </c>
      <c r="S3326">
        <v>119.96</v>
      </c>
      <c r="T3326">
        <v>96.54</v>
      </c>
      <c r="U3326">
        <v>19.52</v>
      </c>
      <c r="V3326" t="str">
        <f>VLOOKUP(L3326,'[2]tabela de preços'!$A:$D,4,0)</f>
        <v>BRASILUX</v>
      </c>
      <c r="W3326" t="str">
        <f>VLOOKUP(L3326,'[2]tabela de preços'!$A:$F,6,0)</f>
        <v>ESMALTES</v>
      </c>
      <c r="X3326" t="str">
        <f>VLOOKUP(L3326,'[2]tabela de preços'!$A:$G,7,0)</f>
        <v>INDUSTRIAL</v>
      </c>
    </row>
    <row r="3327" spans="1:24" x14ac:dyDescent="0.3">
      <c r="A3327" t="s">
        <v>1701</v>
      </c>
      <c r="C3327" t="s">
        <v>2692</v>
      </c>
      <c r="D3327" s="1">
        <v>46058</v>
      </c>
      <c r="E3327" t="s">
        <v>2693</v>
      </c>
      <c r="F3327">
        <v>9</v>
      </c>
      <c r="G3327">
        <v>197</v>
      </c>
      <c r="H3327" t="str">
        <f>VLOOKUP(G3327,[1]OPERADORES!$A:$B,2,0)</f>
        <v xml:space="preserve">POLIANA LORRANE DE AMORIM </v>
      </c>
      <c r="I3327" t="s">
        <v>21</v>
      </c>
      <c r="J3327" t="s">
        <v>265</v>
      </c>
      <c r="K3327" t="s">
        <v>1704</v>
      </c>
      <c r="L3327">
        <v>84355</v>
      </c>
      <c r="M3327" t="s">
        <v>1705</v>
      </c>
      <c r="O3327" t="s">
        <v>11</v>
      </c>
      <c r="P3327">
        <v>5403</v>
      </c>
      <c r="Q3327">
        <v>1</v>
      </c>
      <c r="R3327">
        <v>20.03</v>
      </c>
      <c r="S3327">
        <v>20.03</v>
      </c>
      <c r="T3327">
        <v>15.21</v>
      </c>
      <c r="U3327">
        <v>24.06</v>
      </c>
      <c r="V3327" t="str">
        <f>VLOOKUP(L3327,'[2]tabela de preços'!$A:$D,4,0)</f>
        <v>BRASILUX</v>
      </c>
      <c r="W3327" t="str">
        <f>VLOOKUP(L3327,'[2]tabela de preços'!$A:$F,6,0)</f>
        <v>ESMALTES</v>
      </c>
      <c r="X3327" t="str">
        <f>VLOOKUP(L3327,'[2]tabela de preços'!$A:$G,7,0)</f>
        <v>INDUSTRIAL</v>
      </c>
    </row>
    <row r="3328" spans="1:24" x14ac:dyDescent="0.3">
      <c r="A3328" t="s">
        <v>1701</v>
      </c>
      <c r="C3328" t="s">
        <v>2692</v>
      </c>
      <c r="D3328" s="1">
        <v>46058</v>
      </c>
      <c r="E3328" t="s">
        <v>2693</v>
      </c>
      <c r="F3328">
        <v>9</v>
      </c>
      <c r="G3328">
        <v>197</v>
      </c>
      <c r="H3328" t="str">
        <f>VLOOKUP(G3328,[1]OPERADORES!$A:$B,2,0)</f>
        <v xml:space="preserve">POLIANA LORRANE DE AMORIM </v>
      </c>
      <c r="I3328" t="s">
        <v>21</v>
      </c>
      <c r="J3328" t="s">
        <v>265</v>
      </c>
      <c r="K3328" t="s">
        <v>1704</v>
      </c>
      <c r="L3328">
        <v>84145</v>
      </c>
      <c r="M3328" t="s">
        <v>301</v>
      </c>
      <c r="O3328" t="s">
        <v>11</v>
      </c>
      <c r="P3328">
        <v>5403</v>
      </c>
      <c r="Q3328">
        <v>1</v>
      </c>
      <c r="R3328">
        <v>59.98</v>
      </c>
      <c r="S3328">
        <v>59.98</v>
      </c>
      <c r="T3328">
        <v>52.01</v>
      </c>
      <c r="U3328">
        <v>13.29</v>
      </c>
      <c r="V3328" t="str">
        <f>VLOOKUP(L3328,'[2]tabela de preços'!$A:$D,4,0)</f>
        <v>BRASILUX</v>
      </c>
      <c r="W3328" t="str">
        <f>VLOOKUP(L3328,'[2]tabela de preços'!$A:$F,6,0)</f>
        <v>ESMALTES</v>
      </c>
      <c r="X3328" t="str">
        <f>VLOOKUP(L3328,'[2]tabela de preços'!$A:$G,7,0)</f>
        <v>INDUSTRIAL</v>
      </c>
    </row>
    <row r="3329" spans="1:24" x14ac:dyDescent="0.3">
      <c r="A3329" t="s">
        <v>1701</v>
      </c>
      <c r="C3329" t="s">
        <v>2692</v>
      </c>
      <c r="D3329" s="1">
        <v>46058</v>
      </c>
      <c r="E3329" t="s">
        <v>2693</v>
      </c>
      <c r="F3329">
        <v>9</v>
      </c>
      <c r="G3329">
        <v>197</v>
      </c>
      <c r="H3329" t="str">
        <f>VLOOKUP(G3329,[1]OPERADORES!$A:$B,2,0)</f>
        <v xml:space="preserve">POLIANA LORRANE DE AMORIM </v>
      </c>
      <c r="I3329" t="s">
        <v>21</v>
      </c>
      <c r="J3329" t="s">
        <v>265</v>
      </c>
      <c r="K3329" t="s">
        <v>1704</v>
      </c>
      <c r="L3329">
        <v>84344</v>
      </c>
      <c r="M3329" t="s">
        <v>1000</v>
      </c>
      <c r="O3329" t="s">
        <v>11</v>
      </c>
      <c r="P3329">
        <v>5403</v>
      </c>
      <c r="Q3329">
        <v>1</v>
      </c>
      <c r="R3329">
        <v>59.98</v>
      </c>
      <c r="S3329">
        <v>59.98</v>
      </c>
      <c r="T3329">
        <v>49.66</v>
      </c>
      <c r="U3329">
        <v>17.21</v>
      </c>
      <c r="V3329" t="str">
        <f>VLOOKUP(L3329,'[2]tabela de preços'!$A:$D,4,0)</f>
        <v>BRASILUX</v>
      </c>
      <c r="W3329" t="str">
        <f>VLOOKUP(L3329,'[2]tabela de preços'!$A:$F,6,0)</f>
        <v>ESMALTES</v>
      </c>
      <c r="X3329" t="str">
        <f>VLOOKUP(L3329,'[2]tabela de preços'!$A:$G,7,0)</f>
        <v>INDUSTRIAL</v>
      </c>
    </row>
    <row r="3330" spans="1:24" x14ac:dyDescent="0.3">
      <c r="A3330" t="s">
        <v>1701</v>
      </c>
      <c r="C3330" t="s">
        <v>2692</v>
      </c>
      <c r="D3330" s="1">
        <v>46058</v>
      </c>
      <c r="E3330" t="s">
        <v>2693</v>
      </c>
      <c r="F3330">
        <v>9</v>
      </c>
      <c r="G3330">
        <v>197</v>
      </c>
      <c r="H3330" t="str">
        <f>VLOOKUP(G3330,[1]OPERADORES!$A:$B,2,0)</f>
        <v xml:space="preserve">POLIANA LORRANE DE AMORIM </v>
      </c>
      <c r="I3330" t="s">
        <v>21</v>
      </c>
      <c r="J3330" t="s">
        <v>265</v>
      </c>
      <c r="K3330" t="s">
        <v>1704</v>
      </c>
      <c r="L3330">
        <v>84129</v>
      </c>
      <c r="M3330" t="s">
        <v>1712</v>
      </c>
      <c r="O3330" t="s">
        <v>11</v>
      </c>
      <c r="P3330">
        <v>5403</v>
      </c>
      <c r="Q3330">
        <v>1</v>
      </c>
      <c r="R3330">
        <v>18.97</v>
      </c>
      <c r="S3330">
        <v>18.97</v>
      </c>
      <c r="T3330">
        <v>14.4</v>
      </c>
      <c r="U3330">
        <v>24.09</v>
      </c>
      <c r="V3330" t="str">
        <f>VLOOKUP(L3330,'[2]tabela de preços'!$A:$D,4,0)</f>
        <v>BRASILUX</v>
      </c>
      <c r="W3330" t="str">
        <f>VLOOKUP(L3330,'[2]tabela de preços'!$A:$F,6,0)</f>
        <v>ESMALTES</v>
      </c>
      <c r="X3330" t="str">
        <f>VLOOKUP(L3330,'[2]tabela de preços'!$A:$G,7,0)</f>
        <v>INDUSTRIAL</v>
      </c>
    </row>
    <row r="3331" spans="1:24" x14ac:dyDescent="0.3">
      <c r="A3331" t="s">
        <v>1701</v>
      </c>
      <c r="C3331" t="s">
        <v>2692</v>
      </c>
      <c r="D3331" s="1">
        <v>46058</v>
      </c>
      <c r="E3331" t="s">
        <v>2693</v>
      </c>
      <c r="F3331">
        <v>9</v>
      </c>
      <c r="G3331">
        <v>197</v>
      </c>
      <c r="H3331" t="str">
        <f>VLOOKUP(G3331,[1]OPERADORES!$A:$B,2,0)</f>
        <v xml:space="preserve">POLIANA LORRANE DE AMORIM </v>
      </c>
      <c r="I3331" t="s">
        <v>21</v>
      </c>
      <c r="J3331" t="s">
        <v>265</v>
      </c>
      <c r="K3331" t="s">
        <v>1704</v>
      </c>
      <c r="L3331">
        <v>86542</v>
      </c>
      <c r="M3331" t="s">
        <v>352</v>
      </c>
      <c r="O3331" t="s">
        <v>11</v>
      </c>
      <c r="P3331">
        <v>5102</v>
      </c>
      <c r="Q3331">
        <v>10</v>
      </c>
      <c r="R3331">
        <v>78.900000000000006</v>
      </c>
      <c r="S3331">
        <v>789</v>
      </c>
      <c r="T3331">
        <v>691.6</v>
      </c>
      <c r="U3331">
        <v>12.34</v>
      </c>
      <c r="V3331" t="str">
        <f>VLOOKUP(L3331,'[2]tabela de preços'!$A:$D,4,0)</f>
        <v>CORAL</v>
      </c>
      <c r="W3331" t="str">
        <f>VLOOKUP(L3331,'[2]tabela de preços'!$A:$F,6,0)</f>
        <v>MASSA CORRIDA / ACRÍLICA</v>
      </c>
      <c r="X3331" t="str">
        <f>VLOOKUP(L3331,'[2]tabela de preços'!$A:$G,7,0)</f>
        <v>IMOBILIÁRIO</v>
      </c>
    </row>
    <row r="3332" spans="1:24" x14ac:dyDescent="0.3">
      <c r="A3332" t="s">
        <v>1727</v>
      </c>
      <c r="C3332" t="s">
        <v>3236</v>
      </c>
      <c r="D3332" s="1">
        <v>46072</v>
      </c>
      <c r="E3332" t="s">
        <v>3237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1173</v>
      </c>
      <c r="K3332" t="s">
        <v>1730</v>
      </c>
      <c r="L3332">
        <v>86951</v>
      </c>
      <c r="M3332" t="s">
        <v>3238</v>
      </c>
      <c r="O3332" t="s">
        <v>11</v>
      </c>
      <c r="P3332">
        <v>5403</v>
      </c>
      <c r="Q3332">
        <v>8</v>
      </c>
      <c r="R3332">
        <v>83.84</v>
      </c>
      <c r="S3332">
        <v>670.72</v>
      </c>
      <c r="T3332">
        <v>509.04</v>
      </c>
      <c r="U3332">
        <v>24.11</v>
      </c>
      <c r="V3332" t="str">
        <f>VLOOKUP(L3332,'[2]tabela de preços'!$A:$D,4,0)</f>
        <v>BRASILUX</v>
      </c>
      <c r="W3332" t="str">
        <f>VLOOKUP(L3332,'[2]tabela de preços'!$A:$F,6,0)</f>
        <v>ESMALTES</v>
      </c>
      <c r="X3332" t="str">
        <f>VLOOKUP(L3332,'[2]tabela de preços'!$A:$G,7,0)</f>
        <v>INDUSTRIAL</v>
      </c>
    </row>
    <row r="3333" spans="1:24" x14ac:dyDescent="0.3">
      <c r="A3333" t="s">
        <v>1727</v>
      </c>
      <c r="C3333" t="s">
        <v>3236</v>
      </c>
      <c r="D3333" s="1">
        <v>46072</v>
      </c>
      <c r="E3333" t="s">
        <v>3237</v>
      </c>
      <c r="F3333">
        <v>9</v>
      </c>
      <c r="G3333">
        <v>174</v>
      </c>
      <c r="H3333" t="str">
        <f>VLOOKUP(G3333,[1]OPERADORES!$A:$B,2,0)</f>
        <v>MIRIÃ LOBATO RODRIGUES</v>
      </c>
      <c r="I3333" t="s">
        <v>21</v>
      </c>
      <c r="J3333" t="s">
        <v>1173</v>
      </c>
      <c r="K3333" t="s">
        <v>1730</v>
      </c>
      <c r="L3333">
        <v>84774</v>
      </c>
      <c r="M3333" t="s">
        <v>1731</v>
      </c>
      <c r="O3333" t="s">
        <v>11</v>
      </c>
      <c r="P3333">
        <v>5102</v>
      </c>
      <c r="Q3333">
        <v>12</v>
      </c>
      <c r="R3333">
        <v>11.9</v>
      </c>
      <c r="S3333">
        <v>142.80000000000001</v>
      </c>
      <c r="T3333">
        <v>108.36</v>
      </c>
      <c r="U3333">
        <v>24.12</v>
      </c>
      <c r="V3333" t="str">
        <f>VLOOKUP(L3333,'[2]tabela de preços'!$A:$D,4,0)</f>
        <v>BRASILUX</v>
      </c>
      <c r="W3333" t="str">
        <f>VLOOKUP(L3333,'[2]tabela de preços'!$A:$F,6,0)</f>
        <v>DILUENTE</v>
      </c>
      <c r="X3333" t="str">
        <f>VLOOKUP(L3333,'[2]tabela de preços'!$A:$G,7,0)</f>
        <v>AUTOMOTIVO</v>
      </c>
    </row>
    <row r="3334" spans="1:24" x14ac:dyDescent="0.3">
      <c r="A3334" t="s">
        <v>1739</v>
      </c>
      <c r="C3334" t="s">
        <v>2458</v>
      </c>
      <c r="D3334" s="1">
        <v>46055</v>
      </c>
      <c r="E3334" t="s">
        <v>2459</v>
      </c>
      <c r="F3334">
        <v>9</v>
      </c>
      <c r="G3334">
        <v>174</v>
      </c>
      <c r="H3334" t="str">
        <f>VLOOKUP(G3334,[1]OPERADORES!$A:$B,2,0)</f>
        <v>MIRIÃ LOBATO RODRIGUES</v>
      </c>
      <c r="I3334" t="s">
        <v>21</v>
      </c>
      <c r="J3334" t="s">
        <v>66</v>
      </c>
      <c r="K3334" t="s">
        <v>1742</v>
      </c>
      <c r="L3334">
        <v>10238</v>
      </c>
      <c r="M3334" t="s">
        <v>79</v>
      </c>
      <c r="O3334" t="s">
        <v>11</v>
      </c>
      <c r="P3334">
        <v>5102</v>
      </c>
      <c r="Q3334">
        <v>50</v>
      </c>
      <c r="R3334">
        <v>2.79</v>
      </c>
      <c r="S3334">
        <v>139.5</v>
      </c>
      <c r="T3334">
        <v>112</v>
      </c>
      <c r="U3334">
        <v>19.71</v>
      </c>
      <c r="V3334" t="str">
        <f>VLOOKUP(L3334,'[2]tabela de preços'!$A:$D,4,0)</f>
        <v>NORTON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1739</v>
      </c>
      <c r="C3335" t="s">
        <v>2458</v>
      </c>
      <c r="D3335" s="1">
        <v>46055</v>
      </c>
      <c r="E3335" t="s">
        <v>2459</v>
      </c>
      <c r="F3335">
        <v>9</v>
      </c>
      <c r="G3335">
        <v>174</v>
      </c>
      <c r="H3335" t="str">
        <f>VLOOKUP(G3335,[1]OPERADORES!$A:$B,2,0)</f>
        <v>MIRIÃ LOBATO RODRIGUES</v>
      </c>
      <c r="I3335" t="s">
        <v>21</v>
      </c>
      <c r="J3335" t="s">
        <v>66</v>
      </c>
      <c r="K3335" t="s">
        <v>1742</v>
      </c>
      <c r="L3335">
        <v>10242</v>
      </c>
      <c r="M3335" t="s">
        <v>82</v>
      </c>
      <c r="O3335" t="s">
        <v>11</v>
      </c>
      <c r="P3335">
        <v>5102</v>
      </c>
      <c r="Q3335">
        <v>50</v>
      </c>
      <c r="R3335">
        <v>2.79</v>
      </c>
      <c r="S3335">
        <v>139.5</v>
      </c>
      <c r="T3335">
        <v>112</v>
      </c>
      <c r="U3335">
        <v>19.71</v>
      </c>
      <c r="V3335" t="str">
        <f>VLOOKUP(L3335,'[2]tabela de preços'!$A:$D,4,0)</f>
        <v>NORTON</v>
      </c>
      <c r="W3335" t="str">
        <f>VLOOKUP(L3335,'[2]tabela de preços'!$A:$F,6,0)</f>
        <v xml:space="preserve">DISCOS / LIXAS / ABRASIVOS </v>
      </c>
      <c r="X3335" t="str">
        <f>VLOOKUP(L3335,'[2]tabela de preços'!$A:$G,7,0)</f>
        <v>AUTOMOTIVO</v>
      </c>
    </row>
    <row r="3336" spans="1:24" x14ac:dyDescent="0.3">
      <c r="A3336" t="s">
        <v>1739</v>
      </c>
      <c r="C3336" t="s">
        <v>2458</v>
      </c>
      <c r="D3336" s="1">
        <v>46055</v>
      </c>
      <c r="E3336" t="s">
        <v>2459</v>
      </c>
      <c r="F3336">
        <v>9</v>
      </c>
      <c r="G3336">
        <v>174</v>
      </c>
      <c r="H3336" t="str">
        <f>VLOOKUP(G3336,[1]OPERADORES!$A:$B,2,0)</f>
        <v>MIRIÃ LOBATO RODRIGUES</v>
      </c>
      <c r="I3336" t="s">
        <v>21</v>
      </c>
      <c r="J3336" t="s">
        <v>66</v>
      </c>
      <c r="K3336" t="s">
        <v>1742</v>
      </c>
      <c r="L3336">
        <v>10243</v>
      </c>
      <c r="M3336" t="s">
        <v>83</v>
      </c>
      <c r="O3336" t="s">
        <v>11</v>
      </c>
      <c r="P3336">
        <v>5102</v>
      </c>
      <c r="Q3336">
        <v>50</v>
      </c>
      <c r="R3336">
        <v>2.79</v>
      </c>
      <c r="S3336">
        <v>139.5</v>
      </c>
      <c r="T3336">
        <v>96.5</v>
      </c>
      <c r="U3336">
        <v>30.82</v>
      </c>
      <c r="V3336" t="str">
        <f>VLOOKUP(L3336,'[2]tabela de preços'!$A:$D,4,0)</f>
        <v>NORTON</v>
      </c>
      <c r="W3336" t="str">
        <f>VLOOKUP(L3336,'[2]tabela de preços'!$A:$F,6,0)</f>
        <v xml:space="preserve">DISCOS / LIXAS / ABRASIVOS </v>
      </c>
      <c r="X3336" t="str">
        <f>VLOOKUP(L3336,'[2]tabela de preços'!$A:$G,7,0)</f>
        <v>AUTOMOTIVO</v>
      </c>
    </row>
    <row r="3337" spans="1:24" x14ac:dyDescent="0.3">
      <c r="A3337" t="s">
        <v>1739</v>
      </c>
      <c r="C3337" t="s">
        <v>2458</v>
      </c>
      <c r="D3337" s="1">
        <v>46055</v>
      </c>
      <c r="E3337" t="s">
        <v>2459</v>
      </c>
      <c r="F3337">
        <v>9</v>
      </c>
      <c r="G3337">
        <v>174</v>
      </c>
      <c r="H3337" t="str">
        <f>VLOOKUP(G3337,[1]OPERADORES!$A:$B,2,0)</f>
        <v>MIRIÃ LOBATO RODRIGUES</v>
      </c>
      <c r="I3337" t="s">
        <v>21</v>
      </c>
      <c r="J3337" t="s">
        <v>66</v>
      </c>
      <c r="K3337" t="s">
        <v>1742</v>
      </c>
      <c r="L3337">
        <v>10244</v>
      </c>
      <c r="M3337" t="s">
        <v>84</v>
      </c>
      <c r="O3337" t="s">
        <v>11</v>
      </c>
      <c r="P3337">
        <v>5102</v>
      </c>
      <c r="Q3337">
        <v>50</v>
      </c>
      <c r="R3337">
        <v>2.79</v>
      </c>
      <c r="S3337">
        <v>139.5</v>
      </c>
      <c r="T3337">
        <v>96.5</v>
      </c>
      <c r="U3337">
        <v>30.82</v>
      </c>
      <c r="V3337" t="str">
        <f>VLOOKUP(L3337,'[2]tabela de preços'!$A:$D,4,0)</f>
        <v>NORTON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1739</v>
      </c>
      <c r="C3338" t="s">
        <v>2458</v>
      </c>
      <c r="D3338" s="1">
        <v>46055</v>
      </c>
      <c r="E3338" t="s">
        <v>2459</v>
      </c>
      <c r="F3338">
        <v>9</v>
      </c>
      <c r="G3338">
        <v>174</v>
      </c>
      <c r="H3338" t="str">
        <f>VLOOKUP(G3338,[1]OPERADORES!$A:$B,2,0)</f>
        <v>MIRIÃ LOBATO RODRIGUES</v>
      </c>
      <c r="I3338" t="s">
        <v>21</v>
      </c>
      <c r="J3338" t="s">
        <v>66</v>
      </c>
      <c r="K3338" t="s">
        <v>1742</v>
      </c>
      <c r="L3338">
        <v>10245</v>
      </c>
      <c r="M3338" t="s">
        <v>195</v>
      </c>
      <c r="O3338" t="s">
        <v>11</v>
      </c>
      <c r="P3338">
        <v>5102</v>
      </c>
      <c r="Q3338">
        <v>50</v>
      </c>
      <c r="R3338">
        <v>2.79</v>
      </c>
      <c r="S3338">
        <v>139.5</v>
      </c>
      <c r="T3338">
        <v>96.5</v>
      </c>
      <c r="U3338">
        <v>30.82</v>
      </c>
      <c r="V3338" t="str">
        <f>VLOOKUP(L3338,'[2]tabela de preços'!$A:$D,4,0)</f>
        <v>NORTON</v>
      </c>
      <c r="W3338" t="str">
        <f>VLOOKUP(L3338,'[2]tabela de preços'!$A:$F,6,0)</f>
        <v xml:space="preserve">DISCOS / LIXAS / ABRASIVOS </v>
      </c>
      <c r="X3338" t="str">
        <f>VLOOKUP(L3338,'[2]tabela de preços'!$A:$G,7,0)</f>
        <v>AUTOMOTIVO</v>
      </c>
    </row>
    <row r="3339" spans="1:24" x14ac:dyDescent="0.3">
      <c r="A3339" t="s">
        <v>1751</v>
      </c>
      <c r="C3339" t="s">
        <v>2460</v>
      </c>
      <c r="D3339" s="1">
        <v>46055</v>
      </c>
      <c r="E3339" t="s">
        <v>2461</v>
      </c>
      <c r="F3339">
        <v>9</v>
      </c>
      <c r="G3339">
        <v>231</v>
      </c>
      <c r="H3339" t="str">
        <f>VLOOKUP(G3339,[1]OPERADORES!$A:$B,2,0)</f>
        <v>EDIJANE</v>
      </c>
      <c r="I3339" t="s">
        <v>21</v>
      </c>
      <c r="J3339" t="s">
        <v>211</v>
      </c>
      <c r="K3339" t="s">
        <v>1754</v>
      </c>
      <c r="L3339">
        <v>84901</v>
      </c>
      <c r="M3339" t="s">
        <v>2432</v>
      </c>
      <c r="O3339" t="s">
        <v>11</v>
      </c>
      <c r="P3339">
        <v>5403</v>
      </c>
      <c r="Q3339">
        <v>1</v>
      </c>
      <c r="R3339">
        <v>215.62</v>
      </c>
      <c r="S3339">
        <v>215.62</v>
      </c>
      <c r="T3339">
        <v>163.66</v>
      </c>
      <c r="U3339">
        <v>24.1</v>
      </c>
      <c r="V3339" t="str">
        <f>VLOOKUP(L3339,'[2]tabela de preços'!$A:$D,4,0)</f>
        <v>BRASILUX</v>
      </c>
      <c r="W3339" t="str">
        <f>VLOOKUP(L3339,'[2]tabela de preços'!$A:$F,6,0)</f>
        <v>EPOXI</v>
      </c>
      <c r="X3339" t="str">
        <f>VLOOKUP(L3339,'[2]tabela de preços'!$A:$G,7,0)</f>
        <v>INDUSTRIAL</v>
      </c>
    </row>
    <row r="3340" spans="1:24" x14ac:dyDescent="0.3">
      <c r="A3340" t="s">
        <v>1751</v>
      </c>
      <c r="C3340" t="s">
        <v>2535</v>
      </c>
      <c r="D3340" s="1">
        <v>46056</v>
      </c>
      <c r="E3340" t="s">
        <v>2536</v>
      </c>
      <c r="F3340">
        <v>9</v>
      </c>
      <c r="G3340">
        <v>231</v>
      </c>
      <c r="H3340" t="str">
        <f>VLOOKUP(G3340,[1]OPERADORES!$A:$B,2,0)</f>
        <v>EDIJANE</v>
      </c>
      <c r="I3340" t="s">
        <v>21</v>
      </c>
      <c r="J3340" t="s">
        <v>211</v>
      </c>
      <c r="K3340" t="s">
        <v>1754</v>
      </c>
      <c r="L3340">
        <v>85698</v>
      </c>
      <c r="M3340" t="s">
        <v>1946</v>
      </c>
      <c r="O3340" t="s">
        <v>11</v>
      </c>
      <c r="P3340">
        <v>5102</v>
      </c>
      <c r="Q3340">
        <v>5</v>
      </c>
      <c r="R3340">
        <v>129.9</v>
      </c>
      <c r="S3340">
        <v>649.5</v>
      </c>
      <c r="T3340">
        <v>519.29999999999995</v>
      </c>
      <c r="U3340">
        <v>20.05</v>
      </c>
      <c r="V3340" t="str">
        <f>VLOOKUP(L3340,'[2]tabela de preços'!$A:$D,4,0)</f>
        <v>SIMAPPEL</v>
      </c>
      <c r="W3340" t="str">
        <f>VLOOKUP(L3340,'[2]tabela de preços'!$A:$F,6,0)</f>
        <v>PAPELAO ONDULADO</v>
      </c>
      <c r="X3340" t="str">
        <f>VLOOKUP(L3340,'[2]tabela de preços'!$A:$G,7,0)</f>
        <v>IMOBILIÁRIO</v>
      </c>
    </row>
    <row r="3341" spans="1:24" x14ac:dyDescent="0.3">
      <c r="A3341" t="s">
        <v>1757</v>
      </c>
      <c r="B3341" t="s">
        <v>1758</v>
      </c>
      <c r="C3341" t="s">
        <v>2537</v>
      </c>
      <c r="D3341" s="1">
        <v>46056</v>
      </c>
      <c r="E3341" t="s">
        <v>2538</v>
      </c>
      <c r="F3341">
        <v>9</v>
      </c>
      <c r="G3341">
        <v>236</v>
      </c>
      <c r="H3341" t="str">
        <f>VLOOKUP(G3341,[1]OPERADORES!$A:$B,2,0)</f>
        <v>DANIEL</v>
      </c>
      <c r="I3341" t="s">
        <v>1761</v>
      </c>
      <c r="J3341" t="s">
        <v>1762</v>
      </c>
      <c r="K3341" t="s">
        <v>1763</v>
      </c>
      <c r="L3341">
        <v>84357</v>
      </c>
      <c r="M3341" t="s">
        <v>580</v>
      </c>
      <c r="O3341" t="s">
        <v>11</v>
      </c>
      <c r="P3341">
        <v>6403</v>
      </c>
      <c r="Q3341">
        <v>6</v>
      </c>
      <c r="R3341">
        <v>23.09</v>
      </c>
      <c r="S3341">
        <v>138.54</v>
      </c>
      <c r="T3341">
        <v>98.82</v>
      </c>
      <c r="U3341">
        <v>28.67</v>
      </c>
      <c r="V3341" t="str">
        <f>VLOOKUP(L3341,'[2]tabela de preços'!$A:$D,4,0)</f>
        <v>BRASILUX</v>
      </c>
      <c r="W3341" t="str">
        <f>VLOOKUP(L3341,'[2]tabela de preços'!$A:$F,6,0)</f>
        <v>ESMALTES</v>
      </c>
      <c r="X3341" t="str">
        <f>VLOOKUP(L3341,'[2]tabela de preços'!$A:$G,7,0)</f>
        <v>INDUSTRIAL</v>
      </c>
    </row>
    <row r="3342" spans="1:24" x14ac:dyDescent="0.3">
      <c r="A3342" t="s">
        <v>1757</v>
      </c>
      <c r="B3342" t="s">
        <v>1758</v>
      </c>
      <c r="C3342" t="s">
        <v>2537</v>
      </c>
      <c r="D3342" s="1">
        <v>46056</v>
      </c>
      <c r="E3342" t="s">
        <v>2538</v>
      </c>
      <c r="F3342">
        <v>9</v>
      </c>
      <c r="G3342">
        <v>236</v>
      </c>
      <c r="H3342" t="str">
        <f>VLOOKUP(G3342,[1]OPERADORES!$A:$B,2,0)</f>
        <v>DANIEL</v>
      </c>
      <c r="I3342" t="s">
        <v>1761</v>
      </c>
      <c r="J3342" t="s">
        <v>1762</v>
      </c>
      <c r="K3342" t="s">
        <v>1763</v>
      </c>
      <c r="L3342">
        <v>84122</v>
      </c>
      <c r="M3342" t="s">
        <v>287</v>
      </c>
      <c r="O3342" t="s">
        <v>11</v>
      </c>
      <c r="P3342">
        <v>6403</v>
      </c>
      <c r="Q3342">
        <v>4</v>
      </c>
      <c r="R3342">
        <v>19.57</v>
      </c>
      <c r="S3342">
        <v>78.28</v>
      </c>
      <c r="T3342">
        <v>55.8</v>
      </c>
      <c r="U3342">
        <v>28.72</v>
      </c>
      <c r="V3342" t="str">
        <f>VLOOKUP(L3342,'[2]tabela de preços'!$A:$D,4,0)</f>
        <v>BRASILUX</v>
      </c>
      <c r="W3342" t="str">
        <f>VLOOKUP(L3342,'[2]tabela de preços'!$A:$F,6,0)</f>
        <v>ESMALTES</v>
      </c>
      <c r="X3342" t="str">
        <f>VLOOKUP(L3342,'[2]tabela de preços'!$A:$G,7,0)</f>
        <v>INDUSTRIAL</v>
      </c>
    </row>
    <row r="3343" spans="1:24" x14ac:dyDescent="0.3">
      <c r="A3343" t="s">
        <v>1757</v>
      </c>
      <c r="B3343" t="s">
        <v>1758</v>
      </c>
      <c r="C3343" t="s">
        <v>2537</v>
      </c>
      <c r="D3343" s="1">
        <v>46056</v>
      </c>
      <c r="E3343" t="s">
        <v>2538</v>
      </c>
      <c r="F3343">
        <v>9</v>
      </c>
      <c r="G3343">
        <v>236</v>
      </c>
      <c r="H3343" t="str">
        <f>VLOOKUP(G3343,[1]OPERADORES!$A:$B,2,0)</f>
        <v>DANIEL</v>
      </c>
      <c r="I3343" t="s">
        <v>1761</v>
      </c>
      <c r="J3343" t="s">
        <v>1762</v>
      </c>
      <c r="K3343" t="s">
        <v>1763</v>
      </c>
      <c r="L3343">
        <v>84123</v>
      </c>
      <c r="M3343" t="s">
        <v>296</v>
      </c>
      <c r="O3343" t="s">
        <v>11</v>
      </c>
      <c r="P3343">
        <v>6403</v>
      </c>
      <c r="Q3343">
        <v>6</v>
      </c>
      <c r="R3343">
        <v>20.34</v>
      </c>
      <c r="S3343">
        <v>122.04</v>
      </c>
      <c r="T3343">
        <v>87</v>
      </c>
      <c r="U3343">
        <v>28.71</v>
      </c>
      <c r="V3343" t="str">
        <f>VLOOKUP(L3343,'[2]tabela de preços'!$A:$D,4,0)</f>
        <v>BRASILUX</v>
      </c>
      <c r="W3343" t="str">
        <f>VLOOKUP(L3343,'[2]tabela de preços'!$A:$F,6,0)</f>
        <v>ESMALTES</v>
      </c>
      <c r="X3343" t="str">
        <f>VLOOKUP(L3343,'[2]tabela de preços'!$A:$G,7,0)</f>
        <v>INDUSTRIAL</v>
      </c>
    </row>
    <row r="3344" spans="1:24" x14ac:dyDescent="0.3">
      <c r="A3344" t="s">
        <v>1757</v>
      </c>
      <c r="B3344" t="s">
        <v>1758</v>
      </c>
      <c r="C3344" t="s">
        <v>2537</v>
      </c>
      <c r="D3344" s="1">
        <v>46056</v>
      </c>
      <c r="E3344" t="s">
        <v>2538</v>
      </c>
      <c r="F3344">
        <v>9</v>
      </c>
      <c r="G3344">
        <v>236</v>
      </c>
      <c r="H3344" t="str">
        <f>VLOOKUP(G3344,[1]OPERADORES!$A:$B,2,0)</f>
        <v>DANIEL</v>
      </c>
      <c r="I3344" t="s">
        <v>1761</v>
      </c>
      <c r="J3344" t="s">
        <v>1762</v>
      </c>
      <c r="K3344" t="s">
        <v>1763</v>
      </c>
      <c r="L3344">
        <v>20817</v>
      </c>
      <c r="M3344" t="s">
        <v>153</v>
      </c>
      <c r="O3344" t="s">
        <v>11</v>
      </c>
      <c r="P3344">
        <v>6102</v>
      </c>
      <c r="Q3344">
        <v>30</v>
      </c>
      <c r="R3344">
        <v>22.49</v>
      </c>
      <c r="S3344">
        <v>674.7</v>
      </c>
      <c r="T3344">
        <v>558.6</v>
      </c>
      <c r="U3344">
        <v>17.21</v>
      </c>
      <c r="V3344" t="str">
        <f>VLOOKUP(L3344,'[2]tabela de preços'!$A:$D,4,0)</f>
        <v>AUTO AMERICA</v>
      </c>
      <c r="W3344" t="str">
        <f>VLOOKUP(L3344,'[2]tabela de preços'!$A:$F,6,0)</f>
        <v>MASSA DE POLIR</v>
      </c>
      <c r="X3344" t="str">
        <f>VLOOKUP(L3344,'[2]tabela de preços'!$A:$G,7,0)</f>
        <v>AUTOMOTIVO</v>
      </c>
    </row>
    <row r="3345" spans="1:24" x14ac:dyDescent="0.3">
      <c r="A3345" t="s">
        <v>1757</v>
      </c>
      <c r="B3345" t="s">
        <v>1758</v>
      </c>
      <c r="C3345" t="s">
        <v>2952</v>
      </c>
      <c r="D3345" s="1">
        <v>46064</v>
      </c>
      <c r="E3345" t="s">
        <v>2953</v>
      </c>
      <c r="F3345">
        <v>9</v>
      </c>
      <c r="G3345">
        <v>236</v>
      </c>
      <c r="H3345" t="str">
        <f>VLOOKUP(G3345,[1]OPERADORES!$A:$B,2,0)</f>
        <v>DANIEL</v>
      </c>
      <c r="I3345" t="s">
        <v>1761</v>
      </c>
      <c r="J3345" t="s">
        <v>1762</v>
      </c>
      <c r="K3345" t="s">
        <v>1763</v>
      </c>
      <c r="L3345">
        <v>20099</v>
      </c>
      <c r="M3345" t="s">
        <v>1308</v>
      </c>
      <c r="O3345" t="s">
        <v>11</v>
      </c>
      <c r="P3345">
        <v>6403</v>
      </c>
      <c r="Q3345">
        <v>21</v>
      </c>
      <c r="R3345">
        <v>16.93</v>
      </c>
      <c r="S3345">
        <v>355.53</v>
      </c>
      <c r="T3345">
        <v>253.47</v>
      </c>
      <c r="U3345">
        <v>28.71</v>
      </c>
      <c r="V3345" t="str">
        <f>VLOOKUP(L3345,'[2]tabela de preços'!$A:$D,4,0)</f>
        <v>MAXI RUBBER</v>
      </c>
      <c r="W3345" t="str">
        <f>VLOOKUP(L3345,'[2]tabela de preços'!$A:$F,6,0)</f>
        <v>BATIDA DE PEDRA</v>
      </c>
      <c r="X3345" t="str">
        <f>VLOOKUP(L3345,'[2]tabela de preços'!$A:$G,7,0)</f>
        <v>AUTOMOTIVO</v>
      </c>
    </row>
    <row r="3346" spans="1:24" x14ac:dyDescent="0.3">
      <c r="A3346" t="s">
        <v>1757</v>
      </c>
      <c r="B3346" t="s">
        <v>1758</v>
      </c>
      <c r="C3346" t="s">
        <v>2952</v>
      </c>
      <c r="D3346" s="1">
        <v>46064</v>
      </c>
      <c r="E3346" t="s">
        <v>2953</v>
      </c>
      <c r="F3346">
        <v>9</v>
      </c>
      <c r="G3346">
        <v>236</v>
      </c>
      <c r="H3346" t="str">
        <f>VLOOKUP(G3346,[1]OPERADORES!$A:$B,2,0)</f>
        <v>DANIEL</v>
      </c>
      <c r="I3346" t="s">
        <v>1761</v>
      </c>
      <c r="J3346" t="s">
        <v>1762</v>
      </c>
      <c r="K3346" t="s">
        <v>1763</v>
      </c>
      <c r="L3346">
        <v>84355</v>
      </c>
      <c r="M3346" t="s">
        <v>1705</v>
      </c>
      <c r="O3346" t="s">
        <v>11</v>
      </c>
      <c r="P3346">
        <v>6403</v>
      </c>
      <c r="Q3346">
        <v>2</v>
      </c>
      <c r="R3346">
        <v>21.33</v>
      </c>
      <c r="S3346">
        <v>42.66</v>
      </c>
      <c r="T3346">
        <v>30.42</v>
      </c>
      <c r="U3346">
        <v>28.69</v>
      </c>
      <c r="V3346" t="str">
        <f>VLOOKUP(L3346,'[2]tabela de preços'!$A:$D,4,0)</f>
        <v>BRASILUX</v>
      </c>
      <c r="W3346" t="str">
        <f>VLOOKUP(L3346,'[2]tabela de preços'!$A:$F,6,0)</f>
        <v>ESMALTES</v>
      </c>
      <c r="X3346" t="str">
        <f>VLOOKUP(L3346,'[2]tabela de preços'!$A:$G,7,0)</f>
        <v>INDUSTRIAL</v>
      </c>
    </row>
    <row r="3347" spans="1:24" x14ac:dyDescent="0.3">
      <c r="A3347" t="s">
        <v>1757</v>
      </c>
      <c r="B3347" t="s">
        <v>1758</v>
      </c>
      <c r="C3347" t="s">
        <v>2952</v>
      </c>
      <c r="D3347" s="1">
        <v>46064</v>
      </c>
      <c r="E3347" t="s">
        <v>2953</v>
      </c>
      <c r="F3347">
        <v>9</v>
      </c>
      <c r="G3347">
        <v>236</v>
      </c>
      <c r="H3347" t="str">
        <f>VLOOKUP(G3347,[1]OPERADORES!$A:$B,2,0)</f>
        <v>DANIEL</v>
      </c>
      <c r="I3347" t="s">
        <v>1761</v>
      </c>
      <c r="J3347" t="s">
        <v>1762</v>
      </c>
      <c r="K3347" t="s">
        <v>1763</v>
      </c>
      <c r="L3347">
        <v>84347</v>
      </c>
      <c r="M3347" t="s">
        <v>1150</v>
      </c>
      <c r="O3347" t="s">
        <v>11</v>
      </c>
      <c r="P3347">
        <v>6403</v>
      </c>
      <c r="Q3347">
        <v>4</v>
      </c>
      <c r="R3347">
        <v>64.180000000000007</v>
      </c>
      <c r="S3347">
        <v>256.72000000000003</v>
      </c>
      <c r="T3347">
        <v>208</v>
      </c>
      <c r="U3347">
        <v>18.98</v>
      </c>
      <c r="V3347" t="str">
        <f>VLOOKUP(L3347,'[2]tabela de preços'!$A:$D,4,0)</f>
        <v>BRASILUX</v>
      </c>
      <c r="W3347" t="str">
        <f>VLOOKUP(L3347,'[2]tabela de preços'!$A:$F,6,0)</f>
        <v>ESMALTES</v>
      </c>
      <c r="X3347" t="str">
        <f>VLOOKUP(L3347,'[2]tabela de preços'!$A:$G,7,0)</f>
        <v>INDUSTRIAL</v>
      </c>
    </row>
    <row r="3348" spans="1:24" x14ac:dyDescent="0.3">
      <c r="A3348" t="s">
        <v>1757</v>
      </c>
      <c r="B3348" t="s">
        <v>1758</v>
      </c>
      <c r="C3348" t="s">
        <v>2952</v>
      </c>
      <c r="D3348" s="1">
        <v>46064</v>
      </c>
      <c r="E3348" t="s">
        <v>2953</v>
      </c>
      <c r="F3348">
        <v>9</v>
      </c>
      <c r="G3348">
        <v>236</v>
      </c>
      <c r="H3348" t="str">
        <f>VLOOKUP(G3348,[1]OPERADORES!$A:$B,2,0)</f>
        <v>DANIEL</v>
      </c>
      <c r="I3348" t="s">
        <v>1761</v>
      </c>
      <c r="J3348" t="s">
        <v>1762</v>
      </c>
      <c r="K3348" t="s">
        <v>1763</v>
      </c>
      <c r="L3348">
        <v>83825</v>
      </c>
      <c r="M3348" t="s">
        <v>332</v>
      </c>
      <c r="O3348" t="s">
        <v>11</v>
      </c>
      <c r="P3348">
        <v>6102</v>
      </c>
      <c r="Q3348">
        <v>204</v>
      </c>
      <c r="R3348">
        <v>2.64</v>
      </c>
      <c r="S3348">
        <v>538.55999999999995</v>
      </c>
      <c r="T3348">
        <v>410.04</v>
      </c>
      <c r="U3348">
        <v>23.86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1757</v>
      </c>
      <c r="B3349" t="s">
        <v>1758</v>
      </c>
      <c r="C3349" t="s">
        <v>2952</v>
      </c>
      <c r="D3349" s="1">
        <v>46064</v>
      </c>
      <c r="E3349" t="s">
        <v>2953</v>
      </c>
      <c r="F3349">
        <v>9</v>
      </c>
      <c r="G3349">
        <v>236</v>
      </c>
      <c r="H3349" t="str">
        <f>VLOOKUP(G3349,[1]OPERADORES!$A:$B,2,0)</f>
        <v>DANIEL</v>
      </c>
      <c r="I3349" t="s">
        <v>1761</v>
      </c>
      <c r="J3349" t="s">
        <v>1762</v>
      </c>
      <c r="K3349" t="s">
        <v>1763</v>
      </c>
      <c r="L3349">
        <v>23076</v>
      </c>
      <c r="M3349" t="s">
        <v>97</v>
      </c>
      <c r="O3349" t="s">
        <v>11</v>
      </c>
      <c r="P3349">
        <v>6403</v>
      </c>
      <c r="Q3349">
        <v>36</v>
      </c>
      <c r="R3349">
        <v>37.33</v>
      </c>
      <c r="S3349" s="2">
        <v>1343.88</v>
      </c>
      <c r="T3349">
        <v>955.08</v>
      </c>
      <c r="U3349">
        <v>28.93</v>
      </c>
      <c r="V3349" t="str">
        <f>VLOOKUP(L3349,'[2]tabela de preços'!$A:$D,4,0)</f>
        <v>WANDA</v>
      </c>
      <c r="W3349" t="str">
        <f>VLOOKUP(L3349,'[2]tabela de preços'!$A:$F,6,0)</f>
        <v>PRIMER AUTOMOTIVO</v>
      </c>
      <c r="X3349" t="str">
        <f>VLOOKUP(L3349,'[2]tabela de preços'!$A:$G,7,0)</f>
        <v>AUTOMOTIVO</v>
      </c>
    </row>
    <row r="3350" spans="1:24" x14ac:dyDescent="0.3">
      <c r="A3350" t="s">
        <v>1757</v>
      </c>
      <c r="B3350" t="s">
        <v>1758</v>
      </c>
      <c r="C3350" t="s">
        <v>2952</v>
      </c>
      <c r="D3350" s="1">
        <v>46064</v>
      </c>
      <c r="E3350" t="s">
        <v>2953</v>
      </c>
      <c r="F3350">
        <v>9</v>
      </c>
      <c r="G3350">
        <v>236</v>
      </c>
      <c r="H3350" t="str">
        <f>VLOOKUP(G3350,[1]OPERADORES!$A:$B,2,0)</f>
        <v>DANIEL</v>
      </c>
      <c r="I3350" t="s">
        <v>1761</v>
      </c>
      <c r="J3350" t="s">
        <v>1762</v>
      </c>
      <c r="K3350" t="s">
        <v>1763</v>
      </c>
      <c r="L3350">
        <v>10240</v>
      </c>
      <c r="M3350" t="s">
        <v>81</v>
      </c>
      <c r="O3350" t="s">
        <v>11</v>
      </c>
      <c r="P3350">
        <v>6102</v>
      </c>
      <c r="Q3350">
        <v>100</v>
      </c>
      <c r="R3350">
        <v>2.79</v>
      </c>
      <c r="S3350">
        <v>279</v>
      </c>
      <c r="T3350">
        <v>224</v>
      </c>
      <c r="U3350">
        <v>19.71</v>
      </c>
      <c r="V3350" t="str">
        <f>VLOOKUP(L3350,'[2]tabela de preços'!$A:$D,4,0)</f>
        <v>NORTON</v>
      </c>
      <c r="W3350" t="str">
        <f>VLOOKUP(L3350,'[2]tabela de preços'!$A:$F,6,0)</f>
        <v xml:space="preserve">DISCOS / LIXAS / ABRASIVOS </v>
      </c>
      <c r="X3350" t="str">
        <f>VLOOKUP(L3350,'[2]tabela de preços'!$A:$G,7,0)</f>
        <v>AUTOMOTIVO</v>
      </c>
    </row>
    <row r="3351" spans="1:24" x14ac:dyDescent="0.3">
      <c r="A3351" t="s">
        <v>1757</v>
      </c>
      <c r="B3351" t="s">
        <v>1758</v>
      </c>
      <c r="C3351" t="s">
        <v>2952</v>
      </c>
      <c r="D3351" s="1">
        <v>46064</v>
      </c>
      <c r="E3351" t="s">
        <v>2953</v>
      </c>
      <c r="F3351">
        <v>9</v>
      </c>
      <c r="G3351">
        <v>236</v>
      </c>
      <c r="H3351" t="str">
        <f>VLOOKUP(G3351,[1]OPERADORES!$A:$B,2,0)</f>
        <v>DANIEL</v>
      </c>
      <c r="I3351" t="s">
        <v>1761</v>
      </c>
      <c r="J3351" t="s">
        <v>1762</v>
      </c>
      <c r="K3351" t="s">
        <v>1763</v>
      </c>
      <c r="L3351">
        <v>10242</v>
      </c>
      <c r="M3351" t="s">
        <v>82</v>
      </c>
      <c r="O3351" t="s">
        <v>11</v>
      </c>
      <c r="P3351">
        <v>6102</v>
      </c>
      <c r="Q3351">
        <v>100</v>
      </c>
      <c r="R3351">
        <v>2.79</v>
      </c>
      <c r="S3351">
        <v>279</v>
      </c>
      <c r="T3351">
        <v>224</v>
      </c>
      <c r="U3351">
        <v>19.71</v>
      </c>
      <c r="V3351" t="str">
        <f>VLOOKUP(L3351,'[2]tabela de preços'!$A:$D,4,0)</f>
        <v>NORTON</v>
      </c>
      <c r="W3351" t="str">
        <f>VLOOKUP(L3351,'[2]tabela de preços'!$A:$F,6,0)</f>
        <v xml:space="preserve">DISCOS / LIXAS / ABRASIVOS </v>
      </c>
      <c r="X3351" t="str">
        <f>VLOOKUP(L3351,'[2]tabela de preços'!$A:$G,7,0)</f>
        <v>AUTOMOTIVO</v>
      </c>
    </row>
    <row r="3352" spans="1:24" x14ac:dyDescent="0.3">
      <c r="A3352" t="s">
        <v>1757</v>
      </c>
      <c r="B3352" t="s">
        <v>1758</v>
      </c>
      <c r="C3352" t="s">
        <v>2952</v>
      </c>
      <c r="D3352" s="1">
        <v>46064</v>
      </c>
      <c r="E3352" t="s">
        <v>2953</v>
      </c>
      <c r="F3352">
        <v>9</v>
      </c>
      <c r="G3352">
        <v>236</v>
      </c>
      <c r="H3352" t="str">
        <f>VLOOKUP(G3352,[1]OPERADORES!$A:$B,2,0)</f>
        <v>DANIEL</v>
      </c>
      <c r="I3352" t="s">
        <v>1761</v>
      </c>
      <c r="J3352" t="s">
        <v>1762</v>
      </c>
      <c r="K3352" t="s">
        <v>1763</v>
      </c>
      <c r="L3352">
        <v>10243</v>
      </c>
      <c r="M3352" t="s">
        <v>83</v>
      </c>
      <c r="O3352" t="s">
        <v>11</v>
      </c>
      <c r="P3352">
        <v>6102</v>
      </c>
      <c r="Q3352">
        <v>100</v>
      </c>
      <c r="R3352">
        <v>2.79</v>
      </c>
      <c r="S3352">
        <v>279</v>
      </c>
      <c r="T3352">
        <v>193</v>
      </c>
      <c r="U3352">
        <v>30.82</v>
      </c>
      <c r="V3352" t="str">
        <f>VLOOKUP(L3352,'[2]tabela de preços'!$A:$D,4,0)</f>
        <v>NORTON</v>
      </c>
      <c r="W3352" t="str">
        <f>VLOOKUP(L3352,'[2]tabela de preços'!$A:$F,6,0)</f>
        <v xml:space="preserve">DISCOS / LIXAS / ABRASIVOS </v>
      </c>
      <c r="X3352" t="str">
        <f>VLOOKUP(L3352,'[2]tabela de preços'!$A:$G,7,0)</f>
        <v>AUTOMOTIVO</v>
      </c>
    </row>
    <row r="3353" spans="1:24" x14ac:dyDescent="0.3">
      <c r="A3353" t="s">
        <v>1757</v>
      </c>
      <c r="B3353" t="s">
        <v>1758</v>
      </c>
      <c r="C3353" t="s">
        <v>2952</v>
      </c>
      <c r="D3353" s="1">
        <v>46064</v>
      </c>
      <c r="E3353" t="s">
        <v>2953</v>
      </c>
      <c r="F3353">
        <v>9</v>
      </c>
      <c r="G3353">
        <v>236</v>
      </c>
      <c r="H3353" t="str">
        <f>VLOOKUP(G3353,[1]OPERADORES!$A:$B,2,0)</f>
        <v>DANIEL</v>
      </c>
      <c r="I3353" t="s">
        <v>1761</v>
      </c>
      <c r="J3353" t="s">
        <v>1762</v>
      </c>
      <c r="K3353" t="s">
        <v>1763</v>
      </c>
      <c r="L3353">
        <v>10244</v>
      </c>
      <c r="M3353" t="s">
        <v>84</v>
      </c>
      <c r="O3353" t="s">
        <v>11</v>
      </c>
      <c r="P3353">
        <v>6102</v>
      </c>
      <c r="Q3353">
        <v>100</v>
      </c>
      <c r="R3353">
        <v>2.79</v>
      </c>
      <c r="S3353">
        <v>279</v>
      </c>
      <c r="T3353">
        <v>193</v>
      </c>
      <c r="U3353">
        <v>30.82</v>
      </c>
      <c r="V3353" t="str">
        <f>VLOOKUP(L3353,'[2]tabela de preços'!$A:$D,4,0)</f>
        <v>NORTON</v>
      </c>
      <c r="W3353" t="str">
        <f>VLOOKUP(L3353,'[2]tabela de preços'!$A:$F,6,0)</f>
        <v xml:space="preserve">DISCOS / LIXAS / ABRASIVOS </v>
      </c>
      <c r="X3353" t="str">
        <f>VLOOKUP(L3353,'[2]tabela de preços'!$A:$G,7,0)</f>
        <v>AUTOMOTIVO</v>
      </c>
    </row>
    <row r="3354" spans="1:24" x14ac:dyDescent="0.3">
      <c r="A3354" t="s">
        <v>1757</v>
      </c>
      <c r="B3354" t="s">
        <v>1758</v>
      </c>
      <c r="C3354" t="s">
        <v>2952</v>
      </c>
      <c r="D3354" s="1">
        <v>46064</v>
      </c>
      <c r="E3354" t="s">
        <v>2953</v>
      </c>
      <c r="F3354">
        <v>9</v>
      </c>
      <c r="G3354">
        <v>236</v>
      </c>
      <c r="H3354" t="str">
        <f>VLOOKUP(G3354,[1]OPERADORES!$A:$B,2,0)</f>
        <v>DANIEL</v>
      </c>
      <c r="I3354" t="s">
        <v>1761</v>
      </c>
      <c r="J3354" t="s">
        <v>1762</v>
      </c>
      <c r="K3354" t="s">
        <v>1763</v>
      </c>
      <c r="L3354">
        <v>20817</v>
      </c>
      <c r="M3354" t="s">
        <v>153</v>
      </c>
      <c r="O3354" t="s">
        <v>11</v>
      </c>
      <c r="P3354">
        <v>6102</v>
      </c>
      <c r="Q3354">
        <v>36</v>
      </c>
      <c r="R3354">
        <v>22.89</v>
      </c>
      <c r="S3354">
        <v>824.04</v>
      </c>
      <c r="T3354">
        <v>670.32</v>
      </c>
      <c r="U3354">
        <v>18.649999999999999</v>
      </c>
      <c r="V3354" t="str">
        <f>VLOOKUP(L3354,'[2]tabela de preços'!$A:$D,4,0)</f>
        <v>AUTO AMERICA</v>
      </c>
      <c r="W3354" t="str">
        <f>VLOOKUP(L3354,'[2]tabela de preços'!$A:$F,6,0)</f>
        <v>MASSA DE POLIR</v>
      </c>
      <c r="X3354" t="str">
        <f>VLOOKUP(L3354,'[2]tabela de preços'!$A:$G,7,0)</f>
        <v>AUTOMOTIVO</v>
      </c>
    </row>
    <row r="3355" spans="1:24" x14ac:dyDescent="0.3">
      <c r="A3355" t="s">
        <v>1757</v>
      </c>
      <c r="B3355" t="s">
        <v>1758</v>
      </c>
      <c r="C3355" t="s">
        <v>2952</v>
      </c>
      <c r="D3355" s="1">
        <v>46064</v>
      </c>
      <c r="E3355" t="s">
        <v>2953</v>
      </c>
      <c r="F3355">
        <v>9</v>
      </c>
      <c r="G3355">
        <v>236</v>
      </c>
      <c r="H3355" t="str">
        <f>VLOOKUP(G3355,[1]OPERADORES!$A:$B,2,0)</f>
        <v>DANIEL</v>
      </c>
      <c r="I3355" t="s">
        <v>1761</v>
      </c>
      <c r="J3355" t="s">
        <v>1762</v>
      </c>
      <c r="K3355" t="s">
        <v>1763</v>
      </c>
      <c r="L3355">
        <v>85164</v>
      </c>
      <c r="M3355" t="s">
        <v>278</v>
      </c>
      <c r="O3355" t="s">
        <v>11</v>
      </c>
      <c r="P3355">
        <v>6102</v>
      </c>
      <c r="Q3355">
        <v>24</v>
      </c>
      <c r="R3355">
        <v>13.29</v>
      </c>
      <c r="S3355">
        <v>318.95999999999998</v>
      </c>
      <c r="T3355">
        <v>242.16</v>
      </c>
      <c r="U3355">
        <v>24.08</v>
      </c>
      <c r="V3355" t="str">
        <f>VLOOKUP(L3355,'[2]tabela de preços'!$A:$D,4,0)</f>
        <v>BRASILUX</v>
      </c>
      <c r="W3355" t="str">
        <f>VLOOKUP(L3355,'[2]tabela de preços'!$A:$F,6,0)</f>
        <v>QUEROSENE</v>
      </c>
      <c r="X3355" t="str">
        <f>VLOOKUP(L3355,'[2]tabela de preços'!$A:$G,7,0)</f>
        <v>AUTOMOTIVO</v>
      </c>
    </row>
    <row r="3356" spans="1:24" x14ac:dyDescent="0.3">
      <c r="A3356" t="s">
        <v>1757</v>
      </c>
      <c r="B3356" t="s">
        <v>1758</v>
      </c>
      <c r="C3356" t="s">
        <v>2952</v>
      </c>
      <c r="D3356" s="1">
        <v>46064</v>
      </c>
      <c r="E3356" t="s">
        <v>2953</v>
      </c>
      <c r="F3356">
        <v>9</v>
      </c>
      <c r="G3356">
        <v>236</v>
      </c>
      <c r="H3356" t="str">
        <f>VLOOKUP(G3356,[1]OPERADORES!$A:$B,2,0)</f>
        <v>DANIEL</v>
      </c>
      <c r="I3356" t="s">
        <v>1761</v>
      </c>
      <c r="J3356" t="s">
        <v>1762</v>
      </c>
      <c r="K3356" t="s">
        <v>1763</v>
      </c>
      <c r="L3356">
        <v>10297</v>
      </c>
      <c r="M3356" t="s">
        <v>41</v>
      </c>
      <c r="O3356" t="s">
        <v>11</v>
      </c>
      <c r="P3356">
        <v>6102</v>
      </c>
      <c r="Q3356">
        <v>240</v>
      </c>
      <c r="R3356">
        <v>10.49</v>
      </c>
      <c r="S3356" s="2">
        <v>2517.6</v>
      </c>
      <c r="T3356" s="2">
        <v>2200.8000000000002</v>
      </c>
      <c r="U3356">
        <v>12.58</v>
      </c>
      <c r="V3356" t="str">
        <f>VLOOKUP(L3356,'[2]tabela de preços'!$A:$D,4,0)</f>
        <v>ANJO</v>
      </c>
      <c r="W3356" t="str">
        <f>VLOOKUP(L3356,'[2]tabela de preços'!$A:$F,6,0)</f>
        <v>THINNER DE LIMPEZA</v>
      </c>
      <c r="X3356" t="str">
        <f>VLOOKUP(L3356,'[2]tabela de preços'!$A:$G,7,0)</f>
        <v>THINNER</v>
      </c>
    </row>
    <row r="3357" spans="1:24" x14ac:dyDescent="0.3">
      <c r="A3357" t="s">
        <v>1757</v>
      </c>
      <c r="B3357" t="s">
        <v>1758</v>
      </c>
      <c r="C3357" t="s">
        <v>2952</v>
      </c>
      <c r="D3357" s="1">
        <v>46064</v>
      </c>
      <c r="E3357" t="s">
        <v>2953</v>
      </c>
      <c r="F3357">
        <v>9</v>
      </c>
      <c r="G3357">
        <v>236</v>
      </c>
      <c r="H3357" t="str">
        <f>VLOOKUP(G3357,[1]OPERADORES!$A:$B,2,0)</f>
        <v>DANIEL</v>
      </c>
      <c r="I3357" t="s">
        <v>1761</v>
      </c>
      <c r="J3357" t="s">
        <v>1762</v>
      </c>
      <c r="K3357" t="s">
        <v>1763</v>
      </c>
      <c r="L3357">
        <v>84460</v>
      </c>
      <c r="M3357" t="s">
        <v>322</v>
      </c>
      <c r="O3357" t="s">
        <v>11</v>
      </c>
      <c r="P3357">
        <v>6102</v>
      </c>
      <c r="Q3357">
        <v>5</v>
      </c>
      <c r="R3357">
        <v>31.07</v>
      </c>
      <c r="S3357">
        <v>155.35</v>
      </c>
      <c r="T3357">
        <v>117.9</v>
      </c>
      <c r="U3357">
        <v>24.11</v>
      </c>
      <c r="V3357" t="str">
        <f>VLOOKUP(L3357,'[2]tabela de preços'!$A:$D,4,0)</f>
        <v>BRASILUX</v>
      </c>
      <c r="W3357" t="str">
        <f>VLOOKUP(L3357,'[2]tabela de preços'!$A:$F,6,0)</f>
        <v>VEDADORES / SELANTES</v>
      </c>
      <c r="X3357" t="str">
        <f>VLOOKUP(L3357,'[2]tabela de preços'!$A:$G,7,0)</f>
        <v>AUTOMOTIVO</v>
      </c>
    </row>
    <row r="3358" spans="1:24" x14ac:dyDescent="0.3">
      <c r="A3358" t="s">
        <v>1757</v>
      </c>
      <c r="B3358" t="s">
        <v>1758</v>
      </c>
      <c r="C3358" t="s">
        <v>2952</v>
      </c>
      <c r="D3358" s="1">
        <v>46064</v>
      </c>
      <c r="E3358" t="s">
        <v>2953</v>
      </c>
      <c r="F3358">
        <v>9</v>
      </c>
      <c r="G3358">
        <v>236</v>
      </c>
      <c r="H3358" t="str">
        <f>VLOOKUP(G3358,[1]OPERADORES!$A:$B,2,0)</f>
        <v>DANIEL</v>
      </c>
      <c r="I3358" t="s">
        <v>1761</v>
      </c>
      <c r="J3358" t="s">
        <v>1762</v>
      </c>
      <c r="K3358" t="s">
        <v>1763</v>
      </c>
      <c r="L3358">
        <v>10403</v>
      </c>
      <c r="M3358" t="s">
        <v>1764</v>
      </c>
      <c r="O3358" t="s">
        <v>11</v>
      </c>
      <c r="P3358">
        <v>6102</v>
      </c>
      <c r="Q3358">
        <v>7</v>
      </c>
      <c r="R3358">
        <v>77.400000000000006</v>
      </c>
      <c r="S3358">
        <v>541.79999999999995</v>
      </c>
      <c r="T3358">
        <v>411.25</v>
      </c>
      <c r="U3358">
        <v>24.1</v>
      </c>
      <c r="V3358" t="str">
        <f>VLOOKUP(L3358,'[2]tabela de preços'!$A:$D,4,0)</f>
        <v>MAXI RUBBER</v>
      </c>
      <c r="W3358" t="str">
        <f>VLOOKUP(L3358,'[2]tabela de preços'!$A:$F,6,0)</f>
        <v>VEDADORES / SELANTES</v>
      </c>
      <c r="X3358" t="str">
        <f>VLOOKUP(L3358,'[2]tabela de preços'!$A:$G,7,0)</f>
        <v>AUTOMOTIVO</v>
      </c>
    </row>
    <row r="3359" spans="1:24" x14ac:dyDescent="0.3">
      <c r="A3359" t="s">
        <v>1757</v>
      </c>
      <c r="B3359" t="s">
        <v>1758</v>
      </c>
      <c r="C3359" t="s">
        <v>3239</v>
      </c>
      <c r="D3359" s="1">
        <v>46065</v>
      </c>
      <c r="E3359" t="s">
        <v>3240</v>
      </c>
      <c r="F3359">
        <v>9</v>
      </c>
      <c r="G3359">
        <v>236</v>
      </c>
      <c r="H3359" t="str">
        <f>VLOOKUP(G3359,[1]OPERADORES!$A:$B,2,0)</f>
        <v>DANIEL</v>
      </c>
      <c r="I3359" t="s">
        <v>1761</v>
      </c>
      <c r="J3359" t="s">
        <v>1762</v>
      </c>
      <c r="K3359" t="s">
        <v>1763</v>
      </c>
      <c r="L3359">
        <v>84216</v>
      </c>
      <c r="M3359" t="s">
        <v>962</v>
      </c>
      <c r="O3359" t="s">
        <v>11</v>
      </c>
      <c r="P3359">
        <v>6403</v>
      </c>
      <c r="Q3359">
        <v>5</v>
      </c>
      <c r="R3359">
        <v>230.6</v>
      </c>
      <c r="S3359" s="2">
        <v>1153</v>
      </c>
      <c r="T3359">
        <v>822.1</v>
      </c>
      <c r="U3359">
        <v>28.7</v>
      </c>
      <c r="V3359" t="str">
        <f>VLOOKUP(L3359,'[2]tabela de preços'!$A:$D,4,0)</f>
        <v>BRASILUX</v>
      </c>
      <c r="W3359" t="str">
        <f>VLOOKUP(L3359,'[2]tabela de preços'!$A:$F,6,0)</f>
        <v>ESMALTES</v>
      </c>
      <c r="X3359" t="str">
        <f>VLOOKUP(L3359,'[2]tabela de preços'!$A:$G,7,0)</f>
        <v>INDUSTRIAL</v>
      </c>
    </row>
    <row r="3360" spans="1:24" x14ac:dyDescent="0.3">
      <c r="A3360" t="s">
        <v>1770</v>
      </c>
      <c r="C3360" t="s">
        <v>2694</v>
      </c>
      <c r="D3360" s="1">
        <v>46057</v>
      </c>
      <c r="E3360" t="s">
        <v>2695</v>
      </c>
      <c r="F3360">
        <v>9</v>
      </c>
      <c r="G3360">
        <v>174</v>
      </c>
      <c r="H3360" t="str">
        <f>VLOOKUP(G3360,[1]OPERADORES!$A:$B,2,0)</f>
        <v>MIRIÃ LOBATO RODRIGUES</v>
      </c>
      <c r="I3360" t="s">
        <v>21</v>
      </c>
      <c r="J3360" t="s">
        <v>211</v>
      </c>
      <c r="K3360" t="s">
        <v>1773</v>
      </c>
      <c r="L3360">
        <v>20231</v>
      </c>
      <c r="M3360" t="s">
        <v>185</v>
      </c>
      <c r="O3360" t="s">
        <v>11</v>
      </c>
      <c r="P3360">
        <v>5405</v>
      </c>
      <c r="Q3360">
        <v>6</v>
      </c>
      <c r="R3360">
        <v>120.25</v>
      </c>
      <c r="S3360">
        <v>721.5</v>
      </c>
      <c r="T3360">
        <v>547.62</v>
      </c>
      <c r="U3360">
        <v>24.1</v>
      </c>
      <c r="V3360" t="str">
        <f>VLOOKUP(L3360,'[2]tabela de preços'!$A:$D,4,0)</f>
        <v>3M</v>
      </c>
      <c r="W3360" t="str">
        <f>VLOOKUP(L3360,'[2]tabela de preços'!$A:$F,6,0)</f>
        <v>PRIMER AUTOMOTIVO</v>
      </c>
      <c r="X3360" t="str">
        <f>VLOOKUP(L3360,'[2]tabela de preços'!$A:$G,7,0)</f>
        <v>AUTOMOTIVO</v>
      </c>
    </row>
    <row r="3361" spans="1:24" x14ac:dyDescent="0.3">
      <c r="A3361" t="s">
        <v>1774</v>
      </c>
      <c r="C3361" t="s">
        <v>2539</v>
      </c>
      <c r="D3361" s="1">
        <v>46056</v>
      </c>
      <c r="E3361" t="s">
        <v>2540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1564</v>
      </c>
      <c r="K3361" t="s">
        <v>1777</v>
      </c>
      <c r="L3361">
        <v>85916</v>
      </c>
      <c r="M3361" t="s">
        <v>2541</v>
      </c>
      <c r="O3361" t="s">
        <v>11</v>
      </c>
      <c r="P3361">
        <v>5403</v>
      </c>
      <c r="Q3361">
        <v>1</v>
      </c>
      <c r="R3361">
        <v>130.19</v>
      </c>
      <c r="S3361">
        <v>130.19</v>
      </c>
      <c r="T3361">
        <v>98.81</v>
      </c>
      <c r="U3361">
        <v>24.1</v>
      </c>
      <c r="V3361" t="str">
        <f>VLOOKUP(L3361,'[2]tabela de preços'!$A:$D,4,0)</f>
        <v>CORAL</v>
      </c>
      <c r="W3361" t="str">
        <f>VLOOKUP(L3361,'[2]tabela de preços'!$A:$F,6,0)</f>
        <v>ESMALTES</v>
      </c>
      <c r="X3361" t="str">
        <f>VLOOKUP(L3361,'[2]tabela de preços'!$A:$G,7,0)</f>
        <v>INDUSTRIAL</v>
      </c>
    </row>
    <row r="3362" spans="1:24" x14ac:dyDescent="0.3">
      <c r="A3362" t="s">
        <v>1774</v>
      </c>
      <c r="C3362" t="s">
        <v>2539</v>
      </c>
      <c r="D3362" s="1">
        <v>46056</v>
      </c>
      <c r="E3362" t="s">
        <v>2540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1564</v>
      </c>
      <c r="K3362" t="s">
        <v>1777</v>
      </c>
      <c r="L3362">
        <v>86230</v>
      </c>
      <c r="M3362" t="s">
        <v>375</v>
      </c>
      <c r="O3362" t="s">
        <v>11</v>
      </c>
      <c r="P3362">
        <v>5403</v>
      </c>
      <c r="Q3362">
        <v>1</v>
      </c>
      <c r="R3362">
        <v>290.88</v>
      </c>
      <c r="S3362">
        <v>290.88</v>
      </c>
      <c r="T3362">
        <v>220.78</v>
      </c>
      <c r="U3362">
        <v>24.1</v>
      </c>
      <c r="V3362" t="str">
        <f>VLOOKUP(L3362,'[2]tabela de preços'!$A:$D,4,0)</f>
        <v>CORAL</v>
      </c>
      <c r="W3362" t="str">
        <f>VLOOKUP(L3362,'[2]tabela de preços'!$A:$F,6,0)</f>
        <v>TINTA PAREDE</v>
      </c>
      <c r="X3362" t="str">
        <f>VLOOKUP(L3362,'[2]tabela de preços'!$A:$G,7,0)</f>
        <v>IMOBILIÁRIO</v>
      </c>
    </row>
    <row r="3363" spans="1:24" x14ac:dyDescent="0.3">
      <c r="A3363" t="s">
        <v>1774</v>
      </c>
      <c r="C3363" t="s">
        <v>2539</v>
      </c>
      <c r="D3363" s="1">
        <v>46056</v>
      </c>
      <c r="E3363" t="s">
        <v>2540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1564</v>
      </c>
      <c r="K3363" t="s">
        <v>1777</v>
      </c>
      <c r="L3363">
        <v>86846</v>
      </c>
      <c r="M3363" t="s">
        <v>1576</v>
      </c>
      <c r="O3363" t="s">
        <v>11</v>
      </c>
      <c r="P3363">
        <v>5403</v>
      </c>
      <c r="Q3363">
        <v>2</v>
      </c>
      <c r="R3363">
        <v>290.88</v>
      </c>
      <c r="S3363">
        <v>581.76</v>
      </c>
      <c r="T3363">
        <v>441.56</v>
      </c>
      <c r="U3363">
        <v>24.1</v>
      </c>
      <c r="V3363" t="str">
        <f>VLOOKUP(L3363,'[2]tabela de preços'!$A:$D,4,0)</f>
        <v>CORAL</v>
      </c>
      <c r="W3363" t="str">
        <f>VLOOKUP(L3363,'[2]tabela de preços'!$A:$F,6,0)</f>
        <v>TINTA PAREDE</v>
      </c>
      <c r="X3363" t="str">
        <f>VLOOKUP(L3363,'[2]tabela de preços'!$A:$G,7,0)</f>
        <v>IMOBILIÁRIO</v>
      </c>
    </row>
    <row r="3364" spans="1:24" x14ac:dyDescent="0.3">
      <c r="A3364" t="s">
        <v>1774</v>
      </c>
      <c r="C3364" t="s">
        <v>2539</v>
      </c>
      <c r="D3364" s="1">
        <v>46056</v>
      </c>
      <c r="E3364" t="s">
        <v>2540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1564</v>
      </c>
      <c r="K3364" t="s">
        <v>1777</v>
      </c>
      <c r="L3364">
        <v>23878</v>
      </c>
      <c r="M3364" t="s">
        <v>851</v>
      </c>
      <c r="O3364" t="s">
        <v>11</v>
      </c>
      <c r="P3364">
        <v>5102</v>
      </c>
      <c r="Q3364">
        <v>2</v>
      </c>
      <c r="R3364">
        <v>9.0500000000000007</v>
      </c>
      <c r="S3364">
        <v>18.100000000000001</v>
      </c>
      <c r="T3364">
        <v>11.68</v>
      </c>
      <c r="U3364">
        <v>35.47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1774</v>
      </c>
      <c r="C3365" t="s">
        <v>2539</v>
      </c>
      <c r="D3365" s="1">
        <v>46056</v>
      </c>
      <c r="E3365" t="s">
        <v>2540</v>
      </c>
      <c r="F3365">
        <v>9</v>
      </c>
      <c r="G3365">
        <v>236</v>
      </c>
      <c r="H3365" t="str">
        <f>VLOOKUP(G3365,[1]OPERADORES!$A:$B,2,0)</f>
        <v>DANIEL</v>
      </c>
      <c r="I3365" t="s">
        <v>21</v>
      </c>
      <c r="J3365" t="s">
        <v>1564</v>
      </c>
      <c r="K3365" t="s">
        <v>1777</v>
      </c>
      <c r="L3365">
        <v>84020</v>
      </c>
      <c r="M3365" t="s">
        <v>518</v>
      </c>
      <c r="O3365" t="s">
        <v>11</v>
      </c>
      <c r="P3365">
        <v>5102</v>
      </c>
      <c r="Q3365">
        <v>20</v>
      </c>
      <c r="R3365">
        <v>1.07</v>
      </c>
      <c r="S3365">
        <v>21.4</v>
      </c>
      <c r="T3365">
        <v>13.8</v>
      </c>
      <c r="U3365">
        <v>35.51</v>
      </c>
      <c r="V3365" t="str">
        <f>VLOOKUP(L3365,'[2]tabela de preços'!$A:$D,4,0)</f>
        <v>3M</v>
      </c>
      <c r="W3365" t="str">
        <f>VLOOKUP(L3365,'[2]tabela de preços'!$A:$F,6,0)</f>
        <v>LIXA MASSA  /MADEIRA / PAREDE</v>
      </c>
      <c r="X3365" t="str">
        <f>VLOOKUP(L3365,'[2]tabela de preços'!$A:$G,7,0)</f>
        <v>IMOBILIÁRIO</v>
      </c>
    </row>
    <row r="3366" spans="1:24" x14ac:dyDescent="0.3">
      <c r="A3366" t="s">
        <v>1774</v>
      </c>
      <c r="C3366" t="s">
        <v>2539</v>
      </c>
      <c r="D3366" s="1">
        <v>46056</v>
      </c>
      <c r="E3366" t="s">
        <v>2540</v>
      </c>
      <c r="F3366">
        <v>9</v>
      </c>
      <c r="G3366">
        <v>236</v>
      </c>
      <c r="H3366" t="str">
        <f>VLOOKUP(G3366,[1]OPERADORES!$A:$B,2,0)</f>
        <v>DANIEL</v>
      </c>
      <c r="I3366" t="s">
        <v>21</v>
      </c>
      <c r="J3366" t="s">
        <v>1564</v>
      </c>
      <c r="K3366" t="s">
        <v>1777</v>
      </c>
      <c r="L3366">
        <v>84021</v>
      </c>
      <c r="M3366" t="s">
        <v>1945</v>
      </c>
      <c r="O3366" t="s">
        <v>11</v>
      </c>
      <c r="P3366">
        <v>5102</v>
      </c>
      <c r="Q3366">
        <v>20</v>
      </c>
      <c r="R3366">
        <v>0.71</v>
      </c>
      <c r="S3366">
        <v>14.2</v>
      </c>
      <c r="T3366">
        <v>9.1999999999999993</v>
      </c>
      <c r="U3366">
        <v>35.21</v>
      </c>
      <c r="V3366" t="str">
        <f>VLOOKUP(L3366,'[2]tabela de preços'!$A:$D,4,0)</f>
        <v>3M</v>
      </c>
      <c r="W3366" t="str">
        <f>VLOOKUP(L3366,'[2]tabela de preços'!$A:$F,6,0)</f>
        <v>LIXA MASSA  /MADEIRA / PAREDE</v>
      </c>
      <c r="X3366" t="str">
        <f>VLOOKUP(L3366,'[2]tabela de preços'!$A:$G,7,0)</f>
        <v>IMOBILIÁRIO</v>
      </c>
    </row>
    <row r="3367" spans="1:24" x14ac:dyDescent="0.3">
      <c r="A3367" t="s">
        <v>1774</v>
      </c>
      <c r="C3367" t="s">
        <v>2539</v>
      </c>
      <c r="D3367" s="1">
        <v>46056</v>
      </c>
      <c r="E3367" t="s">
        <v>2540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1564</v>
      </c>
      <c r="K3367" t="s">
        <v>1777</v>
      </c>
      <c r="L3367">
        <v>85583</v>
      </c>
      <c r="M3367" t="s">
        <v>970</v>
      </c>
      <c r="O3367" t="s">
        <v>11</v>
      </c>
      <c r="P3367">
        <v>5102</v>
      </c>
      <c r="Q3367">
        <v>2</v>
      </c>
      <c r="R3367">
        <v>39.950000000000003</v>
      </c>
      <c r="S3367">
        <v>79.900000000000006</v>
      </c>
      <c r="T3367">
        <v>54.26</v>
      </c>
      <c r="U3367">
        <v>32.090000000000003</v>
      </c>
      <c r="V3367" t="str">
        <f>VLOOKUP(L3367,'[2]tabela de preços'!$A:$D,4,0)</f>
        <v>DÁVILA  INOVE</v>
      </c>
      <c r="W3367" t="str">
        <f>VLOOKUP(L3367,'[2]tabela de preços'!$A:$F,6,0)</f>
        <v>MASSA CORRIDA / ACRÍLICA</v>
      </c>
      <c r="X3367" t="str">
        <f>VLOOKUP(L3367,'[2]tabela de preços'!$A:$G,7,0)</f>
        <v>IMOBILIÁRIO</v>
      </c>
    </row>
    <row r="3368" spans="1:24" x14ac:dyDescent="0.3">
      <c r="A3368" t="s">
        <v>1774</v>
      </c>
      <c r="C3368" t="s">
        <v>2539</v>
      </c>
      <c r="D3368" s="1">
        <v>46056</v>
      </c>
      <c r="E3368" t="s">
        <v>2540</v>
      </c>
      <c r="F3368">
        <v>9</v>
      </c>
      <c r="G3368">
        <v>236</v>
      </c>
      <c r="H3368" t="str">
        <f>VLOOKUP(G3368,[1]OPERADORES!$A:$B,2,0)</f>
        <v>DANIEL</v>
      </c>
      <c r="I3368" t="s">
        <v>21</v>
      </c>
      <c r="J3368" t="s">
        <v>1564</v>
      </c>
      <c r="K3368" t="s">
        <v>1777</v>
      </c>
      <c r="L3368">
        <v>85020</v>
      </c>
      <c r="M3368" t="s">
        <v>1094</v>
      </c>
      <c r="O3368" t="s">
        <v>11</v>
      </c>
      <c r="P3368">
        <v>5102</v>
      </c>
      <c r="Q3368">
        <v>1</v>
      </c>
      <c r="R3368">
        <v>1.26</v>
      </c>
      <c r="S3368">
        <v>1.26</v>
      </c>
      <c r="T3368">
        <v>0.81</v>
      </c>
      <c r="U3368">
        <v>35.71</v>
      </c>
      <c r="V3368" t="str">
        <f>VLOOKUP(L3368,'[2]tabela de preços'!$A:$D,4,0)</f>
        <v>.</v>
      </c>
      <c r="W3368" t="str">
        <f>VLOOKUP(L3368,'[2]tabela de preços'!$A:$F,6,0)</f>
        <v>PALHA DE AÇO</v>
      </c>
      <c r="X3368" t="str">
        <f>VLOOKUP(L3368,'[2]tabela de preços'!$A:$G,7,0)</f>
        <v>IMOBILIÁRIO</v>
      </c>
    </row>
    <row r="3369" spans="1:24" x14ac:dyDescent="0.3">
      <c r="A3369" t="s">
        <v>1774</v>
      </c>
      <c r="C3369" t="s">
        <v>2539</v>
      </c>
      <c r="D3369" s="1">
        <v>46056</v>
      </c>
      <c r="E3369" t="s">
        <v>2540</v>
      </c>
      <c r="F3369">
        <v>9</v>
      </c>
      <c r="G3369">
        <v>236</v>
      </c>
      <c r="H3369" t="str">
        <f>VLOOKUP(G3369,[1]OPERADORES!$A:$B,2,0)</f>
        <v>DANIEL</v>
      </c>
      <c r="I3369" t="s">
        <v>21</v>
      </c>
      <c r="J3369" t="s">
        <v>1564</v>
      </c>
      <c r="K3369" t="s">
        <v>1777</v>
      </c>
      <c r="L3369">
        <v>84426</v>
      </c>
      <c r="M3369" t="s">
        <v>1957</v>
      </c>
      <c r="O3369" t="s">
        <v>11</v>
      </c>
      <c r="P3369">
        <v>5102</v>
      </c>
      <c r="Q3369">
        <v>2</v>
      </c>
      <c r="R3369">
        <v>5.08</v>
      </c>
      <c r="S3369">
        <v>10.16</v>
      </c>
      <c r="T3369">
        <v>6.56</v>
      </c>
      <c r="U3369">
        <v>35.43</v>
      </c>
      <c r="V3369" t="str">
        <f>VLOOKUP(L3369,'[2]tabela de preços'!$A:$D,4,0)</f>
        <v>ATLAS</v>
      </c>
      <c r="W3369" t="str">
        <f>VLOOKUP(L3369,'[2]tabela de preços'!$A:$F,6,0)</f>
        <v>ROLOS / TRINCHAS / PINCÉIS / ESPÁTULAS</v>
      </c>
      <c r="X3369" t="str">
        <f>VLOOKUP(L3369,'[2]tabela de preços'!$A:$G,7,0)</f>
        <v>IMOBILIÁRIO</v>
      </c>
    </row>
    <row r="3370" spans="1:24" x14ac:dyDescent="0.3">
      <c r="A3370" t="s">
        <v>1774</v>
      </c>
      <c r="C3370" t="s">
        <v>2539</v>
      </c>
      <c r="D3370" s="1">
        <v>46056</v>
      </c>
      <c r="E3370" t="s">
        <v>2540</v>
      </c>
      <c r="F3370">
        <v>9</v>
      </c>
      <c r="G3370">
        <v>236</v>
      </c>
      <c r="H3370" t="str">
        <f>VLOOKUP(G3370,[1]OPERADORES!$A:$B,2,0)</f>
        <v>DANIEL</v>
      </c>
      <c r="I3370" t="s">
        <v>21</v>
      </c>
      <c r="J3370" t="s">
        <v>1564</v>
      </c>
      <c r="K3370" t="s">
        <v>1777</v>
      </c>
      <c r="L3370">
        <v>84420</v>
      </c>
      <c r="M3370" t="s">
        <v>353</v>
      </c>
      <c r="O3370" t="s">
        <v>11</v>
      </c>
      <c r="P3370">
        <v>5102</v>
      </c>
      <c r="Q3370">
        <v>2</v>
      </c>
      <c r="R3370">
        <v>21.06</v>
      </c>
      <c r="S3370">
        <v>42.12</v>
      </c>
      <c r="T3370">
        <v>30.88</v>
      </c>
      <c r="U3370">
        <v>26.69</v>
      </c>
      <c r="V3370" t="str">
        <f>VLOOKUP(L3370,'[2]tabela de preços'!$A:$D,4,0)</f>
        <v>ATLAS</v>
      </c>
      <c r="W3370" t="str">
        <f>VLOOKUP(L3370,'[2]tabela de preços'!$A:$F,6,0)</f>
        <v>ROLOS / TRINCHAS / PINCÉIS / ESPÁTULAS</v>
      </c>
      <c r="X3370" t="str">
        <f>VLOOKUP(L3370,'[2]tabela de preços'!$A:$G,7,0)</f>
        <v>IMOBILIÁRIO</v>
      </c>
    </row>
    <row r="3371" spans="1:24" x14ac:dyDescent="0.3">
      <c r="A3371" t="s">
        <v>1774</v>
      </c>
      <c r="C3371" t="s">
        <v>2539</v>
      </c>
      <c r="D3371" s="1">
        <v>46056</v>
      </c>
      <c r="E3371" t="s">
        <v>2540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1564</v>
      </c>
      <c r="K3371" t="s">
        <v>1777</v>
      </c>
      <c r="L3371">
        <v>10298</v>
      </c>
      <c r="M3371" t="s">
        <v>85</v>
      </c>
      <c r="O3371" t="s">
        <v>11</v>
      </c>
      <c r="P3371">
        <v>5102</v>
      </c>
      <c r="Q3371">
        <v>1</v>
      </c>
      <c r="R3371">
        <v>56.89</v>
      </c>
      <c r="S3371">
        <v>56.89</v>
      </c>
      <c r="T3371">
        <v>47.38</v>
      </c>
      <c r="U3371">
        <v>16.72</v>
      </c>
      <c r="V3371" t="str">
        <f>VLOOKUP(L3371,'[2]tabela de preços'!$A:$D,4,0)</f>
        <v>ANJO</v>
      </c>
      <c r="W3371" t="str">
        <f>VLOOKUP(L3371,'[2]tabela de preços'!$A:$F,6,0)</f>
        <v>THINNER DE LIMPEZA</v>
      </c>
      <c r="X3371" t="str">
        <f>VLOOKUP(L3371,'[2]tabela de preços'!$A:$G,7,0)</f>
        <v>THINNER</v>
      </c>
    </row>
    <row r="3372" spans="1:24" x14ac:dyDescent="0.3">
      <c r="A3372" t="s">
        <v>1774</v>
      </c>
      <c r="C3372" t="s">
        <v>2539</v>
      </c>
      <c r="D3372" s="1">
        <v>46056</v>
      </c>
      <c r="E3372" t="s">
        <v>2540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1564</v>
      </c>
      <c r="K3372" t="s">
        <v>1777</v>
      </c>
      <c r="L3372">
        <v>10118</v>
      </c>
      <c r="M3372" t="s">
        <v>572</v>
      </c>
      <c r="O3372" t="s">
        <v>11</v>
      </c>
      <c r="P3372">
        <v>5102</v>
      </c>
      <c r="Q3372">
        <v>5</v>
      </c>
      <c r="R3372">
        <v>5.2</v>
      </c>
      <c r="S3372">
        <v>26</v>
      </c>
      <c r="T3372">
        <v>19.05</v>
      </c>
      <c r="U3372">
        <v>26.73</v>
      </c>
      <c r="V3372" t="str">
        <f>VLOOKUP(L3372,'[2]tabela de preços'!$A:$D,4,0)</f>
        <v>ATLAS</v>
      </c>
      <c r="W3372" t="str">
        <f>VLOOKUP(L3372,'[2]tabela de preços'!$A:$F,6,0)</f>
        <v>ROLOS / TRINCHAS / PINCÉIS / ESPÁTULAS</v>
      </c>
      <c r="X3372" t="str">
        <f>VLOOKUP(L3372,'[2]tabela de preços'!$A:$G,7,0)</f>
        <v>IMOBILIÁRIO</v>
      </c>
    </row>
    <row r="3373" spans="1:24" x14ac:dyDescent="0.3">
      <c r="A3373" t="s">
        <v>1774</v>
      </c>
      <c r="C3373" t="s">
        <v>2696</v>
      </c>
      <c r="D3373" s="1">
        <v>46057</v>
      </c>
      <c r="E3373" t="s">
        <v>2697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1564</v>
      </c>
      <c r="K3373" t="s">
        <v>1777</v>
      </c>
      <c r="L3373">
        <v>84293</v>
      </c>
      <c r="M3373" t="s">
        <v>2077</v>
      </c>
      <c r="O3373" t="s">
        <v>11</v>
      </c>
      <c r="P3373">
        <v>5403</v>
      </c>
      <c r="Q3373">
        <v>1</v>
      </c>
      <c r="R3373">
        <v>98.76</v>
      </c>
      <c r="S3373">
        <v>98.76</v>
      </c>
      <c r="T3373">
        <v>63.71</v>
      </c>
      <c r="U3373">
        <v>35.49</v>
      </c>
      <c r="V3373" t="str">
        <f>VLOOKUP(L3373,'[2]tabela de preços'!$A:$D,4,0)</f>
        <v>BRASILUX</v>
      </c>
      <c r="W3373" t="str">
        <f>VLOOKUP(L3373,'[2]tabela de preços'!$A:$F,6,0)</f>
        <v>TINTA PAREDE</v>
      </c>
      <c r="X3373" t="str">
        <f>VLOOKUP(L3373,'[2]tabela de preços'!$A:$G,7,0)</f>
        <v>IMOBILIÁRIO</v>
      </c>
    </row>
    <row r="3374" spans="1:24" x14ac:dyDescent="0.3">
      <c r="A3374" t="s">
        <v>1774</v>
      </c>
      <c r="C3374" t="s">
        <v>2696</v>
      </c>
      <c r="D3374" s="1">
        <v>46057</v>
      </c>
      <c r="E3374" t="s">
        <v>2697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1564</v>
      </c>
      <c r="K3374" t="s">
        <v>1777</v>
      </c>
      <c r="L3374">
        <v>85169</v>
      </c>
      <c r="M3374" t="s">
        <v>2698</v>
      </c>
      <c r="O3374" t="s">
        <v>11</v>
      </c>
      <c r="P3374">
        <v>5403</v>
      </c>
      <c r="Q3374">
        <v>1</v>
      </c>
      <c r="R3374">
        <v>58.17</v>
      </c>
      <c r="S3374">
        <v>58.17</v>
      </c>
      <c r="T3374">
        <v>37.53</v>
      </c>
      <c r="U3374">
        <v>35.479999999999997</v>
      </c>
      <c r="V3374" t="str">
        <f>VLOOKUP(L3374,'[2]tabela de preços'!$A:$D,4,0)</f>
        <v>BRASILUX</v>
      </c>
      <c r="W3374" t="str">
        <f>VLOOKUP(L3374,'[2]tabela de preços'!$A:$F,6,0)</f>
        <v>TINTA PAREDE</v>
      </c>
      <c r="X3374" t="str">
        <f>VLOOKUP(L3374,'[2]tabela de preços'!$A:$G,7,0)</f>
        <v>IMOBILIÁRIO</v>
      </c>
    </row>
    <row r="3375" spans="1:24" x14ac:dyDescent="0.3">
      <c r="A3375" t="s">
        <v>1774</v>
      </c>
      <c r="C3375" t="s">
        <v>2696</v>
      </c>
      <c r="D3375" s="1">
        <v>46057</v>
      </c>
      <c r="E3375" t="s">
        <v>2697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1564</v>
      </c>
      <c r="K3375" t="s">
        <v>1777</v>
      </c>
      <c r="L3375">
        <v>85650</v>
      </c>
      <c r="M3375" t="s">
        <v>439</v>
      </c>
      <c r="O3375" t="s">
        <v>11</v>
      </c>
      <c r="P3375">
        <v>5403</v>
      </c>
      <c r="Q3375">
        <v>1</v>
      </c>
      <c r="R3375">
        <v>10.73</v>
      </c>
      <c r="S3375">
        <v>10.73</v>
      </c>
      <c r="T3375">
        <v>6.92</v>
      </c>
      <c r="U3375">
        <v>35.51</v>
      </c>
      <c r="V3375" t="str">
        <f>VLOOKUP(L3375,'[2]tabela de preços'!$A:$D,4,0)</f>
        <v>UNIPEGA</v>
      </c>
      <c r="W3375" t="str">
        <f>VLOOKUP(L3375,'[2]tabela de preços'!$A:$F,6,0)</f>
        <v xml:space="preserve">SPRAYS </v>
      </c>
      <c r="X3375" t="str">
        <f>VLOOKUP(L3375,'[2]tabela de preços'!$A:$G,7,0)</f>
        <v>AUTOMOTIVO</v>
      </c>
    </row>
    <row r="3376" spans="1:24" x14ac:dyDescent="0.3">
      <c r="A3376" t="s">
        <v>1774</v>
      </c>
      <c r="C3376" t="s">
        <v>3241</v>
      </c>
      <c r="D3376" s="1">
        <v>46072</v>
      </c>
      <c r="E3376" t="s">
        <v>3242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1564</v>
      </c>
      <c r="K3376" t="s">
        <v>1777</v>
      </c>
      <c r="L3376">
        <v>86230</v>
      </c>
      <c r="M3376" t="s">
        <v>375</v>
      </c>
      <c r="O3376" t="s">
        <v>11</v>
      </c>
      <c r="P3376">
        <v>5403</v>
      </c>
      <c r="Q3376">
        <v>4</v>
      </c>
      <c r="R3376">
        <v>290.88</v>
      </c>
      <c r="S3376" s="2">
        <v>1163.52</v>
      </c>
      <c r="T3376">
        <v>883.12</v>
      </c>
      <c r="U3376">
        <v>24.1</v>
      </c>
      <c r="V3376" t="str">
        <f>VLOOKUP(L3376,'[2]tabela de preços'!$A:$D,4,0)</f>
        <v>CORAL</v>
      </c>
      <c r="W3376" t="str">
        <f>VLOOKUP(L3376,'[2]tabela de preços'!$A:$F,6,0)</f>
        <v>TINTA PAREDE</v>
      </c>
      <c r="X3376" t="str">
        <f>VLOOKUP(L3376,'[2]tabela de preços'!$A:$G,7,0)</f>
        <v>IMOBILIÁRIO</v>
      </c>
    </row>
    <row r="3377" spans="1:24" x14ac:dyDescent="0.3">
      <c r="A3377" t="s">
        <v>1774</v>
      </c>
      <c r="C3377" t="s">
        <v>3241</v>
      </c>
      <c r="D3377" s="1">
        <v>46072</v>
      </c>
      <c r="E3377" t="s">
        <v>3242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1564</v>
      </c>
      <c r="K3377" t="s">
        <v>1777</v>
      </c>
      <c r="L3377">
        <v>85617</v>
      </c>
      <c r="M3377" t="s">
        <v>3243</v>
      </c>
      <c r="O3377" t="s">
        <v>11</v>
      </c>
      <c r="P3377">
        <v>5102</v>
      </c>
      <c r="Q3377">
        <v>10</v>
      </c>
      <c r="R3377">
        <v>7.32</v>
      </c>
      <c r="S3377">
        <v>73.2</v>
      </c>
      <c r="T3377">
        <v>53.7</v>
      </c>
      <c r="U3377">
        <v>26.64</v>
      </c>
      <c r="V3377" t="str">
        <f>VLOOKUP(L3377,'[2]tabela de preços'!$A:$D,4,0)</f>
        <v>ADERE</v>
      </c>
      <c r="W3377" t="str">
        <f>VLOOKUP(L3377,'[2]tabela de preços'!$A:$F,6,0)</f>
        <v xml:space="preserve">FITA DE USO GERAL </v>
      </c>
      <c r="X3377" t="str">
        <f>VLOOKUP(L3377,'[2]tabela de preços'!$A:$G,7,0)</f>
        <v>IMOBILIÁRIO</v>
      </c>
    </row>
    <row r="3378" spans="1:24" x14ac:dyDescent="0.3">
      <c r="A3378" t="s">
        <v>1774</v>
      </c>
      <c r="C3378" t="s">
        <v>3241</v>
      </c>
      <c r="D3378" s="1">
        <v>46072</v>
      </c>
      <c r="E3378" t="s">
        <v>3242</v>
      </c>
      <c r="F3378">
        <v>9</v>
      </c>
      <c r="G3378">
        <v>236</v>
      </c>
      <c r="H3378" t="str">
        <f>VLOOKUP(G3378,[1]OPERADORES!$A:$B,2,0)</f>
        <v>DANIEL</v>
      </c>
      <c r="I3378" t="s">
        <v>21</v>
      </c>
      <c r="J3378" t="s">
        <v>1564</v>
      </c>
      <c r="K3378" t="s">
        <v>1777</v>
      </c>
      <c r="L3378">
        <v>85618</v>
      </c>
      <c r="M3378" t="s">
        <v>3244</v>
      </c>
      <c r="O3378" t="s">
        <v>11</v>
      </c>
      <c r="P3378">
        <v>5102</v>
      </c>
      <c r="Q3378">
        <v>20</v>
      </c>
      <c r="R3378">
        <v>13.75</v>
      </c>
      <c r="S3378">
        <v>275</v>
      </c>
      <c r="T3378">
        <v>201.6</v>
      </c>
      <c r="U3378">
        <v>26.69</v>
      </c>
      <c r="V3378" t="str">
        <f>VLOOKUP(L3378,'[2]tabela de preços'!$A:$D,4,0)</f>
        <v>ADERE</v>
      </c>
      <c r="W3378" t="str">
        <f>VLOOKUP(L3378,'[2]tabela de preços'!$A:$F,6,0)</f>
        <v xml:space="preserve">FITA DE USO GERAL </v>
      </c>
      <c r="X3378" t="str">
        <f>VLOOKUP(L3378,'[2]tabela de preços'!$A:$G,7,0)</f>
        <v>IMOBILIÁRIO</v>
      </c>
    </row>
    <row r="3379" spans="1:24" x14ac:dyDescent="0.3">
      <c r="A3379" t="s">
        <v>1790</v>
      </c>
      <c r="C3379" t="s">
        <v>2954</v>
      </c>
      <c r="D3379" s="1">
        <v>46064</v>
      </c>
      <c r="E3379" t="s">
        <v>2955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1761</v>
      </c>
      <c r="J3379" t="s">
        <v>1793</v>
      </c>
      <c r="K3379" t="s">
        <v>1794</v>
      </c>
      <c r="L3379">
        <v>86889</v>
      </c>
      <c r="M3379" t="s">
        <v>2956</v>
      </c>
      <c r="O3379" t="s">
        <v>11</v>
      </c>
      <c r="P3379">
        <v>6102</v>
      </c>
      <c r="Q3379">
        <v>10</v>
      </c>
      <c r="R3379">
        <v>37.9</v>
      </c>
      <c r="S3379">
        <v>379</v>
      </c>
      <c r="T3379">
        <v>306.3</v>
      </c>
      <c r="U3379">
        <v>19.18</v>
      </c>
      <c r="V3379" t="str">
        <f>VLOOKUP(L3379,'[2]tabela de preços'!$A:$D,4,0)</f>
        <v>VEDACIT</v>
      </c>
      <c r="W3379" t="str">
        <f>VLOOKUP(L3379,'[2]tabela de preços'!$A:$F,6,0)</f>
        <v>IMPERMEABILIZANTES</v>
      </c>
      <c r="X3379" t="str">
        <f>VLOOKUP(L3379,'[2]tabela de preços'!$A:$G,7,0)</f>
        <v>IMOBILIÁRIO</v>
      </c>
    </row>
    <row r="3380" spans="1:24" x14ac:dyDescent="0.3">
      <c r="A3380" t="s">
        <v>1790</v>
      </c>
      <c r="C3380" t="s">
        <v>2954</v>
      </c>
      <c r="D3380" s="1">
        <v>46064</v>
      </c>
      <c r="E3380" t="s">
        <v>2955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1761</v>
      </c>
      <c r="J3380" t="s">
        <v>1793</v>
      </c>
      <c r="K3380" t="s">
        <v>1794</v>
      </c>
      <c r="L3380">
        <v>85164</v>
      </c>
      <c r="M3380" t="s">
        <v>278</v>
      </c>
      <c r="O3380" t="s">
        <v>11</v>
      </c>
      <c r="P3380">
        <v>6102</v>
      </c>
      <c r="Q3380">
        <v>12</v>
      </c>
      <c r="R3380">
        <v>13.29</v>
      </c>
      <c r="S3380">
        <v>159.47999999999999</v>
      </c>
      <c r="T3380">
        <v>121.08</v>
      </c>
      <c r="U3380">
        <v>24.08</v>
      </c>
      <c r="V3380" t="str">
        <f>VLOOKUP(L3380,'[2]tabela de preços'!$A:$D,4,0)</f>
        <v>BRASILUX</v>
      </c>
      <c r="W3380" t="str">
        <f>VLOOKUP(L3380,'[2]tabela de preços'!$A:$F,6,0)</f>
        <v>QUEROSENE</v>
      </c>
      <c r="X3380" t="str">
        <f>VLOOKUP(L3380,'[2]tabela de preços'!$A:$G,7,0)</f>
        <v>AUTOMOTIVO</v>
      </c>
    </row>
    <row r="3381" spans="1:24" x14ac:dyDescent="0.3">
      <c r="A3381" t="s">
        <v>2957</v>
      </c>
      <c r="C3381" t="s">
        <v>2958</v>
      </c>
      <c r="D3381" s="1">
        <v>46063</v>
      </c>
      <c r="E3381" t="s">
        <v>2959</v>
      </c>
      <c r="F3381">
        <v>9</v>
      </c>
      <c r="G3381">
        <v>230</v>
      </c>
      <c r="H3381" t="str">
        <f>VLOOKUP(G3381,[1]OPERADORES!$A:$B,2,0)</f>
        <v>SÔNIA</v>
      </c>
      <c r="I3381" t="s">
        <v>21</v>
      </c>
      <c r="J3381" t="s">
        <v>904</v>
      </c>
      <c r="K3381" t="s">
        <v>2960</v>
      </c>
      <c r="L3381">
        <v>84560</v>
      </c>
      <c r="M3381" t="s">
        <v>118</v>
      </c>
      <c r="O3381" t="s">
        <v>11</v>
      </c>
      <c r="P3381">
        <v>5102</v>
      </c>
      <c r="Q3381">
        <v>2</v>
      </c>
      <c r="R3381">
        <v>47.89</v>
      </c>
      <c r="S3381">
        <v>95.78</v>
      </c>
      <c r="T3381">
        <v>78.319999999999993</v>
      </c>
      <c r="U3381">
        <v>18.23</v>
      </c>
      <c r="V3381" t="str">
        <f>VLOOKUP(L3381,'[2]tabela de preços'!$A:$D,4,0)</f>
        <v>BRASILUX</v>
      </c>
      <c r="W3381" t="str">
        <f>VLOOKUP(L3381,'[2]tabela de preços'!$A:$F,6,0)</f>
        <v>THINNER DE LIMPEZA</v>
      </c>
      <c r="X3381" t="str">
        <f>VLOOKUP(L3381,'[2]tabela de preços'!$A:$G,7,0)</f>
        <v>THINNER</v>
      </c>
    </row>
    <row r="3382" spans="1:24" x14ac:dyDescent="0.3">
      <c r="A3382" t="s">
        <v>2790</v>
      </c>
      <c r="C3382" t="s">
        <v>2791</v>
      </c>
      <c r="D3382" s="1">
        <v>46059</v>
      </c>
      <c r="E3382" t="s">
        <v>2792</v>
      </c>
      <c r="F3382">
        <v>9</v>
      </c>
      <c r="G3382">
        <v>145</v>
      </c>
      <c r="H3382" t="str">
        <f>VLOOKUP(G3382,[1]OPERADORES!$A:$B,2,0)</f>
        <v xml:space="preserve">FABRICIA </v>
      </c>
      <c r="I3382" t="s">
        <v>21</v>
      </c>
      <c r="J3382" t="s">
        <v>750</v>
      </c>
      <c r="K3382" t="s">
        <v>2793</v>
      </c>
      <c r="L3382">
        <v>20431</v>
      </c>
      <c r="M3382" t="s">
        <v>202</v>
      </c>
      <c r="O3382" t="s">
        <v>11</v>
      </c>
      <c r="P3382">
        <v>5403</v>
      </c>
      <c r="Q3382">
        <v>1</v>
      </c>
      <c r="R3382">
        <v>36.89</v>
      </c>
      <c r="S3382">
        <v>36.89</v>
      </c>
      <c r="T3382">
        <v>30.26</v>
      </c>
      <c r="U3382">
        <v>17.97</v>
      </c>
      <c r="V3382" t="str">
        <f>VLOOKUP(L3382,'[2]tabela de preços'!$A:$D,4,0)</f>
        <v>SHERWIN WILLIAMS</v>
      </c>
      <c r="W3382" t="str">
        <f>VLOOKUP(L3382,'[2]tabela de preços'!$A:$F,6,0)</f>
        <v>VERNIZ AUTOMOTIVO</v>
      </c>
      <c r="X3382" t="str">
        <f>VLOOKUP(L3382,'[2]tabela de preços'!$A:$G,7,0)</f>
        <v>AUTOMOTIVO</v>
      </c>
    </row>
    <row r="3383" spans="1:24" x14ac:dyDescent="0.3">
      <c r="A3383" t="s">
        <v>2790</v>
      </c>
      <c r="C3383" t="s">
        <v>2791</v>
      </c>
      <c r="D3383" s="1">
        <v>46059</v>
      </c>
      <c r="E3383" t="s">
        <v>2792</v>
      </c>
      <c r="F3383">
        <v>9</v>
      </c>
      <c r="G3383">
        <v>145</v>
      </c>
      <c r="H3383" t="str">
        <f>VLOOKUP(G3383,[1]OPERADORES!$A:$B,2,0)</f>
        <v xml:space="preserve">FABRICIA </v>
      </c>
      <c r="I3383" t="s">
        <v>21</v>
      </c>
      <c r="J3383" t="s">
        <v>750</v>
      </c>
      <c r="K3383" t="s">
        <v>2793</v>
      </c>
      <c r="L3383">
        <v>21037</v>
      </c>
      <c r="M3383" t="s">
        <v>108</v>
      </c>
      <c r="O3383" t="s">
        <v>11</v>
      </c>
      <c r="P3383">
        <v>5102</v>
      </c>
      <c r="Q3383">
        <v>1</v>
      </c>
      <c r="R3383">
        <v>17.03</v>
      </c>
      <c r="S3383">
        <v>17.03</v>
      </c>
      <c r="T3383">
        <v>12.92</v>
      </c>
      <c r="U3383">
        <v>24.13</v>
      </c>
      <c r="V3383" t="str">
        <f>VLOOKUP(L3383,'[2]tabela de preços'!$A:$D,4,0)</f>
        <v>SHERWIN WILLIAMS</v>
      </c>
      <c r="W3383" t="str">
        <f>VLOOKUP(L3383,'[2]tabela de preços'!$A:$F,6,0)</f>
        <v>CATALISADORES INDIVIDUAS</v>
      </c>
      <c r="X3383" t="str">
        <f>VLOOKUP(L3383,'[2]tabela de preços'!$A:$G,7,0)</f>
        <v>AUTOMOTIVO</v>
      </c>
    </row>
    <row r="3384" spans="1:24" x14ac:dyDescent="0.3">
      <c r="A3384" t="s">
        <v>2790</v>
      </c>
      <c r="C3384" t="s">
        <v>2791</v>
      </c>
      <c r="D3384" s="1">
        <v>46059</v>
      </c>
      <c r="E3384" t="s">
        <v>2792</v>
      </c>
      <c r="F3384">
        <v>9</v>
      </c>
      <c r="G3384">
        <v>145</v>
      </c>
      <c r="H3384" t="str">
        <f>VLOOKUP(G3384,[1]OPERADORES!$A:$B,2,0)</f>
        <v xml:space="preserve">FABRICIA </v>
      </c>
      <c r="I3384" t="s">
        <v>21</v>
      </c>
      <c r="J3384" t="s">
        <v>750</v>
      </c>
      <c r="K3384" t="s">
        <v>2793</v>
      </c>
      <c r="L3384">
        <v>87109</v>
      </c>
      <c r="M3384" t="s">
        <v>2201</v>
      </c>
      <c r="O3384" t="s">
        <v>11</v>
      </c>
      <c r="P3384">
        <v>5102</v>
      </c>
      <c r="Q3384">
        <v>1</v>
      </c>
      <c r="R3384">
        <v>41.35</v>
      </c>
      <c r="S3384">
        <v>41.35</v>
      </c>
      <c r="T3384">
        <v>31.39</v>
      </c>
      <c r="U3384">
        <v>24.09</v>
      </c>
      <c r="V3384" t="str">
        <f>VLOOKUP(L3384,'[2]tabela de preços'!$A:$D,4,0)</f>
        <v>SHERWIN WILLIAMS</v>
      </c>
      <c r="W3384" t="str">
        <f>VLOOKUP(L3384,'[2]tabela de preços'!$A:$F,6,0)</f>
        <v>TINTAS PU</v>
      </c>
      <c r="X3384" t="str">
        <f>VLOOKUP(L3384,'[2]tabela de preços'!$A:$G,7,0)</f>
        <v>AUTOMOTIVO</v>
      </c>
    </row>
    <row r="3385" spans="1:24" x14ac:dyDescent="0.3">
      <c r="A3385" t="s">
        <v>2790</v>
      </c>
      <c r="C3385" t="s">
        <v>2794</v>
      </c>
      <c r="D3385" s="1">
        <v>46059</v>
      </c>
      <c r="E3385" t="s">
        <v>2795</v>
      </c>
      <c r="F3385">
        <v>9</v>
      </c>
      <c r="G3385">
        <v>231</v>
      </c>
      <c r="H3385" t="str">
        <f>VLOOKUP(G3385,[1]OPERADORES!$A:$B,2,0)</f>
        <v>EDIJANE</v>
      </c>
      <c r="I3385" t="s">
        <v>21</v>
      </c>
      <c r="J3385" t="s">
        <v>750</v>
      </c>
      <c r="K3385" t="s">
        <v>2793</v>
      </c>
      <c r="L3385">
        <v>84557</v>
      </c>
      <c r="M3385" t="s">
        <v>116</v>
      </c>
      <c r="O3385" t="s">
        <v>11</v>
      </c>
      <c r="P3385">
        <v>5102</v>
      </c>
      <c r="Q3385">
        <v>1</v>
      </c>
      <c r="R3385">
        <v>17.489999999999998</v>
      </c>
      <c r="S3385">
        <v>17.489999999999998</v>
      </c>
      <c r="T3385">
        <v>13.96</v>
      </c>
      <c r="U3385">
        <v>20.18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2790</v>
      </c>
      <c r="C3386" t="s">
        <v>2794</v>
      </c>
      <c r="D3386" s="1">
        <v>46059</v>
      </c>
      <c r="E3386" t="s">
        <v>2795</v>
      </c>
      <c r="F3386">
        <v>9</v>
      </c>
      <c r="G3386">
        <v>231</v>
      </c>
      <c r="H3386" t="str">
        <f>VLOOKUP(G3386,[1]OPERADORES!$A:$B,2,0)</f>
        <v>EDIJANE</v>
      </c>
      <c r="I3386" t="s">
        <v>21</v>
      </c>
      <c r="J3386" t="s">
        <v>750</v>
      </c>
      <c r="K3386" t="s">
        <v>2793</v>
      </c>
      <c r="L3386">
        <v>24248</v>
      </c>
      <c r="M3386" t="s">
        <v>107</v>
      </c>
      <c r="O3386" t="s">
        <v>11</v>
      </c>
      <c r="P3386">
        <v>5102</v>
      </c>
      <c r="Q3386">
        <v>1</v>
      </c>
      <c r="R3386">
        <v>8</v>
      </c>
      <c r="S3386">
        <v>8</v>
      </c>
      <c r="T3386">
        <v>6.5</v>
      </c>
      <c r="U3386">
        <v>18.75</v>
      </c>
      <c r="V3386" t="str">
        <f>VLOOKUP(L3386,'[2]tabela de preços'!$A:$D,4,0)</f>
        <v>SHERWIN WILLIAMS</v>
      </c>
      <c r="W3386" t="str">
        <f>VLOOKUP(L3386,'[2]tabela de preços'!$A:$F,6,0)</f>
        <v>PRIMER AUTOMOTIVO</v>
      </c>
      <c r="X3386" t="str">
        <f>VLOOKUP(L3386,'[2]tabela de preços'!$A:$G,7,0)</f>
        <v>AUTOMOTIVO</v>
      </c>
    </row>
    <row r="3387" spans="1:24" x14ac:dyDescent="0.3">
      <c r="A3387" t="s">
        <v>2790</v>
      </c>
      <c r="C3387" t="s">
        <v>2794</v>
      </c>
      <c r="D3387" s="1">
        <v>46059</v>
      </c>
      <c r="E3387" t="s">
        <v>2795</v>
      </c>
      <c r="F3387">
        <v>9</v>
      </c>
      <c r="G3387">
        <v>231</v>
      </c>
      <c r="H3387" t="str">
        <f>VLOOKUP(G3387,[1]OPERADORES!$A:$B,2,0)</f>
        <v>EDIJANE</v>
      </c>
      <c r="I3387" t="s">
        <v>21</v>
      </c>
      <c r="J3387" t="s">
        <v>750</v>
      </c>
      <c r="K3387" t="s">
        <v>2793</v>
      </c>
      <c r="L3387">
        <v>22684</v>
      </c>
      <c r="M3387" t="s">
        <v>73</v>
      </c>
      <c r="O3387" t="s">
        <v>11</v>
      </c>
      <c r="P3387">
        <v>5102</v>
      </c>
      <c r="Q3387">
        <v>1</v>
      </c>
      <c r="R3387">
        <v>3.65</v>
      </c>
      <c r="S3387">
        <v>3.65</v>
      </c>
      <c r="T3387">
        <v>3.08</v>
      </c>
      <c r="U3387">
        <v>15.62</v>
      </c>
      <c r="V3387" t="str">
        <f>VLOOKUP(L3387,'[2]tabela de preços'!$A:$D,4,0)</f>
        <v>3M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2790</v>
      </c>
      <c r="C3388" t="s">
        <v>2794</v>
      </c>
      <c r="D3388" s="1">
        <v>46059</v>
      </c>
      <c r="E3388" t="s">
        <v>2795</v>
      </c>
      <c r="F3388">
        <v>9</v>
      </c>
      <c r="G3388">
        <v>231</v>
      </c>
      <c r="H3388" t="str">
        <f>VLOOKUP(G3388,[1]OPERADORES!$A:$B,2,0)</f>
        <v>EDIJANE</v>
      </c>
      <c r="I3388" t="s">
        <v>21</v>
      </c>
      <c r="J3388" t="s">
        <v>750</v>
      </c>
      <c r="K3388" t="s">
        <v>2793</v>
      </c>
      <c r="L3388">
        <v>23425</v>
      </c>
      <c r="M3388" t="s">
        <v>2544</v>
      </c>
      <c r="O3388" t="s">
        <v>11</v>
      </c>
      <c r="P3388">
        <v>5102</v>
      </c>
      <c r="Q3388">
        <v>1</v>
      </c>
      <c r="R3388">
        <v>17.760000000000002</v>
      </c>
      <c r="S3388">
        <v>17.760000000000002</v>
      </c>
      <c r="T3388">
        <v>13.48</v>
      </c>
      <c r="U3388">
        <v>24.1</v>
      </c>
      <c r="V3388" t="str">
        <f>VLOOKUP(L3388,'[2]tabela de preços'!$A:$D,4,0)</f>
        <v>NORTON</v>
      </c>
      <c r="W3388" t="str">
        <f>VLOOKUP(L3388,'[2]tabela de preços'!$A:$F,6,0)</f>
        <v xml:space="preserve">OUTROS DISCOS </v>
      </c>
      <c r="X3388" t="str">
        <f>VLOOKUP(L3388,'[2]tabela de preços'!$A:$G,7,0)</f>
        <v>AUTOMOTIVO</v>
      </c>
    </row>
    <row r="3389" spans="1:24" x14ac:dyDescent="0.3">
      <c r="A3389" t="s">
        <v>2790</v>
      </c>
      <c r="C3389" t="s">
        <v>2794</v>
      </c>
      <c r="D3389" s="1">
        <v>46059</v>
      </c>
      <c r="E3389" t="s">
        <v>2795</v>
      </c>
      <c r="F3389">
        <v>9</v>
      </c>
      <c r="G3389">
        <v>231</v>
      </c>
      <c r="H3389" t="str">
        <f>VLOOKUP(G3389,[1]OPERADORES!$A:$B,2,0)</f>
        <v>EDIJANE</v>
      </c>
      <c r="I3389" t="s">
        <v>21</v>
      </c>
      <c r="J3389" t="s">
        <v>750</v>
      </c>
      <c r="K3389" t="s">
        <v>2793</v>
      </c>
      <c r="L3389">
        <v>23385</v>
      </c>
      <c r="M3389" t="s">
        <v>638</v>
      </c>
      <c r="O3389" t="s">
        <v>11</v>
      </c>
      <c r="P3389">
        <v>5403</v>
      </c>
      <c r="Q3389">
        <v>1</v>
      </c>
      <c r="R3389">
        <v>60.78</v>
      </c>
      <c r="S3389">
        <v>60.78</v>
      </c>
      <c r="T3389">
        <v>39.21</v>
      </c>
      <c r="U3389">
        <v>35.49</v>
      </c>
      <c r="V3389" t="str">
        <f>VLOOKUP(L3389,'[2]tabela de preços'!$A:$D,4,0)</f>
        <v>WANDA</v>
      </c>
      <c r="W3389" t="str">
        <f>VLOOKUP(L3389,'[2]tabela de preços'!$A:$F,6,0)</f>
        <v>TINTAS PU</v>
      </c>
      <c r="X3389" t="str">
        <f>VLOOKUP(L3389,'[2]tabela de preços'!$A:$G,7,0)</f>
        <v>AUTOMOTIVO</v>
      </c>
    </row>
    <row r="3390" spans="1:24" x14ac:dyDescent="0.3">
      <c r="A3390" t="s">
        <v>2790</v>
      </c>
      <c r="C3390" t="s">
        <v>2794</v>
      </c>
      <c r="D3390" s="1">
        <v>46059</v>
      </c>
      <c r="E3390" t="s">
        <v>2795</v>
      </c>
      <c r="F3390">
        <v>9</v>
      </c>
      <c r="G3390">
        <v>231</v>
      </c>
      <c r="H3390" t="str">
        <f>VLOOKUP(G3390,[1]OPERADORES!$A:$B,2,0)</f>
        <v>EDIJANE</v>
      </c>
      <c r="I3390" t="s">
        <v>21</v>
      </c>
      <c r="J3390" t="s">
        <v>750</v>
      </c>
      <c r="K3390" t="s">
        <v>2793</v>
      </c>
      <c r="L3390">
        <v>23100</v>
      </c>
      <c r="M3390" t="s">
        <v>99</v>
      </c>
      <c r="O3390" t="s">
        <v>11</v>
      </c>
      <c r="P3390">
        <v>5102</v>
      </c>
      <c r="Q3390">
        <v>3</v>
      </c>
      <c r="R3390">
        <v>2.35</v>
      </c>
      <c r="S3390">
        <v>7.05</v>
      </c>
      <c r="T3390">
        <v>5.07</v>
      </c>
      <c r="U3390">
        <v>28.09</v>
      </c>
      <c r="V3390" t="str">
        <f>VLOOKUP(L3390,'[2]tabela de preços'!$A:$D,4,0)</f>
        <v>3M</v>
      </c>
      <c r="W3390" t="str">
        <f>VLOOKUP(L3390,'[2]tabela de preços'!$A:$F,6,0)</f>
        <v xml:space="preserve">DISCOS / LIXAS / ABRASIVOS </v>
      </c>
      <c r="X3390" t="str">
        <f>VLOOKUP(L3390,'[2]tabela de preços'!$A:$G,7,0)</f>
        <v>AUTOMOTIVO</v>
      </c>
    </row>
    <row r="3391" spans="1:24" x14ac:dyDescent="0.3">
      <c r="A3391" t="s">
        <v>2790</v>
      </c>
      <c r="C3391" t="s">
        <v>2794</v>
      </c>
      <c r="D3391" s="1">
        <v>46059</v>
      </c>
      <c r="E3391" t="s">
        <v>2795</v>
      </c>
      <c r="F3391">
        <v>9</v>
      </c>
      <c r="G3391">
        <v>231</v>
      </c>
      <c r="H3391" t="str">
        <f>VLOOKUP(G3391,[1]OPERADORES!$A:$B,2,0)</f>
        <v>EDIJANE</v>
      </c>
      <c r="I3391" t="s">
        <v>21</v>
      </c>
      <c r="J3391" t="s">
        <v>750</v>
      </c>
      <c r="K3391" t="s">
        <v>2793</v>
      </c>
      <c r="L3391">
        <v>23096</v>
      </c>
      <c r="M3391" t="s">
        <v>656</v>
      </c>
      <c r="O3391" t="s">
        <v>411</v>
      </c>
      <c r="P3391">
        <v>5102</v>
      </c>
      <c r="Q3391">
        <v>3</v>
      </c>
      <c r="R3391">
        <v>2.35</v>
      </c>
      <c r="S3391">
        <v>7.05</v>
      </c>
      <c r="T3391">
        <v>5.07</v>
      </c>
      <c r="U3391">
        <v>28.09</v>
      </c>
      <c r="V3391" t="str">
        <f>VLOOKUP(L3391,'[2]tabela de preços'!$A:$D,4,0)</f>
        <v>3M</v>
      </c>
      <c r="W3391" t="str">
        <f>VLOOKUP(L3391,'[2]tabela de preços'!$A:$F,6,0)</f>
        <v xml:space="preserve">DISCOS / LIXAS / ABRASIVOS </v>
      </c>
      <c r="X3391" t="str">
        <f>VLOOKUP(L3391,'[2]tabela de preços'!$A:$G,7,0)</f>
        <v>AUTOMOTIVO</v>
      </c>
    </row>
    <row r="3392" spans="1:24" x14ac:dyDescent="0.3">
      <c r="A3392" t="s">
        <v>2790</v>
      </c>
      <c r="C3392" t="s">
        <v>2794</v>
      </c>
      <c r="D3392" s="1">
        <v>46059</v>
      </c>
      <c r="E3392" t="s">
        <v>2795</v>
      </c>
      <c r="F3392">
        <v>9</v>
      </c>
      <c r="G3392">
        <v>231</v>
      </c>
      <c r="H3392" t="str">
        <f>VLOOKUP(G3392,[1]OPERADORES!$A:$B,2,0)</f>
        <v>EDIJANE</v>
      </c>
      <c r="I3392" t="s">
        <v>21</v>
      </c>
      <c r="J3392" t="s">
        <v>750</v>
      </c>
      <c r="K3392" t="s">
        <v>2793</v>
      </c>
      <c r="L3392">
        <v>23097</v>
      </c>
      <c r="M3392" t="s">
        <v>412</v>
      </c>
      <c r="O3392" t="s">
        <v>411</v>
      </c>
      <c r="P3392">
        <v>5102</v>
      </c>
      <c r="Q3392">
        <v>2</v>
      </c>
      <c r="R3392">
        <v>2.35</v>
      </c>
      <c r="S3392">
        <v>4.7</v>
      </c>
      <c r="T3392">
        <v>2.72</v>
      </c>
      <c r="U3392">
        <v>42.13</v>
      </c>
      <c r="V3392" t="str">
        <f>VLOOKUP(L3392,'[2]tabela de preços'!$A:$D,4,0)</f>
        <v>3M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2790</v>
      </c>
      <c r="C3393" t="s">
        <v>2794</v>
      </c>
      <c r="D3393" s="1">
        <v>46059</v>
      </c>
      <c r="E3393" t="s">
        <v>2795</v>
      </c>
      <c r="F3393">
        <v>9</v>
      </c>
      <c r="G3393">
        <v>231</v>
      </c>
      <c r="H3393" t="str">
        <f>VLOOKUP(G3393,[1]OPERADORES!$A:$B,2,0)</f>
        <v>EDIJANE</v>
      </c>
      <c r="I3393" t="s">
        <v>21</v>
      </c>
      <c r="J3393" t="s">
        <v>750</v>
      </c>
      <c r="K3393" t="s">
        <v>2793</v>
      </c>
      <c r="L3393">
        <v>23267</v>
      </c>
      <c r="M3393" t="s">
        <v>164</v>
      </c>
      <c r="O3393" t="s">
        <v>11</v>
      </c>
      <c r="P3393">
        <v>5102</v>
      </c>
      <c r="Q3393">
        <v>1</v>
      </c>
      <c r="R3393">
        <v>22.89</v>
      </c>
      <c r="S3393">
        <v>22.89</v>
      </c>
      <c r="T3393">
        <v>19.54</v>
      </c>
      <c r="U3393">
        <v>14.64</v>
      </c>
      <c r="V3393" t="str">
        <f>VLOOKUP(L3393,'[2]tabela de preços'!$A:$D,4,0)</f>
        <v>ANJO</v>
      </c>
      <c r="W3393" t="str">
        <f>VLOOKUP(L3393,'[2]tabela de preços'!$A:$F,6,0)</f>
        <v>MASSA POLIÉSTER</v>
      </c>
      <c r="X3393" t="str">
        <f>VLOOKUP(L3393,'[2]tabela de preços'!$A:$G,7,0)</f>
        <v>AUTOMOTIVO</v>
      </c>
    </row>
    <row r="3394" spans="1:24" x14ac:dyDescent="0.3">
      <c r="A3394" t="s">
        <v>2790</v>
      </c>
      <c r="C3394" t="s">
        <v>2794</v>
      </c>
      <c r="D3394" s="1">
        <v>46059</v>
      </c>
      <c r="E3394" t="s">
        <v>2795</v>
      </c>
      <c r="F3394">
        <v>9</v>
      </c>
      <c r="G3394">
        <v>231</v>
      </c>
      <c r="H3394" t="str">
        <f>VLOOKUP(G3394,[1]OPERADORES!$A:$B,2,0)</f>
        <v>EDIJANE</v>
      </c>
      <c r="I3394" t="s">
        <v>21</v>
      </c>
      <c r="J3394" t="s">
        <v>750</v>
      </c>
      <c r="K3394" t="s">
        <v>2793</v>
      </c>
      <c r="L3394">
        <v>24247</v>
      </c>
      <c r="M3394" t="s">
        <v>160</v>
      </c>
      <c r="O3394" t="s">
        <v>11</v>
      </c>
      <c r="P3394">
        <v>5403</v>
      </c>
      <c r="Q3394">
        <v>1</v>
      </c>
      <c r="R3394">
        <v>21</v>
      </c>
      <c r="S3394">
        <v>21</v>
      </c>
      <c r="T3394">
        <v>16.87</v>
      </c>
      <c r="U3394">
        <v>19.670000000000002</v>
      </c>
      <c r="V3394" t="str">
        <f>VLOOKUP(L3394,'[2]tabela de preços'!$A:$D,4,0)</f>
        <v>SHERWIN WILLIAMS</v>
      </c>
      <c r="W3394" t="str">
        <f>VLOOKUP(L3394,'[2]tabela de preços'!$A:$F,6,0)</f>
        <v>PRIMER AUTOMOTIVO</v>
      </c>
      <c r="X3394" t="str">
        <f>VLOOKUP(L3394,'[2]tabela de preços'!$A:$G,7,0)</f>
        <v>AUTOMOTIVO</v>
      </c>
    </row>
    <row r="3395" spans="1:24" x14ac:dyDescent="0.3">
      <c r="A3395" t="s">
        <v>2699</v>
      </c>
      <c r="C3395" t="s">
        <v>2475</v>
      </c>
      <c r="D3395" s="1">
        <v>46056</v>
      </c>
      <c r="E3395" t="s">
        <v>2476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21</v>
      </c>
      <c r="J3395" t="s">
        <v>587</v>
      </c>
      <c r="K3395" t="s">
        <v>2477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2699</v>
      </c>
      <c r="C3396" t="s">
        <v>2475</v>
      </c>
      <c r="D3396" s="1">
        <v>46056</v>
      </c>
      <c r="E3396" t="s">
        <v>2476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21</v>
      </c>
      <c r="J3396" t="s">
        <v>587</v>
      </c>
      <c r="K3396" t="s">
        <v>2477</v>
      </c>
      <c r="L3396">
        <v>10230</v>
      </c>
      <c r="M3396" t="s">
        <v>193</v>
      </c>
      <c r="O3396" t="s">
        <v>11</v>
      </c>
      <c r="P3396">
        <v>5102</v>
      </c>
      <c r="Q3396">
        <v>102</v>
      </c>
      <c r="R3396">
        <v>2.79</v>
      </c>
      <c r="S3396">
        <v>284.58</v>
      </c>
      <c r="T3396">
        <v>236.64</v>
      </c>
      <c r="U3396">
        <v>16.850000000000001</v>
      </c>
      <c r="V3396" t="str">
        <f>VLOOKUP(L3396,'[2]tabela de preços'!$A:$D,4,0)</f>
        <v>NORTON</v>
      </c>
      <c r="W3396" t="str">
        <f>VLOOKUP(L3396,'[2]tabela de preços'!$A:$F,6,0)</f>
        <v xml:space="preserve">DISCOS / LIXAS / ABRASIVOS </v>
      </c>
      <c r="X3396" t="str">
        <f>VLOOKUP(L3396,'[2]tabela de preços'!$A:$G,7,0)</f>
        <v>AUTOMOTIVO</v>
      </c>
    </row>
    <row r="3397" spans="1:24" x14ac:dyDescent="0.3">
      <c r="A3397" t="s">
        <v>2699</v>
      </c>
      <c r="C3397" t="s">
        <v>2475</v>
      </c>
      <c r="D3397" s="1">
        <v>46056</v>
      </c>
      <c r="E3397" t="s">
        <v>2476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21</v>
      </c>
      <c r="J3397" t="s">
        <v>587</v>
      </c>
      <c r="K3397" t="s">
        <v>2477</v>
      </c>
      <c r="L3397">
        <v>10232</v>
      </c>
      <c r="M3397" t="s">
        <v>134</v>
      </c>
      <c r="O3397" t="s">
        <v>11</v>
      </c>
      <c r="P3397">
        <v>5102</v>
      </c>
      <c r="Q3397">
        <v>102</v>
      </c>
      <c r="R3397">
        <v>2.79</v>
      </c>
      <c r="S3397">
        <v>284.58</v>
      </c>
      <c r="T3397">
        <v>229.5</v>
      </c>
      <c r="U3397">
        <v>19.350000000000001</v>
      </c>
      <c r="V3397" t="str">
        <f>VLOOKUP(L3397,'[2]tabela de preços'!$A:$D,4,0)</f>
        <v>NORTON</v>
      </c>
      <c r="W3397" t="str">
        <f>VLOOKUP(L3397,'[2]tabela de preços'!$A:$F,6,0)</f>
        <v xml:space="preserve">DISCOS / LIXAS / ABRASIVOS </v>
      </c>
      <c r="X3397" t="str">
        <f>VLOOKUP(L3397,'[2]tabela de preços'!$A:$G,7,0)</f>
        <v>AUTOMOTIVO</v>
      </c>
    </row>
    <row r="3398" spans="1:24" x14ac:dyDescent="0.3">
      <c r="A3398" t="s">
        <v>2699</v>
      </c>
      <c r="C3398" t="s">
        <v>2475</v>
      </c>
      <c r="D3398" s="1">
        <v>46056</v>
      </c>
      <c r="E3398" t="s">
        <v>2476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21</v>
      </c>
      <c r="J3398" t="s">
        <v>587</v>
      </c>
      <c r="K3398" t="s">
        <v>2477</v>
      </c>
      <c r="L3398">
        <v>20135</v>
      </c>
      <c r="M3398" t="s">
        <v>459</v>
      </c>
      <c r="O3398" t="s">
        <v>11</v>
      </c>
      <c r="P3398">
        <v>5102</v>
      </c>
      <c r="Q3398">
        <v>10</v>
      </c>
      <c r="R3398">
        <v>25.37</v>
      </c>
      <c r="S3398">
        <v>253.7</v>
      </c>
      <c r="T3398">
        <v>192.6</v>
      </c>
      <c r="U3398">
        <v>24.08</v>
      </c>
      <c r="V3398" t="str">
        <f>VLOOKUP(L3398,'[2]tabela de preços'!$A:$D,4,0)</f>
        <v>3M</v>
      </c>
      <c r="W3398" t="str">
        <f>VLOOKUP(L3398,'[2]tabela de preços'!$A:$F,6,0)</f>
        <v>DISCO TRIZACT</v>
      </c>
      <c r="X3398" t="str">
        <f>VLOOKUP(L3398,'[2]tabela de preços'!$A:$G,7,0)</f>
        <v>AUTOMOTIVO</v>
      </c>
    </row>
    <row r="3399" spans="1:24" x14ac:dyDescent="0.3">
      <c r="A3399" t="s">
        <v>2699</v>
      </c>
      <c r="C3399" t="s">
        <v>2475</v>
      </c>
      <c r="D3399" s="1">
        <v>46056</v>
      </c>
      <c r="E3399" t="s">
        <v>2476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21</v>
      </c>
      <c r="J3399" t="s">
        <v>587</v>
      </c>
      <c r="K3399" t="s">
        <v>2477</v>
      </c>
      <c r="L3399">
        <v>20245</v>
      </c>
      <c r="M3399" t="s">
        <v>146</v>
      </c>
      <c r="O3399" t="s">
        <v>11</v>
      </c>
      <c r="P3399">
        <v>5102</v>
      </c>
      <c r="Q3399">
        <v>50</v>
      </c>
      <c r="R3399">
        <v>1.82</v>
      </c>
      <c r="S3399">
        <v>91</v>
      </c>
      <c r="T3399">
        <v>67.5</v>
      </c>
      <c r="U3399">
        <v>25.82</v>
      </c>
      <c r="V3399" t="str">
        <f>VLOOKUP(L3399,'[2]tabela de preços'!$A:$D,4,0)</f>
        <v>ATLAS</v>
      </c>
      <c r="W3399" t="str">
        <f>VLOOKUP(L3399,'[2]tabela de preços'!$A:$F,6,0)</f>
        <v>APLICADORES / ADAPTADORES / ENGATES / SUPORTES</v>
      </c>
      <c r="X3399" t="str">
        <f>VLOOKUP(L3399,'[2]tabela de preços'!$A:$G,7,0)</f>
        <v>AUTOMOTIVO</v>
      </c>
    </row>
    <row r="3400" spans="1:24" x14ac:dyDescent="0.3">
      <c r="A3400" t="s">
        <v>2699</v>
      </c>
      <c r="C3400" t="s">
        <v>2475</v>
      </c>
      <c r="D3400" s="1">
        <v>46056</v>
      </c>
      <c r="E3400" t="s">
        <v>2476</v>
      </c>
      <c r="F3400">
        <v>9</v>
      </c>
      <c r="G3400">
        <v>174</v>
      </c>
      <c r="H3400" t="str">
        <f>VLOOKUP(G3400,[1]OPERADORES!$A:$B,2,0)</f>
        <v>MIRIÃ LOBATO RODRIGUES</v>
      </c>
      <c r="I3400" t="s">
        <v>21</v>
      </c>
      <c r="J3400" t="s">
        <v>587</v>
      </c>
      <c r="K3400" t="s">
        <v>2477</v>
      </c>
      <c r="L3400">
        <v>20431</v>
      </c>
      <c r="M3400" t="s">
        <v>202</v>
      </c>
      <c r="O3400" t="s">
        <v>11</v>
      </c>
      <c r="P3400">
        <v>5403</v>
      </c>
      <c r="Q3400">
        <v>36</v>
      </c>
      <c r="R3400">
        <v>36.89</v>
      </c>
      <c r="S3400" s="2">
        <v>1328.04</v>
      </c>
      <c r="T3400" s="2">
        <v>1089.3599999999999</v>
      </c>
      <c r="U3400">
        <v>17.97</v>
      </c>
      <c r="V3400" t="str">
        <f>VLOOKUP(L3400,'[2]tabela de preços'!$A:$D,4,0)</f>
        <v>SHERWIN WILLIAMS</v>
      </c>
      <c r="W3400" t="str">
        <f>VLOOKUP(L3400,'[2]tabela de preços'!$A:$F,6,0)</f>
        <v>VERNIZ AUTOMOTIVO</v>
      </c>
      <c r="X3400" t="str">
        <f>VLOOKUP(L3400,'[2]tabela de preços'!$A:$G,7,0)</f>
        <v>AUTOMOTIVO</v>
      </c>
    </row>
    <row r="3401" spans="1:24" x14ac:dyDescent="0.3">
      <c r="A3401" t="s">
        <v>2699</v>
      </c>
      <c r="C3401" t="s">
        <v>2475</v>
      </c>
      <c r="D3401" s="1">
        <v>46056</v>
      </c>
      <c r="E3401" t="s">
        <v>2476</v>
      </c>
      <c r="F3401">
        <v>9</v>
      </c>
      <c r="G3401">
        <v>174</v>
      </c>
      <c r="H3401" t="str">
        <f>VLOOKUP(G3401,[1]OPERADORES!$A:$B,2,0)</f>
        <v>MIRIÃ LOBATO RODRIGUES</v>
      </c>
      <c r="I3401" t="s">
        <v>21</v>
      </c>
      <c r="J3401" t="s">
        <v>587</v>
      </c>
      <c r="K3401" t="s">
        <v>2477</v>
      </c>
      <c r="L3401">
        <v>13</v>
      </c>
      <c r="M3401" t="s">
        <v>152</v>
      </c>
      <c r="O3401" t="s">
        <v>11</v>
      </c>
      <c r="P3401">
        <v>5102</v>
      </c>
      <c r="Q3401">
        <v>50</v>
      </c>
      <c r="R3401">
        <v>5.79</v>
      </c>
      <c r="S3401">
        <v>289.5</v>
      </c>
      <c r="T3401">
        <v>208</v>
      </c>
      <c r="U3401">
        <v>28.15</v>
      </c>
      <c r="V3401" t="str">
        <f>VLOOKUP(L3401,'[2]tabela de preços'!$A:$D,4,0)</f>
        <v>3M</v>
      </c>
      <c r="W3401" t="str">
        <f>VLOOKUP(L3401,'[2]tabela de preços'!$A:$F,6,0)</f>
        <v>LIXA DÁGUA</v>
      </c>
      <c r="X3401" t="str">
        <f>VLOOKUP(L3401,'[2]tabela de preços'!$A:$G,7,0)</f>
        <v>AUTOMOTIVO</v>
      </c>
    </row>
    <row r="3402" spans="1:24" x14ac:dyDescent="0.3">
      <c r="A3402" t="s">
        <v>2699</v>
      </c>
      <c r="C3402" t="s">
        <v>2475</v>
      </c>
      <c r="D3402" s="1">
        <v>46056</v>
      </c>
      <c r="E3402" t="s">
        <v>2476</v>
      </c>
      <c r="F3402">
        <v>9</v>
      </c>
      <c r="G3402">
        <v>174</v>
      </c>
      <c r="H3402" t="str">
        <f>VLOOKUP(G3402,[1]OPERADORES!$A:$B,2,0)</f>
        <v>MIRIÃ LOBATO RODRIGUES</v>
      </c>
      <c r="I3402" t="s">
        <v>21</v>
      </c>
      <c r="J3402" t="s">
        <v>587</v>
      </c>
      <c r="K3402" t="s">
        <v>2477</v>
      </c>
      <c r="L3402">
        <v>15</v>
      </c>
      <c r="M3402" t="s">
        <v>205</v>
      </c>
      <c r="O3402" t="s">
        <v>11</v>
      </c>
      <c r="P3402">
        <v>5102</v>
      </c>
      <c r="Q3402">
        <v>50</v>
      </c>
      <c r="R3402">
        <v>5.79</v>
      </c>
      <c r="S3402">
        <v>289.5</v>
      </c>
      <c r="T3402">
        <v>208</v>
      </c>
      <c r="U3402">
        <v>28.15</v>
      </c>
      <c r="V3402" t="str">
        <f>VLOOKUP(L3402,'[2]tabela de preços'!$A:$D,4,0)</f>
        <v>3M</v>
      </c>
      <c r="W3402" t="str">
        <f>VLOOKUP(L3402,'[2]tabela de preços'!$A:$F,6,0)</f>
        <v>LIXA DÁGUA</v>
      </c>
      <c r="X3402" t="str">
        <f>VLOOKUP(L3402,'[2]tabela de preços'!$A:$G,7,0)</f>
        <v>AUTOMOTIVO</v>
      </c>
    </row>
    <row r="3403" spans="1:24" x14ac:dyDescent="0.3">
      <c r="A3403" t="s">
        <v>2699</v>
      </c>
      <c r="C3403" t="s">
        <v>2475</v>
      </c>
      <c r="D3403" s="1">
        <v>46056</v>
      </c>
      <c r="E3403" t="s">
        <v>2476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587</v>
      </c>
      <c r="K3403" t="s">
        <v>2477</v>
      </c>
      <c r="L3403">
        <v>10238</v>
      </c>
      <c r="M3403" t="s">
        <v>79</v>
      </c>
      <c r="O3403" t="s">
        <v>11</v>
      </c>
      <c r="P3403">
        <v>5102</v>
      </c>
      <c r="Q3403">
        <v>50</v>
      </c>
      <c r="R3403">
        <v>2.79</v>
      </c>
      <c r="S3403">
        <v>139.5</v>
      </c>
      <c r="T3403">
        <v>112</v>
      </c>
      <c r="U3403">
        <v>19.71</v>
      </c>
      <c r="V3403" t="str">
        <f>VLOOKUP(L3403,'[2]tabela de preços'!$A:$D,4,0)</f>
        <v>NORTON</v>
      </c>
      <c r="W3403" t="str">
        <f>VLOOKUP(L3403,'[2]tabela de preços'!$A:$F,6,0)</f>
        <v xml:space="preserve">DISCOS / LIXAS / ABRASIVOS </v>
      </c>
      <c r="X3403" t="str">
        <f>VLOOKUP(L3403,'[2]tabela de preços'!$A:$G,7,0)</f>
        <v>AUTOMOTIVO</v>
      </c>
    </row>
    <row r="3404" spans="1:24" x14ac:dyDescent="0.3">
      <c r="A3404" t="s">
        <v>2699</v>
      </c>
      <c r="C3404" t="s">
        <v>2475</v>
      </c>
      <c r="D3404" s="1">
        <v>46056</v>
      </c>
      <c r="E3404" t="s">
        <v>2476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587</v>
      </c>
      <c r="K3404" t="s">
        <v>2477</v>
      </c>
      <c r="L3404">
        <v>10243</v>
      </c>
      <c r="M3404" t="s">
        <v>83</v>
      </c>
      <c r="O3404" t="s">
        <v>11</v>
      </c>
      <c r="P3404">
        <v>5102</v>
      </c>
      <c r="Q3404">
        <v>50</v>
      </c>
      <c r="R3404">
        <v>2.79</v>
      </c>
      <c r="S3404">
        <v>139.5</v>
      </c>
      <c r="T3404">
        <v>96.5</v>
      </c>
      <c r="U3404">
        <v>30.82</v>
      </c>
      <c r="V3404" t="str">
        <f>VLOOKUP(L3404,'[2]tabela de preços'!$A:$D,4,0)</f>
        <v>NORTON</v>
      </c>
      <c r="W3404" t="str">
        <f>VLOOKUP(L3404,'[2]tabela de preços'!$A:$F,6,0)</f>
        <v xml:space="preserve">DISCOS / LIXAS / ABRASIVOS </v>
      </c>
      <c r="X3404" t="str">
        <f>VLOOKUP(L3404,'[2]tabela de preços'!$A:$G,7,0)</f>
        <v>AUTOMOTIVO</v>
      </c>
    </row>
    <row r="3405" spans="1:24" x14ac:dyDescent="0.3">
      <c r="A3405" t="s">
        <v>2699</v>
      </c>
      <c r="C3405" t="s">
        <v>2475</v>
      </c>
      <c r="D3405" s="1">
        <v>46056</v>
      </c>
      <c r="E3405" t="s">
        <v>2476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587</v>
      </c>
      <c r="K3405" t="s">
        <v>2477</v>
      </c>
      <c r="L3405">
        <v>10298</v>
      </c>
      <c r="M3405" t="s">
        <v>85</v>
      </c>
      <c r="O3405" t="s">
        <v>11</v>
      </c>
      <c r="P3405">
        <v>5102</v>
      </c>
      <c r="Q3405">
        <v>20</v>
      </c>
      <c r="R3405">
        <v>54.9</v>
      </c>
      <c r="S3405" s="2">
        <v>1098</v>
      </c>
      <c r="T3405">
        <v>947.6</v>
      </c>
      <c r="U3405">
        <v>13.7</v>
      </c>
      <c r="V3405" t="str">
        <f>VLOOKUP(L3405,'[2]tabela de preços'!$A:$D,4,0)</f>
        <v>ANJO</v>
      </c>
      <c r="W3405" t="str">
        <f>VLOOKUP(L3405,'[2]tabela de preços'!$A:$F,6,0)</f>
        <v>THINNER DE LIMPEZA</v>
      </c>
      <c r="X3405" t="str">
        <f>VLOOKUP(L3405,'[2]tabela de preços'!$A:$G,7,0)</f>
        <v>THINNER</v>
      </c>
    </row>
    <row r="3406" spans="1:24" x14ac:dyDescent="0.3">
      <c r="A3406" t="s">
        <v>2699</v>
      </c>
      <c r="C3406" t="s">
        <v>2700</v>
      </c>
      <c r="D3406" s="1">
        <v>46057</v>
      </c>
      <c r="E3406" t="s">
        <v>2701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587</v>
      </c>
      <c r="K3406" t="s">
        <v>2477</v>
      </c>
      <c r="L3406">
        <v>24248</v>
      </c>
      <c r="M3406" t="s">
        <v>107</v>
      </c>
      <c r="O3406" t="s">
        <v>11</v>
      </c>
      <c r="P3406">
        <v>5102</v>
      </c>
      <c r="Q3406">
        <v>36</v>
      </c>
      <c r="R3406">
        <v>8</v>
      </c>
      <c r="S3406">
        <v>288</v>
      </c>
      <c r="T3406">
        <v>234</v>
      </c>
      <c r="U3406">
        <v>18.75</v>
      </c>
      <c r="V3406" t="str">
        <f>VLOOKUP(L3406,'[2]tabela de preços'!$A:$D,4,0)</f>
        <v>SHERWIN WILLIAMS</v>
      </c>
      <c r="W3406" t="str">
        <f>VLOOKUP(L3406,'[2]tabela de preços'!$A:$F,6,0)</f>
        <v>PRIMER AUTOMOTIVO</v>
      </c>
      <c r="X3406" t="str">
        <f>VLOOKUP(L3406,'[2]tabela de preços'!$A:$G,7,0)</f>
        <v>AUTOMOTIVO</v>
      </c>
    </row>
    <row r="3407" spans="1:24" x14ac:dyDescent="0.3">
      <c r="A3407" t="s">
        <v>2699</v>
      </c>
      <c r="C3407" t="s">
        <v>2700</v>
      </c>
      <c r="D3407" s="1">
        <v>46057</v>
      </c>
      <c r="E3407" t="s">
        <v>2701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587</v>
      </c>
      <c r="K3407" t="s">
        <v>2477</v>
      </c>
      <c r="L3407">
        <v>22684</v>
      </c>
      <c r="M3407" t="s">
        <v>73</v>
      </c>
      <c r="O3407" t="s">
        <v>11</v>
      </c>
      <c r="P3407">
        <v>5102</v>
      </c>
      <c r="Q3407">
        <v>80</v>
      </c>
      <c r="R3407">
        <v>3.65</v>
      </c>
      <c r="S3407">
        <v>292</v>
      </c>
      <c r="T3407">
        <v>246.4</v>
      </c>
      <c r="U3407">
        <v>15.62</v>
      </c>
      <c r="V3407" t="str">
        <f>VLOOKUP(L3407,'[2]tabela de preços'!$A:$D,4,0)</f>
        <v>3M</v>
      </c>
      <c r="W3407" t="str">
        <f>VLOOKUP(L3407,'[2]tabela de preços'!$A:$F,6,0)</f>
        <v>FITA AUTOMOTIVA</v>
      </c>
      <c r="X3407" t="str">
        <f>VLOOKUP(L3407,'[2]tabela de preços'!$A:$G,7,0)</f>
        <v>AUTOMOTIVO</v>
      </c>
    </row>
    <row r="3408" spans="1:24" x14ac:dyDescent="0.3">
      <c r="A3408" t="s">
        <v>2699</v>
      </c>
      <c r="C3408" t="s">
        <v>2700</v>
      </c>
      <c r="D3408" s="1">
        <v>46057</v>
      </c>
      <c r="E3408" t="s">
        <v>2701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587</v>
      </c>
      <c r="K3408" t="s">
        <v>2477</v>
      </c>
      <c r="L3408">
        <v>20817</v>
      </c>
      <c r="M3408" t="s">
        <v>153</v>
      </c>
      <c r="O3408" t="s">
        <v>11</v>
      </c>
      <c r="P3408">
        <v>5102</v>
      </c>
      <c r="Q3408">
        <v>12</v>
      </c>
      <c r="R3408">
        <v>22.89</v>
      </c>
      <c r="S3408">
        <v>274.68</v>
      </c>
      <c r="T3408">
        <v>223.44</v>
      </c>
      <c r="U3408">
        <v>18.649999999999999</v>
      </c>
      <c r="V3408" t="str">
        <f>VLOOKUP(L3408,'[2]tabela de preços'!$A:$D,4,0)</f>
        <v>AUTO AMERICA</v>
      </c>
      <c r="W3408" t="str">
        <f>VLOOKUP(L3408,'[2]tabela de preços'!$A:$F,6,0)</f>
        <v>MASSA DE POLIR</v>
      </c>
      <c r="X3408" t="str">
        <f>VLOOKUP(L3408,'[2]tabela de preços'!$A:$G,7,0)</f>
        <v>AUTOMOTIVO</v>
      </c>
    </row>
    <row r="3409" spans="1:24" x14ac:dyDescent="0.3">
      <c r="A3409" t="s">
        <v>2699</v>
      </c>
      <c r="C3409" t="s">
        <v>2700</v>
      </c>
      <c r="D3409" s="1">
        <v>46057</v>
      </c>
      <c r="E3409" t="s">
        <v>2701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587</v>
      </c>
      <c r="K3409" t="s">
        <v>2477</v>
      </c>
      <c r="L3409">
        <v>24247</v>
      </c>
      <c r="M3409" t="s">
        <v>160</v>
      </c>
      <c r="O3409" t="s">
        <v>11</v>
      </c>
      <c r="P3409">
        <v>5403</v>
      </c>
      <c r="Q3409">
        <v>36</v>
      </c>
      <c r="R3409">
        <v>21</v>
      </c>
      <c r="S3409">
        <v>756</v>
      </c>
      <c r="T3409">
        <v>607.32000000000005</v>
      </c>
      <c r="U3409">
        <v>19.670000000000002</v>
      </c>
      <c r="V3409" t="str">
        <f>VLOOKUP(L3409,'[2]tabela de preços'!$A:$D,4,0)</f>
        <v>SHERWIN WILLIAMS</v>
      </c>
      <c r="W3409" t="str">
        <f>VLOOKUP(L3409,'[2]tabela de preços'!$A:$F,6,0)</f>
        <v>PRIMER AUTOMOTIVO</v>
      </c>
      <c r="X3409" t="str">
        <f>VLOOKUP(L3409,'[2]tabela de preços'!$A:$G,7,0)</f>
        <v>AUTOMOTIVO</v>
      </c>
    </row>
    <row r="3410" spans="1:24" x14ac:dyDescent="0.3">
      <c r="A3410" t="s">
        <v>2699</v>
      </c>
      <c r="C3410" t="s">
        <v>2702</v>
      </c>
      <c r="D3410" s="1">
        <v>46058</v>
      </c>
      <c r="E3410" t="s">
        <v>2703</v>
      </c>
      <c r="F3410">
        <v>9</v>
      </c>
      <c r="G3410">
        <v>174</v>
      </c>
      <c r="H3410" t="str">
        <f>VLOOKUP(G3410,[1]OPERADORES!$A:$B,2,0)</f>
        <v>MIRIÃ LOBATO RODRIGUES</v>
      </c>
      <c r="I3410" t="s">
        <v>21</v>
      </c>
      <c r="J3410" t="s">
        <v>587</v>
      </c>
      <c r="K3410" t="s">
        <v>2477</v>
      </c>
      <c r="L3410">
        <v>20431</v>
      </c>
      <c r="M3410" t="s">
        <v>202</v>
      </c>
      <c r="O3410" t="s">
        <v>11</v>
      </c>
      <c r="P3410">
        <v>5403</v>
      </c>
      <c r="Q3410">
        <v>45</v>
      </c>
      <c r="R3410">
        <v>36.89</v>
      </c>
      <c r="S3410" s="2">
        <v>1660.05</v>
      </c>
      <c r="T3410" s="2">
        <v>1361.7</v>
      </c>
      <c r="U3410">
        <v>17.97</v>
      </c>
      <c r="V3410" t="str">
        <f>VLOOKUP(L3410,'[2]tabela de preços'!$A:$D,4,0)</f>
        <v>SHERWIN WILLIAMS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2699</v>
      </c>
      <c r="C3411" t="s">
        <v>2702</v>
      </c>
      <c r="D3411" s="1">
        <v>46058</v>
      </c>
      <c r="E3411" t="s">
        <v>2703</v>
      </c>
      <c r="F3411">
        <v>9</v>
      </c>
      <c r="G3411">
        <v>174</v>
      </c>
      <c r="H3411" t="str">
        <f>VLOOKUP(G3411,[1]OPERADORES!$A:$B,2,0)</f>
        <v>MIRIÃ LOBATO RODRIGUES</v>
      </c>
      <c r="I3411" t="s">
        <v>21</v>
      </c>
      <c r="J3411" t="s">
        <v>587</v>
      </c>
      <c r="K3411" t="s">
        <v>2477</v>
      </c>
      <c r="L3411">
        <v>10238</v>
      </c>
      <c r="M3411" t="s">
        <v>79</v>
      </c>
      <c r="O3411" t="s">
        <v>11</v>
      </c>
      <c r="P3411">
        <v>5102</v>
      </c>
      <c r="Q3411">
        <v>100</v>
      </c>
      <c r="R3411">
        <v>2.79</v>
      </c>
      <c r="S3411">
        <v>279</v>
      </c>
      <c r="T3411">
        <v>224</v>
      </c>
      <c r="U3411">
        <v>19.71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2699</v>
      </c>
      <c r="C3412" t="s">
        <v>2702</v>
      </c>
      <c r="D3412" s="1">
        <v>46058</v>
      </c>
      <c r="E3412" t="s">
        <v>2703</v>
      </c>
      <c r="F3412">
        <v>9</v>
      </c>
      <c r="G3412">
        <v>174</v>
      </c>
      <c r="H3412" t="str">
        <f>VLOOKUP(G3412,[1]OPERADORES!$A:$B,2,0)</f>
        <v>MIRIÃ LOBATO RODRIGUES</v>
      </c>
      <c r="I3412" t="s">
        <v>21</v>
      </c>
      <c r="J3412" t="s">
        <v>587</v>
      </c>
      <c r="K3412" t="s">
        <v>2477</v>
      </c>
      <c r="L3412">
        <v>10243</v>
      </c>
      <c r="M3412" t="s">
        <v>83</v>
      </c>
      <c r="O3412" t="s">
        <v>11</v>
      </c>
      <c r="P3412">
        <v>5102</v>
      </c>
      <c r="Q3412">
        <v>50</v>
      </c>
      <c r="R3412">
        <v>2.79</v>
      </c>
      <c r="S3412">
        <v>139.5</v>
      </c>
      <c r="T3412">
        <v>96.5</v>
      </c>
      <c r="U3412">
        <v>30.82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2699</v>
      </c>
      <c r="C3413" t="s">
        <v>2702</v>
      </c>
      <c r="D3413" s="1">
        <v>46058</v>
      </c>
      <c r="E3413" t="s">
        <v>2703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587</v>
      </c>
      <c r="K3413" t="s">
        <v>2477</v>
      </c>
      <c r="L3413">
        <v>10244</v>
      </c>
      <c r="M3413" t="s">
        <v>84</v>
      </c>
      <c r="O3413" t="s">
        <v>11</v>
      </c>
      <c r="P3413">
        <v>5102</v>
      </c>
      <c r="Q3413">
        <v>50</v>
      </c>
      <c r="R3413">
        <v>2.79</v>
      </c>
      <c r="S3413">
        <v>139.5</v>
      </c>
      <c r="T3413">
        <v>96.5</v>
      </c>
      <c r="U3413">
        <v>30.82</v>
      </c>
      <c r="V3413" t="str">
        <f>VLOOKUP(L3413,'[2]tabela de preços'!$A:$D,4,0)</f>
        <v>NORTON</v>
      </c>
      <c r="W3413" t="str">
        <f>VLOOKUP(L3413,'[2]tabela de preços'!$A:$F,6,0)</f>
        <v xml:space="preserve">DISCOS / LIXAS / ABRASIVOS </v>
      </c>
      <c r="X3413" t="str">
        <f>VLOOKUP(L3413,'[2]tabela de preços'!$A:$G,7,0)</f>
        <v>AUTOMOTIVO</v>
      </c>
    </row>
    <row r="3414" spans="1:24" x14ac:dyDescent="0.3">
      <c r="A3414" t="s">
        <v>2699</v>
      </c>
      <c r="C3414" t="s">
        <v>2702</v>
      </c>
      <c r="D3414" s="1">
        <v>46058</v>
      </c>
      <c r="E3414" t="s">
        <v>2703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587</v>
      </c>
      <c r="K3414" t="s">
        <v>2477</v>
      </c>
      <c r="L3414">
        <v>10245</v>
      </c>
      <c r="M3414" t="s">
        <v>195</v>
      </c>
      <c r="O3414" t="s">
        <v>11</v>
      </c>
      <c r="P3414">
        <v>5102</v>
      </c>
      <c r="Q3414">
        <v>50</v>
      </c>
      <c r="R3414">
        <v>2.79</v>
      </c>
      <c r="S3414">
        <v>139.5</v>
      </c>
      <c r="T3414">
        <v>96.5</v>
      </c>
      <c r="U3414">
        <v>30.82</v>
      </c>
      <c r="V3414" t="str">
        <f>VLOOKUP(L3414,'[2]tabela de preços'!$A:$D,4,0)</f>
        <v>NORTON</v>
      </c>
      <c r="W3414" t="str">
        <f>VLOOKUP(L3414,'[2]tabela de preços'!$A:$F,6,0)</f>
        <v xml:space="preserve">DISCOS / LIXAS / ABRASIVOS </v>
      </c>
      <c r="X3414" t="str">
        <f>VLOOKUP(L3414,'[2]tabela de preços'!$A:$G,7,0)</f>
        <v>AUTOMOTIVO</v>
      </c>
    </row>
    <row r="3415" spans="1:24" x14ac:dyDescent="0.3">
      <c r="A3415" t="s">
        <v>2699</v>
      </c>
      <c r="C3415" t="s">
        <v>2702</v>
      </c>
      <c r="D3415" s="1">
        <v>46058</v>
      </c>
      <c r="E3415" t="s">
        <v>2703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587</v>
      </c>
      <c r="K3415" t="s">
        <v>2477</v>
      </c>
      <c r="L3415">
        <v>20525</v>
      </c>
      <c r="M3415" t="s">
        <v>137</v>
      </c>
      <c r="O3415" t="s">
        <v>11</v>
      </c>
      <c r="P3415">
        <v>5102</v>
      </c>
      <c r="Q3415">
        <v>6</v>
      </c>
      <c r="R3415">
        <v>13.65</v>
      </c>
      <c r="S3415">
        <v>81.900000000000006</v>
      </c>
      <c r="T3415">
        <v>62.16</v>
      </c>
      <c r="U3415">
        <v>24.1</v>
      </c>
      <c r="V3415" t="str">
        <f>VLOOKUP(L3415,'[2]tabela de preços'!$A:$D,4,0)</f>
        <v>SHERWIN WILLIAMS</v>
      </c>
      <c r="W3415" t="str">
        <f>VLOOKUP(L3415,'[2]tabela de preços'!$A:$F,6,0)</f>
        <v>MASSA DE PEQUENOS REPAROS</v>
      </c>
      <c r="X3415" t="str">
        <f>VLOOKUP(L3415,'[2]tabela de preços'!$A:$G,7,0)</f>
        <v>AUTOMOTIVO</v>
      </c>
    </row>
    <row r="3416" spans="1:24" x14ac:dyDescent="0.3">
      <c r="A3416" t="s">
        <v>2699</v>
      </c>
      <c r="C3416" t="s">
        <v>2702</v>
      </c>
      <c r="D3416" s="1">
        <v>46058</v>
      </c>
      <c r="E3416" t="s">
        <v>2703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587</v>
      </c>
      <c r="K3416" t="s">
        <v>2477</v>
      </c>
      <c r="L3416">
        <v>20414</v>
      </c>
      <c r="M3416" t="s">
        <v>112</v>
      </c>
      <c r="O3416" t="s">
        <v>11</v>
      </c>
      <c r="P3416">
        <v>5102</v>
      </c>
      <c r="Q3416">
        <v>40</v>
      </c>
      <c r="R3416">
        <v>21.89</v>
      </c>
      <c r="S3416">
        <v>875.6</v>
      </c>
      <c r="T3416">
        <v>720</v>
      </c>
      <c r="U3416">
        <v>17.77</v>
      </c>
      <c r="V3416" t="str">
        <f>VLOOKUP(L3416,'[2]tabela de preços'!$A:$D,4,0)</f>
        <v>SHERWIN WILLIAMS</v>
      </c>
      <c r="W3416" t="str">
        <f>VLOOKUP(L3416,'[2]tabela de preços'!$A:$F,6,0)</f>
        <v>DILUENTE</v>
      </c>
      <c r="X3416" t="str">
        <f>VLOOKUP(L3416,'[2]tabela de preços'!$A:$G,7,0)</f>
        <v>AUTOMOTIVO</v>
      </c>
    </row>
    <row r="3417" spans="1:24" x14ac:dyDescent="0.3">
      <c r="A3417" t="s">
        <v>2699</v>
      </c>
      <c r="C3417" t="s">
        <v>2702</v>
      </c>
      <c r="D3417" s="1">
        <v>46058</v>
      </c>
      <c r="E3417" t="s">
        <v>2703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587</v>
      </c>
      <c r="K3417" t="s">
        <v>2477</v>
      </c>
      <c r="L3417">
        <v>9997</v>
      </c>
      <c r="M3417" t="s">
        <v>2487</v>
      </c>
      <c r="O3417" t="s">
        <v>11</v>
      </c>
      <c r="P3417">
        <v>5102</v>
      </c>
      <c r="Q3417">
        <v>4</v>
      </c>
      <c r="R3417">
        <v>41.04</v>
      </c>
      <c r="S3417">
        <v>164.16</v>
      </c>
      <c r="T3417">
        <v>124.6</v>
      </c>
      <c r="U3417">
        <v>24.1</v>
      </c>
      <c r="V3417" t="str">
        <f>VLOOKUP(L3417,'[2]tabela de preços'!$A:$D,4,0)</f>
        <v>SIKKENS</v>
      </c>
      <c r="W3417" t="str">
        <f>VLOOKUP(L3417,'[2]tabela de preços'!$A:$F,6,0)</f>
        <v>DILUENTE</v>
      </c>
      <c r="X3417" t="str">
        <f>VLOOKUP(L3417,'[2]tabela de preços'!$A:$G,7,0)</f>
        <v>AUTOMOTIVO</v>
      </c>
    </row>
    <row r="3418" spans="1:24" x14ac:dyDescent="0.3">
      <c r="A3418" t="s">
        <v>2699</v>
      </c>
      <c r="C3418" t="s">
        <v>2841</v>
      </c>
      <c r="D3418" s="1">
        <v>46062</v>
      </c>
      <c r="E3418" t="s">
        <v>2842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587</v>
      </c>
      <c r="K3418" t="s">
        <v>2477</v>
      </c>
      <c r="L3418">
        <v>10236</v>
      </c>
      <c r="M3418" t="s">
        <v>133</v>
      </c>
      <c r="O3418" t="s">
        <v>11</v>
      </c>
      <c r="P3418">
        <v>5102</v>
      </c>
      <c r="Q3418">
        <v>102</v>
      </c>
      <c r="R3418">
        <v>2.79</v>
      </c>
      <c r="S3418">
        <v>284.58</v>
      </c>
      <c r="T3418">
        <v>236.64</v>
      </c>
      <c r="U3418">
        <v>16.850000000000001</v>
      </c>
      <c r="V3418" t="str">
        <f>VLOOKUP(L3418,'[2]tabela de preços'!$A:$D,4,0)</f>
        <v>NORTON</v>
      </c>
      <c r="W3418" t="str">
        <f>VLOOKUP(L3418,'[2]tabela de preços'!$A:$F,6,0)</f>
        <v xml:space="preserve">DISCOS / LIXAS / ABRASIVOS </v>
      </c>
      <c r="X3418" t="str">
        <f>VLOOKUP(L3418,'[2]tabela de preços'!$A:$G,7,0)</f>
        <v>AUTOMOTIVO</v>
      </c>
    </row>
    <row r="3419" spans="1:24" x14ac:dyDescent="0.3">
      <c r="A3419" t="s">
        <v>2699</v>
      </c>
      <c r="C3419" t="s">
        <v>2961</v>
      </c>
      <c r="D3419" s="1">
        <v>46063</v>
      </c>
      <c r="E3419" t="s">
        <v>2962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587</v>
      </c>
      <c r="K3419" t="s">
        <v>2477</v>
      </c>
      <c r="L3419">
        <v>22684</v>
      </c>
      <c r="M3419" t="s">
        <v>73</v>
      </c>
      <c r="O3419" t="s">
        <v>11</v>
      </c>
      <c r="P3419">
        <v>5102</v>
      </c>
      <c r="Q3419">
        <v>80</v>
      </c>
      <c r="R3419">
        <v>3.65</v>
      </c>
      <c r="S3419">
        <v>292</v>
      </c>
      <c r="T3419">
        <v>246.4</v>
      </c>
      <c r="U3419">
        <v>15.62</v>
      </c>
      <c r="V3419" t="str">
        <f>VLOOKUP(L3419,'[2]tabela de preços'!$A:$D,4,0)</f>
        <v>3M</v>
      </c>
      <c r="W3419" t="str">
        <f>VLOOKUP(L3419,'[2]tabela de preços'!$A:$F,6,0)</f>
        <v>FITA AUTOMOTIVA</v>
      </c>
      <c r="X3419" t="str">
        <f>VLOOKUP(L3419,'[2]tabela de preços'!$A:$G,7,0)</f>
        <v>AUTOMOTIVO</v>
      </c>
    </row>
    <row r="3420" spans="1:24" x14ac:dyDescent="0.3">
      <c r="A3420" t="s">
        <v>2699</v>
      </c>
      <c r="C3420" t="s">
        <v>2961</v>
      </c>
      <c r="D3420" s="1">
        <v>46063</v>
      </c>
      <c r="E3420" t="s">
        <v>2962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587</v>
      </c>
      <c r="K3420" t="s">
        <v>2477</v>
      </c>
      <c r="L3420">
        <v>10242</v>
      </c>
      <c r="M3420" t="s">
        <v>82</v>
      </c>
      <c r="O3420" t="s">
        <v>11</v>
      </c>
      <c r="P3420">
        <v>5102</v>
      </c>
      <c r="Q3420">
        <v>50</v>
      </c>
      <c r="R3420">
        <v>2.79</v>
      </c>
      <c r="S3420">
        <v>139.5</v>
      </c>
      <c r="T3420">
        <v>112</v>
      </c>
      <c r="U3420">
        <v>19.71</v>
      </c>
      <c r="V3420" t="str">
        <f>VLOOKUP(L3420,'[2]tabela de preços'!$A:$D,4,0)</f>
        <v>NORTON</v>
      </c>
      <c r="W3420" t="str">
        <f>VLOOKUP(L3420,'[2]tabela de preços'!$A:$F,6,0)</f>
        <v xml:space="preserve">DISCOS / LIXAS / ABRASIVOS </v>
      </c>
      <c r="X3420" t="str">
        <f>VLOOKUP(L3420,'[2]tabela de preços'!$A:$G,7,0)</f>
        <v>AUTOMOTIVO</v>
      </c>
    </row>
    <row r="3421" spans="1:24" x14ac:dyDescent="0.3">
      <c r="A3421" t="s">
        <v>2699</v>
      </c>
      <c r="C3421" t="s">
        <v>2961</v>
      </c>
      <c r="D3421" s="1">
        <v>46063</v>
      </c>
      <c r="E3421" t="s">
        <v>2962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587</v>
      </c>
      <c r="K3421" t="s">
        <v>2477</v>
      </c>
      <c r="L3421">
        <v>10243</v>
      </c>
      <c r="M3421" t="s">
        <v>83</v>
      </c>
      <c r="O3421" t="s">
        <v>11</v>
      </c>
      <c r="P3421">
        <v>5102</v>
      </c>
      <c r="Q3421">
        <v>50</v>
      </c>
      <c r="R3421">
        <v>2.79</v>
      </c>
      <c r="S3421">
        <v>139.5</v>
      </c>
      <c r="T3421">
        <v>96.5</v>
      </c>
      <c r="U3421">
        <v>30.82</v>
      </c>
      <c r="V3421" t="str">
        <f>VLOOKUP(L3421,'[2]tabela de preços'!$A:$D,4,0)</f>
        <v>NORTON</v>
      </c>
      <c r="W3421" t="str">
        <f>VLOOKUP(L3421,'[2]tabela de preços'!$A:$F,6,0)</f>
        <v xml:space="preserve">DISCOS / LIXAS / ABRASIVOS </v>
      </c>
      <c r="X3421" t="str">
        <f>VLOOKUP(L3421,'[2]tabela de preços'!$A:$G,7,0)</f>
        <v>AUTOMOTIVO</v>
      </c>
    </row>
    <row r="3422" spans="1:24" x14ac:dyDescent="0.3">
      <c r="A3422" t="s">
        <v>2699</v>
      </c>
      <c r="C3422" t="s">
        <v>2961</v>
      </c>
      <c r="D3422" s="1">
        <v>46063</v>
      </c>
      <c r="E3422" t="s">
        <v>2962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587</v>
      </c>
      <c r="K3422" t="s">
        <v>2477</v>
      </c>
      <c r="L3422">
        <v>10244</v>
      </c>
      <c r="M3422" t="s">
        <v>84</v>
      </c>
      <c r="O3422" t="s">
        <v>11</v>
      </c>
      <c r="P3422">
        <v>5102</v>
      </c>
      <c r="Q3422">
        <v>50</v>
      </c>
      <c r="R3422">
        <v>2.79</v>
      </c>
      <c r="S3422">
        <v>139.5</v>
      </c>
      <c r="T3422">
        <v>96.5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2699</v>
      </c>
      <c r="C3423" t="s">
        <v>2961</v>
      </c>
      <c r="D3423" s="1">
        <v>46063</v>
      </c>
      <c r="E3423" t="s">
        <v>2962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587</v>
      </c>
      <c r="K3423" t="s">
        <v>2477</v>
      </c>
      <c r="L3423">
        <v>10245</v>
      </c>
      <c r="M3423" t="s">
        <v>195</v>
      </c>
      <c r="O3423" t="s">
        <v>11</v>
      </c>
      <c r="P3423">
        <v>5102</v>
      </c>
      <c r="Q3423">
        <v>50</v>
      </c>
      <c r="R3423">
        <v>2.79</v>
      </c>
      <c r="S3423">
        <v>139.5</v>
      </c>
      <c r="T3423">
        <v>96.5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2699</v>
      </c>
      <c r="C3424" t="s">
        <v>2961</v>
      </c>
      <c r="D3424" s="1">
        <v>46063</v>
      </c>
      <c r="E3424" t="s">
        <v>2962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587</v>
      </c>
      <c r="K3424" t="s">
        <v>2477</v>
      </c>
      <c r="L3424">
        <v>10246</v>
      </c>
      <c r="M3424" t="s">
        <v>206</v>
      </c>
      <c r="O3424" t="s">
        <v>11</v>
      </c>
      <c r="P3424">
        <v>5102</v>
      </c>
      <c r="Q3424">
        <v>100</v>
      </c>
      <c r="R3424">
        <v>2.79</v>
      </c>
      <c r="S3424">
        <v>279</v>
      </c>
      <c r="T3424">
        <v>193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2699</v>
      </c>
      <c r="C3425" t="s">
        <v>2961</v>
      </c>
      <c r="D3425" s="1">
        <v>46063</v>
      </c>
      <c r="E3425" t="s">
        <v>2962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587</v>
      </c>
      <c r="K3425" t="s">
        <v>2477</v>
      </c>
      <c r="L3425">
        <v>21077</v>
      </c>
      <c r="M3425" t="s">
        <v>207</v>
      </c>
      <c r="O3425" t="s">
        <v>11</v>
      </c>
      <c r="P3425">
        <v>5102</v>
      </c>
      <c r="Q3425">
        <v>12</v>
      </c>
      <c r="R3425">
        <v>44.68</v>
      </c>
      <c r="S3425">
        <v>536.16</v>
      </c>
      <c r="T3425">
        <v>407.04</v>
      </c>
      <c r="U3425">
        <v>24.08</v>
      </c>
      <c r="V3425" t="str">
        <f>VLOOKUP(L3425,'[2]tabela de preços'!$A:$D,4,0)</f>
        <v>SHERWIN WILLIAMS</v>
      </c>
      <c r="W3425" t="str">
        <f>VLOOKUP(L3425,'[2]tabela de preços'!$A:$F,6,0)</f>
        <v>MASSA POLIÉSTER</v>
      </c>
      <c r="X3425" t="str">
        <f>VLOOKUP(L3425,'[2]tabela de preços'!$A:$G,7,0)</f>
        <v>AUTOMOTIVO</v>
      </c>
    </row>
    <row r="3426" spans="1:24" x14ac:dyDescent="0.3">
      <c r="A3426" t="s">
        <v>2699</v>
      </c>
      <c r="C3426" t="s">
        <v>2961</v>
      </c>
      <c r="D3426" s="1">
        <v>46063</v>
      </c>
      <c r="E3426" t="s">
        <v>2962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587</v>
      </c>
      <c r="K3426" t="s">
        <v>2477</v>
      </c>
      <c r="L3426">
        <v>10297</v>
      </c>
      <c r="M3426" t="s">
        <v>41</v>
      </c>
      <c r="O3426" t="s">
        <v>11</v>
      </c>
      <c r="P3426">
        <v>5102</v>
      </c>
      <c r="Q3426">
        <v>12</v>
      </c>
      <c r="R3426">
        <v>10.89</v>
      </c>
      <c r="S3426">
        <v>130.68</v>
      </c>
      <c r="T3426">
        <v>110.04</v>
      </c>
      <c r="U3426">
        <v>15.79</v>
      </c>
      <c r="V3426" t="str">
        <f>VLOOKUP(L3426,'[2]tabela de preços'!$A:$D,4,0)</f>
        <v>ANJO</v>
      </c>
      <c r="W3426" t="str">
        <f>VLOOKUP(L3426,'[2]tabela de preços'!$A:$F,6,0)</f>
        <v>THINNER DE LIMPEZA</v>
      </c>
      <c r="X3426" t="str">
        <f>VLOOKUP(L3426,'[2]tabela de preços'!$A:$G,7,0)</f>
        <v>THINNER</v>
      </c>
    </row>
    <row r="3427" spans="1:24" x14ac:dyDescent="0.3">
      <c r="A3427" t="s">
        <v>2699</v>
      </c>
      <c r="C3427" t="s">
        <v>2961</v>
      </c>
      <c r="D3427" s="1">
        <v>46063</v>
      </c>
      <c r="E3427" t="s">
        <v>2962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587</v>
      </c>
      <c r="K3427" t="s">
        <v>2477</v>
      </c>
      <c r="L3427">
        <v>84560</v>
      </c>
      <c r="M3427" t="s">
        <v>118</v>
      </c>
      <c r="O3427" t="s">
        <v>11</v>
      </c>
      <c r="P3427">
        <v>5102</v>
      </c>
      <c r="Q3427">
        <v>20</v>
      </c>
      <c r="R3427">
        <v>47.89</v>
      </c>
      <c r="S3427">
        <v>957.8</v>
      </c>
      <c r="T3427">
        <v>783.2</v>
      </c>
      <c r="U3427">
        <v>18.23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2699</v>
      </c>
      <c r="C3428" t="s">
        <v>3245</v>
      </c>
      <c r="D3428" s="1">
        <v>46071</v>
      </c>
      <c r="E3428" t="s">
        <v>3246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587</v>
      </c>
      <c r="K3428" t="s">
        <v>2477</v>
      </c>
      <c r="L3428">
        <v>10236</v>
      </c>
      <c r="M3428" t="s">
        <v>133</v>
      </c>
      <c r="O3428" t="s">
        <v>11</v>
      </c>
      <c r="P3428">
        <v>5102</v>
      </c>
      <c r="Q3428">
        <v>102</v>
      </c>
      <c r="R3428">
        <v>2.79</v>
      </c>
      <c r="S3428">
        <v>284.58</v>
      </c>
      <c r="T3428">
        <v>236.64</v>
      </c>
      <c r="U3428">
        <v>16.850000000000001</v>
      </c>
      <c r="V3428" t="str">
        <f>VLOOKUP(L3428,'[2]tabela de preços'!$A:$D,4,0)</f>
        <v>NORTON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2699</v>
      </c>
      <c r="C3429" t="s">
        <v>3245</v>
      </c>
      <c r="D3429" s="1">
        <v>46071</v>
      </c>
      <c r="E3429" t="s">
        <v>3246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587</v>
      </c>
      <c r="K3429" t="s">
        <v>2477</v>
      </c>
      <c r="L3429">
        <v>24248</v>
      </c>
      <c r="M3429" t="s">
        <v>107</v>
      </c>
      <c r="O3429" t="s">
        <v>11</v>
      </c>
      <c r="P3429">
        <v>5102</v>
      </c>
      <c r="Q3429">
        <v>24</v>
      </c>
      <c r="R3429">
        <v>8</v>
      </c>
      <c r="S3429">
        <v>192</v>
      </c>
      <c r="T3429">
        <v>156</v>
      </c>
      <c r="U3429">
        <v>18.75</v>
      </c>
      <c r="V3429" t="str">
        <f>VLOOKUP(L3429,'[2]tabela de preços'!$A:$D,4,0)</f>
        <v>SHERWIN WILLIAMS</v>
      </c>
      <c r="W3429" t="str">
        <f>VLOOKUP(L3429,'[2]tabela de preços'!$A:$F,6,0)</f>
        <v>PRIMER AUTOMOTIVO</v>
      </c>
      <c r="X3429" t="str">
        <f>VLOOKUP(L3429,'[2]tabela de preços'!$A:$G,7,0)</f>
        <v>AUTOMOTIVO</v>
      </c>
    </row>
    <row r="3430" spans="1:24" x14ac:dyDescent="0.3">
      <c r="A3430" t="s">
        <v>2699</v>
      </c>
      <c r="C3430" t="s">
        <v>3245</v>
      </c>
      <c r="D3430" s="1">
        <v>46071</v>
      </c>
      <c r="E3430" t="s">
        <v>3246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587</v>
      </c>
      <c r="K3430" t="s">
        <v>2477</v>
      </c>
      <c r="L3430">
        <v>22684</v>
      </c>
      <c r="M3430" t="s">
        <v>73</v>
      </c>
      <c r="O3430" t="s">
        <v>11</v>
      </c>
      <c r="P3430">
        <v>5102</v>
      </c>
      <c r="Q3430">
        <v>80</v>
      </c>
      <c r="R3430">
        <v>3.65</v>
      </c>
      <c r="S3430">
        <v>292</v>
      </c>
      <c r="T3430">
        <v>246.4</v>
      </c>
      <c r="U3430">
        <v>15.62</v>
      </c>
      <c r="V3430" t="str">
        <f>VLOOKUP(L3430,'[2]tabela de preços'!$A:$D,4,0)</f>
        <v>3M</v>
      </c>
      <c r="W3430" t="str">
        <f>VLOOKUP(L3430,'[2]tabela de preços'!$A:$F,6,0)</f>
        <v>FITA AUTOMOTIVA</v>
      </c>
      <c r="X3430" t="str">
        <f>VLOOKUP(L3430,'[2]tabela de preços'!$A:$G,7,0)</f>
        <v>AUTOMOTIVO</v>
      </c>
    </row>
    <row r="3431" spans="1:24" x14ac:dyDescent="0.3">
      <c r="A3431" t="s">
        <v>2699</v>
      </c>
      <c r="C3431" t="s">
        <v>3245</v>
      </c>
      <c r="D3431" s="1">
        <v>46071</v>
      </c>
      <c r="E3431" t="s">
        <v>3246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587</v>
      </c>
      <c r="K3431" t="s">
        <v>2477</v>
      </c>
      <c r="L3431">
        <v>23076</v>
      </c>
      <c r="M3431" t="s">
        <v>97</v>
      </c>
      <c r="O3431" t="s">
        <v>11</v>
      </c>
      <c r="P3431">
        <v>5403</v>
      </c>
      <c r="Q3431">
        <v>12</v>
      </c>
      <c r="R3431">
        <v>34.89</v>
      </c>
      <c r="S3431">
        <v>418.68</v>
      </c>
      <c r="T3431">
        <v>318.36</v>
      </c>
      <c r="U3431">
        <v>23.96</v>
      </c>
      <c r="V3431" t="str">
        <f>VLOOKUP(L3431,'[2]tabela de preços'!$A:$D,4,0)</f>
        <v>WANDA</v>
      </c>
      <c r="W3431" t="str">
        <f>VLOOKUP(L3431,'[2]tabela de preços'!$A:$F,6,0)</f>
        <v>PRIMER AUTOMOTIVO</v>
      </c>
      <c r="X3431" t="str">
        <f>VLOOKUP(L3431,'[2]tabela de preços'!$A:$G,7,0)</f>
        <v>AUTOMOTIVO</v>
      </c>
    </row>
    <row r="3432" spans="1:24" x14ac:dyDescent="0.3">
      <c r="A3432" t="s">
        <v>2699</v>
      </c>
      <c r="C3432" t="s">
        <v>3245</v>
      </c>
      <c r="D3432" s="1">
        <v>46071</v>
      </c>
      <c r="E3432" t="s">
        <v>3246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587</v>
      </c>
      <c r="K3432" t="s">
        <v>2477</v>
      </c>
      <c r="L3432">
        <v>20431</v>
      </c>
      <c r="M3432" t="s">
        <v>202</v>
      </c>
      <c r="O3432" t="s">
        <v>11</v>
      </c>
      <c r="P3432">
        <v>5403</v>
      </c>
      <c r="Q3432">
        <v>36</v>
      </c>
      <c r="R3432">
        <v>36.89</v>
      </c>
      <c r="S3432" s="2">
        <v>1328.04</v>
      </c>
      <c r="T3432" s="2">
        <v>1089.3599999999999</v>
      </c>
      <c r="U3432">
        <v>17.97</v>
      </c>
      <c r="V3432" t="str">
        <f>VLOOKUP(L3432,'[2]tabela de preços'!$A:$D,4,0)</f>
        <v>SHERWIN WILLIAMS</v>
      </c>
      <c r="W3432" t="str">
        <f>VLOOKUP(L3432,'[2]tabela de preços'!$A:$F,6,0)</f>
        <v>VERNIZ AUTOMOTIVO</v>
      </c>
      <c r="X3432" t="str">
        <f>VLOOKUP(L3432,'[2]tabela de preços'!$A:$G,7,0)</f>
        <v>AUTOMOTIVO</v>
      </c>
    </row>
    <row r="3433" spans="1:24" x14ac:dyDescent="0.3">
      <c r="A3433" t="s">
        <v>2699</v>
      </c>
      <c r="C3433" t="s">
        <v>3245</v>
      </c>
      <c r="D3433" s="1">
        <v>46071</v>
      </c>
      <c r="E3433" t="s">
        <v>3246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587</v>
      </c>
      <c r="K3433" t="s">
        <v>2477</v>
      </c>
      <c r="L3433">
        <v>15</v>
      </c>
      <c r="M3433" t="s">
        <v>205</v>
      </c>
      <c r="O3433" t="s">
        <v>11</v>
      </c>
      <c r="P3433">
        <v>5102</v>
      </c>
      <c r="Q3433">
        <v>50</v>
      </c>
      <c r="R3433">
        <v>5.79</v>
      </c>
      <c r="S3433">
        <v>289.5</v>
      </c>
      <c r="T3433">
        <v>208</v>
      </c>
      <c r="U3433">
        <v>28.15</v>
      </c>
      <c r="V3433" t="str">
        <f>VLOOKUP(L3433,'[2]tabela de preços'!$A:$D,4,0)</f>
        <v>3M</v>
      </c>
      <c r="W3433" t="str">
        <f>VLOOKUP(L3433,'[2]tabela de preços'!$A:$F,6,0)</f>
        <v>LIXA DÁGUA</v>
      </c>
      <c r="X3433" t="str">
        <f>VLOOKUP(L3433,'[2]tabela de preços'!$A:$G,7,0)</f>
        <v>AUTOMOTIVO</v>
      </c>
    </row>
    <row r="3434" spans="1:24" x14ac:dyDescent="0.3">
      <c r="A3434" t="s">
        <v>2699</v>
      </c>
      <c r="C3434" t="s">
        <v>3245</v>
      </c>
      <c r="D3434" s="1">
        <v>46071</v>
      </c>
      <c r="E3434" t="s">
        <v>3246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587</v>
      </c>
      <c r="K3434" t="s">
        <v>2477</v>
      </c>
      <c r="L3434">
        <v>10238</v>
      </c>
      <c r="M3434" t="s">
        <v>79</v>
      </c>
      <c r="O3434" t="s">
        <v>11</v>
      </c>
      <c r="P3434">
        <v>5102</v>
      </c>
      <c r="Q3434">
        <v>100</v>
      </c>
      <c r="R3434">
        <v>2.79</v>
      </c>
      <c r="S3434">
        <v>279</v>
      </c>
      <c r="T3434">
        <v>224</v>
      </c>
      <c r="U3434">
        <v>19.71</v>
      </c>
      <c r="V3434" t="str">
        <f>VLOOKUP(L3434,'[2]tabela de preços'!$A:$D,4,0)</f>
        <v>NORTON</v>
      </c>
      <c r="W3434" t="str">
        <f>VLOOKUP(L3434,'[2]tabela de preços'!$A:$F,6,0)</f>
        <v xml:space="preserve">DISCOS / LIXAS / ABRASIVOS </v>
      </c>
      <c r="X3434" t="str">
        <f>VLOOKUP(L3434,'[2]tabela de preços'!$A:$G,7,0)</f>
        <v>AUTOMOTIVO</v>
      </c>
    </row>
    <row r="3435" spans="1:24" x14ac:dyDescent="0.3">
      <c r="A3435" t="s">
        <v>2699</v>
      </c>
      <c r="C3435" t="s">
        <v>3245</v>
      </c>
      <c r="D3435" s="1">
        <v>46071</v>
      </c>
      <c r="E3435" t="s">
        <v>3246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587</v>
      </c>
      <c r="K3435" t="s">
        <v>2477</v>
      </c>
      <c r="L3435">
        <v>10242</v>
      </c>
      <c r="M3435" t="s">
        <v>82</v>
      </c>
      <c r="O3435" t="s">
        <v>11</v>
      </c>
      <c r="P3435">
        <v>5102</v>
      </c>
      <c r="Q3435">
        <v>50</v>
      </c>
      <c r="R3435">
        <v>2.79</v>
      </c>
      <c r="S3435">
        <v>139.5</v>
      </c>
      <c r="T3435">
        <v>112</v>
      </c>
      <c r="U3435">
        <v>19.71</v>
      </c>
      <c r="V3435" t="str">
        <f>VLOOKUP(L3435,'[2]tabela de preços'!$A:$D,4,0)</f>
        <v>NORTON</v>
      </c>
      <c r="W3435" t="str">
        <f>VLOOKUP(L3435,'[2]tabela de preços'!$A:$F,6,0)</f>
        <v xml:space="preserve">DISCOS / LIXAS / ABRASIVOS </v>
      </c>
      <c r="X3435" t="str">
        <f>VLOOKUP(L3435,'[2]tabela de preços'!$A:$G,7,0)</f>
        <v>AUTOMOTIVO</v>
      </c>
    </row>
    <row r="3436" spans="1:24" x14ac:dyDescent="0.3">
      <c r="A3436" t="s">
        <v>2699</v>
      </c>
      <c r="C3436" t="s">
        <v>3245</v>
      </c>
      <c r="D3436" s="1">
        <v>46071</v>
      </c>
      <c r="E3436" t="s">
        <v>3246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587</v>
      </c>
      <c r="K3436" t="s">
        <v>2477</v>
      </c>
      <c r="L3436">
        <v>10243</v>
      </c>
      <c r="M3436" t="s">
        <v>83</v>
      </c>
      <c r="O3436" t="s">
        <v>11</v>
      </c>
      <c r="P3436">
        <v>5102</v>
      </c>
      <c r="Q3436">
        <v>50</v>
      </c>
      <c r="R3436">
        <v>2.79</v>
      </c>
      <c r="S3436">
        <v>139.5</v>
      </c>
      <c r="T3436">
        <v>96.5</v>
      </c>
      <c r="U3436">
        <v>30.82</v>
      </c>
      <c r="V3436" t="str">
        <f>VLOOKUP(L3436,'[2]tabela de preços'!$A:$D,4,0)</f>
        <v>NORTON</v>
      </c>
      <c r="W3436" t="str">
        <f>VLOOKUP(L3436,'[2]tabela de preços'!$A:$F,6,0)</f>
        <v xml:space="preserve">DISCOS / LIXAS / ABRASIVOS </v>
      </c>
      <c r="X3436" t="str">
        <f>VLOOKUP(L3436,'[2]tabela de preços'!$A:$G,7,0)</f>
        <v>AUTOMOTIVO</v>
      </c>
    </row>
    <row r="3437" spans="1:24" x14ac:dyDescent="0.3">
      <c r="A3437" t="s">
        <v>2699</v>
      </c>
      <c r="C3437" t="s">
        <v>3245</v>
      </c>
      <c r="D3437" s="1">
        <v>46071</v>
      </c>
      <c r="E3437" t="s">
        <v>3246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587</v>
      </c>
      <c r="K3437" t="s">
        <v>2477</v>
      </c>
      <c r="L3437">
        <v>21077</v>
      </c>
      <c r="M3437" t="s">
        <v>207</v>
      </c>
      <c r="O3437" t="s">
        <v>11</v>
      </c>
      <c r="P3437">
        <v>5102</v>
      </c>
      <c r="Q3437">
        <v>12</v>
      </c>
      <c r="R3437">
        <v>44.68</v>
      </c>
      <c r="S3437">
        <v>536.16</v>
      </c>
      <c r="T3437">
        <v>407.04</v>
      </c>
      <c r="U3437">
        <v>24.08</v>
      </c>
      <c r="V3437" t="str">
        <f>VLOOKUP(L3437,'[2]tabela de preços'!$A:$D,4,0)</f>
        <v>SHERWIN WILLIAMS</v>
      </c>
      <c r="W3437" t="str">
        <f>VLOOKUP(L3437,'[2]tabela de preços'!$A:$F,6,0)</f>
        <v>MASSA POLIÉSTER</v>
      </c>
      <c r="X3437" t="str">
        <f>VLOOKUP(L3437,'[2]tabela de preços'!$A:$G,7,0)</f>
        <v>AUTOMOTIVO</v>
      </c>
    </row>
    <row r="3438" spans="1:24" x14ac:dyDescent="0.3">
      <c r="A3438" t="s">
        <v>2699</v>
      </c>
      <c r="C3438" t="s">
        <v>3245</v>
      </c>
      <c r="D3438" s="1">
        <v>46071</v>
      </c>
      <c r="E3438" t="s">
        <v>3246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587</v>
      </c>
      <c r="K3438" t="s">
        <v>2477</v>
      </c>
      <c r="L3438">
        <v>20556</v>
      </c>
      <c r="M3438" t="s">
        <v>3247</v>
      </c>
      <c r="O3438" t="s">
        <v>11</v>
      </c>
      <c r="P3438">
        <v>5102</v>
      </c>
      <c r="Q3438">
        <v>12</v>
      </c>
      <c r="R3438">
        <v>5.27</v>
      </c>
      <c r="S3438">
        <v>63.24</v>
      </c>
      <c r="T3438">
        <v>46.92</v>
      </c>
      <c r="U3438">
        <v>25.81</v>
      </c>
      <c r="V3438" t="str">
        <f>VLOOKUP(L3438,'[2]tabela de preços'!$A:$D,4,0)</f>
        <v>RENOVA</v>
      </c>
      <c r="W3438" t="str">
        <f>VLOOKUP(L3438,'[2]tabela de preços'!$A:$F,6,0)</f>
        <v>COADORES</v>
      </c>
      <c r="X3438" t="str">
        <f>VLOOKUP(L3438,'[2]tabela de preços'!$A:$G,7,0)</f>
        <v>AUTOMOTIVO</v>
      </c>
    </row>
    <row r="3439" spans="1:24" x14ac:dyDescent="0.3">
      <c r="A3439" t="s">
        <v>2699</v>
      </c>
      <c r="C3439" t="s">
        <v>3245</v>
      </c>
      <c r="D3439" s="1">
        <v>46071</v>
      </c>
      <c r="E3439" t="s">
        <v>3246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587</v>
      </c>
      <c r="K3439" t="s">
        <v>2477</v>
      </c>
      <c r="L3439">
        <v>24247</v>
      </c>
      <c r="M3439" t="s">
        <v>160</v>
      </c>
      <c r="O3439" t="s">
        <v>11</v>
      </c>
      <c r="P3439">
        <v>5403</v>
      </c>
      <c r="Q3439">
        <v>24</v>
      </c>
      <c r="R3439">
        <v>21</v>
      </c>
      <c r="S3439">
        <v>504</v>
      </c>
      <c r="T3439">
        <v>404.88</v>
      </c>
      <c r="U3439">
        <v>19.670000000000002</v>
      </c>
      <c r="V3439" t="str">
        <f>VLOOKUP(L3439,'[2]tabela de preços'!$A:$D,4,0)</f>
        <v>SHERWIN WILLIAMS</v>
      </c>
      <c r="W3439" t="str">
        <f>VLOOKUP(L3439,'[2]tabela de preços'!$A:$F,6,0)</f>
        <v>PRIMER AUTOMOTIVO</v>
      </c>
      <c r="X3439" t="str">
        <f>VLOOKUP(L3439,'[2]tabela de preços'!$A:$G,7,0)</f>
        <v>AUTOMOTIVO</v>
      </c>
    </row>
    <row r="3440" spans="1:24" x14ac:dyDescent="0.3">
      <c r="A3440" t="s">
        <v>2699</v>
      </c>
      <c r="C3440" t="s">
        <v>3245</v>
      </c>
      <c r="D3440" s="1">
        <v>46071</v>
      </c>
      <c r="E3440" t="s">
        <v>3246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587</v>
      </c>
      <c r="K3440" t="s">
        <v>2477</v>
      </c>
      <c r="L3440">
        <v>10404</v>
      </c>
      <c r="M3440" t="s">
        <v>130</v>
      </c>
      <c r="O3440" t="s">
        <v>11</v>
      </c>
      <c r="P3440">
        <v>5102</v>
      </c>
      <c r="Q3440">
        <v>24</v>
      </c>
      <c r="R3440">
        <v>16.29</v>
      </c>
      <c r="S3440">
        <v>390.96</v>
      </c>
      <c r="T3440">
        <v>300.24</v>
      </c>
      <c r="U3440">
        <v>23.2</v>
      </c>
      <c r="V3440" t="str">
        <f>VLOOKUP(L3440,'[2]tabela de preços'!$A:$D,4,0)</f>
        <v>MAXI RUBBER</v>
      </c>
      <c r="W3440" t="str">
        <f>VLOOKUP(L3440,'[2]tabela de preços'!$A:$F,6,0)</f>
        <v>VEDADORES / SELANTES</v>
      </c>
      <c r="X3440" t="str">
        <f>VLOOKUP(L3440,'[2]tabela de preços'!$A:$G,7,0)</f>
        <v>AUTOMOTIVO</v>
      </c>
    </row>
    <row r="3441" spans="1:24" x14ac:dyDescent="0.3">
      <c r="A3441" t="s">
        <v>2699</v>
      </c>
      <c r="C3441" t="s">
        <v>3248</v>
      </c>
      <c r="D3441" s="1">
        <v>46071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587</v>
      </c>
      <c r="K3441" t="s">
        <v>2477</v>
      </c>
      <c r="L3441">
        <v>10404</v>
      </c>
      <c r="M3441" t="s">
        <v>130</v>
      </c>
      <c r="N3441" t="s">
        <v>3249</v>
      </c>
      <c r="O3441" t="s">
        <v>11</v>
      </c>
      <c r="P3441">
        <v>1202</v>
      </c>
      <c r="Q3441">
        <v>-15</v>
      </c>
      <c r="R3441">
        <v>16.29</v>
      </c>
      <c r="S3441">
        <v>-244.35</v>
      </c>
      <c r="T3441">
        <v>-187.65</v>
      </c>
      <c r="U3441">
        <v>23.2</v>
      </c>
      <c r="V3441" t="str">
        <f>VLOOKUP(L3441,'[2]tabela de preços'!$A:$D,4,0)</f>
        <v>MAXI RUBBER</v>
      </c>
      <c r="W3441" t="str">
        <f>VLOOKUP(L3441,'[2]tabela de preços'!$A:$F,6,0)</f>
        <v>VEDADORES / SELANTES</v>
      </c>
      <c r="X3441" t="str">
        <f>VLOOKUP(L3441,'[2]tabela de preços'!$A:$G,7,0)</f>
        <v>AUTOMOTIVO</v>
      </c>
    </row>
    <row r="3442" spans="1:24" x14ac:dyDescent="0.3">
      <c r="A3442" t="s">
        <v>2699</v>
      </c>
      <c r="C3442" t="s">
        <v>3250</v>
      </c>
      <c r="D3442" s="1">
        <v>46072</v>
      </c>
      <c r="E3442" t="s">
        <v>3251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587</v>
      </c>
      <c r="K3442" t="s">
        <v>2477</v>
      </c>
      <c r="L3442">
        <v>10238</v>
      </c>
      <c r="M3442" t="s">
        <v>79</v>
      </c>
      <c r="O3442" t="s">
        <v>11</v>
      </c>
      <c r="P3442">
        <v>5102</v>
      </c>
      <c r="Q3442">
        <v>50</v>
      </c>
      <c r="R3442">
        <v>2.79</v>
      </c>
      <c r="S3442">
        <v>139.5</v>
      </c>
      <c r="T3442">
        <v>112</v>
      </c>
      <c r="U3442">
        <v>19.71</v>
      </c>
      <c r="V3442" t="str">
        <f>VLOOKUP(L3442,'[2]tabela de preços'!$A:$D,4,0)</f>
        <v>NORTON</v>
      </c>
      <c r="W3442" t="str">
        <f>VLOOKUP(L3442,'[2]tabela de preços'!$A:$F,6,0)</f>
        <v xml:space="preserve">DISCOS / LIXAS / ABRASIVOS </v>
      </c>
      <c r="X3442" t="str">
        <f>VLOOKUP(L3442,'[2]tabela de preços'!$A:$G,7,0)</f>
        <v>AUTOMOTIVO</v>
      </c>
    </row>
    <row r="3443" spans="1:24" x14ac:dyDescent="0.3">
      <c r="A3443" t="s">
        <v>2699</v>
      </c>
      <c r="C3443" t="s">
        <v>3250</v>
      </c>
      <c r="D3443" s="1">
        <v>46072</v>
      </c>
      <c r="E3443" t="s">
        <v>3251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587</v>
      </c>
      <c r="K3443" t="s">
        <v>2477</v>
      </c>
      <c r="L3443">
        <v>10240</v>
      </c>
      <c r="M3443" t="s">
        <v>81</v>
      </c>
      <c r="O3443" t="s">
        <v>11</v>
      </c>
      <c r="P3443">
        <v>5102</v>
      </c>
      <c r="Q3443">
        <v>50</v>
      </c>
      <c r="R3443">
        <v>2.79</v>
      </c>
      <c r="S3443">
        <v>139.5</v>
      </c>
      <c r="T3443">
        <v>112</v>
      </c>
      <c r="U3443">
        <v>19.71</v>
      </c>
      <c r="V3443" t="str">
        <f>VLOOKUP(L3443,'[2]tabela de preços'!$A:$D,4,0)</f>
        <v>NORTON</v>
      </c>
      <c r="W3443" t="str">
        <f>VLOOKUP(L3443,'[2]tabela de preços'!$A:$F,6,0)</f>
        <v xml:space="preserve">DISCOS / LIXAS / ABRASIVOS </v>
      </c>
      <c r="X3443" t="str">
        <f>VLOOKUP(L3443,'[2]tabela de preços'!$A:$G,7,0)</f>
        <v>AUTOMOTIVO</v>
      </c>
    </row>
    <row r="3444" spans="1:24" x14ac:dyDescent="0.3">
      <c r="A3444" t="s">
        <v>2699</v>
      </c>
      <c r="C3444" t="s">
        <v>3250</v>
      </c>
      <c r="D3444" s="1">
        <v>46072</v>
      </c>
      <c r="E3444" t="s">
        <v>3251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587</v>
      </c>
      <c r="K3444" t="s">
        <v>2477</v>
      </c>
      <c r="L3444">
        <v>10242</v>
      </c>
      <c r="M3444" t="s">
        <v>82</v>
      </c>
      <c r="O3444" t="s">
        <v>11</v>
      </c>
      <c r="P3444">
        <v>5102</v>
      </c>
      <c r="Q3444">
        <v>50</v>
      </c>
      <c r="R3444">
        <v>2.79</v>
      </c>
      <c r="S3444">
        <v>139.5</v>
      </c>
      <c r="T3444">
        <v>112</v>
      </c>
      <c r="U3444">
        <v>19.71</v>
      </c>
      <c r="V3444" t="str">
        <f>VLOOKUP(L3444,'[2]tabela de preços'!$A:$D,4,0)</f>
        <v>NORTON</v>
      </c>
      <c r="W3444" t="str">
        <f>VLOOKUP(L3444,'[2]tabela de preços'!$A:$F,6,0)</f>
        <v xml:space="preserve">DISCOS / LIXAS / ABRASIVOS </v>
      </c>
      <c r="X3444" t="str">
        <f>VLOOKUP(L3444,'[2]tabela de preços'!$A:$G,7,0)</f>
        <v>AUTOMOTIVO</v>
      </c>
    </row>
    <row r="3445" spans="1:24" x14ac:dyDescent="0.3">
      <c r="A3445" t="s">
        <v>2699</v>
      </c>
      <c r="C3445" t="s">
        <v>3250</v>
      </c>
      <c r="D3445" s="1">
        <v>46072</v>
      </c>
      <c r="E3445" t="s">
        <v>3251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587</v>
      </c>
      <c r="K3445" t="s">
        <v>2477</v>
      </c>
      <c r="L3445">
        <v>10243</v>
      </c>
      <c r="M3445" t="s">
        <v>83</v>
      </c>
      <c r="O3445" t="s">
        <v>11</v>
      </c>
      <c r="P3445">
        <v>5102</v>
      </c>
      <c r="Q3445">
        <v>50</v>
      </c>
      <c r="R3445">
        <v>2.79</v>
      </c>
      <c r="S3445">
        <v>139.5</v>
      </c>
      <c r="T3445">
        <v>96.5</v>
      </c>
      <c r="U3445">
        <v>30.82</v>
      </c>
      <c r="V3445" t="str">
        <f>VLOOKUP(L3445,'[2]tabela de preços'!$A:$D,4,0)</f>
        <v>NORTON</v>
      </c>
      <c r="W3445" t="str">
        <f>VLOOKUP(L3445,'[2]tabela de preços'!$A:$F,6,0)</f>
        <v xml:space="preserve">DISCOS / LIXAS / ABRASIVOS </v>
      </c>
      <c r="X3445" t="str">
        <f>VLOOKUP(L3445,'[2]tabela de preços'!$A:$G,7,0)</f>
        <v>AUTOMOTIVO</v>
      </c>
    </row>
    <row r="3446" spans="1:24" x14ac:dyDescent="0.3">
      <c r="A3446" t="s">
        <v>2699</v>
      </c>
      <c r="C3446" t="s">
        <v>3250</v>
      </c>
      <c r="D3446" s="1">
        <v>46072</v>
      </c>
      <c r="E3446" t="s">
        <v>3251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587</v>
      </c>
      <c r="K3446" t="s">
        <v>2477</v>
      </c>
      <c r="L3446">
        <v>10244</v>
      </c>
      <c r="M3446" t="s">
        <v>84</v>
      </c>
      <c r="O3446" t="s">
        <v>11</v>
      </c>
      <c r="P3446">
        <v>5102</v>
      </c>
      <c r="Q3446">
        <v>50</v>
      </c>
      <c r="R3446">
        <v>2.79</v>
      </c>
      <c r="S3446">
        <v>139.5</v>
      </c>
      <c r="T3446">
        <v>96.5</v>
      </c>
      <c r="U3446">
        <v>30.82</v>
      </c>
      <c r="V3446" t="str">
        <f>VLOOKUP(L3446,'[2]tabela de preços'!$A:$D,4,0)</f>
        <v>NORTON</v>
      </c>
      <c r="W3446" t="str">
        <f>VLOOKUP(L3446,'[2]tabela de preços'!$A:$F,6,0)</f>
        <v xml:space="preserve">DISCOS / LIXAS / ABRASIVOS </v>
      </c>
      <c r="X3446" t="str">
        <f>VLOOKUP(L3446,'[2]tabela de preços'!$A:$G,7,0)</f>
        <v>AUTOMOTIVO</v>
      </c>
    </row>
    <row r="3447" spans="1:24" x14ac:dyDescent="0.3">
      <c r="A3447" t="s">
        <v>2699</v>
      </c>
      <c r="C3447" t="s">
        <v>3250</v>
      </c>
      <c r="D3447" s="1">
        <v>46072</v>
      </c>
      <c r="E3447" t="s">
        <v>3251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587</v>
      </c>
      <c r="K3447" t="s">
        <v>2477</v>
      </c>
      <c r="L3447">
        <v>10245</v>
      </c>
      <c r="M3447" t="s">
        <v>195</v>
      </c>
      <c r="O3447" t="s">
        <v>11</v>
      </c>
      <c r="P3447">
        <v>5102</v>
      </c>
      <c r="Q3447">
        <v>50</v>
      </c>
      <c r="R3447">
        <v>2.79</v>
      </c>
      <c r="S3447">
        <v>139.5</v>
      </c>
      <c r="T3447">
        <v>96.5</v>
      </c>
      <c r="U3447">
        <v>30.82</v>
      </c>
      <c r="V3447" t="str">
        <f>VLOOKUP(L3447,'[2]tabela de preços'!$A:$D,4,0)</f>
        <v>NORTON</v>
      </c>
      <c r="W3447" t="str">
        <f>VLOOKUP(L3447,'[2]tabela de preços'!$A:$F,6,0)</f>
        <v xml:space="preserve">DISCOS / LIXAS / ABRASIVOS </v>
      </c>
      <c r="X3447" t="str">
        <f>VLOOKUP(L3447,'[2]tabela de preços'!$A:$G,7,0)</f>
        <v>AUTOMOTIVO</v>
      </c>
    </row>
    <row r="3448" spans="1:24" x14ac:dyDescent="0.3">
      <c r="A3448" t="s">
        <v>2699</v>
      </c>
      <c r="C3448" t="s">
        <v>3250</v>
      </c>
      <c r="D3448" s="1">
        <v>46072</v>
      </c>
      <c r="E3448" t="s">
        <v>3251</v>
      </c>
      <c r="F3448">
        <v>9</v>
      </c>
      <c r="G3448">
        <v>174</v>
      </c>
      <c r="H3448" t="str">
        <f>VLOOKUP(G3448,[1]OPERADORES!$A:$B,2,0)</f>
        <v>MIRIÃ LOBATO RODRIGUES</v>
      </c>
      <c r="I3448" t="s">
        <v>21</v>
      </c>
      <c r="J3448" t="s">
        <v>587</v>
      </c>
      <c r="K3448" t="s">
        <v>2477</v>
      </c>
      <c r="L3448">
        <v>10246</v>
      </c>
      <c r="M3448" t="s">
        <v>206</v>
      </c>
      <c r="O3448" t="s">
        <v>11</v>
      </c>
      <c r="P3448">
        <v>5102</v>
      </c>
      <c r="Q3448">
        <v>50</v>
      </c>
      <c r="R3448">
        <v>2.79</v>
      </c>
      <c r="S3448">
        <v>139.5</v>
      </c>
      <c r="T3448">
        <v>96.5</v>
      </c>
      <c r="U3448">
        <v>30.82</v>
      </c>
      <c r="V3448" t="str">
        <f>VLOOKUP(L3448,'[2]tabela de preços'!$A:$D,4,0)</f>
        <v>NORTON</v>
      </c>
      <c r="W3448" t="str">
        <f>VLOOKUP(L3448,'[2]tabela de preços'!$A:$F,6,0)</f>
        <v xml:space="preserve">DISCOS / LIXAS / ABRASIVOS </v>
      </c>
      <c r="X3448" t="str">
        <f>VLOOKUP(L3448,'[2]tabela de preços'!$A:$G,7,0)</f>
        <v>AUTOMOTIVO</v>
      </c>
    </row>
    <row r="3449" spans="1:24" x14ac:dyDescent="0.3">
      <c r="A3449" t="s">
        <v>2699</v>
      </c>
      <c r="C3449" t="s">
        <v>3252</v>
      </c>
      <c r="D3449" s="1">
        <v>46072</v>
      </c>
      <c r="E3449" t="s">
        <v>3253</v>
      </c>
      <c r="F3449">
        <v>9</v>
      </c>
      <c r="G3449">
        <v>174</v>
      </c>
      <c r="H3449" t="str">
        <f>VLOOKUP(G3449,[1]OPERADORES!$A:$B,2,0)</f>
        <v>MIRIÃ LOBATO RODRIGUES</v>
      </c>
      <c r="I3449" t="s">
        <v>21</v>
      </c>
      <c r="J3449" t="s">
        <v>587</v>
      </c>
      <c r="K3449" t="s">
        <v>2477</v>
      </c>
      <c r="L3449">
        <v>10240</v>
      </c>
      <c r="M3449" t="s">
        <v>81</v>
      </c>
      <c r="O3449" t="s">
        <v>11</v>
      </c>
      <c r="P3449">
        <v>5102</v>
      </c>
      <c r="Q3449">
        <v>50</v>
      </c>
      <c r="R3449">
        <v>2.79</v>
      </c>
      <c r="S3449">
        <v>139.5</v>
      </c>
      <c r="T3449">
        <v>112</v>
      </c>
      <c r="U3449">
        <v>19.71</v>
      </c>
      <c r="V3449" t="str">
        <f>VLOOKUP(L3449,'[2]tabela de preços'!$A:$D,4,0)</f>
        <v>NORTON</v>
      </c>
      <c r="W3449" t="str">
        <f>VLOOKUP(L3449,'[2]tabela de preços'!$A:$F,6,0)</f>
        <v xml:space="preserve">DISCOS / LIXAS / ABRASIVOS </v>
      </c>
      <c r="X3449" t="str">
        <f>VLOOKUP(L3449,'[2]tabela de preços'!$A:$G,7,0)</f>
        <v>AUTOMOTIVO</v>
      </c>
    </row>
    <row r="3450" spans="1:24" x14ac:dyDescent="0.3">
      <c r="A3450" t="s">
        <v>2699</v>
      </c>
      <c r="C3450" t="s">
        <v>3252</v>
      </c>
      <c r="D3450" s="1">
        <v>46072</v>
      </c>
      <c r="E3450" t="s">
        <v>3253</v>
      </c>
      <c r="F3450">
        <v>9</v>
      </c>
      <c r="G3450">
        <v>174</v>
      </c>
      <c r="H3450" t="str">
        <f>VLOOKUP(G3450,[1]OPERADORES!$A:$B,2,0)</f>
        <v>MIRIÃ LOBATO RODRIGUES</v>
      </c>
      <c r="I3450" t="s">
        <v>21</v>
      </c>
      <c r="J3450" t="s">
        <v>587</v>
      </c>
      <c r="K3450" t="s">
        <v>2477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2699</v>
      </c>
      <c r="C3451" t="s">
        <v>3252</v>
      </c>
      <c r="D3451" s="1">
        <v>46072</v>
      </c>
      <c r="E3451" t="s">
        <v>3253</v>
      </c>
      <c r="F3451">
        <v>9</v>
      </c>
      <c r="G3451">
        <v>174</v>
      </c>
      <c r="H3451" t="str">
        <f>VLOOKUP(G3451,[1]OPERADORES!$A:$B,2,0)</f>
        <v>MIRIÃ LOBATO RODRIGUES</v>
      </c>
      <c r="I3451" t="s">
        <v>21</v>
      </c>
      <c r="J3451" t="s">
        <v>587</v>
      </c>
      <c r="K3451" t="s">
        <v>2477</v>
      </c>
      <c r="L3451">
        <v>10243</v>
      </c>
      <c r="M3451" t="s">
        <v>83</v>
      </c>
      <c r="O3451" t="s">
        <v>11</v>
      </c>
      <c r="P3451">
        <v>5102</v>
      </c>
      <c r="Q3451">
        <v>50</v>
      </c>
      <c r="R3451">
        <v>2.79</v>
      </c>
      <c r="S3451">
        <v>139.5</v>
      </c>
      <c r="T3451">
        <v>96.5</v>
      </c>
      <c r="U3451">
        <v>30.82</v>
      </c>
      <c r="V3451" t="str">
        <f>VLOOKUP(L3451,'[2]tabela de preços'!$A:$D,4,0)</f>
        <v>NORTON</v>
      </c>
      <c r="W3451" t="str">
        <f>VLOOKUP(L3451,'[2]tabela de preços'!$A:$F,6,0)</f>
        <v xml:space="preserve">DISCOS / LIXAS / ABRASIVOS </v>
      </c>
      <c r="X3451" t="str">
        <f>VLOOKUP(L3451,'[2]tabela de preços'!$A:$G,7,0)</f>
        <v>AUTOMOTIVO</v>
      </c>
    </row>
    <row r="3452" spans="1:24" x14ac:dyDescent="0.3">
      <c r="A3452" t="s">
        <v>1824</v>
      </c>
      <c r="B3452" t="s">
        <v>1825</v>
      </c>
      <c r="C3452" t="s">
        <v>2542</v>
      </c>
      <c r="D3452" s="1">
        <v>46056</v>
      </c>
      <c r="E3452" t="s">
        <v>2543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1788</v>
      </c>
      <c r="K3452" t="s">
        <v>1828</v>
      </c>
      <c r="L3452">
        <v>10236</v>
      </c>
      <c r="M3452" t="s">
        <v>133</v>
      </c>
      <c r="O3452" t="s">
        <v>11</v>
      </c>
      <c r="P3452">
        <v>5102</v>
      </c>
      <c r="Q3452">
        <v>20</v>
      </c>
      <c r="R3452">
        <v>2.79</v>
      </c>
      <c r="S3452">
        <v>55.8</v>
      </c>
      <c r="T3452">
        <v>46.4</v>
      </c>
      <c r="U3452">
        <v>16.850000000000001</v>
      </c>
      <c r="V3452" t="str">
        <f>VLOOKUP(L3452,'[2]tabela de preços'!$A:$D,4,0)</f>
        <v>NORTON</v>
      </c>
      <c r="W3452" t="str">
        <f>VLOOKUP(L3452,'[2]tabela de preços'!$A:$F,6,0)</f>
        <v xml:space="preserve">DISCOS / LIXAS / ABRASIVOS </v>
      </c>
      <c r="X3452" t="str">
        <f>VLOOKUP(L3452,'[2]tabela de preços'!$A:$G,7,0)</f>
        <v>AUTOMOTIVO</v>
      </c>
    </row>
    <row r="3453" spans="1:24" x14ac:dyDescent="0.3">
      <c r="A3453" t="s">
        <v>1824</v>
      </c>
      <c r="B3453" t="s">
        <v>1825</v>
      </c>
      <c r="C3453" t="s">
        <v>2542</v>
      </c>
      <c r="D3453" s="1">
        <v>46056</v>
      </c>
      <c r="E3453" t="s">
        <v>2543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1788</v>
      </c>
      <c r="K3453" t="s">
        <v>1828</v>
      </c>
      <c r="L3453">
        <v>10230</v>
      </c>
      <c r="M3453" t="s">
        <v>193</v>
      </c>
      <c r="O3453" t="s">
        <v>11</v>
      </c>
      <c r="P3453">
        <v>5102</v>
      </c>
      <c r="Q3453">
        <v>20</v>
      </c>
      <c r="R3453">
        <v>2.79</v>
      </c>
      <c r="S3453">
        <v>55.8</v>
      </c>
      <c r="T3453">
        <v>46.4</v>
      </c>
      <c r="U3453">
        <v>16.850000000000001</v>
      </c>
      <c r="V3453" t="str">
        <f>VLOOKUP(L3453,'[2]tabela de preços'!$A:$D,4,0)</f>
        <v>NORTON</v>
      </c>
      <c r="W3453" t="str">
        <f>VLOOKUP(L3453,'[2]tabela de preços'!$A:$F,6,0)</f>
        <v xml:space="preserve">DISCOS / LIXAS / ABRASIVOS </v>
      </c>
      <c r="X3453" t="str">
        <f>VLOOKUP(L3453,'[2]tabela de preços'!$A:$G,7,0)</f>
        <v>AUTOMOTIVO</v>
      </c>
    </row>
    <row r="3454" spans="1:24" x14ac:dyDescent="0.3">
      <c r="A3454" t="s">
        <v>1824</v>
      </c>
      <c r="B3454" t="s">
        <v>1825</v>
      </c>
      <c r="C3454" t="s">
        <v>2542</v>
      </c>
      <c r="D3454" s="1">
        <v>46056</v>
      </c>
      <c r="E3454" t="s">
        <v>2543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1788</v>
      </c>
      <c r="K3454" t="s">
        <v>1828</v>
      </c>
      <c r="L3454">
        <v>5</v>
      </c>
      <c r="M3454" t="s">
        <v>147</v>
      </c>
      <c r="O3454" t="s">
        <v>11</v>
      </c>
      <c r="P3454">
        <v>5102</v>
      </c>
      <c r="Q3454">
        <v>3</v>
      </c>
      <c r="R3454">
        <v>5.33</v>
      </c>
      <c r="S3454">
        <v>15.99</v>
      </c>
      <c r="T3454">
        <v>11.73</v>
      </c>
      <c r="U3454">
        <v>26.64</v>
      </c>
      <c r="V3454" t="str">
        <f>VLOOKUP(L3454,'[2]tabela de preços'!$A:$D,4,0)</f>
        <v>BRILHO ESTOPA</v>
      </c>
      <c r="W3454" t="str">
        <f>VLOOKUP(L3454,'[2]tabela de preços'!$A:$F,6,0)</f>
        <v>ESTOPAS</v>
      </c>
      <c r="X3454" t="str">
        <f>VLOOKUP(L3454,'[2]tabela de preços'!$A:$G,7,0)</f>
        <v>AUTOMOTIVO</v>
      </c>
    </row>
    <row r="3455" spans="1:24" x14ac:dyDescent="0.3">
      <c r="A3455" t="s">
        <v>1824</v>
      </c>
      <c r="B3455" t="s">
        <v>1825</v>
      </c>
      <c r="C3455" t="s">
        <v>2542</v>
      </c>
      <c r="D3455" s="1">
        <v>46056</v>
      </c>
      <c r="E3455" t="s">
        <v>2543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1788</v>
      </c>
      <c r="K3455" t="s">
        <v>1828</v>
      </c>
      <c r="L3455">
        <v>23425</v>
      </c>
      <c r="M3455" t="s">
        <v>2544</v>
      </c>
      <c r="O3455" t="s">
        <v>11</v>
      </c>
      <c r="P3455">
        <v>5102</v>
      </c>
      <c r="Q3455">
        <v>8</v>
      </c>
      <c r="R3455">
        <v>17.760000000000002</v>
      </c>
      <c r="S3455">
        <v>142.08000000000001</v>
      </c>
      <c r="T3455">
        <v>107.84</v>
      </c>
      <c r="U3455">
        <v>24.1</v>
      </c>
      <c r="V3455" t="str">
        <f>VLOOKUP(L3455,'[2]tabela de preços'!$A:$D,4,0)</f>
        <v>NORTON</v>
      </c>
      <c r="W3455" t="str">
        <f>VLOOKUP(L3455,'[2]tabela de preços'!$A:$F,6,0)</f>
        <v xml:space="preserve">OUTROS DISCOS </v>
      </c>
      <c r="X3455" t="str">
        <f>VLOOKUP(L3455,'[2]tabela de preços'!$A:$G,7,0)</f>
        <v>AUTOMOTIVO</v>
      </c>
    </row>
    <row r="3456" spans="1:24" x14ac:dyDescent="0.3">
      <c r="A3456" t="s">
        <v>1824</v>
      </c>
      <c r="B3456" t="s">
        <v>1825</v>
      </c>
      <c r="C3456" t="s">
        <v>2542</v>
      </c>
      <c r="D3456" s="1">
        <v>46056</v>
      </c>
      <c r="E3456" t="s">
        <v>2543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1788</v>
      </c>
      <c r="K3456" t="s">
        <v>1828</v>
      </c>
      <c r="L3456">
        <v>23690</v>
      </c>
      <c r="M3456" t="s">
        <v>98</v>
      </c>
      <c r="O3456" t="s">
        <v>11</v>
      </c>
      <c r="P3456">
        <v>5403</v>
      </c>
      <c r="Q3456">
        <v>6</v>
      </c>
      <c r="R3456">
        <v>39.9</v>
      </c>
      <c r="S3456">
        <v>239.4</v>
      </c>
      <c r="T3456">
        <v>189.66</v>
      </c>
      <c r="U3456">
        <v>20.78</v>
      </c>
      <c r="V3456" t="str">
        <f>VLOOKUP(L3456,'[2]tabela de preços'!$A:$D,4,0)</f>
        <v>WANDA</v>
      </c>
      <c r="W3456" t="str">
        <f>VLOOKUP(L3456,'[2]tabela de preços'!$A:$F,6,0)</f>
        <v>VERNIZ AUTOMOTIVO</v>
      </c>
      <c r="X3456" t="str">
        <f>VLOOKUP(L3456,'[2]tabela de preços'!$A:$G,7,0)</f>
        <v>AUTOMOTIVO</v>
      </c>
    </row>
    <row r="3457" spans="1:24" x14ac:dyDescent="0.3">
      <c r="A3457" t="s">
        <v>1824</v>
      </c>
      <c r="B3457" t="s">
        <v>1825</v>
      </c>
      <c r="C3457" t="s">
        <v>2542</v>
      </c>
      <c r="D3457" s="1">
        <v>46056</v>
      </c>
      <c r="E3457" t="s">
        <v>2543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1788</v>
      </c>
      <c r="K3457" t="s">
        <v>1828</v>
      </c>
      <c r="L3457">
        <v>87043</v>
      </c>
      <c r="M3457" t="s">
        <v>217</v>
      </c>
      <c r="O3457" t="s">
        <v>11</v>
      </c>
      <c r="P3457">
        <v>5102</v>
      </c>
      <c r="Q3457">
        <v>8</v>
      </c>
      <c r="R3457">
        <v>21.95</v>
      </c>
      <c r="S3457">
        <v>175.6</v>
      </c>
      <c r="T3457">
        <v>144.16</v>
      </c>
      <c r="U3457">
        <v>17.899999999999999</v>
      </c>
      <c r="V3457" t="str">
        <f>VLOOKUP(L3457,'[2]tabela de preços'!$A:$D,4,0)</f>
        <v>ROBERLO</v>
      </c>
      <c r="W3457" t="str">
        <f>VLOOKUP(L3457,'[2]tabela de preços'!$A:$F,6,0)</f>
        <v>MASSA POLIÉSTER</v>
      </c>
      <c r="X3457" t="str">
        <f>VLOOKUP(L3457,'[2]tabela de preços'!$A:$G,7,0)</f>
        <v>AUTOMOTIVO</v>
      </c>
    </row>
    <row r="3458" spans="1:24" x14ac:dyDescent="0.3">
      <c r="A3458" t="s">
        <v>1824</v>
      </c>
      <c r="B3458" t="s">
        <v>1825</v>
      </c>
      <c r="C3458" t="s">
        <v>2542</v>
      </c>
      <c r="D3458" s="1">
        <v>46056</v>
      </c>
      <c r="E3458" t="s">
        <v>2543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1788</v>
      </c>
      <c r="K3458" t="s">
        <v>1828</v>
      </c>
      <c r="L3458">
        <v>84560</v>
      </c>
      <c r="M3458" t="s">
        <v>118</v>
      </c>
      <c r="O3458" t="s">
        <v>11</v>
      </c>
      <c r="P3458">
        <v>5102</v>
      </c>
      <c r="Q3458">
        <v>2</v>
      </c>
      <c r="R3458">
        <v>47.89</v>
      </c>
      <c r="S3458">
        <v>95.78</v>
      </c>
      <c r="T3458">
        <v>78.319999999999993</v>
      </c>
      <c r="U3458">
        <v>18.23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1824</v>
      </c>
      <c r="B3459" t="s">
        <v>1825</v>
      </c>
      <c r="C3459" t="s">
        <v>3254</v>
      </c>
      <c r="D3459" s="1">
        <v>46072</v>
      </c>
      <c r="E3459" t="s">
        <v>3255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1788</v>
      </c>
      <c r="K3459" t="s">
        <v>1828</v>
      </c>
      <c r="L3459">
        <v>10236</v>
      </c>
      <c r="M3459" t="s">
        <v>133</v>
      </c>
      <c r="O3459" t="s">
        <v>11</v>
      </c>
      <c r="P3459">
        <v>5102</v>
      </c>
      <c r="Q3459">
        <v>10</v>
      </c>
      <c r="R3459">
        <v>2.79</v>
      </c>
      <c r="S3459">
        <v>27.9</v>
      </c>
      <c r="T3459">
        <v>23.2</v>
      </c>
      <c r="U3459">
        <v>16.850000000000001</v>
      </c>
      <c r="V3459" t="str">
        <f>VLOOKUP(L3459,'[2]tabela de preços'!$A:$D,4,0)</f>
        <v>NORTON</v>
      </c>
      <c r="W3459" t="str">
        <f>VLOOKUP(L3459,'[2]tabela de preços'!$A:$F,6,0)</f>
        <v xml:space="preserve">DISCOS / LIXAS / ABRASIVOS </v>
      </c>
      <c r="X3459" t="str">
        <f>VLOOKUP(L3459,'[2]tabela de preços'!$A:$G,7,0)</f>
        <v>AUTOMOTIVO</v>
      </c>
    </row>
    <row r="3460" spans="1:24" x14ac:dyDescent="0.3">
      <c r="A3460" t="s">
        <v>1824</v>
      </c>
      <c r="B3460" t="s">
        <v>1825</v>
      </c>
      <c r="C3460" t="s">
        <v>3254</v>
      </c>
      <c r="D3460" s="1">
        <v>46072</v>
      </c>
      <c r="E3460" t="s">
        <v>3255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1788</v>
      </c>
      <c r="K3460" t="s">
        <v>1828</v>
      </c>
      <c r="L3460">
        <v>10230</v>
      </c>
      <c r="M3460" t="s">
        <v>193</v>
      </c>
      <c r="O3460" t="s">
        <v>11</v>
      </c>
      <c r="P3460">
        <v>5102</v>
      </c>
      <c r="Q3460">
        <v>10</v>
      </c>
      <c r="R3460">
        <v>2.79</v>
      </c>
      <c r="S3460">
        <v>27.9</v>
      </c>
      <c r="T3460">
        <v>23.2</v>
      </c>
      <c r="U3460">
        <v>16.850000000000001</v>
      </c>
      <c r="V3460" t="str">
        <f>VLOOKUP(L3460,'[2]tabela de preços'!$A:$D,4,0)</f>
        <v>NORTON</v>
      </c>
      <c r="W3460" t="str">
        <f>VLOOKUP(L3460,'[2]tabela de preços'!$A:$F,6,0)</f>
        <v xml:space="preserve">DISCOS / LIXAS / ABRASIVOS </v>
      </c>
      <c r="X3460" t="str">
        <f>VLOOKUP(L3460,'[2]tabela de preços'!$A:$G,7,0)</f>
        <v>AUTOMOTIVO</v>
      </c>
    </row>
    <row r="3461" spans="1:24" x14ac:dyDescent="0.3">
      <c r="A3461" t="s">
        <v>1824</v>
      </c>
      <c r="B3461" t="s">
        <v>1825</v>
      </c>
      <c r="C3461" t="s">
        <v>3254</v>
      </c>
      <c r="D3461" s="1">
        <v>46072</v>
      </c>
      <c r="E3461" t="s">
        <v>3255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1788</v>
      </c>
      <c r="K3461" t="s">
        <v>1828</v>
      </c>
      <c r="L3461">
        <v>24240</v>
      </c>
      <c r="M3461" t="s">
        <v>240</v>
      </c>
      <c r="O3461" t="s">
        <v>11</v>
      </c>
      <c r="P3461">
        <v>5102</v>
      </c>
      <c r="Q3461">
        <v>10</v>
      </c>
      <c r="R3461">
        <v>3.81</v>
      </c>
      <c r="S3461">
        <v>38.1</v>
      </c>
      <c r="T3461">
        <v>32.799999999999997</v>
      </c>
      <c r="U3461">
        <v>13.91</v>
      </c>
      <c r="V3461" t="str">
        <f>VLOOKUP(L3461,'[2]tabela de preços'!$A:$D,4,0)</f>
        <v>ADERE</v>
      </c>
      <c r="W3461" t="str">
        <f>VLOOKUP(L3461,'[2]tabela de preços'!$A:$F,6,0)</f>
        <v>FITA AUTOMOTIVA</v>
      </c>
      <c r="X3461" t="str">
        <f>VLOOKUP(L3461,'[2]tabela de preços'!$A:$G,7,0)</f>
        <v>AUTOMOTIVO</v>
      </c>
    </row>
    <row r="3462" spans="1:24" x14ac:dyDescent="0.3">
      <c r="A3462" t="s">
        <v>1824</v>
      </c>
      <c r="B3462" t="s">
        <v>1825</v>
      </c>
      <c r="C3462" t="s">
        <v>3254</v>
      </c>
      <c r="D3462" s="1">
        <v>46072</v>
      </c>
      <c r="E3462" t="s">
        <v>3255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1788</v>
      </c>
      <c r="K3462" t="s">
        <v>1828</v>
      </c>
      <c r="L3462">
        <v>23690</v>
      </c>
      <c r="M3462" t="s">
        <v>98</v>
      </c>
      <c r="O3462" t="s">
        <v>11</v>
      </c>
      <c r="P3462">
        <v>5403</v>
      </c>
      <c r="Q3462">
        <v>6</v>
      </c>
      <c r="R3462">
        <v>39.89</v>
      </c>
      <c r="S3462">
        <v>239.34</v>
      </c>
      <c r="T3462">
        <v>189.66</v>
      </c>
      <c r="U3462">
        <v>20.76</v>
      </c>
      <c r="V3462" t="str">
        <f>VLOOKUP(L3462,'[2]tabela de preços'!$A:$D,4,0)</f>
        <v>WANDA</v>
      </c>
      <c r="W3462" t="str">
        <f>VLOOKUP(L3462,'[2]tabela de preços'!$A:$F,6,0)</f>
        <v>VERNIZ AUTOMOTIVO</v>
      </c>
      <c r="X3462" t="str">
        <f>VLOOKUP(L3462,'[2]tabela de preços'!$A:$G,7,0)</f>
        <v>AUTOMOTIVO</v>
      </c>
    </row>
    <row r="3463" spans="1:24" x14ac:dyDescent="0.3">
      <c r="A3463" t="s">
        <v>1824</v>
      </c>
      <c r="B3463" t="s">
        <v>1825</v>
      </c>
      <c r="C3463" t="s">
        <v>3254</v>
      </c>
      <c r="D3463" s="1">
        <v>46072</v>
      </c>
      <c r="E3463" t="s">
        <v>3255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1788</v>
      </c>
      <c r="K3463" t="s">
        <v>1828</v>
      </c>
      <c r="L3463">
        <v>13</v>
      </c>
      <c r="M3463" t="s">
        <v>152</v>
      </c>
      <c r="O3463" t="s">
        <v>11</v>
      </c>
      <c r="P3463">
        <v>5102</v>
      </c>
      <c r="Q3463">
        <v>10</v>
      </c>
      <c r="R3463">
        <v>5.79</v>
      </c>
      <c r="S3463">
        <v>57.9</v>
      </c>
      <c r="T3463">
        <v>41.6</v>
      </c>
      <c r="U3463">
        <v>28.15</v>
      </c>
      <c r="V3463" t="str">
        <f>VLOOKUP(L3463,'[2]tabela de preços'!$A:$D,4,0)</f>
        <v>3M</v>
      </c>
      <c r="W3463" t="str">
        <f>VLOOKUP(L3463,'[2]tabela de preços'!$A:$F,6,0)</f>
        <v>LIXA DÁGUA</v>
      </c>
      <c r="X3463" t="str">
        <f>VLOOKUP(L3463,'[2]tabela de preços'!$A:$G,7,0)</f>
        <v>AUTOMOTIVO</v>
      </c>
    </row>
    <row r="3464" spans="1:24" x14ac:dyDescent="0.3">
      <c r="A3464" t="s">
        <v>1824</v>
      </c>
      <c r="B3464" t="s">
        <v>1825</v>
      </c>
      <c r="C3464" t="s">
        <v>3254</v>
      </c>
      <c r="D3464" s="1">
        <v>46072</v>
      </c>
      <c r="E3464" t="s">
        <v>3255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1788</v>
      </c>
      <c r="K3464" t="s">
        <v>1828</v>
      </c>
      <c r="L3464">
        <v>16</v>
      </c>
      <c r="M3464" t="s">
        <v>122</v>
      </c>
      <c r="O3464" t="s">
        <v>11</v>
      </c>
      <c r="P3464">
        <v>5102</v>
      </c>
      <c r="Q3464">
        <v>4</v>
      </c>
      <c r="R3464">
        <v>2.9</v>
      </c>
      <c r="S3464">
        <v>11.6</v>
      </c>
      <c r="T3464">
        <v>8.8000000000000007</v>
      </c>
      <c r="U3464">
        <v>24.14</v>
      </c>
      <c r="V3464" t="str">
        <f>VLOOKUP(L3464,'[2]tabela de preços'!$A:$D,4,0)</f>
        <v>3M</v>
      </c>
      <c r="W3464" t="str">
        <f>VLOOKUP(L3464,'[2]tabela de preços'!$A:$F,6,0)</f>
        <v>LIXA DÁGUA</v>
      </c>
      <c r="X3464" t="str">
        <f>VLOOKUP(L3464,'[2]tabela de preços'!$A:$G,7,0)</f>
        <v>AUTOMOTIVO</v>
      </c>
    </row>
    <row r="3465" spans="1:24" x14ac:dyDescent="0.3">
      <c r="A3465" t="s">
        <v>1824</v>
      </c>
      <c r="B3465" t="s">
        <v>1825</v>
      </c>
      <c r="C3465" t="s">
        <v>3254</v>
      </c>
      <c r="D3465" s="1">
        <v>46072</v>
      </c>
      <c r="E3465" t="s">
        <v>3255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1788</v>
      </c>
      <c r="K3465" t="s">
        <v>1828</v>
      </c>
      <c r="L3465">
        <v>10238</v>
      </c>
      <c r="M3465" t="s">
        <v>79</v>
      </c>
      <c r="O3465" t="s">
        <v>11</v>
      </c>
      <c r="P3465">
        <v>5102</v>
      </c>
      <c r="Q3465">
        <v>10</v>
      </c>
      <c r="R3465">
        <v>2.79</v>
      </c>
      <c r="S3465">
        <v>27.9</v>
      </c>
      <c r="T3465">
        <v>22.4</v>
      </c>
      <c r="U3465">
        <v>19.71</v>
      </c>
      <c r="V3465" t="str">
        <f>VLOOKUP(L3465,'[2]tabela de preços'!$A:$D,4,0)</f>
        <v>NORTON</v>
      </c>
      <c r="W3465" t="str">
        <f>VLOOKUP(L3465,'[2]tabela de preços'!$A:$F,6,0)</f>
        <v xml:space="preserve">DISCOS / LIXAS / ABRASIVOS </v>
      </c>
      <c r="X3465" t="str">
        <f>VLOOKUP(L3465,'[2]tabela de preços'!$A:$G,7,0)</f>
        <v>AUTOMOTIVO</v>
      </c>
    </row>
    <row r="3466" spans="1:24" x14ac:dyDescent="0.3">
      <c r="A3466" t="s">
        <v>1824</v>
      </c>
      <c r="B3466" t="s">
        <v>1825</v>
      </c>
      <c r="C3466" t="s">
        <v>3254</v>
      </c>
      <c r="D3466" s="1">
        <v>46072</v>
      </c>
      <c r="E3466" t="s">
        <v>3255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1788</v>
      </c>
      <c r="K3466" t="s">
        <v>1828</v>
      </c>
      <c r="L3466">
        <v>10243</v>
      </c>
      <c r="M3466" t="s">
        <v>83</v>
      </c>
      <c r="O3466" t="s">
        <v>11</v>
      </c>
      <c r="P3466">
        <v>5102</v>
      </c>
      <c r="Q3466">
        <v>10</v>
      </c>
      <c r="R3466">
        <v>2.79</v>
      </c>
      <c r="S3466">
        <v>27.9</v>
      </c>
      <c r="T3466">
        <v>19.3</v>
      </c>
      <c r="U3466">
        <v>30.82</v>
      </c>
      <c r="V3466" t="str">
        <f>VLOOKUP(L3466,'[2]tabela de preços'!$A:$D,4,0)</f>
        <v>NORTON</v>
      </c>
      <c r="W3466" t="str">
        <f>VLOOKUP(L3466,'[2]tabela de preços'!$A:$F,6,0)</f>
        <v xml:space="preserve">DISCOS / LIXAS / ABRASIVOS </v>
      </c>
      <c r="X3466" t="str">
        <f>VLOOKUP(L3466,'[2]tabela de preços'!$A:$G,7,0)</f>
        <v>AUTOMOTIVO</v>
      </c>
    </row>
    <row r="3467" spans="1:24" x14ac:dyDescent="0.3">
      <c r="A3467" t="s">
        <v>1824</v>
      </c>
      <c r="B3467" t="s">
        <v>1825</v>
      </c>
      <c r="C3467" t="s">
        <v>3254</v>
      </c>
      <c r="D3467" s="1">
        <v>46072</v>
      </c>
      <c r="E3467" t="s">
        <v>3255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1788</v>
      </c>
      <c r="K3467" t="s">
        <v>1828</v>
      </c>
      <c r="L3467">
        <v>10244</v>
      </c>
      <c r="M3467" t="s">
        <v>84</v>
      </c>
      <c r="O3467" t="s">
        <v>11</v>
      </c>
      <c r="P3467">
        <v>5102</v>
      </c>
      <c r="Q3467">
        <v>10</v>
      </c>
      <c r="R3467">
        <v>2.79</v>
      </c>
      <c r="S3467">
        <v>27.9</v>
      </c>
      <c r="T3467">
        <v>19.3</v>
      </c>
      <c r="U3467">
        <v>30.82</v>
      </c>
      <c r="V3467" t="str">
        <f>VLOOKUP(L3467,'[2]tabela de preços'!$A:$D,4,0)</f>
        <v>NORTON</v>
      </c>
      <c r="W3467" t="str">
        <f>VLOOKUP(L3467,'[2]tabela de preços'!$A:$F,6,0)</f>
        <v xml:space="preserve">DISCOS / LIXAS / ABRASIVOS </v>
      </c>
      <c r="X3467" t="str">
        <f>VLOOKUP(L3467,'[2]tabela de preços'!$A:$G,7,0)</f>
        <v>AUTOMOTIVO</v>
      </c>
    </row>
    <row r="3468" spans="1:24" x14ac:dyDescent="0.3">
      <c r="A3468" t="s">
        <v>1824</v>
      </c>
      <c r="B3468" t="s">
        <v>1825</v>
      </c>
      <c r="C3468" t="s">
        <v>3254</v>
      </c>
      <c r="D3468" s="1">
        <v>46072</v>
      </c>
      <c r="E3468" t="s">
        <v>3255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1788</v>
      </c>
      <c r="K3468" t="s">
        <v>1828</v>
      </c>
      <c r="L3468">
        <v>84560</v>
      </c>
      <c r="M3468" t="s">
        <v>118</v>
      </c>
      <c r="O3468" t="s">
        <v>11</v>
      </c>
      <c r="P3468">
        <v>5102</v>
      </c>
      <c r="Q3468">
        <v>2</v>
      </c>
      <c r="R3468">
        <v>47.89</v>
      </c>
      <c r="S3468">
        <v>95.78</v>
      </c>
      <c r="T3468">
        <v>78.319999999999993</v>
      </c>
      <c r="U3468">
        <v>18.23</v>
      </c>
      <c r="V3468" t="str">
        <f>VLOOKUP(L3468,'[2]tabela de preços'!$A:$D,4,0)</f>
        <v>BRASILUX</v>
      </c>
      <c r="W3468" t="str">
        <f>VLOOKUP(L3468,'[2]tabela de preços'!$A:$F,6,0)</f>
        <v>THINNER DE LIMPEZA</v>
      </c>
      <c r="X3468" t="str">
        <f>VLOOKUP(L3468,'[2]tabela de preços'!$A:$G,7,0)</f>
        <v>THINNER</v>
      </c>
    </row>
    <row r="3469" spans="1:24" x14ac:dyDescent="0.3">
      <c r="A3469" t="s">
        <v>2704</v>
      </c>
      <c r="C3469" t="s">
        <v>2705</v>
      </c>
      <c r="D3469" s="1">
        <v>46058</v>
      </c>
      <c r="E3469" t="s">
        <v>2706</v>
      </c>
      <c r="F3469">
        <v>9</v>
      </c>
      <c r="G3469">
        <v>236</v>
      </c>
      <c r="H3469" t="str">
        <f>VLOOKUP(G3469,[1]OPERADORES!$A:$B,2,0)</f>
        <v>DANIEL</v>
      </c>
      <c r="I3469" t="s">
        <v>602</v>
      </c>
      <c r="J3469" t="s">
        <v>1328</v>
      </c>
      <c r="K3469" t="s">
        <v>2707</v>
      </c>
      <c r="L3469">
        <v>24241</v>
      </c>
      <c r="M3469" t="s">
        <v>233</v>
      </c>
      <c r="O3469" t="s">
        <v>11</v>
      </c>
      <c r="P3469">
        <v>6102</v>
      </c>
      <c r="Q3469">
        <v>70</v>
      </c>
      <c r="R3469">
        <v>12.2</v>
      </c>
      <c r="S3469">
        <v>854</v>
      </c>
      <c r="T3469">
        <v>648.20000000000005</v>
      </c>
      <c r="U3469">
        <v>24.1</v>
      </c>
      <c r="V3469" t="str">
        <f>VLOOKUP(L3469,'[2]tabela de preços'!$A:$D,4,0)</f>
        <v>ADERE</v>
      </c>
      <c r="W3469" t="str">
        <f>VLOOKUP(L3469,'[2]tabela de preços'!$A:$F,6,0)</f>
        <v>FITA AUTOMOTIVA</v>
      </c>
      <c r="X3469" t="str">
        <f>VLOOKUP(L3469,'[2]tabela de preços'!$A:$G,7,0)</f>
        <v>AUTOMOTIVO</v>
      </c>
    </row>
    <row r="3470" spans="1:24" x14ac:dyDescent="0.3">
      <c r="A3470" t="s">
        <v>1847</v>
      </c>
      <c r="B3470" t="s">
        <v>1848</v>
      </c>
      <c r="C3470" t="s">
        <v>2708</v>
      </c>
      <c r="D3470" s="1">
        <v>46057</v>
      </c>
      <c r="E3470" t="s">
        <v>2709</v>
      </c>
      <c r="F3470">
        <v>9</v>
      </c>
      <c r="G3470">
        <v>236</v>
      </c>
      <c r="H3470" t="str">
        <f>VLOOKUP(G3470,[1]OPERADORES!$A:$B,2,0)</f>
        <v>DANIEL</v>
      </c>
      <c r="I3470" t="s">
        <v>21</v>
      </c>
      <c r="J3470" t="s">
        <v>357</v>
      </c>
      <c r="K3470" t="s">
        <v>1851</v>
      </c>
      <c r="L3470">
        <v>20052</v>
      </c>
      <c r="M3470" t="s">
        <v>795</v>
      </c>
      <c r="O3470" t="s">
        <v>11</v>
      </c>
      <c r="P3470">
        <v>5403</v>
      </c>
      <c r="Q3470">
        <v>1</v>
      </c>
      <c r="R3470">
        <v>58.34</v>
      </c>
      <c r="S3470">
        <v>58.34</v>
      </c>
      <c r="T3470">
        <v>41.82</v>
      </c>
      <c r="U3470">
        <v>28.32</v>
      </c>
      <c r="V3470" t="str">
        <f>VLOOKUP(L3470,'[2]tabela de preços'!$A:$D,4,0)</f>
        <v>SHERWIN WILLIAMS</v>
      </c>
      <c r="W3470" t="str">
        <f>VLOOKUP(L3470,'[2]tabela de preços'!$A:$F,6,0)</f>
        <v>CATALISADORES INDIVIDUAS</v>
      </c>
      <c r="X3470" t="str">
        <f>VLOOKUP(L3470,'[2]tabela de preços'!$A:$G,7,0)</f>
        <v>AUTOMOTIVO</v>
      </c>
    </row>
    <row r="3471" spans="1:24" x14ac:dyDescent="0.3">
      <c r="A3471" t="s">
        <v>1847</v>
      </c>
      <c r="B3471" t="s">
        <v>1848</v>
      </c>
      <c r="C3471" t="s">
        <v>2708</v>
      </c>
      <c r="D3471" s="1">
        <v>46057</v>
      </c>
      <c r="E3471" t="s">
        <v>2709</v>
      </c>
      <c r="F3471">
        <v>9</v>
      </c>
      <c r="G3471">
        <v>236</v>
      </c>
      <c r="H3471" t="str">
        <f>VLOOKUP(G3471,[1]OPERADORES!$A:$B,2,0)</f>
        <v>DANIEL</v>
      </c>
      <c r="I3471" t="s">
        <v>21</v>
      </c>
      <c r="J3471" t="s">
        <v>357</v>
      </c>
      <c r="K3471" t="s">
        <v>1851</v>
      </c>
      <c r="L3471">
        <v>22233</v>
      </c>
      <c r="M3471" t="s">
        <v>184</v>
      </c>
      <c r="O3471" t="s">
        <v>11</v>
      </c>
      <c r="P3471">
        <v>5102</v>
      </c>
      <c r="Q3471">
        <v>3</v>
      </c>
      <c r="R3471">
        <v>31.94</v>
      </c>
      <c r="S3471">
        <v>95.82</v>
      </c>
      <c r="T3471">
        <v>68.7</v>
      </c>
      <c r="U3471">
        <v>28.3</v>
      </c>
      <c r="V3471" t="str">
        <f>VLOOKUP(L3471,'[2]tabela de preços'!$A:$D,4,0)</f>
        <v>3M</v>
      </c>
      <c r="W3471" t="str">
        <f>VLOOKUP(L3471,'[2]tabela de preços'!$A:$F,6,0)</f>
        <v>FITA DUPLA FACE</v>
      </c>
      <c r="X3471" t="str">
        <f>VLOOKUP(L3471,'[2]tabela de preços'!$A:$G,7,0)</f>
        <v>AUTOMOTIVO</v>
      </c>
    </row>
    <row r="3472" spans="1:24" x14ac:dyDescent="0.3">
      <c r="A3472" t="s">
        <v>1847</v>
      </c>
      <c r="B3472" t="s">
        <v>1848</v>
      </c>
      <c r="C3472" t="s">
        <v>2710</v>
      </c>
      <c r="D3472" s="1">
        <v>46058</v>
      </c>
      <c r="E3472" t="s">
        <v>2711</v>
      </c>
      <c r="F3472">
        <v>9</v>
      </c>
      <c r="G3472">
        <v>236</v>
      </c>
      <c r="H3472" t="str">
        <f>VLOOKUP(G3472,[1]OPERADORES!$A:$B,2,0)</f>
        <v>DANIEL</v>
      </c>
      <c r="I3472" t="s">
        <v>21</v>
      </c>
      <c r="J3472" t="s">
        <v>357</v>
      </c>
      <c r="K3472" t="s">
        <v>1851</v>
      </c>
      <c r="L3472">
        <v>21067</v>
      </c>
      <c r="M3472" t="s">
        <v>640</v>
      </c>
      <c r="O3472" t="s">
        <v>11</v>
      </c>
      <c r="P3472">
        <v>5102</v>
      </c>
      <c r="Q3472">
        <v>6</v>
      </c>
      <c r="R3472">
        <v>38.200000000000003</v>
      </c>
      <c r="S3472">
        <v>229.2</v>
      </c>
      <c r="T3472">
        <v>164.28</v>
      </c>
      <c r="U3472">
        <v>28.32</v>
      </c>
      <c r="V3472" t="str">
        <f>VLOOKUP(L3472,'[2]tabela de preços'!$A:$D,4,0)</f>
        <v>SIKKENS</v>
      </c>
      <c r="W3472" t="str">
        <f>VLOOKUP(L3472,'[2]tabela de preços'!$A:$F,6,0)</f>
        <v>DILUENTE</v>
      </c>
      <c r="X3472" t="str">
        <f>VLOOKUP(L3472,'[2]tabela de preços'!$A:$G,7,0)</f>
        <v>AUTOMOTIVO</v>
      </c>
    </row>
    <row r="3473" spans="1:24" x14ac:dyDescent="0.3">
      <c r="A3473" t="s">
        <v>1847</v>
      </c>
      <c r="B3473" t="s">
        <v>1848</v>
      </c>
      <c r="C3473" t="s">
        <v>3256</v>
      </c>
      <c r="D3473" s="1">
        <v>46065</v>
      </c>
      <c r="E3473" t="s">
        <v>3257</v>
      </c>
      <c r="F3473">
        <v>9</v>
      </c>
      <c r="G3473">
        <v>236</v>
      </c>
      <c r="H3473" t="str">
        <f>VLOOKUP(G3473,[1]OPERADORES!$A:$B,2,0)</f>
        <v>DANIEL</v>
      </c>
      <c r="I3473" t="s">
        <v>21</v>
      </c>
      <c r="J3473" t="s">
        <v>357</v>
      </c>
      <c r="K3473" t="s">
        <v>1851</v>
      </c>
      <c r="L3473">
        <v>10277</v>
      </c>
      <c r="M3473" t="s">
        <v>135</v>
      </c>
      <c r="O3473" t="s">
        <v>11</v>
      </c>
      <c r="P3473">
        <v>5102</v>
      </c>
      <c r="Q3473">
        <v>12</v>
      </c>
      <c r="R3473">
        <v>15.89</v>
      </c>
      <c r="S3473">
        <v>190.68</v>
      </c>
      <c r="T3473">
        <v>154.56</v>
      </c>
      <c r="U3473">
        <v>18.940000000000001</v>
      </c>
      <c r="V3473" t="str">
        <f>VLOOKUP(L3473,'[2]tabela de preços'!$A:$D,4,0)</f>
        <v>RETOQUE</v>
      </c>
      <c r="W3473" t="str">
        <f>VLOOKUP(L3473,'[2]tabela de preços'!$A:$F,6,0)</f>
        <v xml:space="preserve">COLA  PLÁSTICA </v>
      </c>
      <c r="X3473" t="str">
        <f>VLOOKUP(L3473,'[2]tabela de preços'!$A:$G,7,0)</f>
        <v>AUTOMOTIVO</v>
      </c>
    </row>
    <row r="3474" spans="1:24" x14ac:dyDescent="0.3">
      <c r="A3474" t="s">
        <v>1871</v>
      </c>
      <c r="C3474" t="s">
        <v>3258</v>
      </c>
      <c r="D3474" s="1">
        <v>46072</v>
      </c>
      <c r="E3474" t="s">
        <v>3259</v>
      </c>
      <c r="F3474">
        <v>9</v>
      </c>
      <c r="G3474">
        <v>174</v>
      </c>
      <c r="H3474" t="str">
        <f>VLOOKUP(G3474,[1]OPERADORES!$A:$B,2,0)</f>
        <v>MIRIÃ LOBATO RODRIGUES</v>
      </c>
      <c r="I3474" t="s">
        <v>21</v>
      </c>
      <c r="J3474" t="s">
        <v>350</v>
      </c>
      <c r="K3474" t="s">
        <v>1874</v>
      </c>
      <c r="L3474">
        <v>84498</v>
      </c>
      <c r="M3474" t="s">
        <v>533</v>
      </c>
      <c r="O3474" t="s">
        <v>11</v>
      </c>
      <c r="P3474">
        <v>5403</v>
      </c>
      <c r="Q3474">
        <v>1</v>
      </c>
      <c r="R3474">
        <v>449.7</v>
      </c>
      <c r="S3474">
        <v>449.7</v>
      </c>
      <c r="T3474">
        <v>341.33</v>
      </c>
      <c r="U3474">
        <v>24.1</v>
      </c>
      <c r="V3474" t="str">
        <f>VLOOKUP(L3474,'[2]tabela de preços'!$A:$D,4,0)</f>
        <v>BRASILUX</v>
      </c>
      <c r="W3474" t="str">
        <f>VLOOKUP(L3474,'[2]tabela de preços'!$A:$F,6,0)</f>
        <v>ESMALTES</v>
      </c>
      <c r="X3474" t="str">
        <f>VLOOKUP(L3474,'[2]tabela de preços'!$A:$G,7,0)</f>
        <v>INDUSTRIAL</v>
      </c>
    </row>
    <row r="3475" spans="1:24" x14ac:dyDescent="0.3">
      <c r="A3475" t="s">
        <v>1871</v>
      </c>
      <c r="C3475" t="s">
        <v>3258</v>
      </c>
      <c r="D3475" s="1">
        <v>46072</v>
      </c>
      <c r="E3475" t="s">
        <v>3259</v>
      </c>
      <c r="F3475">
        <v>9</v>
      </c>
      <c r="G3475">
        <v>174</v>
      </c>
      <c r="H3475" t="str">
        <f>VLOOKUP(G3475,[1]OPERADORES!$A:$B,2,0)</f>
        <v>MIRIÃ LOBATO RODRIGUES</v>
      </c>
      <c r="I3475" t="s">
        <v>21</v>
      </c>
      <c r="J3475" t="s">
        <v>350</v>
      </c>
      <c r="K3475" t="s">
        <v>1874</v>
      </c>
      <c r="L3475">
        <v>22173</v>
      </c>
      <c r="M3475" t="s">
        <v>194</v>
      </c>
      <c r="O3475" t="s">
        <v>11</v>
      </c>
      <c r="P3475">
        <v>5102</v>
      </c>
      <c r="Q3475">
        <v>5</v>
      </c>
      <c r="R3475">
        <v>4.58</v>
      </c>
      <c r="S3475">
        <v>22.9</v>
      </c>
      <c r="T3475">
        <v>17.399999999999999</v>
      </c>
      <c r="U3475">
        <v>24.02</v>
      </c>
      <c r="V3475" t="str">
        <f>VLOOKUP(L3475,'[2]tabela de preços'!$A:$D,4,0)</f>
        <v>3M</v>
      </c>
      <c r="W3475" t="str">
        <f>VLOOKUP(L3475,'[2]tabela de preços'!$A:$F,6,0)</f>
        <v>FITA AUTOMOTIVA</v>
      </c>
      <c r="X3475" t="str">
        <f>VLOOKUP(L3475,'[2]tabela de preços'!$A:$G,7,0)</f>
        <v>AUTOMOTIVO</v>
      </c>
    </row>
    <row r="3476" spans="1:24" x14ac:dyDescent="0.3">
      <c r="A3476" t="s">
        <v>2843</v>
      </c>
      <c r="C3476" t="s">
        <v>2844</v>
      </c>
      <c r="D3476" s="1">
        <v>46062</v>
      </c>
      <c r="E3476" t="s">
        <v>2845</v>
      </c>
      <c r="F3476">
        <v>9</v>
      </c>
      <c r="G3476">
        <v>236</v>
      </c>
      <c r="H3476" t="str">
        <f>VLOOKUP(G3476,[1]OPERADORES!$A:$B,2,0)</f>
        <v>DANIEL</v>
      </c>
      <c r="I3476" t="s">
        <v>715</v>
      </c>
      <c r="J3476" t="s">
        <v>2059</v>
      </c>
      <c r="K3476" t="s">
        <v>2846</v>
      </c>
      <c r="L3476">
        <v>22173</v>
      </c>
      <c r="M3476" t="s">
        <v>194</v>
      </c>
      <c r="O3476" t="s">
        <v>11</v>
      </c>
      <c r="P3476">
        <v>6102</v>
      </c>
      <c r="Q3476">
        <v>192</v>
      </c>
      <c r="R3476">
        <v>4.74</v>
      </c>
      <c r="S3476">
        <v>910.08</v>
      </c>
      <c r="T3476">
        <v>668.16</v>
      </c>
      <c r="U3476">
        <v>26.58</v>
      </c>
      <c r="V3476" t="str">
        <f>VLOOKUP(L3476,'[2]tabela de preços'!$A:$D,4,0)</f>
        <v>3M</v>
      </c>
      <c r="W3476" t="str">
        <f>VLOOKUP(L3476,'[2]tabela de preços'!$A:$F,6,0)</f>
        <v>FITA AUTOMOTIVA</v>
      </c>
      <c r="X3476" t="str">
        <f>VLOOKUP(L3476,'[2]tabela de preços'!$A:$G,7,0)</f>
        <v>AUTOMOTIVO</v>
      </c>
    </row>
    <row r="3477" spans="1:24" x14ac:dyDescent="0.3">
      <c r="A3477" t="s">
        <v>2843</v>
      </c>
      <c r="C3477" t="s">
        <v>2844</v>
      </c>
      <c r="D3477" s="1">
        <v>46062</v>
      </c>
      <c r="E3477" t="s">
        <v>2845</v>
      </c>
      <c r="F3477">
        <v>9</v>
      </c>
      <c r="G3477">
        <v>236</v>
      </c>
      <c r="H3477" t="str">
        <f>VLOOKUP(G3477,[1]OPERADORES!$A:$B,2,0)</f>
        <v>DANIEL</v>
      </c>
      <c r="I3477" t="s">
        <v>715</v>
      </c>
      <c r="J3477" t="s">
        <v>2059</v>
      </c>
      <c r="K3477" t="s">
        <v>2846</v>
      </c>
      <c r="L3477">
        <v>20239</v>
      </c>
      <c r="M3477" t="s">
        <v>2847</v>
      </c>
      <c r="O3477" t="s">
        <v>11</v>
      </c>
      <c r="P3477">
        <v>6102</v>
      </c>
      <c r="Q3477">
        <v>24</v>
      </c>
      <c r="R3477">
        <v>28.27</v>
      </c>
      <c r="S3477">
        <v>678.48</v>
      </c>
      <c r="T3477">
        <v>497.52</v>
      </c>
      <c r="U3477">
        <v>26.67</v>
      </c>
      <c r="V3477" t="str">
        <f>VLOOKUP(L3477,'[2]tabela de preços'!$A:$D,4,0)</f>
        <v>SIKA</v>
      </c>
      <c r="W3477" t="str">
        <f>VLOOKUP(L3477,'[2]tabela de preços'!$A:$F,6,0)</f>
        <v>VEDADORES / SELANTES</v>
      </c>
      <c r="X3477" t="str">
        <f>VLOOKUP(L3477,'[2]tabela de preços'!$A:$G,7,0)</f>
        <v>AUTOMOTIVO</v>
      </c>
    </row>
    <row r="3478" spans="1:24" x14ac:dyDescent="0.3">
      <c r="A3478" t="s">
        <v>3260</v>
      </c>
      <c r="C3478" t="s">
        <v>3261</v>
      </c>
      <c r="D3478" s="1">
        <v>46065</v>
      </c>
      <c r="E3478" t="s">
        <v>3262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22</v>
      </c>
      <c r="K3478" t="s">
        <v>3263</v>
      </c>
      <c r="L3478">
        <v>86984</v>
      </c>
      <c r="M3478" t="s">
        <v>720</v>
      </c>
      <c r="O3478" t="s">
        <v>11</v>
      </c>
      <c r="P3478">
        <v>5102</v>
      </c>
      <c r="Q3478">
        <v>1</v>
      </c>
      <c r="R3478">
        <v>44.9</v>
      </c>
      <c r="S3478">
        <v>44.9</v>
      </c>
      <c r="T3478">
        <v>37.21</v>
      </c>
      <c r="U3478">
        <v>17.13</v>
      </c>
      <c r="V3478" t="str">
        <f>VLOOKUP(L3478,'[2]tabela de preços'!$A:$D,4,0)</f>
        <v>ARPREX</v>
      </c>
      <c r="W3478" t="str">
        <f>VLOOKUP(L3478,'[2]tabela de preços'!$A:$F,6,0)</f>
        <v>PISTOLAS</v>
      </c>
      <c r="X3478" t="str">
        <f>VLOOKUP(L3478,'[2]tabela de preços'!$A:$G,7,0)</f>
        <v>IMOBILIÁRIO</v>
      </c>
    </row>
    <row r="3479" spans="1:24" x14ac:dyDescent="0.3">
      <c r="A3479" t="s">
        <v>3260</v>
      </c>
      <c r="C3479" t="s">
        <v>3261</v>
      </c>
      <c r="D3479" s="1">
        <v>46065</v>
      </c>
      <c r="E3479" t="s">
        <v>3262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22</v>
      </c>
      <c r="K3479" t="s">
        <v>3263</v>
      </c>
      <c r="L3479">
        <v>85644</v>
      </c>
      <c r="M3479" t="s">
        <v>689</v>
      </c>
      <c r="O3479" t="s">
        <v>11</v>
      </c>
      <c r="P3479">
        <v>5403</v>
      </c>
      <c r="Q3479">
        <v>5</v>
      </c>
      <c r="R3479">
        <v>10.4</v>
      </c>
      <c r="S3479">
        <v>52</v>
      </c>
      <c r="T3479">
        <v>33.549999999999997</v>
      </c>
      <c r="U3479">
        <v>35.479999999999997</v>
      </c>
      <c r="V3479" t="str">
        <f>VLOOKUP(L3479,'[2]tabela de preços'!$A:$D,4,0)</f>
        <v>UNIPEGA</v>
      </c>
      <c r="W3479" t="str">
        <f>VLOOKUP(L3479,'[2]tabela de preços'!$A:$F,6,0)</f>
        <v xml:space="preserve">SPRAYS </v>
      </c>
      <c r="X3479" t="str">
        <f>VLOOKUP(L3479,'[2]tabela de preços'!$A:$G,7,0)</f>
        <v>AUTOMOTIVO</v>
      </c>
    </row>
    <row r="3480" spans="1:24" x14ac:dyDescent="0.3">
      <c r="A3480" t="s">
        <v>3264</v>
      </c>
      <c r="C3480" t="s">
        <v>3265</v>
      </c>
      <c r="D3480" s="1">
        <v>46065</v>
      </c>
      <c r="E3480" t="s">
        <v>3266</v>
      </c>
      <c r="F3480">
        <v>9</v>
      </c>
      <c r="G3480">
        <v>236</v>
      </c>
      <c r="H3480" t="str">
        <f>VLOOKUP(G3480,[1]OPERADORES!$A:$B,2,0)</f>
        <v>DANIEL</v>
      </c>
      <c r="I3480" t="s">
        <v>2209</v>
      </c>
      <c r="J3480" t="s">
        <v>3267</v>
      </c>
      <c r="K3480" t="s">
        <v>3268</v>
      </c>
      <c r="L3480">
        <v>10163</v>
      </c>
      <c r="M3480" t="s">
        <v>3269</v>
      </c>
      <c r="O3480" t="s">
        <v>11</v>
      </c>
      <c r="P3480">
        <v>6102</v>
      </c>
      <c r="Q3480">
        <v>100</v>
      </c>
      <c r="R3480">
        <v>9.49</v>
      </c>
      <c r="S3480">
        <v>949</v>
      </c>
      <c r="T3480">
        <v>929</v>
      </c>
      <c r="U3480">
        <v>2.11</v>
      </c>
      <c r="V3480" t="str">
        <f>VLOOKUP(L3480,'[2]tabela de preços'!$A:$D,4,0)</f>
        <v>NORTON</v>
      </c>
      <c r="W3480" t="str">
        <f>VLOOKUP(L3480,'[2]tabela de preços'!$A:$F,6,0)</f>
        <v xml:space="preserve">OUTROS DISCOS </v>
      </c>
      <c r="X3480" t="str">
        <f>VLOOKUP(L3480,'[2]tabela de preços'!$A:$G,7,0)</f>
        <v>AUTOMOTIVO</v>
      </c>
    </row>
    <row r="3481" spans="1:24" x14ac:dyDescent="0.3">
      <c r="A3481" t="s">
        <v>1905</v>
      </c>
      <c r="C3481" t="s">
        <v>2545</v>
      </c>
      <c r="D3481" s="1">
        <v>46056</v>
      </c>
      <c r="E3481" t="s">
        <v>2546</v>
      </c>
      <c r="F3481">
        <v>9</v>
      </c>
      <c r="G3481">
        <v>174</v>
      </c>
      <c r="H3481" t="str">
        <f>VLOOKUP(G3481,[1]OPERADORES!$A:$B,2,0)</f>
        <v>MIRIÃ LOBATO RODRIGUES</v>
      </c>
      <c r="I3481" t="s">
        <v>168</v>
      </c>
      <c r="J3481" t="s">
        <v>169</v>
      </c>
      <c r="K3481" t="s">
        <v>1908</v>
      </c>
      <c r="L3481">
        <v>84333</v>
      </c>
      <c r="M3481" t="s">
        <v>1025</v>
      </c>
      <c r="O3481" t="s">
        <v>11</v>
      </c>
      <c r="P3481">
        <v>6403</v>
      </c>
      <c r="Q3481">
        <v>4</v>
      </c>
      <c r="R3481">
        <v>59.98</v>
      </c>
      <c r="S3481">
        <v>239.92</v>
      </c>
      <c r="T3481">
        <v>188.16</v>
      </c>
      <c r="U3481">
        <v>21.57</v>
      </c>
      <c r="V3481" t="str">
        <f>VLOOKUP(L3481,'[2]tabela de preços'!$A:$D,4,0)</f>
        <v>BRASILUX</v>
      </c>
      <c r="W3481" t="str">
        <f>VLOOKUP(L3481,'[2]tabela de preços'!$A:$F,6,0)</f>
        <v>ESMALTES</v>
      </c>
      <c r="X3481" t="str">
        <f>VLOOKUP(L3481,'[2]tabela de preços'!$A:$G,7,0)</f>
        <v>INDUSTRIAL</v>
      </c>
    </row>
    <row r="3482" spans="1:24" x14ac:dyDescent="0.3">
      <c r="A3482" t="s">
        <v>1905</v>
      </c>
      <c r="C3482" t="s">
        <v>2545</v>
      </c>
      <c r="D3482" s="1">
        <v>46056</v>
      </c>
      <c r="E3482" t="s">
        <v>2546</v>
      </c>
      <c r="F3482">
        <v>9</v>
      </c>
      <c r="G3482">
        <v>174</v>
      </c>
      <c r="H3482" t="str">
        <f>VLOOKUP(G3482,[1]OPERADORES!$A:$B,2,0)</f>
        <v>MIRIÃ LOBATO RODRIGUES</v>
      </c>
      <c r="I3482" t="s">
        <v>168</v>
      </c>
      <c r="J3482" t="s">
        <v>169</v>
      </c>
      <c r="K3482" t="s">
        <v>1908</v>
      </c>
      <c r="L3482">
        <v>84334</v>
      </c>
      <c r="M3482" t="s">
        <v>895</v>
      </c>
      <c r="O3482" t="s">
        <v>11</v>
      </c>
      <c r="P3482">
        <v>6403</v>
      </c>
      <c r="Q3482">
        <v>4</v>
      </c>
      <c r="R3482">
        <v>59.98</v>
      </c>
      <c r="S3482">
        <v>239.92</v>
      </c>
      <c r="T3482">
        <v>190.64</v>
      </c>
      <c r="U3482">
        <v>20.54</v>
      </c>
      <c r="V3482" t="str">
        <f>VLOOKUP(L3482,'[2]tabela de preços'!$A:$D,4,0)</f>
        <v>BRASILUX</v>
      </c>
      <c r="W3482" t="str">
        <f>VLOOKUP(L3482,'[2]tabela de preços'!$A:$F,6,0)</f>
        <v>ESMALTES</v>
      </c>
      <c r="X3482" t="str">
        <f>VLOOKUP(L3482,'[2]tabela de preços'!$A:$G,7,0)</f>
        <v>INDUSTRIAL</v>
      </c>
    </row>
    <row r="3483" spans="1:24" x14ac:dyDescent="0.3">
      <c r="A3483" t="s">
        <v>1905</v>
      </c>
      <c r="C3483" t="s">
        <v>2545</v>
      </c>
      <c r="D3483" s="1">
        <v>46056</v>
      </c>
      <c r="E3483" t="s">
        <v>2546</v>
      </c>
      <c r="F3483">
        <v>9</v>
      </c>
      <c r="G3483">
        <v>174</v>
      </c>
      <c r="H3483" t="str">
        <f>VLOOKUP(G3483,[1]OPERADORES!$A:$B,2,0)</f>
        <v>MIRIÃ LOBATO RODRIGUES</v>
      </c>
      <c r="I3483" t="s">
        <v>168</v>
      </c>
      <c r="J3483" t="s">
        <v>169</v>
      </c>
      <c r="K3483" t="s">
        <v>1908</v>
      </c>
      <c r="L3483">
        <v>84346</v>
      </c>
      <c r="M3483" t="s">
        <v>1909</v>
      </c>
      <c r="O3483" t="s">
        <v>11</v>
      </c>
      <c r="P3483">
        <v>6403</v>
      </c>
      <c r="Q3483">
        <v>4</v>
      </c>
      <c r="R3483">
        <v>59.98</v>
      </c>
      <c r="S3483">
        <v>239.92</v>
      </c>
      <c r="T3483">
        <v>185.68</v>
      </c>
      <c r="U3483">
        <v>22.61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1905</v>
      </c>
      <c r="C3484" t="s">
        <v>2545</v>
      </c>
      <c r="D3484" s="1">
        <v>46056</v>
      </c>
      <c r="E3484" t="s">
        <v>2546</v>
      </c>
      <c r="F3484">
        <v>9</v>
      </c>
      <c r="G3484">
        <v>174</v>
      </c>
      <c r="H3484" t="str">
        <f>VLOOKUP(G3484,[1]OPERADORES!$A:$B,2,0)</f>
        <v>MIRIÃ LOBATO RODRIGUES</v>
      </c>
      <c r="I3484" t="s">
        <v>168</v>
      </c>
      <c r="J3484" t="s">
        <v>169</v>
      </c>
      <c r="K3484" t="s">
        <v>1908</v>
      </c>
      <c r="L3484">
        <v>84344</v>
      </c>
      <c r="M3484" t="s">
        <v>1000</v>
      </c>
      <c r="O3484" t="s">
        <v>11</v>
      </c>
      <c r="P3484">
        <v>6403</v>
      </c>
      <c r="Q3484">
        <v>1</v>
      </c>
      <c r="R3484">
        <v>59.98</v>
      </c>
      <c r="S3484">
        <v>59.98</v>
      </c>
      <c r="T3484">
        <v>49.66</v>
      </c>
      <c r="U3484">
        <v>17.21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1905</v>
      </c>
      <c r="C3485" t="s">
        <v>2963</v>
      </c>
      <c r="D3485" s="1">
        <v>46063</v>
      </c>
      <c r="E3485" t="s">
        <v>2964</v>
      </c>
      <c r="F3485">
        <v>9</v>
      </c>
      <c r="G3485">
        <v>174</v>
      </c>
      <c r="H3485" t="str">
        <f>VLOOKUP(G3485,[1]OPERADORES!$A:$B,2,0)</f>
        <v>MIRIÃ LOBATO RODRIGUES</v>
      </c>
      <c r="I3485" t="s">
        <v>168</v>
      </c>
      <c r="J3485" t="s">
        <v>169</v>
      </c>
      <c r="K3485" t="s">
        <v>1908</v>
      </c>
      <c r="L3485">
        <v>84344</v>
      </c>
      <c r="M3485" t="s">
        <v>1000</v>
      </c>
      <c r="O3485" t="s">
        <v>11</v>
      </c>
      <c r="P3485">
        <v>6403</v>
      </c>
      <c r="Q3485">
        <v>2</v>
      </c>
      <c r="R3485">
        <v>59.98</v>
      </c>
      <c r="S3485">
        <v>119.96</v>
      </c>
      <c r="T3485">
        <v>99.32</v>
      </c>
      <c r="U3485">
        <v>17.21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1905</v>
      </c>
      <c r="C3486" t="s">
        <v>2963</v>
      </c>
      <c r="D3486" s="1">
        <v>46063</v>
      </c>
      <c r="E3486" t="s">
        <v>2964</v>
      </c>
      <c r="F3486">
        <v>9</v>
      </c>
      <c r="G3486">
        <v>174</v>
      </c>
      <c r="H3486" t="str">
        <f>VLOOKUP(G3486,[1]OPERADORES!$A:$B,2,0)</f>
        <v>MIRIÃ LOBATO RODRIGUES</v>
      </c>
      <c r="I3486" t="s">
        <v>168</v>
      </c>
      <c r="J3486" t="s">
        <v>169</v>
      </c>
      <c r="K3486" t="s">
        <v>1908</v>
      </c>
      <c r="L3486">
        <v>5</v>
      </c>
      <c r="M3486" t="s">
        <v>147</v>
      </c>
      <c r="O3486" t="s">
        <v>11</v>
      </c>
      <c r="P3486">
        <v>6102</v>
      </c>
      <c r="Q3486">
        <v>1</v>
      </c>
      <c r="R3486">
        <v>5.45</v>
      </c>
      <c r="S3486">
        <v>5.45</v>
      </c>
      <c r="T3486">
        <v>3.91</v>
      </c>
      <c r="U3486">
        <v>28.26</v>
      </c>
      <c r="V3486" t="str">
        <f>VLOOKUP(L3486,'[2]tabela de preços'!$A:$D,4,0)</f>
        <v>BRILHO ESTOPA</v>
      </c>
      <c r="W3486" t="str">
        <f>VLOOKUP(L3486,'[2]tabela de preços'!$A:$F,6,0)</f>
        <v>ESTOPAS</v>
      </c>
      <c r="X3486" t="str">
        <f>VLOOKUP(L3486,'[2]tabela de preços'!$A:$G,7,0)</f>
        <v>AUTOMOTIVO</v>
      </c>
    </row>
    <row r="3487" spans="1:24" x14ac:dyDescent="0.3">
      <c r="A3487" t="s">
        <v>1905</v>
      </c>
      <c r="C3487" t="s">
        <v>2963</v>
      </c>
      <c r="D3487" s="1">
        <v>46063</v>
      </c>
      <c r="E3487" t="s">
        <v>2964</v>
      </c>
      <c r="F3487">
        <v>9</v>
      </c>
      <c r="G3487">
        <v>174</v>
      </c>
      <c r="H3487" t="str">
        <f>VLOOKUP(G3487,[1]OPERADORES!$A:$B,2,0)</f>
        <v>MIRIÃ LOBATO RODRIGUES</v>
      </c>
      <c r="I3487" t="s">
        <v>168</v>
      </c>
      <c r="J3487" t="s">
        <v>169</v>
      </c>
      <c r="K3487" t="s">
        <v>1908</v>
      </c>
      <c r="L3487">
        <v>84420</v>
      </c>
      <c r="M3487" t="s">
        <v>353</v>
      </c>
      <c r="O3487" t="s">
        <v>11</v>
      </c>
      <c r="P3487">
        <v>6102</v>
      </c>
      <c r="Q3487">
        <v>2</v>
      </c>
      <c r="R3487">
        <v>20.34</v>
      </c>
      <c r="S3487">
        <v>40.68</v>
      </c>
      <c r="T3487">
        <v>30.88</v>
      </c>
      <c r="U3487">
        <v>24.09</v>
      </c>
      <c r="V3487" t="str">
        <f>VLOOKUP(L3487,'[2]tabela de preços'!$A:$D,4,0)</f>
        <v>ATLAS</v>
      </c>
      <c r="W3487" t="str">
        <f>VLOOKUP(L3487,'[2]tabela de preços'!$A:$F,6,0)</f>
        <v>ROLOS / TRINCHAS / PINCÉIS / ESPÁTULAS</v>
      </c>
      <c r="X3487" t="str">
        <f>VLOOKUP(L3487,'[2]tabela de preços'!$A:$G,7,0)</f>
        <v>IMOBILIÁRIO</v>
      </c>
    </row>
    <row r="3488" spans="1:24" x14ac:dyDescent="0.3">
      <c r="A3488" t="s">
        <v>1905</v>
      </c>
      <c r="C3488" t="s">
        <v>2963</v>
      </c>
      <c r="D3488" s="1">
        <v>46063</v>
      </c>
      <c r="E3488" t="s">
        <v>2964</v>
      </c>
      <c r="F3488">
        <v>9</v>
      </c>
      <c r="G3488">
        <v>174</v>
      </c>
      <c r="H3488" t="str">
        <f>VLOOKUP(G3488,[1]OPERADORES!$A:$B,2,0)</f>
        <v>MIRIÃ LOBATO RODRIGUES</v>
      </c>
      <c r="I3488" t="s">
        <v>168</v>
      </c>
      <c r="J3488" t="s">
        <v>169</v>
      </c>
      <c r="K3488" t="s">
        <v>1908</v>
      </c>
      <c r="L3488">
        <v>84560</v>
      </c>
      <c r="M3488" t="s">
        <v>118</v>
      </c>
      <c r="O3488" t="s">
        <v>11</v>
      </c>
      <c r="P3488">
        <v>6102</v>
      </c>
      <c r="Q3488">
        <v>1</v>
      </c>
      <c r="R3488">
        <v>47.89</v>
      </c>
      <c r="S3488">
        <v>47.89</v>
      </c>
      <c r="T3488">
        <v>39.159999999999997</v>
      </c>
      <c r="U3488">
        <v>18.23</v>
      </c>
      <c r="V3488" t="str">
        <f>VLOOKUP(L3488,'[2]tabela de preços'!$A:$D,4,0)</f>
        <v>BRASILUX</v>
      </c>
      <c r="W3488" t="str">
        <f>VLOOKUP(L3488,'[2]tabela de preços'!$A:$F,6,0)</f>
        <v>THINNER DE LIMPEZA</v>
      </c>
      <c r="X3488" t="str">
        <f>VLOOKUP(L3488,'[2]tabela de preços'!$A:$G,7,0)</f>
        <v>THINNER</v>
      </c>
    </row>
    <row r="3489" spans="1:24" x14ac:dyDescent="0.3">
      <c r="A3489" t="s">
        <v>1905</v>
      </c>
      <c r="C3489" t="s">
        <v>2963</v>
      </c>
      <c r="D3489" s="1">
        <v>46063</v>
      </c>
      <c r="E3489" t="s">
        <v>2964</v>
      </c>
      <c r="F3489">
        <v>9</v>
      </c>
      <c r="G3489">
        <v>174</v>
      </c>
      <c r="H3489" t="str">
        <f>VLOOKUP(G3489,[1]OPERADORES!$A:$B,2,0)</f>
        <v>MIRIÃ LOBATO RODRIGUES</v>
      </c>
      <c r="I3489" t="s">
        <v>168</v>
      </c>
      <c r="J3489" t="s">
        <v>169</v>
      </c>
      <c r="K3489" t="s">
        <v>1908</v>
      </c>
      <c r="L3489">
        <v>84898</v>
      </c>
      <c r="M3489" t="s">
        <v>853</v>
      </c>
      <c r="O3489" t="s">
        <v>11</v>
      </c>
      <c r="P3489">
        <v>6403</v>
      </c>
      <c r="Q3489">
        <v>2</v>
      </c>
      <c r="R3489">
        <v>169.39</v>
      </c>
      <c r="S3489">
        <v>338.78</v>
      </c>
      <c r="T3489">
        <v>257.14</v>
      </c>
      <c r="U3489">
        <v>24.1</v>
      </c>
      <c r="V3489" t="str">
        <f>VLOOKUP(L3489,'[2]tabela de preços'!$A:$D,4,0)</f>
        <v>BRASILUX</v>
      </c>
      <c r="W3489" t="str">
        <f>VLOOKUP(L3489,'[2]tabela de preços'!$A:$F,6,0)</f>
        <v>EPOXI</v>
      </c>
      <c r="X3489" t="str">
        <f>VLOOKUP(L3489,'[2]tabela de preços'!$A:$G,7,0)</f>
        <v>INDUSTRIAL</v>
      </c>
    </row>
    <row r="3490" spans="1:24" x14ac:dyDescent="0.3">
      <c r="A3490" t="s">
        <v>1905</v>
      </c>
      <c r="C3490" t="s">
        <v>2963</v>
      </c>
      <c r="D3490" s="1">
        <v>46063</v>
      </c>
      <c r="E3490" t="s">
        <v>2964</v>
      </c>
      <c r="F3490">
        <v>9</v>
      </c>
      <c r="G3490">
        <v>174</v>
      </c>
      <c r="H3490" t="str">
        <f>VLOOKUP(G3490,[1]OPERADORES!$A:$B,2,0)</f>
        <v>MIRIÃ LOBATO RODRIGUES</v>
      </c>
      <c r="I3490" t="s">
        <v>168</v>
      </c>
      <c r="J3490" t="s">
        <v>169</v>
      </c>
      <c r="K3490" t="s">
        <v>1908</v>
      </c>
      <c r="L3490">
        <v>10118</v>
      </c>
      <c r="M3490" t="s">
        <v>572</v>
      </c>
      <c r="O3490" t="s">
        <v>11</v>
      </c>
      <c r="P3490">
        <v>6102</v>
      </c>
      <c r="Q3490">
        <v>4</v>
      </c>
      <c r="R3490">
        <v>5.0199999999999996</v>
      </c>
      <c r="S3490">
        <v>20.079999999999998</v>
      </c>
      <c r="T3490">
        <v>15.24</v>
      </c>
      <c r="U3490">
        <v>24.1</v>
      </c>
      <c r="V3490" t="str">
        <f>VLOOKUP(L3490,'[2]tabela de preços'!$A:$D,4,0)</f>
        <v>ATLAS</v>
      </c>
      <c r="W3490" t="str">
        <f>VLOOKUP(L3490,'[2]tabela de preços'!$A:$F,6,0)</f>
        <v>ROLOS / TRINCHAS / PINCÉIS / ESPÁTULAS</v>
      </c>
      <c r="X3490" t="str">
        <f>VLOOKUP(L3490,'[2]tabela de preços'!$A:$G,7,0)</f>
        <v>IMOBILIÁRIO</v>
      </c>
    </row>
    <row r="3491" spans="1:24" x14ac:dyDescent="0.3">
      <c r="A3491" t="s">
        <v>1905</v>
      </c>
      <c r="C3491" t="s">
        <v>2965</v>
      </c>
      <c r="D3491" s="1">
        <v>46064</v>
      </c>
      <c r="F3491">
        <v>9</v>
      </c>
      <c r="G3491">
        <v>174</v>
      </c>
      <c r="H3491" t="str">
        <f>VLOOKUP(G3491,[1]OPERADORES!$A:$B,2,0)</f>
        <v>MIRIÃ LOBATO RODRIGUES</v>
      </c>
      <c r="I3491" t="s">
        <v>168</v>
      </c>
      <c r="J3491" t="s">
        <v>169</v>
      </c>
      <c r="K3491" t="s">
        <v>1908</v>
      </c>
      <c r="L3491">
        <v>84898</v>
      </c>
      <c r="M3491" t="s">
        <v>853</v>
      </c>
      <c r="N3491" t="s">
        <v>2966</v>
      </c>
      <c r="O3491" t="s">
        <v>11</v>
      </c>
      <c r="P3491">
        <v>2411</v>
      </c>
      <c r="Q3491">
        <v>-2</v>
      </c>
      <c r="R3491">
        <v>169.39</v>
      </c>
      <c r="S3491">
        <v>-338.78</v>
      </c>
      <c r="T3491">
        <v>-257.14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EPOXI</v>
      </c>
      <c r="X3491" t="str">
        <f>VLOOKUP(L3491,'[2]tabela de preços'!$A:$G,7,0)</f>
        <v>INDUSTRIAL</v>
      </c>
    </row>
    <row r="3492" spans="1:24" x14ac:dyDescent="0.3">
      <c r="A3492" t="s">
        <v>1905</v>
      </c>
      <c r="C3492" t="s">
        <v>2967</v>
      </c>
      <c r="D3492" s="1">
        <v>46064</v>
      </c>
      <c r="E3492" t="s">
        <v>2968</v>
      </c>
      <c r="F3492">
        <v>9</v>
      </c>
      <c r="G3492">
        <v>174</v>
      </c>
      <c r="H3492" t="str">
        <f>VLOOKUP(G3492,[1]OPERADORES!$A:$B,2,0)</f>
        <v>MIRIÃ LOBATO RODRIGUES</v>
      </c>
      <c r="I3492" t="s">
        <v>168</v>
      </c>
      <c r="J3492" t="s">
        <v>169</v>
      </c>
      <c r="K3492" t="s">
        <v>1908</v>
      </c>
      <c r="L3492">
        <v>84773</v>
      </c>
      <c r="M3492" t="s">
        <v>2969</v>
      </c>
      <c r="O3492" t="s">
        <v>11</v>
      </c>
      <c r="P3492">
        <v>6403</v>
      </c>
      <c r="Q3492">
        <v>1</v>
      </c>
      <c r="R3492">
        <v>349.98</v>
      </c>
      <c r="S3492">
        <v>349.98</v>
      </c>
      <c r="T3492">
        <v>265.64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TINTA EMBORRACHADA</v>
      </c>
      <c r="X3492" t="str">
        <f>VLOOKUP(L3492,'[2]tabela de preços'!$A:$G,7,0)</f>
        <v>IMOBILIÁRIO</v>
      </c>
    </row>
    <row r="3493" spans="1:24" x14ac:dyDescent="0.3">
      <c r="A3493" t="s">
        <v>1905</v>
      </c>
      <c r="C3493" t="s">
        <v>2967</v>
      </c>
      <c r="D3493" s="1">
        <v>46064</v>
      </c>
      <c r="E3493" t="s">
        <v>2968</v>
      </c>
      <c r="F3493">
        <v>9</v>
      </c>
      <c r="G3493">
        <v>174</v>
      </c>
      <c r="H3493" t="str">
        <f>VLOOKUP(G3493,[1]OPERADORES!$A:$B,2,0)</f>
        <v>MIRIÃ LOBATO RODRIGUES</v>
      </c>
      <c r="I3493" t="s">
        <v>168</v>
      </c>
      <c r="J3493" t="s">
        <v>169</v>
      </c>
      <c r="K3493" t="s">
        <v>1908</v>
      </c>
      <c r="L3493">
        <v>84200</v>
      </c>
      <c r="M3493" t="s">
        <v>1552</v>
      </c>
      <c r="O3493" t="s">
        <v>11</v>
      </c>
      <c r="P3493">
        <v>6403</v>
      </c>
      <c r="Q3493">
        <v>2</v>
      </c>
      <c r="R3493">
        <v>224.04</v>
      </c>
      <c r="S3493">
        <v>448.08</v>
      </c>
      <c r="T3493">
        <v>340.1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EPOXI</v>
      </c>
      <c r="X3493" t="str">
        <f>VLOOKUP(L3493,'[2]tabela de preços'!$A:$G,7,0)</f>
        <v>INDUSTRIAL</v>
      </c>
    </row>
    <row r="3494" spans="1:24" x14ac:dyDescent="0.3">
      <c r="A3494" t="s">
        <v>2796</v>
      </c>
      <c r="C3494" t="s">
        <v>2797</v>
      </c>
      <c r="D3494" s="1">
        <v>46059</v>
      </c>
      <c r="E3494" t="s">
        <v>2798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211</v>
      </c>
      <c r="K3494" t="s">
        <v>2799</v>
      </c>
      <c r="L3494">
        <v>10298</v>
      </c>
      <c r="M3494" t="s">
        <v>85</v>
      </c>
      <c r="O3494" t="s">
        <v>11</v>
      </c>
      <c r="P3494">
        <v>5102</v>
      </c>
      <c r="Q3494">
        <v>1</v>
      </c>
      <c r="R3494">
        <v>56.89</v>
      </c>
      <c r="S3494">
        <v>56.89</v>
      </c>
      <c r="T3494">
        <v>47.38</v>
      </c>
      <c r="U3494">
        <v>16.72</v>
      </c>
      <c r="V3494" t="str">
        <f>VLOOKUP(L3494,'[2]tabela de preços'!$A:$D,4,0)</f>
        <v>ANJO</v>
      </c>
      <c r="W3494" t="str">
        <f>VLOOKUP(L3494,'[2]tabela de preços'!$A:$F,6,0)</f>
        <v>THINNER DE LIMPEZA</v>
      </c>
      <c r="X3494" t="str">
        <f>VLOOKUP(L3494,'[2]tabela de preços'!$A:$G,7,0)</f>
        <v>THINNER</v>
      </c>
    </row>
    <row r="3495" spans="1:24" x14ac:dyDescent="0.3">
      <c r="A3495" t="s">
        <v>2796</v>
      </c>
      <c r="C3495" t="s">
        <v>2797</v>
      </c>
      <c r="D3495" s="1">
        <v>46059</v>
      </c>
      <c r="E3495" t="s">
        <v>2798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211</v>
      </c>
      <c r="K3495" t="s">
        <v>2799</v>
      </c>
      <c r="L3495">
        <v>84560</v>
      </c>
      <c r="M3495" t="s">
        <v>118</v>
      </c>
      <c r="O3495" t="s">
        <v>11</v>
      </c>
      <c r="P3495">
        <v>5102</v>
      </c>
      <c r="Q3495">
        <v>1</v>
      </c>
      <c r="R3495">
        <v>47.89</v>
      </c>
      <c r="S3495">
        <v>47.89</v>
      </c>
      <c r="T3495">
        <v>39.159999999999997</v>
      </c>
      <c r="U3495">
        <v>18.23</v>
      </c>
      <c r="V3495" t="str">
        <f>VLOOKUP(L3495,'[2]tabela de preços'!$A:$D,4,0)</f>
        <v>BRASILUX</v>
      </c>
      <c r="W3495" t="str">
        <f>VLOOKUP(L3495,'[2]tabela de preços'!$A:$F,6,0)</f>
        <v>THINNER DE LIMPEZA</v>
      </c>
      <c r="X3495" t="str">
        <f>VLOOKUP(L3495,'[2]tabela de preços'!$A:$G,7,0)</f>
        <v>THINNER</v>
      </c>
    </row>
    <row r="3496" spans="1:24" x14ac:dyDescent="0.3">
      <c r="A3496" t="s">
        <v>1918</v>
      </c>
      <c r="C3496" t="s">
        <v>2712</v>
      </c>
      <c r="D3496" s="1">
        <v>46058</v>
      </c>
      <c r="E3496" t="s">
        <v>2713</v>
      </c>
      <c r="F3496">
        <v>9</v>
      </c>
      <c r="G3496">
        <v>174</v>
      </c>
      <c r="H3496" t="str">
        <f>VLOOKUP(G3496,[1]OPERADORES!$A:$B,2,0)</f>
        <v>MIRIÃ LOBATO RODRIGUES</v>
      </c>
      <c r="I3496" t="s">
        <v>21</v>
      </c>
      <c r="J3496" t="s">
        <v>1235</v>
      </c>
      <c r="K3496" t="s">
        <v>1921</v>
      </c>
      <c r="L3496">
        <v>84560</v>
      </c>
      <c r="M3496" t="s">
        <v>118</v>
      </c>
      <c r="O3496" t="s">
        <v>11</v>
      </c>
      <c r="P3496">
        <v>5102</v>
      </c>
      <c r="Q3496">
        <v>2</v>
      </c>
      <c r="R3496">
        <v>47.89</v>
      </c>
      <c r="S3496">
        <v>95.78</v>
      </c>
      <c r="T3496">
        <v>78.319999999999993</v>
      </c>
      <c r="U3496">
        <v>18.23</v>
      </c>
      <c r="V3496" t="str">
        <f>VLOOKUP(L3496,'[2]tabela de preços'!$A:$D,4,0)</f>
        <v>BRASILUX</v>
      </c>
      <c r="W3496" t="str">
        <f>VLOOKUP(L3496,'[2]tabela de preços'!$A:$F,6,0)</f>
        <v>THINNER DE LIMPEZA</v>
      </c>
      <c r="X3496" t="str">
        <f>VLOOKUP(L3496,'[2]tabela de preços'!$A:$G,7,0)</f>
        <v>THINNER</v>
      </c>
    </row>
    <row r="3497" spans="1:24" x14ac:dyDescent="0.3">
      <c r="A3497" t="s">
        <v>1918</v>
      </c>
      <c r="C3497" t="s">
        <v>3270</v>
      </c>
      <c r="D3497" s="1">
        <v>46065</v>
      </c>
      <c r="E3497" t="s">
        <v>3271</v>
      </c>
      <c r="F3497">
        <v>9</v>
      </c>
      <c r="G3497">
        <v>174</v>
      </c>
      <c r="H3497" t="str">
        <f>VLOOKUP(G3497,[1]OPERADORES!$A:$B,2,0)</f>
        <v>MIRIÃ LOBATO RODRIGUES</v>
      </c>
      <c r="I3497" t="s">
        <v>21</v>
      </c>
      <c r="J3497" t="s">
        <v>1235</v>
      </c>
      <c r="K3497" t="s">
        <v>1921</v>
      </c>
      <c r="L3497">
        <v>84721</v>
      </c>
      <c r="M3497" t="s">
        <v>1917</v>
      </c>
      <c r="O3497" t="s">
        <v>11</v>
      </c>
      <c r="P3497">
        <v>5403</v>
      </c>
      <c r="Q3497">
        <v>1</v>
      </c>
      <c r="R3497">
        <v>76.92</v>
      </c>
      <c r="S3497">
        <v>76.92</v>
      </c>
      <c r="T3497">
        <v>58.38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ESMALTES</v>
      </c>
      <c r="X3497" t="str">
        <f>VLOOKUP(L3497,'[2]tabela de preços'!$A:$G,7,0)</f>
        <v>INDUSTRIAL</v>
      </c>
    </row>
    <row r="3498" spans="1:24" x14ac:dyDescent="0.3">
      <c r="A3498" t="s">
        <v>1922</v>
      </c>
      <c r="C3498" t="s">
        <v>3272</v>
      </c>
      <c r="D3498" s="1">
        <v>46066</v>
      </c>
      <c r="E3498" t="s">
        <v>3273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66</v>
      </c>
      <c r="K3498" t="s">
        <v>1925</v>
      </c>
      <c r="L3498">
        <v>85424</v>
      </c>
      <c r="M3498" t="s">
        <v>2644</v>
      </c>
      <c r="O3498" t="s">
        <v>11</v>
      </c>
      <c r="P3498">
        <v>5102</v>
      </c>
      <c r="Q3498">
        <v>1</v>
      </c>
      <c r="R3498">
        <v>530.51</v>
      </c>
      <c r="S3498">
        <v>530.51</v>
      </c>
      <c r="T3498">
        <v>378.26</v>
      </c>
      <c r="U3498">
        <v>28.7</v>
      </c>
      <c r="V3498" t="str">
        <f>VLOOKUP(L3498,'[2]tabela de preços'!$A:$D,4,0)</f>
        <v>BRASILUX</v>
      </c>
      <c r="W3498" t="str">
        <f>VLOOKUP(L3498,'[2]tabela de preços'!$A:$F,6,0)</f>
        <v>TINTA EM PÓ</v>
      </c>
      <c r="X3498" t="str">
        <f>VLOOKUP(L3498,'[2]tabela de preços'!$A:$G,7,0)</f>
        <v>INDUSTRIAL</v>
      </c>
    </row>
    <row r="3499" spans="1:24" x14ac:dyDescent="0.3">
      <c r="A3499" t="s">
        <v>2970</v>
      </c>
      <c r="C3499" t="s">
        <v>2971</v>
      </c>
      <c r="D3499" s="1">
        <v>46064</v>
      </c>
      <c r="E3499" t="s">
        <v>2972</v>
      </c>
      <c r="F3499">
        <v>9</v>
      </c>
      <c r="G3499">
        <v>236</v>
      </c>
      <c r="H3499" t="str">
        <f>VLOOKUP(G3499,[1]OPERADORES!$A:$B,2,0)</f>
        <v>DANIEL</v>
      </c>
      <c r="I3499" t="s">
        <v>21</v>
      </c>
      <c r="J3499" t="s">
        <v>363</v>
      </c>
      <c r="K3499" t="s">
        <v>2973</v>
      </c>
      <c r="L3499">
        <v>20321</v>
      </c>
      <c r="M3499" t="s">
        <v>639</v>
      </c>
      <c r="O3499" t="s">
        <v>11</v>
      </c>
      <c r="P3499">
        <v>5403</v>
      </c>
      <c r="Q3499">
        <v>2</v>
      </c>
      <c r="R3499">
        <v>35.82</v>
      </c>
      <c r="S3499">
        <v>71.64</v>
      </c>
      <c r="T3499">
        <v>49.34</v>
      </c>
      <c r="U3499">
        <v>31.13</v>
      </c>
      <c r="V3499" t="str">
        <f>VLOOKUP(L3499,'[2]tabela de preços'!$A:$D,4,0)</f>
        <v>SHERWIN WILLIAMS</v>
      </c>
      <c r="W3499" t="str">
        <f>VLOOKUP(L3499,'[2]tabela de preços'!$A:$F,6,0)</f>
        <v>TINTAS POLIÉSTER</v>
      </c>
      <c r="X3499" t="str">
        <f>VLOOKUP(L3499,'[2]tabela de preços'!$A:$G,7,0)</f>
        <v>AUTOMOTIVO</v>
      </c>
    </row>
    <row r="3500" spans="1:24" x14ac:dyDescent="0.3">
      <c r="A3500" t="s">
        <v>2970</v>
      </c>
      <c r="C3500" t="s">
        <v>3274</v>
      </c>
      <c r="D3500" s="1">
        <v>46072</v>
      </c>
      <c r="E3500" t="s">
        <v>3275</v>
      </c>
      <c r="F3500">
        <v>9</v>
      </c>
      <c r="G3500">
        <v>236</v>
      </c>
      <c r="H3500" t="str">
        <f>VLOOKUP(G3500,[1]OPERADORES!$A:$B,2,0)</f>
        <v>DANIEL</v>
      </c>
      <c r="I3500" t="s">
        <v>21</v>
      </c>
      <c r="J3500" t="s">
        <v>363</v>
      </c>
      <c r="K3500" t="s">
        <v>2973</v>
      </c>
      <c r="L3500">
        <v>21819</v>
      </c>
      <c r="M3500" t="s">
        <v>792</v>
      </c>
      <c r="O3500" t="s">
        <v>11</v>
      </c>
      <c r="P3500">
        <v>5403</v>
      </c>
      <c r="Q3500">
        <v>1</v>
      </c>
      <c r="R3500">
        <v>35.340000000000003</v>
      </c>
      <c r="S3500">
        <v>35.340000000000003</v>
      </c>
      <c r="T3500">
        <v>23.8</v>
      </c>
      <c r="U3500">
        <v>32.65</v>
      </c>
      <c r="V3500" t="str">
        <f>VLOOKUP(L3500,'[2]tabela de preços'!$A:$D,4,0)</f>
        <v>SHERWIN WILLIAMS</v>
      </c>
      <c r="W3500" t="str">
        <f>VLOOKUP(L3500,'[2]tabela de preços'!$A:$F,6,0)</f>
        <v>TINTAS POLIÉSTER</v>
      </c>
      <c r="X3500" t="str">
        <f>VLOOKUP(L3500,'[2]tabela de preços'!$A:$G,7,0)</f>
        <v>AUTOMOTIVO</v>
      </c>
    </row>
    <row r="3501" spans="1:24" x14ac:dyDescent="0.3">
      <c r="A3501" t="s">
        <v>2547</v>
      </c>
      <c r="B3501" t="s">
        <v>2548</v>
      </c>
      <c r="C3501" t="s">
        <v>2549</v>
      </c>
      <c r="D3501" s="1">
        <v>46056</v>
      </c>
      <c r="E3501" t="s">
        <v>2550</v>
      </c>
      <c r="F3501">
        <v>9</v>
      </c>
      <c r="G3501">
        <v>145</v>
      </c>
      <c r="H3501" t="str">
        <f>VLOOKUP(G3501,[1]OPERADORES!$A:$B,2,0)</f>
        <v xml:space="preserve">FABRICIA </v>
      </c>
      <c r="I3501" t="s">
        <v>2551</v>
      </c>
      <c r="J3501" t="s">
        <v>2552</v>
      </c>
      <c r="K3501" t="s">
        <v>2553</v>
      </c>
      <c r="L3501">
        <v>84218</v>
      </c>
      <c r="M3501" t="s">
        <v>879</v>
      </c>
      <c r="O3501" t="s">
        <v>11</v>
      </c>
      <c r="P3501">
        <v>5403</v>
      </c>
      <c r="Q3501">
        <v>3</v>
      </c>
      <c r="R3501">
        <v>57.11</v>
      </c>
      <c r="S3501">
        <v>171.33</v>
      </c>
      <c r="T3501">
        <v>130.05000000000001</v>
      </c>
      <c r="U3501">
        <v>24.09</v>
      </c>
      <c r="V3501" t="str">
        <f>VLOOKUP(L3501,'[2]tabela de preços'!$A:$D,4,0)</f>
        <v>BRASILUX</v>
      </c>
      <c r="W3501" t="str">
        <f>VLOOKUP(L3501,'[2]tabela de preços'!$A:$F,6,0)</f>
        <v>ESMALTES</v>
      </c>
      <c r="X3501" t="str">
        <f>VLOOKUP(L3501,'[2]tabela de preços'!$A:$G,7,0)</f>
        <v>INDUSTRIAL</v>
      </c>
    </row>
    <row r="3502" spans="1:24" x14ac:dyDescent="0.3">
      <c r="A3502" t="s">
        <v>2547</v>
      </c>
      <c r="B3502" t="s">
        <v>2548</v>
      </c>
      <c r="C3502" t="s">
        <v>2549</v>
      </c>
      <c r="D3502" s="1">
        <v>46056</v>
      </c>
      <c r="E3502" t="s">
        <v>2550</v>
      </c>
      <c r="F3502">
        <v>9</v>
      </c>
      <c r="G3502">
        <v>145</v>
      </c>
      <c r="H3502" t="str">
        <f>VLOOKUP(G3502,[1]OPERADORES!$A:$B,2,0)</f>
        <v xml:space="preserve">FABRICIA </v>
      </c>
      <c r="I3502" t="s">
        <v>2551</v>
      </c>
      <c r="J3502" t="s">
        <v>2552</v>
      </c>
      <c r="K3502" t="s">
        <v>2553</v>
      </c>
      <c r="L3502">
        <v>84181</v>
      </c>
      <c r="M3502" t="s">
        <v>2554</v>
      </c>
      <c r="O3502" t="s">
        <v>11</v>
      </c>
      <c r="P3502">
        <v>5403</v>
      </c>
      <c r="Q3502">
        <v>3</v>
      </c>
      <c r="R3502">
        <v>103.29</v>
      </c>
      <c r="S3502">
        <v>309.87</v>
      </c>
      <c r="T3502">
        <v>235.2</v>
      </c>
      <c r="U3502">
        <v>24.1</v>
      </c>
      <c r="V3502" t="str">
        <f>VLOOKUP(L3502,'[2]tabela de preços'!$A:$D,4,0)</f>
        <v>BRASILUX</v>
      </c>
      <c r="W3502" t="str">
        <f>VLOOKUP(L3502,'[2]tabela de preços'!$A:$F,6,0)</f>
        <v>ESMALTES</v>
      </c>
      <c r="X3502" t="str">
        <f>VLOOKUP(L3502,'[2]tabela de preços'!$A:$G,7,0)</f>
        <v>INDUSTRIAL</v>
      </c>
    </row>
    <row r="3503" spans="1:24" x14ac:dyDescent="0.3">
      <c r="A3503" t="s">
        <v>1947</v>
      </c>
      <c r="B3503" t="s">
        <v>1948</v>
      </c>
      <c r="C3503" t="s">
        <v>2555</v>
      </c>
      <c r="D3503" s="1">
        <v>46056</v>
      </c>
      <c r="E3503" t="s">
        <v>2556</v>
      </c>
      <c r="F3503">
        <v>9</v>
      </c>
      <c r="G3503">
        <v>236</v>
      </c>
      <c r="H3503" t="str">
        <f>VLOOKUP(G3503,[1]OPERADORES!$A:$B,2,0)</f>
        <v>DANIEL</v>
      </c>
      <c r="I3503" t="s">
        <v>21</v>
      </c>
      <c r="J3503" t="s">
        <v>1951</v>
      </c>
      <c r="K3503" t="s">
        <v>1952</v>
      </c>
      <c r="L3503">
        <v>84419</v>
      </c>
      <c r="M3503" t="s">
        <v>2557</v>
      </c>
      <c r="O3503" t="s">
        <v>11</v>
      </c>
      <c r="P3503">
        <v>5102</v>
      </c>
      <c r="Q3503">
        <v>1</v>
      </c>
      <c r="R3503">
        <v>47.66</v>
      </c>
      <c r="S3503">
        <v>47.66</v>
      </c>
      <c r="T3503">
        <v>34.94</v>
      </c>
      <c r="U3503">
        <v>26.69</v>
      </c>
      <c r="V3503" t="str">
        <f>VLOOKUP(L3503,'[2]tabela de preços'!$A:$D,4,0)</f>
        <v>BRASPLASTICOS</v>
      </c>
      <c r="W3503" t="str">
        <f>VLOOKUP(L3503,'[2]tabela de preços'!$A:$F,6,0)</f>
        <v xml:space="preserve">MASCARAMENTO </v>
      </c>
      <c r="X3503" t="str">
        <f>VLOOKUP(L3503,'[2]tabela de preços'!$A:$G,7,0)</f>
        <v>AUTOMOTIVO</v>
      </c>
    </row>
    <row r="3504" spans="1:24" x14ac:dyDescent="0.3">
      <c r="A3504" t="s">
        <v>1947</v>
      </c>
      <c r="B3504" t="s">
        <v>1948</v>
      </c>
      <c r="C3504" t="s">
        <v>3276</v>
      </c>
      <c r="D3504" s="1">
        <v>46066</v>
      </c>
      <c r="E3504" t="s">
        <v>3277</v>
      </c>
      <c r="F3504">
        <v>9</v>
      </c>
      <c r="G3504">
        <v>236</v>
      </c>
      <c r="H3504" t="str">
        <f>VLOOKUP(G3504,[1]OPERADORES!$A:$B,2,0)</f>
        <v>DANIEL</v>
      </c>
      <c r="I3504" t="s">
        <v>21</v>
      </c>
      <c r="J3504" t="s">
        <v>1951</v>
      </c>
      <c r="K3504" t="s">
        <v>1952</v>
      </c>
      <c r="L3504">
        <v>84030</v>
      </c>
      <c r="M3504" t="s">
        <v>900</v>
      </c>
      <c r="O3504" t="s">
        <v>11</v>
      </c>
      <c r="P3504">
        <v>5102</v>
      </c>
      <c r="Q3504">
        <v>5</v>
      </c>
      <c r="R3504">
        <v>55.81</v>
      </c>
      <c r="S3504">
        <v>279.05</v>
      </c>
      <c r="T3504">
        <v>211.8</v>
      </c>
      <c r="U3504">
        <v>24.1</v>
      </c>
      <c r="V3504" t="str">
        <f>VLOOKUP(L3504,'[2]tabela de preços'!$A:$D,4,0)</f>
        <v>BRASILUX</v>
      </c>
      <c r="W3504" t="str">
        <f>VLOOKUP(L3504,'[2]tabela de preços'!$A:$F,6,0)</f>
        <v>AGUARRAS</v>
      </c>
      <c r="X3504" t="str">
        <f>VLOOKUP(L3504,'[2]tabela de preços'!$A:$G,7,0)</f>
        <v>IMOBILIÁRIO</v>
      </c>
    </row>
    <row r="3505" spans="1:24" x14ac:dyDescent="0.3">
      <c r="A3505" t="s">
        <v>1947</v>
      </c>
      <c r="B3505" t="s">
        <v>1948</v>
      </c>
      <c r="C3505" t="s">
        <v>3276</v>
      </c>
      <c r="D3505" s="1">
        <v>46066</v>
      </c>
      <c r="E3505" t="s">
        <v>3277</v>
      </c>
      <c r="F3505">
        <v>9</v>
      </c>
      <c r="G3505">
        <v>236</v>
      </c>
      <c r="H3505" t="str">
        <f>VLOOKUP(G3505,[1]OPERADORES!$A:$B,2,0)</f>
        <v>DANIEL</v>
      </c>
      <c r="I3505" t="s">
        <v>21</v>
      </c>
      <c r="J3505" t="s">
        <v>1951</v>
      </c>
      <c r="K3505" t="s">
        <v>1952</v>
      </c>
      <c r="L3505">
        <v>84215</v>
      </c>
      <c r="M3505" t="s">
        <v>822</v>
      </c>
      <c r="O3505" t="s">
        <v>11</v>
      </c>
      <c r="P3505">
        <v>5403</v>
      </c>
      <c r="Q3505">
        <v>1</v>
      </c>
      <c r="R3505">
        <v>238.8</v>
      </c>
      <c r="S3505">
        <v>238.8</v>
      </c>
      <c r="T3505">
        <v>181.25</v>
      </c>
      <c r="U3505">
        <v>24.1</v>
      </c>
      <c r="V3505" t="str">
        <f>VLOOKUP(L3505,'[2]tabela de preços'!$A:$D,4,0)</f>
        <v>BRASILUX</v>
      </c>
      <c r="W3505" t="str">
        <f>VLOOKUP(L3505,'[2]tabela de preços'!$A:$F,6,0)</f>
        <v>ESMALTES</v>
      </c>
      <c r="X3505" t="str">
        <f>VLOOKUP(L3505,'[2]tabela de preços'!$A:$G,7,0)</f>
        <v>INDUSTRIAL</v>
      </c>
    </row>
    <row r="3506" spans="1:24" x14ac:dyDescent="0.3">
      <c r="A3506" t="s">
        <v>1947</v>
      </c>
      <c r="B3506" t="s">
        <v>1948</v>
      </c>
      <c r="C3506" t="s">
        <v>3276</v>
      </c>
      <c r="D3506" s="1">
        <v>46066</v>
      </c>
      <c r="E3506" t="s">
        <v>3277</v>
      </c>
      <c r="F3506">
        <v>9</v>
      </c>
      <c r="G3506">
        <v>236</v>
      </c>
      <c r="H3506" t="str">
        <f>VLOOKUP(G3506,[1]OPERADORES!$A:$B,2,0)</f>
        <v>DANIEL</v>
      </c>
      <c r="I3506" t="s">
        <v>21</v>
      </c>
      <c r="J3506" t="s">
        <v>1951</v>
      </c>
      <c r="K3506" t="s">
        <v>1952</v>
      </c>
      <c r="L3506">
        <v>84150</v>
      </c>
      <c r="M3506" t="s">
        <v>3278</v>
      </c>
      <c r="O3506" t="s">
        <v>11</v>
      </c>
      <c r="P3506">
        <v>5403</v>
      </c>
      <c r="Q3506">
        <v>10</v>
      </c>
      <c r="R3506">
        <v>73.36</v>
      </c>
      <c r="S3506">
        <v>733.6</v>
      </c>
      <c r="T3506">
        <v>556.79999999999995</v>
      </c>
      <c r="U3506">
        <v>24.1</v>
      </c>
      <c r="V3506" t="str">
        <f>VLOOKUP(L3506,'[2]tabela de preços'!$A:$D,4,0)</f>
        <v>BRASILUX</v>
      </c>
      <c r="W3506" t="str">
        <f>VLOOKUP(L3506,'[2]tabela de preços'!$A:$F,6,0)</f>
        <v>ESMALTES</v>
      </c>
      <c r="X3506" t="str">
        <f>VLOOKUP(L3506,'[2]tabela de preços'!$A:$G,7,0)</f>
        <v>INDUSTRIAL</v>
      </c>
    </row>
    <row r="3507" spans="1:24" x14ac:dyDescent="0.3">
      <c r="A3507" t="s">
        <v>1947</v>
      </c>
      <c r="B3507" t="s">
        <v>1948</v>
      </c>
      <c r="C3507" t="s">
        <v>3276</v>
      </c>
      <c r="D3507" s="1">
        <v>46066</v>
      </c>
      <c r="E3507" t="s">
        <v>3277</v>
      </c>
      <c r="F3507">
        <v>9</v>
      </c>
      <c r="G3507">
        <v>236</v>
      </c>
      <c r="H3507" t="str">
        <f>VLOOKUP(G3507,[1]OPERADORES!$A:$B,2,0)</f>
        <v>DANIEL</v>
      </c>
      <c r="I3507" t="s">
        <v>21</v>
      </c>
      <c r="J3507" t="s">
        <v>1951</v>
      </c>
      <c r="K3507" t="s">
        <v>1952</v>
      </c>
      <c r="L3507">
        <v>84325</v>
      </c>
      <c r="M3507" t="s">
        <v>678</v>
      </c>
      <c r="O3507" t="s">
        <v>11</v>
      </c>
      <c r="P3507">
        <v>5403</v>
      </c>
      <c r="Q3507">
        <v>6</v>
      </c>
      <c r="R3507">
        <v>59.98</v>
      </c>
      <c r="S3507">
        <v>359.88</v>
      </c>
      <c r="T3507">
        <v>312</v>
      </c>
      <c r="U3507">
        <v>13.3</v>
      </c>
      <c r="V3507" t="str">
        <f>VLOOKUP(L3507,'[2]tabela de preços'!$A:$D,4,0)</f>
        <v>BRASILUX</v>
      </c>
      <c r="W3507" t="str">
        <f>VLOOKUP(L3507,'[2]tabela de preços'!$A:$F,6,0)</f>
        <v>ESMALTES</v>
      </c>
      <c r="X3507" t="str">
        <f>VLOOKUP(L3507,'[2]tabela de preços'!$A:$G,7,0)</f>
        <v>INDUSTRIAL</v>
      </c>
    </row>
    <row r="3508" spans="1:24" x14ac:dyDescent="0.3">
      <c r="A3508" t="s">
        <v>1947</v>
      </c>
      <c r="B3508" t="s">
        <v>1948</v>
      </c>
      <c r="C3508" t="s">
        <v>3276</v>
      </c>
      <c r="D3508" s="1">
        <v>46066</v>
      </c>
      <c r="E3508" t="s">
        <v>3277</v>
      </c>
      <c r="F3508">
        <v>9</v>
      </c>
      <c r="G3508">
        <v>236</v>
      </c>
      <c r="H3508" t="str">
        <f>VLOOKUP(G3508,[1]OPERADORES!$A:$B,2,0)</f>
        <v>DANIEL</v>
      </c>
      <c r="I3508" t="s">
        <v>21</v>
      </c>
      <c r="J3508" t="s">
        <v>1951</v>
      </c>
      <c r="K3508" t="s">
        <v>1952</v>
      </c>
      <c r="L3508">
        <v>84329</v>
      </c>
      <c r="M3508" t="s">
        <v>285</v>
      </c>
      <c r="O3508" t="s">
        <v>11</v>
      </c>
      <c r="P3508">
        <v>5403</v>
      </c>
      <c r="Q3508">
        <v>8</v>
      </c>
      <c r="R3508">
        <v>59.98</v>
      </c>
      <c r="S3508">
        <v>479.84</v>
      </c>
      <c r="T3508">
        <v>386.16</v>
      </c>
      <c r="U3508">
        <v>19.52</v>
      </c>
      <c r="V3508" t="str">
        <f>VLOOKUP(L3508,'[2]tabela de preços'!$A:$D,4,0)</f>
        <v>BRASILUX</v>
      </c>
      <c r="W3508" t="str">
        <f>VLOOKUP(L3508,'[2]tabela de preços'!$A:$F,6,0)</f>
        <v>ESMALTES</v>
      </c>
      <c r="X3508" t="str">
        <f>VLOOKUP(L3508,'[2]tabela de preços'!$A:$G,7,0)</f>
        <v>INDUSTRIAL</v>
      </c>
    </row>
    <row r="3509" spans="1:24" x14ac:dyDescent="0.3">
      <c r="A3509" t="s">
        <v>1947</v>
      </c>
      <c r="B3509" t="s">
        <v>1948</v>
      </c>
      <c r="C3509" t="s">
        <v>3276</v>
      </c>
      <c r="D3509" s="1">
        <v>46066</v>
      </c>
      <c r="E3509" t="s">
        <v>3277</v>
      </c>
      <c r="F3509">
        <v>9</v>
      </c>
      <c r="G3509">
        <v>236</v>
      </c>
      <c r="H3509" t="str">
        <f>VLOOKUP(G3509,[1]OPERADORES!$A:$B,2,0)</f>
        <v>DANIEL</v>
      </c>
      <c r="I3509" t="s">
        <v>21</v>
      </c>
      <c r="J3509" t="s">
        <v>1951</v>
      </c>
      <c r="K3509" t="s">
        <v>1952</v>
      </c>
      <c r="L3509">
        <v>84331</v>
      </c>
      <c r="M3509" t="s">
        <v>497</v>
      </c>
      <c r="O3509" t="s">
        <v>11</v>
      </c>
      <c r="P3509">
        <v>5403</v>
      </c>
      <c r="Q3509">
        <v>6</v>
      </c>
      <c r="R3509">
        <v>59.98</v>
      </c>
      <c r="S3509">
        <v>359.88</v>
      </c>
      <c r="T3509">
        <v>312</v>
      </c>
      <c r="U3509">
        <v>13.3</v>
      </c>
      <c r="V3509" t="str">
        <f>VLOOKUP(L3509,'[2]tabela de preços'!$A:$D,4,0)</f>
        <v>BRASILUX</v>
      </c>
      <c r="W3509" t="str">
        <f>VLOOKUP(L3509,'[2]tabela de preços'!$A:$F,6,0)</f>
        <v>ESMALTES</v>
      </c>
      <c r="X3509" t="str">
        <f>VLOOKUP(L3509,'[2]tabela de preços'!$A:$G,7,0)</f>
        <v>INDUSTRIAL</v>
      </c>
    </row>
    <row r="3510" spans="1:24" x14ac:dyDescent="0.3">
      <c r="A3510" t="s">
        <v>1947</v>
      </c>
      <c r="B3510" t="s">
        <v>1948</v>
      </c>
      <c r="C3510" t="s">
        <v>3276</v>
      </c>
      <c r="D3510" s="1">
        <v>46066</v>
      </c>
      <c r="E3510" t="s">
        <v>3277</v>
      </c>
      <c r="F3510">
        <v>9</v>
      </c>
      <c r="G3510">
        <v>236</v>
      </c>
      <c r="H3510" t="str">
        <f>VLOOKUP(G3510,[1]OPERADORES!$A:$B,2,0)</f>
        <v>DANIEL</v>
      </c>
      <c r="I3510" t="s">
        <v>21</v>
      </c>
      <c r="J3510" t="s">
        <v>1951</v>
      </c>
      <c r="K3510" t="s">
        <v>1952</v>
      </c>
      <c r="L3510">
        <v>84335</v>
      </c>
      <c r="M3510" t="s">
        <v>269</v>
      </c>
      <c r="O3510" t="s">
        <v>11</v>
      </c>
      <c r="P3510">
        <v>5403</v>
      </c>
      <c r="Q3510">
        <v>10</v>
      </c>
      <c r="R3510">
        <v>59.98</v>
      </c>
      <c r="S3510">
        <v>599.79999999999995</v>
      </c>
      <c r="T3510">
        <v>506.5</v>
      </c>
      <c r="U3510">
        <v>15.56</v>
      </c>
      <c r="V3510" t="str">
        <f>VLOOKUP(L3510,'[2]tabela de preços'!$A:$D,4,0)</f>
        <v>BRASILUX</v>
      </c>
      <c r="W3510" t="str">
        <f>VLOOKUP(L3510,'[2]tabela de preços'!$A:$F,6,0)</f>
        <v>ESMALTES</v>
      </c>
      <c r="X3510" t="str">
        <f>VLOOKUP(L3510,'[2]tabela de preços'!$A:$G,7,0)</f>
        <v>INDUSTRIAL</v>
      </c>
    </row>
    <row r="3511" spans="1:24" x14ac:dyDescent="0.3">
      <c r="A3511" t="s">
        <v>1947</v>
      </c>
      <c r="B3511" t="s">
        <v>1948</v>
      </c>
      <c r="C3511" t="s">
        <v>3276</v>
      </c>
      <c r="D3511" s="1">
        <v>46066</v>
      </c>
      <c r="E3511" t="s">
        <v>3277</v>
      </c>
      <c r="F3511">
        <v>9</v>
      </c>
      <c r="G3511">
        <v>236</v>
      </c>
      <c r="H3511" t="str">
        <f>VLOOKUP(G3511,[1]OPERADORES!$A:$B,2,0)</f>
        <v>DANIEL</v>
      </c>
      <c r="I3511" t="s">
        <v>21</v>
      </c>
      <c r="J3511" t="s">
        <v>1951</v>
      </c>
      <c r="K3511" t="s">
        <v>1952</v>
      </c>
      <c r="L3511">
        <v>84347</v>
      </c>
      <c r="M3511" t="s">
        <v>1150</v>
      </c>
      <c r="O3511" t="s">
        <v>11</v>
      </c>
      <c r="P3511">
        <v>5403</v>
      </c>
      <c r="Q3511">
        <v>6</v>
      </c>
      <c r="R3511">
        <v>59.98</v>
      </c>
      <c r="S3511">
        <v>359.88</v>
      </c>
      <c r="T3511">
        <v>312</v>
      </c>
      <c r="U3511">
        <v>13.3</v>
      </c>
      <c r="V3511" t="str">
        <f>VLOOKUP(L3511,'[2]tabela de preços'!$A:$D,4,0)</f>
        <v>BRASILUX</v>
      </c>
      <c r="W3511" t="str">
        <f>VLOOKUP(L3511,'[2]tabela de preços'!$A:$F,6,0)</f>
        <v>ESMALTES</v>
      </c>
      <c r="X3511" t="str">
        <f>VLOOKUP(L3511,'[2]tabela de preços'!$A:$G,7,0)</f>
        <v>INDUSTRIAL</v>
      </c>
    </row>
    <row r="3512" spans="1:24" x14ac:dyDescent="0.3">
      <c r="A3512" t="s">
        <v>1947</v>
      </c>
      <c r="B3512" t="s">
        <v>1948</v>
      </c>
      <c r="C3512" t="s">
        <v>3276</v>
      </c>
      <c r="D3512" s="1">
        <v>46066</v>
      </c>
      <c r="E3512" t="s">
        <v>3277</v>
      </c>
      <c r="F3512">
        <v>9</v>
      </c>
      <c r="G3512">
        <v>236</v>
      </c>
      <c r="H3512" t="str">
        <f>VLOOKUP(G3512,[1]OPERADORES!$A:$B,2,0)</f>
        <v>DANIEL</v>
      </c>
      <c r="I3512" t="s">
        <v>21</v>
      </c>
      <c r="J3512" t="s">
        <v>1951</v>
      </c>
      <c r="K3512" t="s">
        <v>1952</v>
      </c>
      <c r="L3512">
        <v>84250</v>
      </c>
      <c r="M3512" t="s">
        <v>922</v>
      </c>
      <c r="O3512" t="s">
        <v>11</v>
      </c>
      <c r="P3512">
        <v>5403</v>
      </c>
      <c r="Q3512">
        <v>10</v>
      </c>
      <c r="R3512">
        <v>112.9</v>
      </c>
      <c r="S3512" s="2">
        <v>1129</v>
      </c>
      <c r="T3512">
        <v>946.6</v>
      </c>
      <c r="U3512">
        <v>16.16</v>
      </c>
      <c r="V3512" t="str">
        <f>VLOOKUP(L3512,'[2]tabela de preços'!$A:$D,4,0)</f>
        <v>BRASILUX</v>
      </c>
      <c r="W3512" t="str">
        <f>VLOOKUP(L3512,'[2]tabela de preços'!$A:$F,6,0)</f>
        <v>TINTA PAREDE</v>
      </c>
      <c r="X3512" t="str">
        <f>VLOOKUP(L3512,'[2]tabela de preços'!$A:$G,7,0)</f>
        <v>IMOBILIÁRIO</v>
      </c>
    </row>
    <row r="3513" spans="1:24" x14ac:dyDescent="0.3">
      <c r="A3513" t="s">
        <v>1947</v>
      </c>
      <c r="B3513" t="s">
        <v>1948</v>
      </c>
      <c r="C3513" t="s">
        <v>3276</v>
      </c>
      <c r="D3513" s="1">
        <v>46066</v>
      </c>
      <c r="E3513" t="s">
        <v>3277</v>
      </c>
      <c r="F3513">
        <v>9</v>
      </c>
      <c r="G3513">
        <v>236</v>
      </c>
      <c r="H3513" t="str">
        <f>VLOOKUP(G3513,[1]OPERADORES!$A:$B,2,0)</f>
        <v>DANIEL</v>
      </c>
      <c r="I3513" t="s">
        <v>21</v>
      </c>
      <c r="J3513" t="s">
        <v>1951</v>
      </c>
      <c r="K3513" t="s">
        <v>1952</v>
      </c>
      <c r="L3513">
        <v>85449</v>
      </c>
      <c r="M3513" t="s">
        <v>3279</v>
      </c>
      <c r="O3513" t="s">
        <v>11</v>
      </c>
      <c r="P3513">
        <v>5403</v>
      </c>
      <c r="Q3513">
        <v>10</v>
      </c>
      <c r="R3513">
        <v>291.72000000000003</v>
      </c>
      <c r="S3513" s="2">
        <v>2917.2</v>
      </c>
      <c r="T3513" s="2">
        <v>2214.1999999999998</v>
      </c>
      <c r="U3513">
        <v>24.1</v>
      </c>
      <c r="V3513" t="str">
        <f>VLOOKUP(L3513,'[2]tabela de preços'!$A:$D,4,0)</f>
        <v>BRASILUX</v>
      </c>
      <c r="W3513" t="str">
        <f>VLOOKUP(L3513,'[2]tabela de preços'!$A:$F,6,0)</f>
        <v>TINTA PAREDE</v>
      </c>
      <c r="X3513" t="str">
        <f>VLOOKUP(L3513,'[2]tabela de preços'!$A:$G,7,0)</f>
        <v>IMOBILIÁRIO</v>
      </c>
    </row>
    <row r="3514" spans="1:24" x14ac:dyDescent="0.3">
      <c r="A3514" t="s">
        <v>1947</v>
      </c>
      <c r="B3514" t="s">
        <v>1948</v>
      </c>
      <c r="C3514" t="s">
        <v>3276</v>
      </c>
      <c r="D3514" s="1">
        <v>46066</v>
      </c>
      <c r="E3514" t="s">
        <v>3277</v>
      </c>
      <c r="F3514">
        <v>9</v>
      </c>
      <c r="G3514">
        <v>236</v>
      </c>
      <c r="H3514" t="str">
        <f>VLOOKUP(G3514,[1]OPERADORES!$A:$B,2,0)</f>
        <v>DANIEL</v>
      </c>
      <c r="I3514" t="s">
        <v>21</v>
      </c>
      <c r="J3514" t="s">
        <v>1951</v>
      </c>
      <c r="K3514" t="s">
        <v>1952</v>
      </c>
      <c r="L3514">
        <v>84961</v>
      </c>
      <c r="M3514" t="s">
        <v>3280</v>
      </c>
      <c r="O3514" t="s">
        <v>11</v>
      </c>
      <c r="P3514">
        <v>5403</v>
      </c>
      <c r="Q3514">
        <v>6</v>
      </c>
      <c r="R3514">
        <v>347.19</v>
      </c>
      <c r="S3514" s="2">
        <v>2083.14</v>
      </c>
      <c r="T3514" s="2">
        <v>1581.12</v>
      </c>
      <c r="U3514">
        <v>24.1</v>
      </c>
      <c r="V3514" t="str">
        <f>VLOOKUP(L3514,'[2]tabela de preços'!$A:$D,4,0)</f>
        <v>BRASILUX</v>
      </c>
      <c r="W3514" t="str">
        <f>VLOOKUP(L3514,'[2]tabela de preços'!$A:$F,6,0)</f>
        <v>IMPERMEABILIZANTES</v>
      </c>
      <c r="X3514" t="str">
        <f>VLOOKUP(L3514,'[2]tabela de preços'!$A:$G,7,0)</f>
        <v>IMOBILIÁRIO</v>
      </c>
    </row>
    <row r="3515" spans="1:24" x14ac:dyDescent="0.3">
      <c r="A3515" t="s">
        <v>1947</v>
      </c>
      <c r="B3515" t="s">
        <v>1948</v>
      </c>
      <c r="C3515" t="s">
        <v>3276</v>
      </c>
      <c r="D3515" s="1">
        <v>46066</v>
      </c>
      <c r="E3515" t="s">
        <v>3277</v>
      </c>
      <c r="F3515">
        <v>9</v>
      </c>
      <c r="G3515">
        <v>236</v>
      </c>
      <c r="H3515" t="str">
        <f>VLOOKUP(G3515,[1]OPERADORES!$A:$B,2,0)</f>
        <v>DANIEL</v>
      </c>
      <c r="I3515" t="s">
        <v>21</v>
      </c>
      <c r="J3515" t="s">
        <v>1951</v>
      </c>
      <c r="K3515" t="s">
        <v>1952</v>
      </c>
      <c r="L3515">
        <v>85271</v>
      </c>
      <c r="M3515" t="s">
        <v>850</v>
      </c>
      <c r="O3515" t="s">
        <v>11</v>
      </c>
      <c r="P3515">
        <v>5403</v>
      </c>
      <c r="Q3515">
        <v>2</v>
      </c>
      <c r="R3515">
        <v>148.80000000000001</v>
      </c>
      <c r="S3515">
        <v>297.60000000000002</v>
      </c>
      <c r="T3515">
        <v>225.88</v>
      </c>
      <c r="U3515">
        <v>24.1</v>
      </c>
      <c r="V3515" t="str">
        <f>VLOOKUP(L3515,'[2]tabela de preços'!$A:$D,4,0)</f>
        <v>BRASILUX</v>
      </c>
      <c r="W3515" t="str">
        <f>VLOOKUP(L3515,'[2]tabela de preços'!$A:$F,6,0)</f>
        <v>TINTA PARA PISO</v>
      </c>
      <c r="X3515" t="str">
        <f>VLOOKUP(L3515,'[2]tabela de preços'!$A:$G,7,0)</f>
        <v>IMOBILIÁRIO</v>
      </c>
    </row>
    <row r="3516" spans="1:24" x14ac:dyDescent="0.3">
      <c r="A3516" t="s">
        <v>1947</v>
      </c>
      <c r="B3516" t="s">
        <v>1948</v>
      </c>
      <c r="C3516" t="s">
        <v>3276</v>
      </c>
      <c r="D3516" s="1">
        <v>46066</v>
      </c>
      <c r="E3516" t="s">
        <v>3277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1951</v>
      </c>
      <c r="K3516" t="s">
        <v>1952</v>
      </c>
      <c r="L3516">
        <v>84386</v>
      </c>
      <c r="M3516" t="s">
        <v>552</v>
      </c>
      <c r="O3516" t="s">
        <v>11</v>
      </c>
      <c r="P3516">
        <v>5403</v>
      </c>
      <c r="Q3516">
        <v>8</v>
      </c>
      <c r="R3516">
        <v>159.9</v>
      </c>
      <c r="S3516" s="2">
        <v>1279.2</v>
      </c>
      <c r="T3516" s="2">
        <v>1100.8800000000001</v>
      </c>
      <c r="U3516">
        <v>13.94</v>
      </c>
      <c r="V3516" t="str">
        <f>VLOOKUP(L3516,'[2]tabela de preços'!$A:$D,4,0)</f>
        <v>BRASILUX</v>
      </c>
      <c r="W3516" t="str">
        <f>VLOOKUP(L3516,'[2]tabela de preços'!$A:$F,6,0)</f>
        <v>TINTA PARA PISO</v>
      </c>
      <c r="X3516" t="str">
        <f>VLOOKUP(L3516,'[2]tabela de preços'!$A:$G,7,0)</f>
        <v>IMOBILIÁRIO</v>
      </c>
    </row>
    <row r="3517" spans="1:24" x14ac:dyDescent="0.3">
      <c r="A3517" t="s">
        <v>1947</v>
      </c>
      <c r="B3517" t="s">
        <v>1948</v>
      </c>
      <c r="C3517" t="s">
        <v>3276</v>
      </c>
      <c r="D3517" s="1">
        <v>46066</v>
      </c>
      <c r="E3517" t="s">
        <v>3277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1951</v>
      </c>
      <c r="K3517" t="s">
        <v>1952</v>
      </c>
      <c r="L3517">
        <v>84436</v>
      </c>
      <c r="M3517" t="s">
        <v>3281</v>
      </c>
      <c r="O3517" t="s">
        <v>11</v>
      </c>
      <c r="P3517">
        <v>5102</v>
      </c>
      <c r="Q3517">
        <v>40</v>
      </c>
      <c r="R3517">
        <v>5.61</v>
      </c>
      <c r="S3517">
        <v>224.4</v>
      </c>
      <c r="T3517">
        <v>170.4</v>
      </c>
      <c r="U3517">
        <v>24.06</v>
      </c>
      <c r="V3517" t="str">
        <f>VLOOKUP(L3517,'[2]tabela de preços'!$A:$D,4,0)</f>
        <v>ATLAS</v>
      </c>
      <c r="W3517" t="str">
        <f>VLOOKUP(L3517,'[2]tabela de preços'!$A:$F,6,0)</f>
        <v>ROLOS / TRINCHAS / PINCÉIS / ESPÁTULAS</v>
      </c>
      <c r="X3517" t="str">
        <f>VLOOKUP(L3517,'[2]tabela de preços'!$A:$G,7,0)</f>
        <v>IMOBILIÁRIO</v>
      </c>
    </row>
    <row r="3518" spans="1:24" x14ac:dyDescent="0.3">
      <c r="A3518" t="s">
        <v>1947</v>
      </c>
      <c r="B3518" t="s">
        <v>1948</v>
      </c>
      <c r="C3518" t="s">
        <v>3276</v>
      </c>
      <c r="D3518" s="1">
        <v>46066</v>
      </c>
      <c r="E3518" t="s">
        <v>3277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1951</v>
      </c>
      <c r="K3518" t="s">
        <v>1952</v>
      </c>
      <c r="L3518">
        <v>84201</v>
      </c>
      <c r="M3518" t="s">
        <v>1005</v>
      </c>
      <c r="O3518" t="s">
        <v>11</v>
      </c>
      <c r="P3518">
        <v>5403</v>
      </c>
      <c r="Q3518">
        <v>6</v>
      </c>
      <c r="R3518">
        <v>86.72</v>
      </c>
      <c r="S3518">
        <v>520.32000000000005</v>
      </c>
      <c r="T3518">
        <v>394.92</v>
      </c>
      <c r="U3518">
        <v>24.1</v>
      </c>
      <c r="V3518" t="str">
        <f>VLOOKUP(L3518,'[2]tabela de preços'!$A:$D,4,0)</f>
        <v>BRASILUX</v>
      </c>
      <c r="W3518" t="str">
        <f>VLOOKUP(L3518,'[2]tabela de preços'!$A:$F,6,0)</f>
        <v>SELADOR ACRÍLICO</v>
      </c>
      <c r="X3518" t="str">
        <f>VLOOKUP(L3518,'[2]tabela de preços'!$A:$G,7,0)</f>
        <v>IMOBILIÁRIO</v>
      </c>
    </row>
    <row r="3519" spans="1:24" x14ac:dyDescent="0.3">
      <c r="A3519" t="s">
        <v>1947</v>
      </c>
      <c r="B3519" t="s">
        <v>1948</v>
      </c>
      <c r="C3519" t="s">
        <v>3276</v>
      </c>
      <c r="D3519" s="1">
        <v>46066</v>
      </c>
      <c r="E3519" t="s">
        <v>3277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1951</v>
      </c>
      <c r="K3519" t="s">
        <v>1952</v>
      </c>
      <c r="L3519">
        <v>10115</v>
      </c>
      <c r="M3519" t="s">
        <v>2587</v>
      </c>
      <c r="O3519" t="s">
        <v>11</v>
      </c>
      <c r="P3519">
        <v>5102</v>
      </c>
      <c r="Q3519">
        <v>20</v>
      </c>
      <c r="R3519">
        <v>2.98</v>
      </c>
      <c r="S3519">
        <v>59.6</v>
      </c>
      <c r="T3519">
        <v>45.2</v>
      </c>
      <c r="U3519">
        <v>24.16</v>
      </c>
      <c r="V3519" t="str">
        <f>VLOOKUP(L3519,'[2]tabela de preços'!$A:$D,4,0)</f>
        <v>ATLAS</v>
      </c>
      <c r="W3519" t="str">
        <f>VLOOKUP(L3519,'[2]tabela de preços'!$A:$F,6,0)</f>
        <v>ROLOS / TRINCHAS / PINCÉIS / ESPÁTULAS</v>
      </c>
      <c r="X3519" t="str">
        <f>VLOOKUP(L3519,'[2]tabela de preços'!$A:$G,7,0)</f>
        <v>IMOBILIÁRIO</v>
      </c>
    </row>
    <row r="3520" spans="1:24" x14ac:dyDescent="0.3">
      <c r="A3520" t="s">
        <v>1969</v>
      </c>
      <c r="C3520" t="s">
        <v>2974</v>
      </c>
      <c r="D3520" s="1">
        <v>46063</v>
      </c>
      <c r="E3520" t="s">
        <v>2975</v>
      </c>
      <c r="F3520">
        <v>9</v>
      </c>
      <c r="G3520">
        <v>230</v>
      </c>
      <c r="H3520" t="str">
        <f>VLOOKUP(G3520,[1]OPERADORES!$A:$B,2,0)</f>
        <v>SÔNIA</v>
      </c>
      <c r="I3520" t="s">
        <v>715</v>
      </c>
      <c r="J3520" t="s">
        <v>1972</v>
      </c>
      <c r="K3520" t="s">
        <v>1973</v>
      </c>
      <c r="L3520">
        <v>84557</v>
      </c>
      <c r="M3520" t="s">
        <v>116</v>
      </c>
      <c r="O3520" t="s">
        <v>11</v>
      </c>
      <c r="P3520">
        <v>6102</v>
      </c>
      <c r="Q3520">
        <v>12</v>
      </c>
      <c r="R3520">
        <v>17.489999999999998</v>
      </c>
      <c r="S3520">
        <v>209.88</v>
      </c>
      <c r="T3520">
        <v>167.52</v>
      </c>
      <c r="U3520">
        <v>20.18</v>
      </c>
      <c r="V3520" t="str">
        <f>VLOOKUP(L3520,'[2]tabela de preços'!$A:$D,4,0)</f>
        <v>BRASILUX</v>
      </c>
      <c r="W3520" t="str">
        <f>VLOOKUP(L3520,'[2]tabela de preços'!$A:$F,6,0)</f>
        <v>DILUENTE</v>
      </c>
      <c r="X3520" t="str">
        <f>VLOOKUP(L3520,'[2]tabela de preços'!$A:$G,7,0)</f>
        <v>AUTOMOTIVO</v>
      </c>
    </row>
    <row r="3521" spans="1:24" x14ac:dyDescent="0.3">
      <c r="A3521" t="s">
        <v>1969</v>
      </c>
      <c r="C3521" t="s">
        <v>2974</v>
      </c>
      <c r="D3521" s="1">
        <v>46063</v>
      </c>
      <c r="E3521" t="s">
        <v>2975</v>
      </c>
      <c r="F3521">
        <v>9</v>
      </c>
      <c r="G3521">
        <v>230</v>
      </c>
      <c r="H3521" t="str">
        <f>VLOOKUP(G3521,[1]OPERADORES!$A:$B,2,0)</f>
        <v>SÔNIA</v>
      </c>
      <c r="I3521" t="s">
        <v>715</v>
      </c>
      <c r="J3521" t="s">
        <v>1972</v>
      </c>
      <c r="K3521" t="s">
        <v>1973</v>
      </c>
      <c r="L3521">
        <v>10226</v>
      </c>
      <c r="M3521" t="s">
        <v>145</v>
      </c>
      <c r="O3521" t="s">
        <v>11</v>
      </c>
      <c r="P3521">
        <v>6102</v>
      </c>
      <c r="Q3521">
        <v>10</v>
      </c>
      <c r="R3521">
        <v>2.79</v>
      </c>
      <c r="S3521">
        <v>27.9</v>
      </c>
      <c r="T3521">
        <v>23.2</v>
      </c>
      <c r="U3521">
        <v>16.850000000000001</v>
      </c>
      <c r="V3521" t="str">
        <f>VLOOKUP(L3521,'[2]tabela de preços'!$A:$D,4,0)</f>
        <v>NORTON</v>
      </c>
      <c r="W3521" t="str">
        <f>VLOOKUP(L3521,'[2]tabela de preços'!$A:$F,6,0)</f>
        <v xml:space="preserve">DISCOS / LIXAS / ABRASIVOS </v>
      </c>
      <c r="X3521" t="str">
        <f>VLOOKUP(L3521,'[2]tabela de preços'!$A:$G,7,0)</f>
        <v>AUTOMOTIVO</v>
      </c>
    </row>
    <row r="3522" spans="1:24" x14ac:dyDescent="0.3">
      <c r="A3522" t="s">
        <v>1969</v>
      </c>
      <c r="C3522" t="s">
        <v>2974</v>
      </c>
      <c r="D3522" s="1">
        <v>46063</v>
      </c>
      <c r="E3522" t="s">
        <v>2975</v>
      </c>
      <c r="F3522">
        <v>9</v>
      </c>
      <c r="G3522">
        <v>230</v>
      </c>
      <c r="H3522" t="str">
        <f>VLOOKUP(G3522,[1]OPERADORES!$A:$B,2,0)</f>
        <v>SÔNIA</v>
      </c>
      <c r="I3522" t="s">
        <v>715</v>
      </c>
      <c r="J3522" t="s">
        <v>1972</v>
      </c>
      <c r="K3522" t="s">
        <v>1973</v>
      </c>
      <c r="L3522">
        <v>10232</v>
      </c>
      <c r="M3522" t="s">
        <v>134</v>
      </c>
      <c r="O3522" t="s">
        <v>11</v>
      </c>
      <c r="P3522">
        <v>6102</v>
      </c>
      <c r="Q3522">
        <v>10</v>
      </c>
      <c r="R3522">
        <v>2.79</v>
      </c>
      <c r="S3522">
        <v>27.9</v>
      </c>
      <c r="T3522">
        <v>22.5</v>
      </c>
      <c r="U3522">
        <v>19.350000000000001</v>
      </c>
      <c r="V3522" t="str">
        <f>VLOOKUP(L3522,'[2]tabela de preços'!$A:$D,4,0)</f>
        <v>NORTON</v>
      </c>
      <c r="W3522" t="str">
        <f>VLOOKUP(L3522,'[2]tabela de preços'!$A:$F,6,0)</f>
        <v xml:space="preserve">DISCOS / LIXAS / ABRASIVOS </v>
      </c>
      <c r="X3522" t="str">
        <f>VLOOKUP(L3522,'[2]tabela de preços'!$A:$G,7,0)</f>
        <v>AUTOMOTIVO</v>
      </c>
    </row>
    <row r="3523" spans="1:24" x14ac:dyDescent="0.3">
      <c r="A3523" t="s">
        <v>1969</v>
      </c>
      <c r="C3523" t="s">
        <v>2974</v>
      </c>
      <c r="D3523" s="1">
        <v>46063</v>
      </c>
      <c r="E3523" t="s">
        <v>2975</v>
      </c>
      <c r="F3523">
        <v>9</v>
      </c>
      <c r="G3523">
        <v>230</v>
      </c>
      <c r="H3523" t="str">
        <f>VLOOKUP(G3523,[1]OPERADORES!$A:$B,2,0)</f>
        <v>SÔNIA</v>
      </c>
      <c r="I3523" t="s">
        <v>715</v>
      </c>
      <c r="J3523" t="s">
        <v>1972</v>
      </c>
      <c r="K3523" t="s">
        <v>1973</v>
      </c>
      <c r="L3523">
        <v>84407</v>
      </c>
      <c r="M3523" t="s">
        <v>2976</v>
      </c>
      <c r="O3523" t="s">
        <v>11</v>
      </c>
      <c r="P3523">
        <v>6102</v>
      </c>
      <c r="Q3523">
        <v>1</v>
      </c>
      <c r="R3523">
        <v>38.43</v>
      </c>
      <c r="S3523">
        <v>38.43</v>
      </c>
      <c r="T3523">
        <v>29.17</v>
      </c>
      <c r="U3523">
        <v>24.1</v>
      </c>
      <c r="V3523" t="str">
        <f>VLOOKUP(L3523,'[2]tabela de preços'!$A:$D,4,0)</f>
        <v>3M</v>
      </c>
      <c r="W3523" t="str">
        <f>VLOOKUP(L3523,'[2]tabela de preços'!$A:$F,6,0)</f>
        <v>FITA DUPLA FACE</v>
      </c>
      <c r="X3523" t="str">
        <f>VLOOKUP(L3523,'[2]tabela de preços'!$A:$G,7,0)</f>
        <v>AUTOMOTIVO</v>
      </c>
    </row>
    <row r="3524" spans="1:24" x14ac:dyDescent="0.3">
      <c r="A3524" t="s">
        <v>1969</v>
      </c>
      <c r="C3524" t="s">
        <v>2974</v>
      </c>
      <c r="D3524" s="1">
        <v>46063</v>
      </c>
      <c r="E3524" t="s">
        <v>2975</v>
      </c>
      <c r="F3524">
        <v>9</v>
      </c>
      <c r="G3524">
        <v>230</v>
      </c>
      <c r="H3524" t="str">
        <f>VLOOKUP(G3524,[1]OPERADORES!$A:$B,2,0)</f>
        <v>SÔNIA</v>
      </c>
      <c r="I3524" t="s">
        <v>715</v>
      </c>
      <c r="J3524" t="s">
        <v>1972</v>
      </c>
      <c r="K3524" t="s">
        <v>1973</v>
      </c>
      <c r="L3524">
        <v>10277</v>
      </c>
      <c r="M3524" t="s">
        <v>135</v>
      </c>
      <c r="O3524" t="s">
        <v>11</v>
      </c>
      <c r="P3524">
        <v>6102</v>
      </c>
      <c r="Q3524">
        <v>2</v>
      </c>
      <c r="R3524">
        <v>15.89</v>
      </c>
      <c r="S3524">
        <v>31.78</v>
      </c>
      <c r="T3524">
        <v>25.76</v>
      </c>
      <c r="U3524">
        <v>18.940000000000001</v>
      </c>
      <c r="V3524" t="str">
        <f>VLOOKUP(L3524,'[2]tabela de preços'!$A:$D,4,0)</f>
        <v>RETOQUE</v>
      </c>
      <c r="W3524" t="str">
        <f>VLOOKUP(L3524,'[2]tabela de preços'!$A:$F,6,0)</f>
        <v xml:space="preserve">COLA  PLÁSTICA </v>
      </c>
      <c r="X3524" t="str">
        <f>VLOOKUP(L3524,'[2]tabela de preços'!$A:$G,7,0)</f>
        <v>AUTOMOTIVO</v>
      </c>
    </row>
    <row r="3525" spans="1:24" x14ac:dyDescent="0.3">
      <c r="A3525" t="s">
        <v>1969</v>
      </c>
      <c r="C3525" t="s">
        <v>2974</v>
      </c>
      <c r="D3525" s="1">
        <v>46063</v>
      </c>
      <c r="E3525" t="s">
        <v>2975</v>
      </c>
      <c r="F3525">
        <v>9</v>
      </c>
      <c r="G3525">
        <v>230</v>
      </c>
      <c r="H3525" t="str">
        <f>VLOOKUP(G3525,[1]OPERADORES!$A:$B,2,0)</f>
        <v>SÔNIA</v>
      </c>
      <c r="I3525" t="s">
        <v>715</v>
      </c>
      <c r="J3525" t="s">
        <v>1972</v>
      </c>
      <c r="K3525" t="s">
        <v>1973</v>
      </c>
      <c r="L3525">
        <v>23076</v>
      </c>
      <c r="M3525" t="s">
        <v>97</v>
      </c>
      <c r="O3525" t="s">
        <v>11</v>
      </c>
      <c r="P3525">
        <v>6403</v>
      </c>
      <c r="Q3525">
        <v>6</v>
      </c>
      <c r="R3525">
        <v>34.89</v>
      </c>
      <c r="S3525">
        <v>209.34</v>
      </c>
      <c r="T3525">
        <v>159.18</v>
      </c>
      <c r="U3525">
        <v>23.96</v>
      </c>
      <c r="V3525" t="str">
        <f>VLOOKUP(L3525,'[2]tabela de preços'!$A:$D,4,0)</f>
        <v>WANDA</v>
      </c>
      <c r="W3525" t="str">
        <f>VLOOKUP(L3525,'[2]tabela de preços'!$A:$F,6,0)</f>
        <v>PRIMER AUTOMOTIVO</v>
      </c>
      <c r="X3525" t="str">
        <f>VLOOKUP(L3525,'[2]tabela de preços'!$A:$G,7,0)</f>
        <v>AUTOMOTIVO</v>
      </c>
    </row>
    <row r="3526" spans="1:24" x14ac:dyDescent="0.3">
      <c r="A3526" t="s">
        <v>1969</v>
      </c>
      <c r="C3526" t="s">
        <v>2974</v>
      </c>
      <c r="D3526" s="1">
        <v>46063</v>
      </c>
      <c r="E3526" t="s">
        <v>2975</v>
      </c>
      <c r="F3526">
        <v>9</v>
      </c>
      <c r="G3526">
        <v>230</v>
      </c>
      <c r="H3526" t="str">
        <f>VLOOKUP(G3526,[1]OPERADORES!$A:$B,2,0)</f>
        <v>SÔNIA</v>
      </c>
      <c r="I3526" t="s">
        <v>715</v>
      </c>
      <c r="J3526" t="s">
        <v>1972</v>
      </c>
      <c r="K3526" t="s">
        <v>1973</v>
      </c>
      <c r="L3526">
        <v>23602</v>
      </c>
      <c r="M3526" t="s">
        <v>215</v>
      </c>
      <c r="O3526" t="s">
        <v>11</v>
      </c>
      <c r="P3526">
        <v>6403</v>
      </c>
      <c r="Q3526">
        <v>18</v>
      </c>
      <c r="R3526">
        <v>35.89</v>
      </c>
      <c r="S3526">
        <v>646.02</v>
      </c>
      <c r="T3526">
        <v>526.5</v>
      </c>
      <c r="U3526">
        <v>18.5</v>
      </c>
      <c r="V3526" t="str">
        <f>VLOOKUP(L3526,'[2]tabela de preços'!$A:$D,4,0)</f>
        <v>SHERWIN WILLIAMS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1969</v>
      </c>
      <c r="C3527" t="s">
        <v>2974</v>
      </c>
      <c r="D3527" s="1">
        <v>46063</v>
      </c>
      <c r="E3527" t="s">
        <v>2975</v>
      </c>
      <c r="F3527">
        <v>9</v>
      </c>
      <c r="G3527">
        <v>230</v>
      </c>
      <c r="H3527" t="str">
        <f>VLOOKUP(G3527,[1]OPERADORES!$A:$B,2,0)</f>
        <v>SÔNIA</v>
      </c>
      <c r="I3527" t="s">
        <v>715</v>
      </c>
      <c r="J3527" t="s">
        <v>1972</v>
      </c>
      <c r="K3527" t="s">
        <v>1973</v>
      </c>
      <c r="L3527">
        <v>15</v>
      </c>
      <c r="M3527" t="s">
        <v>205</v>
      </c>
      <c r="O3527" t="s">
        <v>11</v>
      </c>
      <c r="P3527">
        <v>6102</v>
      </c>
      <c r="Q3527">
        <v>10</v>
      </c>
      <c r="R3527">
        <v>5.79</v>
      </c>
      <c r="S3527">
        <v>57.9</v>
      </c>
      <c r="T3527">
        <v>41.6</v>
      </c>
      <c r="U3527">
        <v>28.15</v>
      </c>
      <c r="V3527" t="str">
        <f>VLOOKUP(L3527,'[2]tabela de preços'!$A:$D,4,0)</f>
        <v>3M</v>
      </c>
      <c r="W3527" t="str">
        <f>VLOOKUP(L3527,'[2]tabela de preços'!$A:$F,6,0)</f>
        <v>LIXA DÁGUA</v>
      </c>
      <c r="X3527" t="str">
        <f>VLOOKUP(L3527,'[2]tabela de preços'!$A:$G,7,0)</f>
        <v>AUTOMOTIVO</v>
      </c>
    </row>
    <row r="3528" spans="1:24" x14ac:dyDescent="0.3">
      <c r="A3528" t="s">
        <v>1969</v>
      </c>
      <c r="C3528" t="s">
        <v>2974</v>
      </c>
      <c r="D3528" s="1">
        <v>46063</v>
      </c>
      <c r="E3528" t="s">
        <v>2975</v>
      </c>
      <c r="F3528">
        <v>9</v>
      </c>
      <c r="G3528">
        <v>230</v>
      </c>
      <c r="H3528" t="str">
        <f>VLOOKUP(G3528,[1]OPERADORES!$A:$B,2,0)</f>
        <v>SÔNIA</v>
      </c>
      <c r="I3528" t="s">
        <v>715</v>
      </c>
      <c r="J3528" t="s">
        <v>1972</v>
      </c>
      <c r="K3528" t="s">
        <v>1973</v>
      </c>
      <c r="L3528">
        <v>16</v>
      </c>
      <c r="M3528" t="s">
        <v>122</v>
      </c>
      <c r="O3528" t="s">
        <v>11</v>
      </c>
      <c r="P3528">
        <v>6102</v>
      </c>
      <c r="Q3528">
        <v>10</v>
      </c>
      <c r="R3528">
        <v>2.9</v>
      </c>
      <c r="S3528">
        <v>29</v>
      </c>
      <c r="T3528">
        <v>22</v>
      </c>
      <c r="U3528">
        <v>24.14</v>
      </c>
      <c r="V3528" t="str">
        <f>VLOOKUP(L3528,'[2]tabela de preços'!$A:$D,4,0)</f>
        <v>3M</v>
      </c>
      <c r="W3528" t="str">
        <f>VLOOKUP(L3528,'[2]tabela de preços'!$A:$F,6,0)</f>
        <v>LIXA DÁGUA</v>
      </c>
      <c r="X3528" t="str">
        <f>VLOOKUP(L3528,'[2]tabela de preços'!$A:$G,7,0)</f>
        <v>AUTOMOTIVO</v>
      </c>
    </row>
    <row r="3529" spans="1:24" x14ac:dyDescent="0.3">
      <c r="A3529" t="s">
        <v>1969</v>
      </c>
      <c r="C3529" t="s">
        <v>2974</v>
      </c>
      <c r="D3529" s="1">
        <v>46063</v>
      </c>
      <c r="E3529" t="s">
        <v>2975</v>
      </c>
      <c r="F3529">
        <v>9</v>
      </c>
      <c r="G3529">
        <v>230</v>
      </c>
      <c r="H3529" t="str">
        <f>VLOOKUP(G3529,[1]OPERADORES!$A:$B,2,0)</f>
        <v>SÔNIA</v>
      </c>
      <c r="I3529" t="s">
        <v>715</v>
      </c>
      <c r="J3529" t="s">
        <v>1972</v>
      </c>
      <c r="K3529" t="s">
        <v>1973</v>
      </c>
      <c r="L3529">
        <v>10238</v>
      </c>
      <c r="M3529" t="s">
        <v>79</v>
      </c>
      <c r="O3529" t="s">
        <v>11</v>
      </c>
      <c r="P3529">
        <v>6102</v>
      </c>
      <c r="Q3529">
        <v>10</v>
      </c>
      <c r="R3529">
        <v>2.79</v>
      </c>
      <c r="S3529">
        <v>27.9</v>
      </c>
      <c r="T3529">
        <v>22.4</v>
      </c>
      <c r="U3529">
        <v>19.71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1969</v>
      </c>
      <c r="C3530" t="s">
        <v>2974</v>
      </c>
      <c r="D3530" s="1">
        <v>46063</v>
      </c>
      <c r="E3530" t="s">
        <v>2975</v>
      </c>
      <c r="F3530">
        <v>9</v>
      </c>
      <c r="G3530">
        <v>230</v>
      </c>
      <c r="H3530" t="str">
        <f>VLOOKUP(G3530,[1]OPERADORES!$A:$B,2,0)</f>
        <v>SÔNIA</v>
      </c>
      <c r="I3530" t="s">
        <v>715</v>
      </c>
      <c r="J3530" t="s">
        <v>1972</v>
      </c>
      <c r="K3530" t="s">
        <v>1973</v>
      </c>
      <c r="L3530">
        <v>10245</v>
      </c>
      <c r="M3530" t="s">
        <v>195</v>
      </c>
      <c r="O3530" t="s">
        <v>11</v>
      </c>
      <c r="P3530">
        <v>6102</v>
      </c>
      <c r="Q3530">
        <v>10</v>
      </c>
      <c r="R3530">
        <v>2.79</v>
      </c>
      <c r="S3530">
        <v>27.9</v>
      </c>
      <c r="T3530">
        <v>19.3</v>
      </c>
      <c r="U3530">
        <v>30.82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1969</v>
      </c>
      <c r="C3531" t="s">
        <v>2974</v>
      </c>
      <c r="D3531" s="1">
        <v>46063</v>
      </c>
      <c r="E3531" t="s">
        <v>2975</v>
      </c>
      <c r="F3531">
        <v>9</v>
      </c>
      <c r="G3531">
        <v>230</v>
      </c>
      <c r="H3531" t="str">
        <f>VLOOKUP(G3531,[1]OPERADORES!$A:$B,2,0)</f>
        <v>SÔNIA</v>
      </c>
      <c r="I3531" t="s">
        <v>715</v>
      </c>
      <c r="J3531" t="s">
        <v>1972</v>
      </c>
      <c r="K3531" t="s">
        <v>1973</v>
      </c>
      <c r="L3531">
        <v>87000</v>
      </c>
      <c r="M3531" t="s">
        <v>333</v>
      </c>
      <c r="O3531" t="s">
        <v>11</v>
      </c>
      <c r="P3531">
        <v>6102</v>
      </c>
      <c r="Q3531">
        <v>12</v>
      </c>
      <c r="R3531">
        <v>19.89</v>
      </c>
      <c r="S3531">
        <v>238.68</v>
      </c>
      <c r="T3531">
        <v>202.08</v>
      </c>
      <c r="U3531">
        <v>15.33</v>
      </c>
      <c r="V3531" t="str">
        <f>VLOOKUP(L3531,'[2]tabela de preços'!$A:$D,4,0)</f>
        <v>WANDA</v>
      </c>
      <c r="W3531" t="str">
        <f>VLOOKUP(L3531,'[2]tabela de preços'!$A:$F,6,0)</f>
        <v>MASSA POLIÉSTER</v>
      </c>
      <c r="X3531" t="str">
        <f>VLOOKUP(L3531,'[2]tabela de preços'!$A:$G,7,0)</f>
        <v>AUTOMOTIVO</v>
      </c>
    </row>
    <row r="3532" spans="1:24" x14ac:dyDescent="0.3">
      <c r="A3532" t="s">
        <v>1979</v>
      </c>
      <c r="C3532" t="s">
        <v>2714</v>
      </c>
      <c r="D3532" s="1">
        <v>46058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1982</v>
      </c>
      <c r="L3532">
        <v>85078</v>
      </c>
      <c r="M3532" t="s">
        <v>1048</v>
      </c>
      <c r="N3532" t="s">
        <v>2715</v>
      </c>
      <c r="O3532" t="s">
        <v>11</v>
      </c>
      <c r="P3532">
        <v>1411</v>
      </c>
      <c r="Q3532">
        <v>-4</v>
      </c>
      <c r="R3532">
        <v>105.32</v>
      </c>
      <c r="S3532">
        <v>-421.28</v>
      </c>
      <c r="T3532">
        <v>-319.72000000000003</v>
      </c>
      <c r="U3532">
        <v>24.11</v>
      </c>
      <c r="V3532" t="str">
        <f>VLOOKUP(L3532,'[2]tabela de preços'!$A:$D,4,0)</f>
        <v>BRASILUX</v>
      </c>
      <c r="W3532" t="str">
        <f>VLOOKUP(L3532,'[2]tabela de preços'!$A:$F,6,0)</f>
        <v>TINTAS LACA</v>
      </c>
      <c r="X3532" t="str">
        <f>VLOOKUP(L3532,'[2]tabela de preços'!$A:$G,7,0)</f>
        <v>AUTOMOTIVO</v>
      </c>
    </row>
    <row r="3533" spans="1:24" x14ac:dyDescent="0.3">
      <c r="A3533" t="s">
        <v>1979</v>
      </c>
      <c r="C3533" t="s">
        <v>2714</v>
      </c>
      <c r="D3533" s="1">
        <v>46058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1982</v>
      </c>
      <c r="L3533">
        <v>84557</v>
      </c>
      <c r="M3533" t="s">
        <v>116</v>
      </c>
      <c r="N3533" t="s">
        <v>2715</v>
      </c>
      <c r="O3533" t="s">
        <v>11</v>
      </c>
      <c r="P3533">
        <v>1202</v>
      </c>
      <c r="Q3533">
        <v>-4</v>
      </c>
      <c r="R3533">
        <v>17.489999999999998</v>
      </c>
      <c r="S3533">
        <v>-69.959999999999994</v>
      </c>
      <c r="T3533">
        <v>-55.84</v>
      </c>
      <c r="U3533">
        <v>20.18</v>
      </c>
      <c r="V3533" t="str">
        <f>VLOOKUP(L3533,'[2]tabela de preços'!$A:$D,4,0)</f>
        <v>BRASILUX</v>
      </c>
      <c r="W3533" t="str">
        <f>VLOOKUP(L3533,'[2]tabela de preços'!$A:$F,6,0)</f>
        <v>DILUENTE</v>
      </c>
      <c r="X3533" t="str">
        <f>VLOOKUP(L3533,'[2]tabela de preços'!$A:$G,7,0)</f>
        <v>AUTOMOTIVO</v>
      </c>
    </row>
    <row r="3534" spans="1:24" x14ac:dyDescent="0.3">
      <c r="A3534" t="s">
        <v>1979</v>
      </c>
      <c r="C3534" t="s">
        <v>2714</v>
      </c>
      <c r="D3534" s="1">
        <v>46058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1982</v>
      </c>
      <c r="L3534">
        <v>84499</v>
      </c>
      <c r="M3534" t="s">
        <v>534</v>
      </c>
      <c r="N3534" t="s">
        <v>2715</v>
      </c>
      <c r="O3534" t="s">
        <v>11</v>
      </c>
      <c r="P3534">
        <v>1202</v>
      </c>
      <c r="Q3534">
        <v>-2</v>
      </c>
      <c r="R3534">
        <v>176.61</v>
      </c>
      <c r="S3534">
        <v>-353.22</v>
      </c>
      <c r="T3534">
        <v>-268.10000000000002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THINNER DE LIMPEZA</v>
      </c>
      <c r="X3534" t="str">
        <f>VLOOKUP(L3534,'[2]tabela de preços'!$A:$G,7,0)</f>
        <v>THINNER</v>
      </c>
    </row>
    <row r="3535" spans="1:24" x14ac:dyDescent="0.3">
      <c r="A3535" t="s">
        <v>1979</v>
      </c>
      <c r="C3535" t="s">
        <v>2716</v>
      </c>
      <c r="D3535" s="1">
        <v>46058</v>
      </c>
      <c r="E3535" t="s">
        <v>2717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1982</v>
      </c>
      <c r="L3535">
        <v>85078</v>
      </c>
      <c r="M3535" t="s">
        <v>1048</v>
      </c>
      <c r="O3535" t="s">
        <v>11</v>
      </c>
      <c r="P3535">
        <v>5403</v>
      </c>
      <c r="Q3535">
        <v>4</v>
      </c>
      <c r="R3535">
        <v>107.79</v>
      </c>
      <c r="S3535">
        <v>431.16</v>
      </c>
      <c r="T3535">
        <v>319.72000000000003</v>
      </c>
      <c r="U3535">
        <v>25.85</v>
      </c>
      <c r="V3535" t="str">
        <f>VLOOKUP(L3535,'[2]tabela de preços'!$A:$D,4,0)</f>
        <v>BRASILUX</v>
      </c>
      <c r="W3535" t="str">
        <f>VLOOKUP(L3535,'[2]tabela de preços'!$A:$F,6,0)</f>
        <v>TINTAS LACA</v>
      </c>
      <c r="X3535" t="str">
        <f>VLOOKUP(L3535,'[2]tabela de preços'!$A:$G,7,0)</f>
        <v>AUTOMOTIVO</v>
      </c>
    </row>
    <row r="3536" spans="1:24" x14ac:dyDescent="0.3">
      <c r="A3536" t="s">
        <v>1979</v>
      </c>
      <c r="C3536" t="s">
        <v>2716</v>
      </c>
      <c r="D3536" s="1">
        <v>46058</v>
      </c>
      <c r="E3536" t="s">
        <v>2717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1982</v>
      </c>
      <c r="L3536">
        <v>84557</v>
      </c>
      <c r="M3536" t="s">
        <v>116</v>
      </c>
      <c r="O3536" t="s">
        <v>11</v>
      </c>
      <c r="P3536">
        <v>5102</v>
      </c>
      <c r="Q3536">
        <v>4</v>
      </c>
      <c r="R3536">
        <v>17.489999999999998</v>
      </c>
      <c r="S3536">
        <v>69.959999999999994</v>
      </c>
      <c r="T3536">
        <v>55.84</v>
      </c>
      <c r="U3536">
        <v>20.18</v>
      </c>
      <c r="V3536" t="str">
        <f>VLOOKUP(L3536,'[2]tabela de preços'!$A:$D,4,0)</f>
        <v>BRASILUX</v>
      </c>
      <c r="W3536" t="str">
        <f>VLOOKUP(L3536,'[2]tabela de preços'!$A:$F,6,0)</f>
        <v>DILUENTE</v>
      </c>
      <c r="X3536" t="str">
        <f>VLOOKUP(L3536,'[2]tabela de preços'!$A:$G,7,0)</f>
        <v>AUTOMOTIVO</v>
      </c>
    </row>
    <row r="3537" spans="1:24" x14ac:dyDescent="0.3">
      <c r="A3537" t="s">
        <v>1979</v>
      </c>
      <c r="C3537" t="s">
        <v>2716</v>
      </c>
      <c r="D3537" s="1">
        <v>46058</v>
      </c>
      <c r="E3537" t="s">
        <v>2717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1982</v>
      </c>
      <c r="L3537">
        <v>84499</v>
      </c>
      <c r="M3537" t="s">
        <v>534</v>
      </c>
      <c r="O3537" t="s">
        <v>11</v>
      </c>
      <c r="P3537">
        <v>5102</v>
      </c>
      <c r="Q3537">
        <v>2</v>
      </c>
      <c r="R3537">
        <v>176.61</v>
      </c>
      <c r="S3537">
        <v>353.22</v>
      </c>
      <c r="T3537">
        <v>268.10000000000002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THINNER DE LIMPEZA</v>
      </c>
      <c r="X3537" t="str">
        <f>VLOOKUP(L3537,'[2]tabela de preços'!$A:$G,7,0)</f>
        <v>THINNER</v>
      </c>
    </row>
    <row r="3538" spans="1:24" x14ac:dyDescent="0.3">
      <c r="A3538" t="s">
        <v>1979</v>
      </c>
      <c r="C3538" t="s">
        <v>2800</v>
      </c>
      <c r="D3538" s="1">
        <v>46059</v>
      </c>
      <c r="E3538" t="s">
        <v>2801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1982</v>
      </c>
      <c r="L3538">
        <v>84331</v>
      </c>
      <c r="M3538" t="s">
        <v>497</v>
      </c>
      <c r="O3538" t="s">
        <v>11</v>
      </c>
      <c r="P3538">
        <v>5403</v>
      </c>
      <c r="Q3538">
        <v>3</v>
      </c>
      <c r="R3538">
        <v>59.98</v>
      </c>
      <c r="S3538">
        <v>179.94</v>
      </c>
      <c r="T3538">
        <v>156</v>
      </c>
      <c r="U3538">
        <v>13.3</v>
      </c>
      <c r="V3538" t="str">
        <f>VLOOKUP(L3538,'[2]tabela de preços'!$A:$D,4,0)</f>
        <v>BRASILUX</v>
      </c>
      <c r="W3538" t="str">
        <f>VLOOKUP(L3538,'[2]tabela de preços'!$A:$F,6,0)</f>
        <v>ESMALTES</v>
      </c>
      <c r="X3538" t="str">
        <f>VLOOKUP(L3538,'[2]tabela de preços'!$A:$G,7,0)</f>
        <v>INDUSTRIAL</v>
      </c>
    </row>
    <row r="3539" spans="1:24" x14ac:dyDescent="0.3">
      <c r="A3539" t="s">
        <v>1979</v>
      </c>
      <c r="C3539" t="s">
        <v>2800</v>
      </c>
      <c r="D3539" s="1">
        <v>46059</v>
      </c>
      <c r="E3539" t="s">
        <v>2801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1982</v>
      </c>
      <c r="L3539">
        <v>84560</v>
      </c>
      <c r="M3539" t="s">
        <v>118</v>
      </c>
      <c r="O3539" t="s">
        <v>11</v>
      </c>
      <c r="P3539">
        <v>5102</v>
      </c>
      <c r="Q3539">
        <v>1</v>
      </c>
      <c r="R3539">
        <v>47.89</v>
      </c>
      <c r="S3539">
        <v>47.89</v>
      </c>
      <c r="T3539">
        <v>39.159999999999997</v>
      </c>
      <c r="U3539">
        <v>18.23</v>
      </c>
      <c r="V3539" t="str">
        <f>VLOOKUP(L3539,'[2]tabela de preços'!$A:$D,4,0)</f>
        <v>BRASILUX</v>
      </c>
      <c r="W3539" t="str">
        <f>VLOOKUP(L3539,'[2]tabela de preços'!$A:$F,6,0)</f>
        <v>THINNER DE LIMPEZA</v>
      </c>
      <c r="X3539" t="str">
        <f>VLOOKUP(L3539,'[2]tabela de preços'!$A:$G,7,0)</f>
        <v>THINNER</v>
      </c>
    </row>
    <row r="3540" spans="1:24" x14ac:dyDescent="0.3">
      <c r="A3540" t="s">
        <v>2977</v>
      </c>
      <c r="C3540" t="s">
        <v>2978</v>
      </c>
      <c r="D3540" s="1">
        <v>46064</v>
      </c>
      <c r="E3540" t="s">
        <v>2979</v>
      </c>
      <c r="F3540">
        <v>9</v>
      </c>
      <c r="G3540">
        <v>231</v>
      </c>
      <c r="H3540" t="str">
        <f>VLOOKUP(G3540,[1]OPERADORES!$A:$B,2,0)</f>
        <v>EDIJANE</v>
      </c>
      <c r="I3540" t="s">
        <v>21</v>
      </c>
      <c r="J3540" t="s">
        <v>66</v>
      </c>
      <c r="K3540" t="s">
        <v>2980</v>
      </c>
      <c r="L3540">
        <v>84029</v>
      </c>
      <c r="M3540" t="s">
        <v>29</v>
      </c>
      <c r="O3540" t="s">
        <v>11</v>
      </c>
      <c r="P3540">
        <v>5102</v>
      </c>
      <c r="Q3540">
        <v>6</v>
      </c>
      <c r="R3540">
        <v>11.45</v>
      </c>
      <c r="S3540">
        <v>68.7</v>
      </c>
      <c r="T3540">
        <v>52.14</v>
      </c>
      <c r="U3540">
        <v>24.1</v>
      </c>
      <c r="V3540" t="str">
        <f>VLOOKUP(L3540,'[2]tabela de preços'!$A:$D,4,0)</f>
        <v>BRASILUX</v>
      </c>
      <c r="W3540" t="str">
        <f>VLOOKUP(L3540,'[2]tabela de preços'!$A:$F,6,0)</f>
        <v>AGUARRAS</v>
      </c>
      <c r="X3540" t="str">
        <f>VLOOKUP(L3540,'[2]tabela de preços'!$A:$G,7,0)</f>
        <v>IMOBILIÁRIO</v>
      </c>
    </row>
    <row r="3541" spans="1:24" x14ac:dyDescent="0.3">
      <c r="A3541" t="s">
        <v>2977</v>
      </c>
      <c r="C3541" t="s">
        <v>2978</v>
      </c>
      <c r="D3541" s="1">
        <v>46064</v>
      </c>
      <c r="E3541" t="s">
        <v>2979</v>
      </c>
      <c r="F3541">
        <v>9</v>
      </c>
      <c r="G3541">
        <v>231</v>
      </c>
      <c r="H3541" t="str">
        <f>VLOOKUP(G3541,[1]OPERADORES!$A:$B,2,0)</f>
        <v>EDIJANE</v>
      </c>
      <c r="I3541" t="s">
        <v>21</v>
      </c>
      <c r="J3541" t="s">
        <v>66</v>
      </c>
      <c r="K3541" t="s">
        <v>2980</v>
      </c>
      <c r="L3541">
        <v>84411</v>
      </c>
      <c r="M3541" t="s">
        <v>35</v>
      </c>
      <c r="O3541" t="s">
        <v>11</v>
      </c>
      <c r="P3541">
        <v>5102</v>
      </c>
      <c r="Q3541">
        <v>6</v>
      </c>
      <c r="R3541">
        <v>4.29</v>
      </c>
      <c r="S3541">
        <v>25.74</v>
      </c>
      <c r="T3541">
        <v>21.24</v>
      </c>
      <c r="U3541">
        <v>17.48</v>
      </c>
      <c r="V3541" t="str">
        <f>VLOOKUP(L3541,'[2]tabela de preços'!$A:$D,4,0)</f>
        <v>ADERE</v>
      </c>
      <c r="W3541" t="str">
        <f>VLOOKUP(L3541,'[2]tabela de preços'!$A:$F,6,0)</f>
        <v xml:space="preserve">FITA DE USO GERAL </v>
      </c>
      <c r="X3541" t="str">
        <f>VLOOKUP(L3541,'[2]tabela de preços'!$A:$G,7,0)</f>
        <v>IMOBILIÁRIO</v>
      </c>
    </row>
    <row r="3542" spans="1:24" x14ac:dyDescent="0.3">
      <c r="A3542" t="s">
        <v>2977</v>
      </c>
      <c r="C3542" t="s">
        <v>2978</v>
      </c>
      <c r="D3542" s="1">
        <v>46064</v>
      </c>
      <c r="E3542" t="s">
        <v>2979</v>
      </c>
      <c r="F3542">
        <v>9</v>
      </c>
      <c r="G3542">
        <v>231</v>
      </c>
      <c r="H3542" t="str">
        <f>VLOOKUP(G3542,[1]OPERADORES!$A:$B,2,0)</f>
        <v>EDIJANE</v>
      </c>
      <c r="I3542" t="s">
        <v>21</v>
      </c>
      <c r="J3542" t="s">
        <v>66</v>
      </c>
      <c r="K3542" t="s">
        <v>2980</v>
      </c>
      <c r="L3542">
        <v>85616</v>
      </c>
      <c r="M3542" t="s">
        <v>471</v>
      </c>
      <c r="O3542" t="s">
        <v>11</v>
      </c>
      <c r="P3542">
        <v>5102</v>
      </c>
      <c r="Q3542">
        <v>10</v>
      </c>
      <c r="R3542">
        <v>2.79</v>
      </c>
      <c r="S3542">
        <v>27.9</v>
      </c>
      <c r="T3542">
        <v>22.8</v>
      </c>
      <c r="U3542">
        <v>18.28</v>
      </c>
      <c r="V3542" t="str">
        <f>VLOOKUP(L3542,'[2]tabela de preços'!$A:$D,4,0)</f>
        <v>ADERE</v>
      </c>
      <c r="W3542" t="str">
        <f>VLOOKUP(L3542,'[2]tabela de preços'!$A:$F,6,0)</f>
        <v xml:space="preserve">FITA DE USO GERAL </v>
      </c>
      <c r="X3542" t="str">
        <f>VLOOKUP(L3542,'[2]tabela de preços'!$A:$G,7,0)</f>
        <v>IMOBILIÁRIO</v>
      </c>
    </row>
    <row r="3543" spans="1:24" x14ac:dyDescent="0.3">
      <c r="A3543" t="s">
        <v>2977</v>
      </c>
      <c r="C3543" t="s">
        <v>2978</v>
      </c>
      <c r="D3543" s="1">
        <v>46064</v>
      </c>
      <c r="E3543" t="s">
        <v>2979</v>
      </c>
      <c r="F3543">
        <v>9</v>
      </c>
      <c r="G3543">
        <v>231</v>
      </c>
      <c r="H3543" t="str">
        <f>VLOOKUP(G3543,[1]OPERADORES!$A:$B,2,0)</f>
        <v>EDIJANE</v>
      </c>
      <c r="I3543" t="s">
        <v>21</v>
      </c>
      <c r="J3543" t="s">
        <v>66</v>
      </c>
      <c r="K3543" t="s">
        <v>2980</v>
      </c>
      <c r="L3543">
        <v>84010</v>
      </c>
      <c r="M3543" t="s">
        <v>1778</v>
      </c>
      <c r="O3543" t="s">
        <v>11</v>
      </c>
      <c r="P3543">
        <v>5102</v>
      </c>
      <c r="Q3543">
        <v>44</v>
      </c>
      <c r="R3543">
        <v>2.2000000000000002</v>
      </c>
      <c r="S3543">
        <v>96.8</v>
      </c>
      <c r="T3543">
        <v>73.48</v>
      </c>
      <c r="U3543">
        <v>24.09</v>
      </c>
      <c r="V3543" t="str">
        <f>VLOOKUP(L3543,'[2]tabela de preços'!$A:$D,4,0)</f>
        <v>3M</v>
      </c>
      <c r="W3543" t="str">
        <f>VLOOKUP(L3543,'[2]tabela de preços'!$A:$F,6,0)</f>
        <v>LIXA FERRO</v>
      </c>
      <c r="X3543" t="str">
        <f>VLOOKUP(L3543,'[2]tabela de preços'!$A:$G,7,0)</f>
        <v>IMOBILIÁRIO</v>
      </c>
    </row>
    <row r="3544" spans="1:24" x14ac:dyDescent="0.3">
      <c r="A3544" t="s">
        <v>2977</v>
      </c>
      <c r="C3544" t="s">
        <v>2978</v>
      </c>
      <c r="D3544" s="1">
        <v>46064</v>
      </c>
      <c r="E3544" t="s">
        <v>2979</v>
      </c>
      <c r="F3544">
        <v>9</v>
      </c>
      <c r="G3544">
        <v>231</v>
      </c>
      <c r="H3544" t="str">
        <f>VLOOKUP(G3544,[1]OPERADORES!$A:$B,2,0)</f>
        <v>EDIJANE</v>
      </c>
      <c r="I3544" t="s">
        <v>21</v>
      </c>
      <c r="J3544" t="s">
        <v>66</v>
      </c>
      <c r="K3544" t="s">
        <v>2980</v>
      </c>
      <c r="L3544">
        <v>10241</v>
      </c>
      <c r="M3544" t="s">
        <v>819</v>
      </c>
      <c r="O3544" t="s">
        <v>11</v>
      </c>
      <c r="P3544">
        <v>5102</v>
      </c>
      <c r="Q3544">
        <v>50</v>
      </c>
      <c r="R3544">
        <v>2.79</v>
      </c>
      <c r="S3544">
        <v>139.5</v>
      </c>
      <c r="T3544">
        <v>114</v>
      </c>
      <c r="U3544">
        <v>18.28</v>
      </c>
      <c r="V3544" t="str">
        <f>VLOOKUP(L3544,'[2]tabela de preços'!$A:$D,4,0)</f>
        <v>NORTON</v>
      </c>
      <c r="W3544" t="str">
        <f>VLOOKUP(L3544,'[2]tabela de preços'!$A:$F,6,0)</f>
        <v xml:space="preserve">DISCOS / LIXAS / ABRASIVOS </v>
      </c>
      <c r="X3544" t="str">
        <f>VLOOKUP(L3544,'[2]tabela de preços'!$A:$G,7,0)</f>
        <v>AUTOMOTIVO</v>
      </c>
    </row>
    <row r="3545" spans="1:24" x14ac:dyDescent="0.3">
      <c r="A3545" t="s">
        <v>2977</v>
      </c>
      <c r="C3545" t="s">
        <v>2978</v>
      </c>
      <c r="D3545" s="1">
        <v>46064</v>
      </c>
      <c r="E3545" t="s">
        <v>2979</v>
      </c>
      <c r="F3545">
        <v>9</v>
      </c>
      <c r="G3545">
        <v>231</v>
      </c>
      <c r="H3545" t="str">
        <f>VLOOKUP(G3545,[1]OPERADORES!$A:$B,2,0)</f>
        <v>EDIJANE</v>
      </c>
      <c r="I3545" t="s">
        <v>21</v>
      </c>
      <c r="J3545" t="s">
        <v>66</v>
      </c>
      <c r="K3545" t="s">
        <v>2980</v>
      </c>
      <c r="L3545">
        <v>10242</v>
      </c>
      <c r="M3545" t="s">
        <v>82</v>
      </c>
      <c r="O3545" t="s">
        <v>11</v>
      </c>
      <c r="P3545">
        <v>5102</v>
      </c>
      <c r="Q3545">
        <v>50</v>
      </c>
      <c r="R3545">
        <v>2.79</v>
      </c>
      <c r="S3545">
        <v>139.5</v>
      </c>
      <c r="T3545">
        <v>112</v>
      </c>
      <c r="U3545">
        <v>19.71</v>
      </c>
      <c r="V3545" t="str">
        <f>VLOOKUP(L3545,'[2]tabela de preços'!$A:$D,4,0)</f>
        <v>NORTON</v>
      </c>
      <c r="W3545" t="str">
        <f>VLOOKUP(L3545,'[2]tabela de preços'!$A:$F,6,0)</f>
        <v xml:space="preserve">DISCOS / LIXAS / ABRASIVOS </v>
      </c>
      <c r="X3545" t="str">
        <f>VLOOKUP(L3545,'[2]tabela de preços'!$A:$G,7,0)</f>
        <v>AUTOMOTIVO</v>
      </c>
    </row>
    <row r="3546" spans="1:24" x14ac:dyDescent="0.3">
      <c r="A3546" t="s">
        <v>2977</v>
      </c>
      <c r="C3546" t="s">
        <v>2978</v>
      </c>
      <c r="D3546" s="1">
        <v>46064</v>
      </c>
      <c r="E3546" t="s">
        <v>2979</v>
      </c>
      <c r="F3546">
        <v>9</v>
      </c>
      <c r="G3546">
        <v>231</v>
      </c>
      <c r="H3546" t="str">
        <f>VLOOKUP(G3546,[1]OPERADORES!$A:$B,2,0)</f>
        <v>EDIJANE</v>
      </c>
      <c r="I3546" t="s">
        <v>21</v>
      </c>
      <c r="J3546" t="s">
        <v>66</v>
      </c>
      <c r="K3546" t="s">
        <v>2980</v>
      </c>
      <c r="L3546">
        <v>10297</v>
      </c>
      <c r="M3546" t="s">
        <v>41</v>
      </c>
      <c r="O3546" t="s">
        <v>11</v>
      </c>
      <c r="P3546">
        <v>5102</v>
      </c>
      <c r="Q3546">
        <v>24</v>
      </c>
      <c r="R3546">
        <v>10.89</v>
      </c>
      <c r="S3546">
        <v>261.36</v>
      </c>
      <c r="T3546">
        <v>220.08</v>
      </c>
      <c r="U3546">
        <v>15.79</v>
      </c>
      <c r="V3546" t="str">
        <f>VLOOKUP(L3546,'[2]tabela de preços'!$A:$D,4,0)</f>
        <v>ANJO</v>
      </c>
      <c r="W3546" t="str">
        <f>VLOOKUP(L3546,'[2]tabela de preços'!$A:$F,6,0)</f>
        <v>THINNER DE LIMPEZA</v>
      </c>
      <c r="X3546" t="str">
        <f>VLOOKUP(L3546,'[2]tabela de preços'!$A:$G,7,0)</f>
        <v>THINNER</v>
      </c>
    </row>
    <row r="3547" spans="1:24" x14ac:dyDescent="0.3">
      <c r="A3547" t="s">
        <v>2001</v>
      </c>
      <c r="C3547" t="s">
        <v>2462</v>
      </c>
      <c r="D3547" s="1">
        <v>46055</v>
      </c>
      <c r="F3547">
        <v>9</v>
      </c>
      <c r="G3547">
        <v>174</v>
      </c>
      <c r="H3547" t="str">
        <f>VLOOKUP(G3547,[1]OPERADORES!$A:$B,2,0)</f>
        <v>MIRIÃ LOBATO RODRIGUES</v>
      </c>
      <c r="I3547" t="s">
        <v>21</v>
      </c>
      <c r="J3547" t="s">
        <v>1427</v>
      </c>
      <c r="K3547" t="s">
        <v>2004</v>
      </c>
      <c r="L3547">
        <v>85627</v>
      </c>
      <c r="M3547" t="s">
        <v>2016</v>
      </c>
      <c r="N3547" t="s">
        <v>2463</v>
      </c>
      <c r="O3547" t="s">
        <v>11</v>
      </c>
      <c r="P3547">
        <v>1411</v>
      </c>
      <c r="Q3547">
        <v>-2</v>
      </c>
      <c r="R3547">
        <v>387.58</v>
      </c>
      <c r="S3547">
        <v>-775.16</v>
      </c>
      <c r="T3547">
        <v>-588.36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TINTA PARA PISO</v>
      </c>
      <c r="X3547" t="str">
        <f>VLOOKUP(L3547,'[2]tabela de preços'!$A:$G,7,0)</f>
        <v>IMOBILIÁRIO</v>
      </c>
    </row>
    <row r="3548" spans="1:24" x14ac:dyDescent="0.3">
      <c r="A3548" t="s">
        <v>2001</v>
      </c>
      <c r="C3548" t="s">
        <v>2462</v>
      </c>
      <c r="D3548" s="1">
        <v>46055</v>
      </c>
      <c r="F3548">
        <v>9</v>
      </c>
      <c r="G3548">
        <v>174</v>
      </c>
      <c r="H3548" t="str">
        <f>VLOOKUP(G3548,[1]OPERADORES!$A:$B,2,0)</f>
        <v>MIRIÃ LOBATO RODRIGUES</v>
      </c>
      <c r="I3548" t="s">
        <v>21</v>
      </c>
      <c r="J3548" t="s">
        <v>1427</v>
      </c>
      <c r="K3548" t="s">
        <v>2004</v>
      </c>
      <c r="L3548">
        <v>85627</v>
      </c>
      <c r="M3548" t="s">
        <v>2016</v>
      </c>
      <c r="N3548" t="s">
        <v>2464</v>
      </c>
      <c r="O3548" t="s">
        <v>11</v>
      </c>
      <c r="P3548">
        <v>1411</v>
      </c>
      <c r="Q3548">
        <v>-1</v>
      </c>
      <c r="R3548">
        <v>387.58</v>
      </c>
      <c r="S3548">
        <v>-387.58</v>
      </c>
      <c r="T3548">
        <v>-294.18</v>
      </c>
      <c r="U3548">
        <v>24.1</v>
      </c>
      <c r="V3548" t="str">
        <f>VLOOKUP(L3548,'[2]tabela de preços'!$A:$D,4,0)</f>
        <v>BRASILUX</v>
      </c>
      <c r="W3548" t="str">
        <f>VLOOKUP(L3548,'[2]tabela de preços'!$A:$F,6,0)</f>
        <v>TINTA PARA PISO</v>
      </c>
      <c r="X3548" t="str">
        <f>VLOOKUP(L3548,'[2]tabela de preços'!$A:$G,7,0)</f>
        <v>IMOBILIÁRIO</v>
      </c>
    </row>
    <row r="3549" spans="1:24" x14ac:dyDescent="0.3">
      <c r="A3549" t="s">
        <v>2001</v>
      </c>
      <c r="C3549" t="s">
        <v>2465</v>
      </c>
      <c r="D3549" s="1">
        <v>46055</v>
      </c>
      <c r="E3549" t="s">
        <v>2466</v>
      </c>
      <c r="F3549">
        <v>9</v>
      </c>
      <c r="G3549">
        <v>174</v>
      </c>
      <c r="H3549" t="str">
        <f>VLOOKUP(G3549,[1]OPERADORES!$A:$B,2,0)</f>
        <v>MIRIÃ LOBATO RODRIGUES</v>
      </c>
      <c r="I3549" t="s">
        <v>21</v>
      </c>
      <c r="J3549" t="s">
        <v>1427</v>
      </c>
      <c r="K3549" t="s">
        <v>2004</v>
      </c>
      <c r="L3549">
        <v>84894</v>
      </c>
      <c r="M3549" t="s">
        <v>1260</v>
      </c>
      <c r="O3549" t="s">
        <v>11</v>
      </c>
      <c r="P3549">
        <v>5102</v>
      </c>
      <c r="Q3549">
        <v>2</v>
      </c>
      <c r="R3549">
        <v>59.53</v>
      </c>
      <c r="S3549">
        <v>119.06</v>
      </c>
      <c r="T3549">
        <v>90.38</v>
      </c>
      <c r="U3549">
        <v>24.09</v>
      </c>
      <c r="V3549" t="str">
        <f>VLOOKUP(L3549,'[2]tabela de preços'!$A:$D,4,0)</f>
        <v>BRASILUX</v>
      </c>
      <c r="W3549" t="str">
        <f>VLOOKUP(L3549,'[2]tabela de preços'!$A:$F,6,0)</f>
        <v>DILUENTE</v>
      </c>
      <c r="X3549" t="str">
        <f>VLOOKUP(L3549,'[2]tabela de preços'!$A:$G,7,0)</f>
        <v>AUTOMOTIVO</v>
      </c>
    </row>
    <row r="3550" spans="1:24" x14ac:dyDescent="0.3">
      <c r="A3550" t="s">
        <v>2001</v>
      </c>
      <c r="C3550" t="s">
        <v>2465</v>
      </c>
      <c r="D3550" s="1">
        <v>46055</v>
      </c>
      <c r="E3550" t="s">
        <v>2466</v>
      </c>
      <c r="F3550">
        <v>9</v>
      </c>
      <c r="G3550">
        <v>174</v>
      </c>
      <c r="H3550" t="str">
        <f>VLOOKUP(G3550,[1]OPERADORES!$A:$B,2,0)</f>
        <v>MIRIÃ LOBATO RODRIGUES</v>
      </c>
      <c r="I3550" t="s">
        <v>21</v>
      </c>
      <c r="J3550" t="s">
        <v>1427</v>
      </c>
      <c r="K3550" t="s">
        <v>2004</v>
      </c>
      <c r="L3550">
        <v>84566</v>
      </c>
      <c r="M3550" t="s">
        <v>2016</v>
      </c>
      <c r="O3550" t="s">
        <v>11</v>
      </c>
      <c r="P3550">
        <v>5403</v>
      </c>
      <c r="Q3550">
        <v>3</v>
      </c>
      <c r="R3550">
        <v>479.04</v>
      </c>
      <c r="S3550" s="2">
        <v>1437.12</v>
      </c>
      <c r="T3550" s="2">
        <v>1090.8</v>
      </c>
      <c r="U3550">
        <v>24.1</v>
      </c>
      <c r="V3550" t="str">
        <f>VLOOKUP(L3550,'[2]tabela de preços'!$A:$D,4,0)</f>
        <v>BRASILUX</v>
      </c>
      <c r="W3550" t="str">
        <f>VLOOKUP(L3550,'[2]tabela de preços'!$A:$F,6,0)</f>
        <v>TINTA PARA PISO</v>
      </c>
      <c r="X3550" t="str">
        <f>VLOOKUP(L3550,'[2]tabela de preços'!$A:$G,7,0)</f>
        <v>IMOBILIÁRIO</v>
      </c>
    </row>
    <row r="3551" spans="1:24" x14ac:dyDescent="0.3">
      <c r="A3551" t="s">
        <v>2001</v>
      </c>
      <c r="C3551" t="s">
        <v>2981</v>
      </c>
      <c r="D3551" s="1">
        <v>46064</v>
      </c>
      <c r="E3551" t="s">
        <v>2982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1427</v>
      </c>
      <c r="K3551" t="s">
        <v>2009</v>
      </c>
      <c r="L3551">
        <v>84767</v>
      </c>
      <c r="M3551" t="s">
        <v>732</v>
      </c>
      <c r="O3551" t="s">
        <v>11</v>
      </c>
      <c r="P3551">
        <v>5403</v>
      </c>
      <c r="Q3551">
        <v>10</v>
      </c>
      <c r="R3551">
        <v>153.99</v>
      </c>
      <c r="S3551" s="2">
        <v>1539.9</v>
      </c>
      <c r="T3551" s="2">
        <v>1168.8</v>
      </c>
      <c r="U3551">
        <v>24.1</v>
      </c>
      <c r="V3551" t="str">
        <f>VLOOKUP(L3551,'[2]tabela de preços'!$A:$D,4,0)</f>
        <v>BRASILUX</v>
      </c>
      <c r="W3551" t="str">
        <f>VLOOKUP(L3551,'[2]tabela de preços'!$A:$F,6,0)</f>
        <v>EPOXI</v>
      </c>
      <c r="X3551" t="str">
        <f>VLOOKUP(L3551,'[2]tabela de preços'!$A:$G,7,0)</f>
        <v>INDUSTRIAL</v>
      </c>
    </row>
    <row r="3552" spans="1:24" x14ac:dyDescent="0.3">
      <c r="A3552" t="s">
        <v>2025</v>
      </c>
      <c r="C3552" t="s">
        <v>2558</v>
      </c>
      <c r="D3552" s="1">
        <v>46056</v>
      </c>
      <c r="E3552" t="s">
        <v>2559</v>
      </c>
      <c r="F3552">
        <v>9</v>
      </c>
      <c r="G3552">
        <v>174</v>
      </c>
      <c r="H3552" t="str">
        <f>VLOOKUP(G3552,[1]OPERADORES!$A:$B,2,0)</f>
        <v>MIRIÃ LOBATO RODRIGUES</v>
      </c>
      <c r="I3552" t="s">
        <v>21</v>
      </c>
      <c r="J3552" t="s">
        <v>762</v>
      </c>
      <c r="K3552" t="s">
        <v>2028</v>
      </c>
      <c r="L3552">
        <v>23295</v>
      </c>
      <c r="M3552" t="s">
        <v>789</v>
      </c>
      <c r="O3552" t="s">
        <v>11</v>
      </c>
      <c r="P3552">
        <v>5403</v>
      </c>
      <c r="Q3552">
        <v>1</v>
      </c>
      <c r="R3552">
        <v>288.70999999999998</v>
      </c>
      <c r="S3552">
        <v>288.70999999999998</v>
      </c>
      <c r="T3552">
        <v>194.09</v>
      </c>
      <c r="U3552">
        <v>32.770000000000003</v>
      </c>
      <c r="V3552" t="str">
        <f>VLOOKUP(L3552,'[2]tabela de preços'!$A:$D,4,0)</f>
        <v>SIKKENS</v>
      </c>
      <c r="W3552" t="str">
        <f>VLOOKUP(L3552,'[2]tabela de preços'!$A:$F,6,0)</f>
        <v>VERNIZ AUTOMOTIVO</v>
      </c>
      <c r="X3552" t="str">
        <f>VLOOKUP(L3552,'[2]tabela de preços'!$A:$G,7,0)</f>
        <v>AUTOMOTIVO</v>
      </c>
    </row>
    <row r="3553" spans="1:24" x14ac:dyDescent="0.3">
      <c r="A3553" t="s">
        <v>2025</v>
      </c>
      <c r="C3553" t="s">
        <v>2558</v>
      </c>
      <c r="D3553" s="1">
        <v>46056</v>
      </c>
      <c r="E3553" t="s">
        <v>2559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762</v>
      </c>
      <c r="K3553" t="s">
        <v>2028</v>
      </c>
      <c r="L3553">
        <v>23653</v>
      </c>
      <c r="M3553" t="s">
        <v>644</v>
      </c>
      <c r="O3553" t="s">
        <v>11</v>
      </c>
      <c r="P3553">
        <v>5102</v>
      </c>
      <c r="Q3553">
        <v>2</v>
      </c>
      <c r="R3553">
        <v>67.150000000000006</v>
      </c>
      <c r="S3553">
        <v>134.30000000000001</v>
      </c>
      <c r="T3553">
        <v>101.94</v>
      </c>
      <c r="U3553">
        <v>24.1</v>
      </c>
      <c r="V3553" t="str">
        <f>VLOOKUP(L3553,'[2]tabela de preços'!$A:$D,4,0)</f>
        <v>SIKKENS</v>
      </c>
      <c r="W3553" t="str">
        <f>VLOOKUP(L3553,'[2]tabela de preços'!$A:$F,6,0)</f>
        <v>CATALISADORES INDIVIDUAS</v>
      </c>
      <c r="X3553" t="str">
        <f>VLOOKUP(L3553,'[2]tabela de preços'!$A:$G,7,0)</f>
        <v>AUTOMOTIVO</v>
      </c>
    </row>
    <row r="3554" spans="1:24" x14ac:dyDescent="0.3">
      <c r="A3554" t="s">
        <v>2025</v>
      </c>
      <c r="C3554" t="s">
        <v>2558</v>
      </c>
      <c r="D3554" s="1">
        <v>46056</v>
      </c>
      <c r="E3554" t="s">
        <v>2559</v>
      </c>
      <c r="F3554">
        <v>9</v>
      </c>
      <c r="G3554">
        <v>174</v>
      </c>
      <c r="H3554" t="str">
        <f>VLOOKUP(G3554,[1]OPERADORES!$A:$B,2,0)</f>
        <v>MIRIÃ LOBATO RODRIGUES</v>
      </c>
      <c r="I3554" t="s">
        <v>21</v>
      </c>
      <c r="J3554" t="s">
        <v>762</v>
      </c>
      <c r="K3554" t="s">
        <v>2028</v>
      </c>
      <c r="L3554">
        <v>23296</v>
      </c>
      <c r="M3554" t="s">
        <v>2032</v>
      </c>
      <c r="O3554" t="s">
        <v>11</v>
      </c>
      <c r="P3554">
        <v>5102</v>
      </c>
      <c r="Q3554">
        <v>1</v>
      </c>
      <c r="R3554">
        <v>42.14</v>
      </c>
      <c r="S3554">
        <v>42.14</v>
      </c>
      <c r="T3554">
        <v>31.99</v>
      </c>
      <c r="U3554">
        <v>24.09</v>
      </c>
      <c r="V3554" t="str">
        <f>VLOOKUP(L3554,'[2]tabela de preços'!$A:$D,4,0)</f>
        <v>SIKKENS</v>
      </c>
      <c r="W3554" t="str">
        <f>VLOOKUP(L3554,'[2]tabela de preços'!$A:$F,6,0)</f>
        <v>CATALISADORES INDIVIDUAS</v>
      </c>
      <c r="X3554" t="str">
        <f>VLOOKUP(L3554,'[2]tabela de preços'!$A:$G,7,0)</f>
        <v>AUTOMOTIVO</v>
      </c>
    </row>
    <row r="3555" spans="1:24" x14ac:dyDescent="0.3">
      <c r="A3555" t="s">
        <v>2025</v>
      </c>
      <c r="C3555" t="s">
        <v>2558</v>
      </c>
      <c r="D3555" s="1">
        <v>46056</v>
      </c>
      <c r="E3555" t="s">
        <v>2559</v>
      </c>
      <c r="F3555">
        <v>9</v>
      </c>
      <c r="G3555">
        <v>174</v>
      </c>
      <c r="H3555" t="str">
        <f>VLOOKUP(G3555,[1]OPERADORES!$A:$B,2,0)</f>
        <v>MIRIÃ LOBATO RODRIGUES</v>
      </c>
      <c r="I3555" t="s">
        <v>21</v>
      </c>
      <c r="J3555" t="s">
        <v>762</v>
      </c>
      <c r="K3555" t="s">
        <v>2028</v>
      </c>
      <c r="L3555">
        <v>9989</v>
      </c>
      <c r="M3555" t="s">
        <v>2560</v>
      </c>
      <c r="O3555" t="s">
        <v>11</v>
      </c>
      <c r="P3555">
        <v>5403</v>
      </c>
      <c r="Q3555">
        <v>1</v>
      </c>
      <c r="R3555">
        <v>57.66</v>
      </c>
      <c r="S3555">
        <v>57.66</v>
      </c>
      <c r="T3555">
        <v>43.76</v>
      </c>
      <c r="U3555">
        <v>24.11</v>
      </c>
      <c r="V3555" t="str">
        <f>VLOOKUP(L3555,'[2]tabela de preços'!$A:$D,4,0)</f>
        <v>SIKKENS</v>
      </c>
      <c r="W3555" t="str">
        <f>VLOOKUP(L3555,'[2]tabela de preços'!$A:$F,6,0)</f>
        <v>PRIMER AUTOMOTIVO</v>
      </c>
      <c r="X3555" t="str">
        <f>VLOOKUP(L3555,'[2]tabela de preços'!$A:$G,7,0)</f>
        <v>AUTOMOTIVO</v>
      </c>
    </row>
    <row r="3556" spans="1:24" x14ac:dyDescent="0.3">
      <c r="A3556" t="s">
        <v>2025</v>
      </c>
      <c r="C3556" t="s">
        <v>2848</v>
      </c>
      <c r="D3556" s="1">
        <v>46062</v>
      </c>
      <c r="E3556" t="s">
        <v>2849</v>
      </c>
      <c r="F3556">
        <v>9</v>
      </c>
      <c r="G3556">
        <v>174</v>
      </c>
      <c r="H3556" t="str">
        <f>VLOOKUP(G3556,[1]OPERADORES!$A:$B,2,0)</f>
        <v>MIRIÃ LOBATO RODRIGUES</v>
      </c>
      <c r="I3556" t="s">
        <v>21</v>
      </c>
      <c r="J3556" t="s">
        <v>762</v>
      </c>
      <c r="K3556" t="s">
        <v>2028</v>
      </c>
      <c r="L3556">
        <v>21860</v>
      </c>
      <c r="M3556" t="s">
        <v>2038</v>
      </c>
      <c r="O3556" t="s">
        <v>11</v>
      </c>
      <c r="P3556">
        <v>5403</v>
      </c>
      <c r="Q3556">
        <v>2</v>
      </c>
      <c r="R3556">
        <v>61.32</v>
      </c>
      <c r="S3556">
        <v>122.64</v>
      </c>
      <c r="T3556">
        <v>93.08</v>
      </c>
      <c r="U3556">
        <v>24.1</v>
      </c>
      <c r="V3556" t="str">
        <f>VLOOKUP(L3556,'[2]tabela de preços'!$A:$D,4,0)</f>
        <v>SIKKENS</v>
      </c>
      <c r="W3556" t="str">
        <f>VLOOKUP(L3556,'[2]tabela de preços'!$A:$F,6,0)</f>
        <v>VERNIZ AUTOMOTIVO</v>
      </c>
      <c r="X3556" t="str">
        <f>VLOOKUP(L3556,'[2]tabela de preços'!$A:$G,7,0)</f>
        <v>AUTOMOTIVO</v>
      </c>
    </row>
    <row r="3557" spans="1:24" x14ac:dyDescent="0.3">
      <c r="A3557" t="s">
        <v>2025</v>
      </c>
      <c r="C3557" t="s">
        <v>2848</v>
      </c>
      <c r="D3557" s="1">
        <v>46062</v>
      </c>
      <c r="E3557" t="s">
        <v>2849</v>
      </c>
      <c r="F3557">
        <v>9</v>
      </c>
      <c r="G3557">
        <v>174</v>
      </c>
      <c r="H3557" t="str">
        <f>VLOOKUP(G3557,[1]OPERADORES!$A:$B,2,0)</f>
        <v>MIRIÃ LOBATO RODRIGUES</v>
      </c>
      <c r="I3557" t="s">
        <v>21</v>
      </c>
      <c r="J3557" t="s">
        <v>762</v>
      </c>
      <c r="K3557" t="s">
        <v>2028</v>
      </c>
      <c r="L3557">
        <v>10236</v>
      </c>
      <c r="M3557" t="s">
        <v>133</v>
      </c>
      <c r="O3557" t="s">
        <v>11</v>
      </c>
      <c r="P3557">
        <v>5102</v>
      </c>
      <c r="Q3557">
        <v>10</v>
      </c>
      <c r="R3557">
        <v>2.79</v>
      </c>
      <c r="S3557">
        <v>27.9</v>
      </c>
      <c r="T3557">
        <v>23.2</v>
      </c>
      <c r="U3557">
        <v>16.850000000000001</v>
      </c>
      <c r="V3557" t="str">
        <f>VLOOKUP(L3557,'[2]tabela de preços'!$A:$D,4,0)</f>
        <v>NORTON</v>
      </c>
      <c r="W3557" t="str">
        <f>VLOOKUP(L3557,'[2]tabela de preços'!$A:$F,6,0)</f>
        <v xml:space="preserve">DISCOS / LIXAS / ABRASIVOS </v>
      </c>
      <c r="X3557" t="str">
        <f>VLOOKUP(L3557,'[2]tabela de preços'!$A:$G,7,0)</f>
        <v>AUTOMOTIVO</v>
      </c>
    </row>
    <row r="3558" spans="1:24" x14ac:dyDescent="0.3">
      <c r="A3558" t="s">
        <v>2025</v>
      </c>
      <c r="C3558" t="s">
        <v>2848</v>
      </c>
      <c r="D3558" s="1">
        <v>46062</v>
      </c>
      <c r="E3558" t="s">
        <v>2849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21</v>
      </c>
      <c r="J3558" t="s">
        <v>762</v>
      </c>
      <c r="K3558" t="s">
        <v>2028</v>
      </c>
      <c r="L3558">
        <v>10230</v>
      </c>
      <c r="M3558" t="s">
        <v>193</v>
      </c>
      <c r="O3558" t="s">
        <v>11</v>
      </c>
      <c r="P3558">
        <v>5102</v>
      </c>
      <c r="Q3558">
        <v>5</v>
      </c>
      <c r="R3558">
        <v>2.79</v>
      </c>
      <c r="S3558">
        <v>13.95</v>
      </c>
      <c r="T3558">
        <v>11.6</v>
      </c>
      <c r="U3558">
        <v>16.850000000000001</v>
      </c>
      <c r="V3558" t="str">
        <f>VLOOKUP(L3558,'[2]tabela de preços'!$A:$D,4,0)</f>
        <v>NORTON</v>
      </c>
      <c r="W3558" t="str">
        <f>VLOOKUP(L3558,'[2]tabela de preços'!$A:$F,6,0)</f>
        <v xml:space="preserve">DISCOS / LIXAS / ABRASIVOS </v>
      </c>
      <c r="X3558" t="str">
        <f>VLOOKUP(L3558,'[2]tabela de preços'!$A:$G,7,0)</f>
        <v>AUTOMOTIVO</v>
      </c>
    </row>
    <row r="3559" spans="1:24" x14ac:dyDescent="0.3">
      <c r="A3559" t="s">
        <v>2025</v>
      </c>
      <c r="C3559" t="s">
        <v>2848</v>
      </c>
      <c r="D3559" s="1">
        <v>46062</v>
      </c>
      <c r="E3559" t="s">
        <v>2849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21</v>
      </c>
      <c r="J3559" t="s">
        <v>762</v>
      </c>
      <c r="K3559" t="s">
        <v>2028</v>
      </c>
      <c r="L3559">
        <v>10232</v>
      </c>
      <c r="M3559" t="s">
        <v>134</v>
      </c>
      <c r="O3559" t="s">
        <v>11</v>
      </c>
      <c r="P3559">
        <v>5102</v>
      </c>
      <c r="Q3559">
        <v>10</v>
      </c>
      <c r="R3559">
        <v>2.79</v>
      </c>
      <c r="S3559">
        <v>27.9</v>
      </c>
      <c r="T3559">
        <v>22.5</v>
      </c>
      <c r="U3559">
        <v>19.350000000000001</v>
      </c>
      <c r="V3559" t="str">
        <f>VLOOKUP(L3559,'[2]tabela de preços'!$A:$D,4,0)</f>
        <v>NORTON</v>
      </c>
      <c r="W3559" t="str">
        <f>VLOOKUP(L3559,'[2]tabela de preços'!$A:$F,6,0)</f>
        <v xml:space="preserve">DISCOS / LIXAS / ABRASIVOS </v>
      </c>
      <c r="X3559" t="str">
        <f>VLOOKUP(L3559,'[2]tabela de preços'!$A:$G,7,0)</f>
        <v>AUTOMOTIVO</v>
      </c>
    </row>
    <row r="3560" spans="1:24" x14ac:dyDescent="0.3">
      <c r="A3560" t="s">
        <v>2025</v>
      </c>
      <c r="C3560" t="s">
        <v>2848</v>
      </c>
      <c r="D3560" s="1">
        <v>46062</v>
      </c>
      <c r="E3560" t="s">
        <v>2849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21</v>
      </c>
      <c r="J3560" t="s">
        <v>762</v>
      </c>
      <c r="K3560" t="s">
        <v>2028</v>
      </c>
      <c r="L3560">
        <v>22173</v>
      </c>
      <c r="M3560" t="s">
        <v>194</v>
      </c>
      <c r="O3560" t="s">
        <v>11</v>
      </c>
      <c r="P3560">
        <v>5102</v>
      </c>
      <c r="Q3560">
        <v>6</v>
      </c>
      <c r="R3560">
        <v>4.58</v>
      </c>
      <c r="S3560">
        <v>27.48</v>
      </c>
      <c r="T3560">
        <v>20.88</v>
      </c>
      <c r="U3560">
        <v>24.02</v>
      </c>
      <c r="V3560" t="str">
        <f>VLOOKUP(L3560,'[2]tabela de preços'!$A:$D,4,0)</f>
        <v>3M</v>
      </c>
      <c r="W3560" t="str">
        <f>VLOOKUP(L3560,'[2]tabela de preços'!$A:$F,6,0)</f>
        <v>FITA AUTOMOTIVA</v>
      </c>
      <c r="X3560" t="str">
        <f>VLOOKUP(L3560,'[2]tabela de preços'!$A:$G,7,0)</f>
        <v>AUTOMOTIVO</v>
      </c>
    </row>
    <row r="3561" spans="1:24" x14ac:dyDescent="0.3">
      <c r="A3561" t="s">
        <v>2025</v>
      </c>
      <c r="C3561" t="s">
        <v>2848</v>
      </c>
      <c r="D3561" s="1">
        <v>46062</v>
      </c>
      <c r="E3561" t="s">
        <v>2849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21</v>
      </c>
      <c r="J3561" t="s">
        <v>762</v>
      </c>
      <c r="K3561" t="s">
        <v>2028</v>
      </c>
      <c r="L3561">
        <v>22188</v>
      </c>
      <c r="M3561" t="s">
        <v>78</v>
      </c>
      <c r="O3561" t="s">
        <v>11</v>
      </c>
      <c r="P3561">
        <v>5102</v>
      </c>
      <c r="Q3561">
        <v>5</v>
      </c>
      <c r="R3561">
        <v>14.35</v>
      </c>
      <c r="S3561">
        <v>71.75</v>
      </c>
      <c r="T3561">
        <v>54.45</v>
      </c>
      <c r="U3561">
        <v>24.11</v>
      </c>
      <c r="V3561" t="str">
        <f>VLOOKUP(L3561,'[2]tabela de preços'!$A:$D,4,0)</f>
        <v>3M</v>
      </c>
      <c r="W3561" t="str">
        <f>VLOOKUP(L3561,'[2]tabela de preços'!$A:$F,6,0)</f>
        <v>FITA AUTOMOTIVA</v>
      </c>
      <c r="X3561" t="str">
        <f>VLOOKUP(L3561,'[2]tabela de preços'!$A:$G,7,0)</f>
        <v>AUTOMOTIVO</v>
      </c>
    </row>
    <row r="3562" spans="1:24" x14ac:dyDescent="0.3">
      <c r="A3562" t="s">
        <v>2025</v>
      </c>
      <c r="C3562" t="s">
        <v>2848</v>
      </c>
      <c r="D3562" s="1">
        <v>46062</v>
      </c>
      <c r="E3562" t="s">
        <v>2849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762</v>
      </c>
      <c r="K3562" t="s">
        <v>2028</v>
      </c>
      <c r="L3562">
        <v>21862</v>
      </c>
      <c r="M3562" t="s">
        <v>2040</v>
      </c>
      <c r="O3562" t="s">
        <v>11</v>
      </c>
      <c r="P3562">
        <v>5102</v>
      </c>
      <c r="Q3562">
        <v>2</v>
      </c>
      <c r="R3562">
        <v>29.8</v>
      </c>
      <c r="S3562">
        <v>59.6</v>
      </c>
      <c r="T3562">
        <v>45.24</v>
      </c>
      <c r="U3562">
        <v>24.09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2025</v>
      </c>
      <c r="C3563" t="s">
        <v>2848</v>
      </c>
      <c r="D3563" s="1">
        <v>46062</v>
      </c>
      <c r="E3563" t="s">
        <v>2849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762</v>
      </c>
      <c r="K3563" t="s">
        <v>2028</v>
      </c>
      <c r="L3563">
        <v>20212</v>
      </c>
      <c r="M3563" t="s">
        <v>198</v>
      </c>
      <c r="O3563" t="s">
        <v>11</v>
      </c>
      <c r="P3563">
        <v>5403</v>
      </c>
      <c r="Q3563">
        <v>2</v>
      </c>
      <c r="R3563">
        <v>26.95</v>
      </c>
      <c r="S3563">
        <v>53.9</v>
      </c>
      <c r="T3563">
        <v>40.92</v>
      </c>
      <c r="U3563">
        <v>24.08</v>
      </c>
      <c r="V3563" t="str">
        <f>VLOOKUP(L3563,'[2]tabela de preços'!$A:$D,4,0)</f>
        <v>MAXI RUBBER</v>
      </c>
      <c r="W3563" t="str">
        <f>VLOOKUP(L3563,'[2]tabela de preços'!$A:$F,6,0)</f>
        <v>SELADORA P/ PLASTICO</v>
      </c>
      <c r="X3563" t="str">
        <f>VLOOKUP(L3563,'[2]tabela de preços'!$A:$G,7,0)</f>
        <v>AUTOMOTIVO</v>
      </c>
    </row>
    <row r="3564" spans="1:24" x14ac:dyDescent="0.3">
      <c r="A3564" t="s">
        <v>2025</v>
      </c>
      <c r="C3564" t="s">
        <v>2848</v>
      </c>
      <c r="D3564" s="1">
        <v>46062</v>
      </c>
      <c r="E3564" t="s">
        <v>2849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762</v>
      </c>
      <c r="K3564" t="s">
        <v>2028</v>
      </c>
      <c r="L3564">
        <v>84560</v>
      </c>
      <c r="M3564" t="s">
        <v>118</v>
      </c>
      <c r="O3564" t="s">
        <v>11</v>
      </c>
      <c r="P3564">
        <v>5102</v>
      </c>
      <c r="Q3564">
        <v>2</v>
      </c>
      <c r="R3564">
        <v>47.89</v>
      </c>
      <c r="S3564">
        <v>95.78</v>
      </c>
      <c r="T3564">
        <v>78.319999999999993</v>
      </c>
      <c r="U3564">
        <v>18.23</v>
      </c>
      <c r="V3564" t="str">
        <f>VLOOKUP(L3564,'[2]tabela de preços'!$A:$D,4,0)</f>
        <v>BRASILUX</v>
      </c>
      <c r="W3564" t="str">
        <f>VLOOKUP(L3564,'[2]tabela de preços'!$A:$F,6,0)</f>
        <v>THINNER DE LIMPEZA</v>
      </c>
      <c r="X3564" t="str">
        <f>VLOOKUP(L3564,'[2]tabela de preços'!$A:$G,7,0)</f>
        <v>THINNER</v>
      </c>
    </row>
    <row r="3565" spans="1:24" x14ac:dyDescent="0.3">
      <c r="A3565" t="s">
        <v>2025</v>
      </c>
      <c r="C3565" t="s">
        <v>2848</v>
      </c>
      <c r="D3565" s="1">
        <v>46062</v>
      </c>
      <c r="E3565" t="s">
        <v>2849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762</v>
      </c>
      <c r="K3565" t="s">
        <v>2028</v>
      </c>
      <c r="L3565">
        <v>84460</v>
      </c>
      <c r="M3565" t="s">
        <v>322</v>
      </c>
      <c r="O3565" t="s">
        <v>11</v>
      </c>
      <c r="P3565">
        <v>5102</v>
      </c>
      <c r="Q3565">
        <v>2</v>
      </c>
      <c r="R3565">
        <v>31.07</v>
      </c>
      <c r="S3565">
        <v>62.14</v>
      </c>
      <c r="T3565">
        <v>47.16</v>
      </c>
      <c r="U3565">
        <v>24.11</v>
      </c>
      <c r="V3565" t="str">
        <f>VLOOKUP(L3565,'[2]tabela de preços'!$A:$D,4,0)</f>
        <v>BRASILUX</v>
      </c>
      <c r="W3565" t="str">
        <f>VLOOKUP(L3565,'[2]tabela de preços'!$A:$F,6,0)</f>
        <v>VEDADORES / SELANTES</v>
      </c>
      <c r="X3565" t="str">
        <f>VLOOKUP(L3565,'[2]tabela de preços'!$A:$G,7,0)</f>
        <v>AUTOMOTIVO</v>
      </c>
    </row>
    <row r="3566" spans="1:24" x14ac:dyDescent="0.3">
      <c r="A3566" t="s">
        <v>2041</v>
      </c>
      <c r="C3566" t="s">
        <v>3282</v>
      </c>
      <c r="D3566" s="1">
        <v>46071</v>
      </c>
      <c r="E3566" t="s">
        <v>3283</v>
      </c>
      <c r="F3566">
        <v>9</v>
      </c>
      <c r="G3566">
        <v>231</v>
      </c>
      <c r="H3566" t="str">
        <f>VLOOKUP(G3566,[1]OPERADORES!$A:$B,2,0)</f>
        <v>EDIJANE</v>
      </c>
      <c r="I3566" t="s">
        <v>21</v>
      </c>
      <c r="J3566" t="s">
        <v>1653</v>
      </c>
      <c r="K3566" t="s">
        <v>2044</v>
      </c>
      <c r="L3566">
        <v>85628</v>
      </c>
      <c r="M3566" t="s">
        <v>2045</v>
      </c>
      <c r="O3566" t="s">
        <v>11</v>
      </c>
      <c r="P3566">
        <v>5403</v>
      </c>
      <c r="Q3566">
        <v>1</v>
      </c>
      <c r="R3566">
        <v>348.64</v>
      </c>
      <c r="S3566">
        <v>348.64</v>
      </c>
      <c r="T3566">
        <v>264.62</v>
      </c>
      <c r="U3566">
        <v>24.1</v>
      </c>
      <c r="V3566" t="str">
        <f>VLOOKUP(L3566,'[2]tabela de preços'!$A:$D,4,0)</f>
        <v>BRASILUX</v>
      </c>
      <c r="W3566" t="str">
        <f>VLOOKUP(L3566,'[2]tabela de preços'!$A:$F,6,0)</f>
        <v>TINTA PARA PISO</v>
      </c>
      <c r="X3566" t="str">
        <f>VLOOKUP(L3566,'[2]tabela de preços'!$A:$G,7,0)</f>
        <v>IMOBILIÁRIO</v>
      </c>
    </row>
    <row r="3567" spans="1:24" x14ac:dyDescent="0.3">
      <c r="A3567" t="s">
        <v>2046</v>
      </c>
      <c r="C3567" t="s">
        <v>2561</v>
      </c>
      <c r="D3567" s="1">
        <v>46056</v>
      </c>
      <c r="E3567" t="s">
        <v>2562</v>
      </c>
      <c r="F3567">
        <v>9</v>
      </c>
      <c r="G3567">
        <v>236</v>
      </c>
      <c r="H3567" t="str">
        <f>VLOOKUP(G3567,[1]OPERADORES!$A:$B,2,0)</f>
        <v>DANIEL</v>
      </c>
      <c r="I3567" t="s">
        <v>21</v>
      </c>
      <c r="J3567" t="s">
        <v>614</v>
      </c>
      <c r="K3567" t="s">
        <v>2049</v>
      </c>
      <c r="L3567">
        <v>10277</v>
      </c>
      <c r="M3567" t="s">
        <v>135</v>
      </c>
      <c r="O3567" t="s">
        <v>11</v>
      </c>
      <c r="P3567">
        <v>5102</v>
      </c>
      <c r="Q3567">
        <v>24</v>
      </c>
      <c r="R3567">
        <v>15.89</v>
      </c>
      <c r="S3567">
        <v>381.36</v>
      </c>
      <c r="T3567">
        <v>309.12</v>
      </c>
      <c r="U3567">
        <v>18.940000000000001</v>
      </c>
      <c r="V3567" t="str">
        <f>VLOOKUP(L3567,'[2]tabela de preços'!$A:$D,4,0)</f>
        <v>RETOQUE</v>
      </c>
      <c r="W3567" t="str">
        <f>VLOOKUP(L3567,'[2]tabela de preços'!$A:$F,6,0)</f>
        <v xml:space="preserve">COLA  PLÁSTICA </v>
      </c>
      <c r="X3567" t="str">
        <f>VLOOKUP(L3567,'[2]tabela de preços'!$A:$G,7,0)</f>
        <v>AUTOMOTIVO</v>
      </c>
    </row>
    <row r="3568" spans="1:24" x14ac:dyDescent="0.3">
      <c r="A3568" t="s">
        <v>2046</v>
      </c>
      <c r="C3568" t="s">
        <v>2561</v>
      </c>
      <c r="D3568" s="1">
        <v>46056</v>
      </c>
      <c r="E3568" t="s">
        <v>2562</v>
      </c>
      <c r="F3568">
        <v>9</v>
      </c>
      <c r="G3568">
        <v>236</v>
      </c>
      <c r="H3568" t="str">
        <f>VLOOKUP(G3568,[1]OPERADORES!$A:$B,2,0)</f>
        <v>DANIEL</v>
      </c>
      <c r="I3568" t="s">
        <v>21</v>
      </c>
      <c r="J3568" t="s">
        <v>614</v>
      </c>
      <c r="K3568" t="s">
        <v>2049</v>
      </c>
      <c r="L3568">
        <v>23076</v>
      </c>
      <c r="M3568" t="s">
        <v>97</v>
      </c>
      <c r="O3568" t="s">
        <v>11</v>
      </c>
      <c r="P3568">
        <v>5403</v>
      </c>
      <c r="Q3568">
        <v>24</v>
      </c>
      <c r="R3568">
        <v>34.89</v>
      </c>
      <c r="S3568">
        <v>837.36</v>
      </c>
      <c r="T3568">
        <v>636.72</v>
      </c>
      <c r="U3568">
        <v>23.96</v>
      </c>
      <c r="V3568" t="str">
        <f>VLOOKUP(L3568,'[2]tabela de preços'!$A:$D,4,0)</f>
        <v>WANDA</v>
      </c>
      <c r="W3568" t="str">
        <f>VLOOKUP(L3568,'[2]tabela de preços'!$A:$F,6,0)</f>
        <v>PRIMER AUTOMOTIVO</v>
      </c>
      <c r="X3568" t="str">
        <f>VLOOKUP(L3568,'[2]tabela de preços'!$A:$G,7,0)</f>
        <v>AUTOMOTIVO</v>
      </c>
    </row>
    <row r="3569" spans="1:24" x14ac:dyDescent="0.3">
      <c r="A3569" t="s">
        <v>2046</v>
      </c>
      <c r="C3569" t="s">
        <v>2561</v>
      </c>
      <c r="D3569" s="1">
        <v>46056</v>
      </c>
      <c r="E3569" t="s">
        <v>2562</v>
      </c>
      <c r="F3569">
        <v>9</v>
      </c>
      <c r="G3569">
        <v>236</v>
      </c>
      <c r="H3569" t="str">
        <f>VLOOKUP(G3569,[1]OPERADORES!$A:$B,2,0)</f>
        <v>DANIEL</v>
      </c>
      <c r="I3569" t="s">
        <v>21</v>
      </c>
      <c r="J3569" t="s">
        <v>614</v>
      </c>
      <c r="K3569" t="s">
        <v>2049</v>
      </c>
      <c r="L3569">
        <v>23602</v>
      </c>
      <c r="M3569" t="s">
        <v>215</v>
      </c>
      <c r="O3569" t="s">
        <v>11</v>
      </c>
      <c r="P3569">
        <v>5403</v>
      </c>
      <c r="Q3569">
        <v>18</v>
      </c>
      <c r="R3569">
        <v>35.89</v>
      </c>
      <c r="S3569">
        <v>646.02</v>
      </c>
      <c r="T3569">
        <v>526.5</v>
      </c>
      <c r="U3569">
        <v>18.5</v>
      </c>
      <c r="V3569" t="str">
        <f>VLOOKUP(L3569,'[2]tabela de preços'!$A:$D,4,0)</f>
        <v>SHERWIN WILLIAMS</v>
      </c>
      <c r="W3569" t="str">
        <f>VLOOKUP(L3569,'[2]tabela de preços'!$A:$F,6,0)</f>
        <v>VERNIZ AUTOMOTIVO</v>
      </c>
      <c r="X3569" t="str">
        <f>VLOOKUP(L3569,'[2]tabela de preços'!$A:$G,7,0)</f>
        <v>AUTOMOTIVO</v>
      </c>
    </row>
    <row r="3570" spans="1:24" x14ac:dyDescent="0.3">
      <c r="A3570" t="s">
        <v>2046</v>
      </c>
      <c r="C3570" t="s">
        <v>2561</v>
      </c>
      <c r="D3570" s="1">
        <v>46056</v>
      </c>
      <c r="E3570" t="s">
        <v>2562</v>
      </c>
      <c r="F3570">
        <v>9</v>
      </c>
      <c r="G3570">
        <v>236</v>
      </c>
      <c r="H3570" t="str">
        <f>VLOOKUP(G3570,[1]OPERADORES!$A:$B,2,0)</f>
        <v>DANIEL</v>
      </c>
      <c r="I3570" t="s">
        <v>21</v>
      </c>
      <c r="J3570" t="s">
        <v>614</v>
      </c>
      <c r="K3570" t="s">
        <v>2049</v>
      </c>
      <c r="L3570">
        <v>20431</v>
      </c>
      <c r="M3570" t="s">
        <v>202</v>
      </c>
      <c r="O3570" t="s">
        <v>11</v>
      </c>
      <c r="P3570">
        <v>5403</v>
      </c>
      <c r="Q3570">
        <v>18</v>
      </c>
      <c r="R3570">
        <v>36.89</v>
      </c>
      <c r="S3570">
        <v>664.02</v>
      </c>
      <c r="T3570">
        <v>544.67999999999995</v>
      </c>
      <c r="U3570">
        <v>17.97</v>
      </c>
      <c r="V3570" t="str">
        <f>VLOOKUP(L3570,'[2]tabela de preços'!$A:$D,4,0)</f>
        <v>SHERWIN WILLIAMS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2046</v>
      </c>
      <c r="C3571" t="s">
        <v>2561</v>
      </c>
      <c r="D3571" s="1">
        <v>46056</v>
      </c>
      <c r="E3571" t="s">
        <v>2562</v>
      </c>
      <c r="F3571">
        <v>9</v>
      </c>
      <c r="G3571">
        <v>236</v>
      </c>
      <c r="H3571" t="str">
        <f>VLOOKUP(G3571,[1]OPERADORES!$A:$B,2,0)</f>
        <v>DANIEL</v>
      </c>
      <c r="I3571" t="s">
        <v>21</v>
      </c>
      <c r="J3571" t="s">
        <v>614</v>
      </c>
      <c r="K3571" t="s">
        <v>2049</v>
      </c>
      <c r="L3571">
        <v>20525</v>
      </c>
      <c r="M3571" t="s">
        <v>137</v>
      </c>
      <c r="O3571" t="s">
        <v>11</v>
      </c>
      <c r="P3571">
        <v>5102</v>
      </c>
      <c r="Q3571">
        <v>6</v>
      </c>
      <c r="R3571">
        <v>13.65</v>
      </c>
      <c r="S3571">
        <v>81.900000000000006</v>
      </c>
      <c r="T3571">
        <v>62.16</v>
      </c>
      <c r="U3571">
        <v>24.1</v>
      </c>
      <c r="V3571" t="str">
        <f>VLOOKUP(L3571,'[2]tabela de preços'!$A:$D,4,0)</f>
        <v>SHERWIN WILLIAMS</v>
      </c>
      <c r="W3571" t="str">
        <f>VLOOKUP(L3571,'[2]tabela de preços'!$A:$F,6,0)</f>
        <v>MASSA DE PEQUENOS REPAROS</v>
      </c>
      <c r="X3571" t="str">
        <f>VLOOKUP(L3571,'[2]tabela de preços'!$A:$G,7,0)</f>
        <v>AUTOMOTIVO</v>
      </c>
    </row>
    <row r="3572" spans="1:24" x14ac:dyDescent="0.3">
      <c r="A3572" t="s">
        <v>2046</v>
      </c>
      <c r="C3572" t="s">
        <v>2561</v>
      </c>
      <c r="D3572" s="1">
        <v>46056</v>
      </c>
      <c r="E3572" t="s">
        <v>2562</v>
      </c>
      <c r="F3572">
        <v>9</v>
      </c>
      <c r="G3572">
        <v>236</v>
      </c>
      <c r="H3572" t="str">
        <f>VLOOKUP(G3572,[1]OPERADORES!$A:$B,2,0)</f>
        <v>DANIEL</v>
      </c>
      <c r="I3572" t="s">
        <v>21</v>
      </c>
      <c r="J3572" t="s">
        <v>614</v>
      </c>
      <c r="K3572" t="s">
        <v>2049</v>
      </c>
      <c r="L3572">
        <v>85164</v>
      </c>
      <c r="M3572" t="s">
        <v>278</v>
      </c>
      <c r="O3572" t="s">
        <v>11</v>
      </c>
      <c r="P3572">
        <v>5102</v>
      </c>
      <c r="Q3572">
        <v>24</v>
      </c>
      <c r="R3572">
        <v>13.29</v>
      </c>
      <c r="S3572">
        <v>318.95999999999998</v>
      </c>
      <c r="T3572">
        <v>242.16</v>
      </c>
      <c r="U3572">
        <v>24.08</v>
      </c>
      <c r="V3572" t="str">
        <f>VLOOKUP(L3572,'[2]tabela de preços'!$A:$D,4,0)</f>
        <v>BRASILUX</v>
      </c>
      <c r="W3572" t="str">
        <f>VLOOKUP(L3572,'[2]tabela de preços'!$A:$F,6,0)</f>
        <v>QUEROSENE</v>
      </c>
      <c r="X3572" t="str">
        <f>VLOOKUP(L3572,'[2]tabela de preços'!$A:$G,7,0)</f>
        <v>AUTOMOTIVO</v>
      </c>
    </row>
    <row r="3573" spans="1:24" x14ac:dyDescent="0.3">
      <c r="A3573" t="s">
        <v>2063</v>
      </c>
      <c r="C3573" t="s">
        <v>3284</v>
      </c>
      <c r="D3573" s="1">
        <v>46065</v>
      </c>
      <c r="E3573" t="s">
        <v>3285</v>
      </c>
      <c r="F3573">
        <v>9</v>
      </c>
      <c r="G3573">
        <v>231</v>
      </c>
      <c r="H3573" t="str">
        <f>VLOOKUP(G3573,[1]OPERADORES!$A:$B,2,0)</f>
        <v>EDIJANE</v>
      </c>
      <c r="I3573" t="s">
        <v>21</v>
      </c>
      <c r="J3573" t="s">
        <v>2066</v>
      </c>
      <c r="K3573" t="s">
        <v>2067</v>
      </c>
      <c r="L3573">
        <v>86861</v>
      </c>
      <c r="M3573" t="s">
        <v>2068</v>
      </c>
      <c r="O3573" t="s">
        <v>11</v>
      </c>
      <c r="P3573">
        <v>5403</v>
      </c>
      <c r="Q3573">
        <v>4</v>
      </c>
      <c r="R3573">
        <v>4.55</v>
      </c>
      <c r="S3573">
        <v>18.2</v>
      </c>
      <c r="T3573">
        <v>13.8</v>
      </c>
      <c r="U3573">
        <v>24.18</v>
      </c>
      <c r="V3573" t="str">
        <f>VLOOKUP(L3573,'[2]tabela de preços'!$A:$D,4,0)</f>
        <v>SHERWIN WILLIAMS</v>
      </c>
      <c r="W3573" t="str">
        <f>VLOOKUP(L3573,'[2]tabela de preços'!$A:$F,6,0)</f>
        <v>CORANTES</v>
      </c>
      <c r="X3573" t="str">
        <f>VLOOKUP(L3573,'[2]tabela de preços'!$A:$G,7,0)</f>
        <v>IMOBILIÁRIO</v>
      </c>
    </row>
    <row r="3574" spans="1:24" x14ac:dyDescent="0.3">
      <c r="A3574" t="s">
        <v>2063</v>
      </c>
      <c r="C3574" t="s">
        <v>3284</v>
      </c>
      <c r="D3574" s="1">
        <v>46065</v>
      </c>
      <c r="E3574" t="s">
        <v>3285</v>
      </c>
      <c r="F3574">
        <v>9</v>
      </c>
      <c r="G3574">
        <v>231</v>
      </c>
      <c r="H3574" t="str">
        <f>VLOOKUP(G3574,[1]OPERADORES!$A:$B,2,0)</f>
        <v>EDIJANE</v>
      </c>
      <c r="I3574" t="s">
        <v>21</v>
      </c>
      <c r="J3574" t="s">
        <v>2066</v>
      </c>
      <c r="K3574" t="s">
        <v>2067</v>
      </c>
      <c r="L3574">
        <v>86865</v>
      </c>
      <c r="M3574" t="s">
        <v>2069</v>
      </c>
      <c r="O3574" t="s">
        <v>11</v>
      </c>
      <c r="P3574">
        <v>5403</v>
      </c>
      <c r="Q3574">
        <v>5</v>
      </c>
      <c r="R3574">
        <v>4.55</v>
      </c>
      <c r="S3574">
        <v>22.75</v>
      </c>
      <c r="T3574">
        <v>17.25</v>
      </c>
      <c r="U3574">
        <v>24.18</v>
      </c>
      <c r="V3574" t="str">
        <f>VLOOKUP(L3574,'[2]tabela de preços'!$A:$D,4,0)</f>
        <v>SHERWIN WILLIAMS</v>
      </c>
      <c r="W3574" t="str">
        <f>VLOOKUP(L3574,'[2]tabela de preços'!$A:$F,6,0)</f>
        <v>CORANTES</v>
      </c>
      <c r="X3574" t="str">
        <f>VLOOKUP(L3574,'[2]tabela de preços'!$A:$G,7,0)</f>
        <v>IMOBILIÁRIO</v>
      </c>
    </row>
    <row r="3575" spans="1:24" x14ac:dyDescent="0.3">
      <c r="A3575" t="s">
        <v>2063</v>
      </c>
      <c r="C3575" t="s">
        <v>3284</v>
      </c>
      <c r="D3575" s="1">
        <v>46065</v>
      </c>
      <c r="E3575" t="s">
        <v>3285</v>
      </c>
      <c r="F3575">
        <v>9</v>
      </c>
      <c r="G3575">
        <v>231</v>
      </c>
      <c r="H3575" t="str">
        <f>VLOOKUP(G3575,[1]OPERADORES!$A:$B,2,0)</f>
        <v>EDIJANE</v>
      </c>
      <c r="I3575" t="s">
        <v>21</v>
      </c>
      <c r="J3575" t="s">
        <v>2066</v>
      </c>
      <c r="K3575" t="s">
        <v>2067</v>
      </c>
      <c r="L3575">
        <v>86866</v>
      </c>
      <c r="M3575" t="s">
        <v>2071</v>
      </c>
      <c r="O3575" t="s">
        <v>11</v>
      </c>
      <c r="P3575">
        <v>5403</v>
      </c>
      <c r="Q3575">
        <v>5</v>
      </c>
      <c r="R3575">
        <v>4.55</v>
      </c>
      <c r="S3575">
        <v>22.75</v>
      </c>
      <c r="T3575">
        <v>17.25</v>
      </c>
      <c r="U3575">
        <v>24.18</v>
      </c>
      <c r="V3575" t="str">
        <f>VLOOKUP(L3575,'[2]tabela de preços'!$A:$D,4,0)</f>
        <v>SHERWIN WILLIAMS</v>
      </c>
      <c r="W3575" t="str">
        <f>VLOOKUP(L3575,'[2]tabela de preços'!$A:$F,6,0)</f>
        <v>CORANTES</v>
      </c>
      <c r="X3575" t="str">
        <f>VLOOKUP(L3575,'[2]tabela de preços'!$A:$G,7,0)</f>
        <v>IMOBILIÁRIO</v>
      </c>
    </row>
    <row r="3576" spans="1:24" x14ac:dyDescent="0.3">
      <c r="A3576" t="s">
        <v>2063</v>
      </c>
      <c r="C3576" t="s">
        <v>3284</v>
      </c>
      <c r="D3576" s="1">
        <v>46065</v>
      </c>
      <c r="E3576" t="s">
        <v>3285</v>
      </c>
      <c r="F3576">
        <v>9</v>
      </c>
      <c r="G3576">
        <v>231</v>
      </c>
      <c r="H3576" t="str">
        <f>VLOOKUP(G3576,[1]OPERADORES!$A:$B,2,0)</f>
        <v>EDIJANE</v>
      </c>
      <c r="I3576" t="s">
        <v>21</v>
      </c>
      <c r="J3576" t="s">
        <v>2066</v>
      </c>
      <c r="K3576" t="s">
        <v>2067</v>
      </c>
      <c r="L3576">
        <v>5</v>
      </c>
      <c r="M3576" t="s">
        <v>147</v>
      </c>
      <c r="O3576" t="s">
        <v>11</v>
      </c>
      <c r="P3576">
        <v>5102</v>
      </c>
      <c r="Q3576">
        <v>5</v>
      </c>
      <c r="R3576">
        <v>5.15</v>
      </c>
      <c r="S3576">
        <v>25.75</v>
      </c>
      <c r="T3576">
        <v>19.55</v>
      </c>
      <c r="U3576">
        <v>24.08</v>
      </c>
      <c r="V3576" t="str">
        <f>VLOOKUP(L3576,'[2]tabela de preços'!$A:$D,4,0)</f>
        <v>BRILHO ESTOPA</v>
      </c>
      <c r="W3576" t="str">
        <f>VLOOKUP(L3576,'[2]tabela de preços'!$A:$F,6,0)</f>
        <v>ESTOPAS</v>
      </c>
      <c r="X3576" t="str">
        <f>VLOOKUP(L3576,'[2]tabela de preços'!$A:$G,7,0)</f>
        <v>AUTOMOTIVO</v>
      </c>
    </row>
    <row r="3577" spans="1:24" x14ac:dyDescent="0.3">
      <c r="A3577" t="s">
        <v>2063</v>
      </c>
      <c r="C3577" t="s">
        <v>3284</v>
      </c>
      <c r="D3577" s="1">
        <v>46065</v>
      </c>
      <c r="E3577" t="s">
        <v>3285</v>
      </c>
      <c r="F3577">
        <v>9</v>
      </c>
      <c r="G3577">
        <v>231</v>
      </c>
      <c r="H3577" t="str">
        <f>VLOOKUP(G3577,[1]OPERADORES!$A:$B,2,0)</f>
        <v>EDIJANE</v>
      </c>
      <c r="I3577" t="s">
        <v>21</v>
      </c>
      <c r="J3577" t="s">
        <v>2066</v>
      </c>
      <c r="K3577" t="s">
        <v>2067</v>
      </c>
      <c r="L3577">
        <v>85599</v>
      </c>
      <c r="M3577" t="s">
        <v>38</v>
      </c>
      <c r="O3577" t="s">
        <v>11</v>
      </c>
      <c r="P3577">
        <v>5102</v>
      </c>
      <c r="Q3577">
        <v>20</v>
      </c>
      <c r="R3577">
        <v>2.58</v>
      </c>
      <c r="S3577">
        <v>51.6</v>
      </c>
      <c r="T3577">
        <v>39.200000000000003</v>
      </c>
      <c r="U3577">
        <v>24.03</v>
      </c>
      <c r="V3577" t="str">
        <f>VLOOKUP(L3577,'[2]tabela de preços'!$A:$D,4,0)</f>
        <v>REJUMASSA</v>
      </c>
      <c r="W3577" t="str">
        <f>VLOOKUP(L3577,'[2]tabela de preços'!$A:$F,6,0)</f>
        <v>GESSO</v>
      </c>
      <c r="X3577" t="str">
        <f>VLOOKUP(L3577,'[2]tabela de preços'!$A:$G,7,0)</f>
        <v>IMOBILIÁRIO</v>
      </c>
    </row>
    <row r="3578" spans="1:24" x14ac:dyDescent="0.3">
      <c r="A3578" t="s">
        <v>2073</v>
      </c>
      <c r="C3578" t="s">
        <v>2467</v>
      </c>
      <c r="D3578" s="1">
        <v>46055</v>
      </c>
      <c r="E3578" t="s">
        <v>2468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1257</v>
      </c>
      <c r="K3578" t="s">
        <v>2076</v>
      </c>
      <c r="L3578">
        <v>84331</v>
      </c>
      <c r="M3578" t="s">
        <v>497</v>
      </c>
      <c r="O3578" t="s">
        <v>11</v>
      </c>
      <c r="P3578">
        <v>5403</v>
      </c>
      <c r="Q3578">
        <v>15</v>
      </c>
      <c r="R3578">
        <v>59.98</v>
      </c>
      <c r="S3578">
        <v>899.7</v>
      </c>
      <c r="T3578">
        <v>780</v>
      </c>
      <c r="U3578">
        <v>13.3</v>
      </c>
      <c r="V3578" t="str">
        <f>VLOOKUP(L3578,'[2]tabela de preços'!$A:$D,4,0)</f>
        <v>BRASILUX</v>
      </c>
      <c r="W3578" t="str">
        <f>VLOOKUP(L3578,'[2]tabela de preços'!$A:$F,6,0)</f>
        <v>ESMALTES</v>
      </c>
      <c r="X3578" t="str">
        <f>VLOOKUP(L3578,'[2]tabela de preços'!$A:$G,7,0)</f>
        <v>INDUSTRIAL</v>
      </c>
    </row>
    <row r="3579" spans="1:24" x14ac:dyDescent="0.3">
      <c r="A3579" t="s">
        <v>2073</v>
      </c>
      <c r="C3579" t="s">
        <v>2467</v>
      </c>
      <c r="D3579" s="1">
        <v>46055</v>
      </c>
      <c r="E3579" t="s">
        <v>2468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1257</v>
      </c>
      <c r="K3579" t="s">
        <v>2076</v>
      </c>
      <c r="L3579">
        <v>84347</v>
      </c>
      <c r="M3579" t="s">
        <v>1150</v>
      </c>
      <c r="O3579" t="s">
        <v>11</v>
      </c>
      <c r="P3579">
        <v>5403</v>
      </c>
      <c r="Q3579">
        <v>8</v>
      </c>
      <c r="R3579">
        <v>59.98</v>
      </c>
      <c r="S3579">
        <v>479.84</v>
      </c>
      <c r="T3579">
        <v>416</v>
      </c>
      <c r="U3579">
        <v>13.3</v>
      </c>
      <c r="V3579" t="str">
        <f>VLOOKUP(L3579,'[2]tabela de preços'!$A:$D,4,0)</f>
        <v>BRASILUX</v>
      </c>
      <c r="W3579" t="str">
        <f>VLOOKUP(L3579,'[2]tabela de preços'!$A:$F,6,0)</f>
        <v>ESMALTES</v>
      </c>
      <c r="X3579" t="str">
        <f>VLOOKUP(L3579,'[2]tabela de preços'!$A:$G,7,0)</f>
        <v>INDUSTRIAL</v>
      </c>
    </row>
    <row r="3580" spans="1:24" x14ac:dyDescent="0.3">
      <c r="A3580" t="s">
        <v>2073</v>
      </c>
      <c r="C3580" t="s">
        <v>2718</v>
      </c>
      <c r="D3580" s="1">
        <v>46058</v>
      </c>
      <c r="E3580" t="s">
        <v>2719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1257</v>
      </c>
      <c r="K3580" t="s">
        <v>2076</v>
      </c>
      <c r="L3580">
        <v>84030</v>
      </c>
      <c r="M3580" t="s">
        <v>900</v>
      </c>
      <c r="O3580" t="s">
        <v>11</v>
      </c>
      <c r="P3580">
        <v>5102</v>
      </c>
      <c r="Q3580">
        <v>30</v>
      </c>
      <c r="R3580">
        <v>49.5</v>
      </c>
      <c r="S3580" s="2">
        <v>1485</v>
      </c>
      <c r="T3580" s="2">
        <v>1270.8</v>
      </c>
      <c r="U3580">
        <v>14.42</v>
      </c>
      <c r="V3580" t="str">
        <f>VLOOKUP(L3580,'[2]tabela de preços'!$A:$D,4,0)</f>
        <v>BRASILUX</v>
      </c>
      <c r="W3580" t="str">
        <f>VLOOKUP(L3580,'[2]tabela de preços'!$A:$F,6,0)</f>
        <v>AGUARRAS</v>
      </c>
      <c r="X3580" t="str">
        <f>VLOOKUP(L3580,'[2]tabela de preços'!$A:$G,7,0)</f>
        <v>IMOBILIÁRIO</v>
      </c>
    </row>
    <row r="3581" spans="1:24" x14ac:dyDescent="0.3">
      <c r="A3581" t="s">
        <v>2073</v>
      </c>
      <c r="C3581" t="s">
        <v>2718</v>
      </c>
      <c r="D3581" s="1">
        <v>46058</v>
      </c>
      <c r="E3581" t="s">
        <v>2719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21</v>
      </c>
      <c r="J3581" t="s">
        <v>1257</v>
      </c>
      <c r="K3581" t="s">
        <v>2076</v>
      </c>
      <c r="L3581">
        <v>84351</v>
      </c>
      <c r="M3581" t="s">
        <v>2152</v>
      </c>
      <c r="O3581" t="s">
        <v>11</v>
      </c>
      <c r="P3581">
        <v>5403</v>
      </c>
      <c r="Q3581">
        <v>50</v>
      </c>
      <c r="R3581">
        <v>59.98</v>
      </c>
      <c r="S3581" s="2">
        <v>2999</v>
      </c>
      <c r="T3581" s="2">
        <v>2600</v>
      </c>
      <c r="U3581">
        <v>13.3</v>
      </c>
      <c r="V3581" t="str">
        <f>VLOOKUP(L3581,'[2]tabela de preços'!$A:$D,4,0)</f>
        <v>BRASILUX</v>
      </c>
      <c r="W3581" t="str">
        <f>VLOOKUP(L3581,'[2]tabela de preços'!$A:$F,6,0)</f>
        <v>ESMALTES</v>
      </c>
      <c r="X3581" t="str">
        <f>VLOOKUP(L3581,'[2]tabela de preços'!$A:$G,7,0)</f>
        <v>INDUSTRIAL</v>
      </c>
    </row>
    <row r="3582" spans="1:24" x14ac:dyDescent="0.3">
      <c r="A3582" t="s">
        <v>2073</v>
      </c>
      <c r="C3582" t="s">
        <v>2718</v>
      </c>
      <c r="D3582" s="1">
        <v>46058</v>
      </c>
      <c r="E3582" t="s">
        <v>2719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21</v>
      </c>
      <c r="J3582" t="s">
        <v>1257</v>
      </c>
      <c r="K3582" t="s">
        <v>2076</v>
      </c>
      <c r="L3582">
        <v>84328</v>
      </c>
      <c r="M3582" t="s">
        <v>496</v>
      </c>
      <c r="O3582" t="s">
        <v>11</v>
      </c>
      <c r="P3582">
        <v>5403</v>
      </c>
      <c r="Q3582">
        <v>150</v>
      </c>
      <c r="R3582">
        <v>59.98</v>
      </c>
      <c r="S3582" s="2">
        <v>8997</v>
      </c>
      <c r="T3582" s="2">
        <v>6928.5</v>
      </c>
      <c r="U3582">
        <v>22.99</v>
      </c>
      <c r="V3582" t="str">
        <f>VLOOKUP(L3582,'[2]tabela de preços'!$A:$D,4,0)</f>
        <v>BRASILUX</v>
      </c>
      <c r="W3582" t="str">
        <f>VLOOKUP(L3582,'[2]tabela de preços'!$A:$F,6,0)</f>
        <v>ESMALTES</v>
      </c>
      <c r="X3582" t="str">
        <f>VLOOKUP(L3582,'[2]tabela de preços'!$A:$G,7,0)</f>
        <v>INDUSTRIAL</v>
      </c>
    </row>
    <row r="3583" spans="1:24" x14ac:dyDescent="0.3">
      <c r="A3583" t="s">
        <v>2073</v>
      </c>
      <c r="C3583" t="s">
        <v>2718</v>
      </c>
      <c r="D3583" s="1">
        <v>46058</v>
      </c>
      <c r="E3583" t="s">
        <v>2719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21</v>
      </c>
      <c r="J3583" t="s">
        <v>1257</v>
      </c>
      <c r="K3583" t="s">
        <v>2076</v>
      </c>
      <c r="L3583">
        <v>84331</v>
      </c>
      <c r="M3583" t="s">
        <v>497</v>
      </c>
      <c r="O3583" t="s">
        <v>11</v>
      </c>
      <c r="P3583">
        <v>5403</v>
      </c>
      <c r="Q3583">
        <v>20</v>
      </c>
      <c r="R3583">
        <v>59.98</v>
      </c>
      <c r="S3583" s="2">
        <v>1199.5999999999999</v>
      </c>
      <c r="T3583" s="2">
        <v>1040</v>
      </c>
      <c r="U3583">
        <v>13.3</v>
      </c>
      <c r="V3583" t="str">
        <f>VLOOKUP(L3583,'[2]tabela de preços'!$A:$D,4,0)</f>
        <v>BRASILUX</v>
      </c>
      <c r="W3583" t="str">
        <f>VLOOKUP(L3583,'[2]tabela de preços'!$A:$F,6,0)</f>
        <v>ESMALTES</v>
      </c>
      <c r="X3583" t="str">
        <f>VLOOKUP(L3583,'[2]tabela de preços'!$A:$G,7,0)</f>
        <v>INDUSTRIAL</v>
      </c>
    </row>
    <row r="3584" spans="1:24" x14ac:dyDescent="0.3">
      <c r="A3584" t="s">
        <v>2073</v>
      </c>
      <c r="C3584" t="s">
        <v>2718</v>
      </c>
      <c r="D3584" s="1">
        <v>46058</v>
      </c>
      <c r="E3584" t="s">
        <v>2719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21</v>
      </c>
      <c r="J3584" t="s">
        <v>1257</v>
      </c>
      <c r="K3584" t="s">
        <v>2076</v>
      </c>
      <c r="L3584">
        <v>84334</v>
      </c>
      <c r="M3584" t="s">
        <v>895</v>
      </c>
      <c r="O3584" t="s">
        <v>11</v>
      </c>
      <c r="P3584">
        <v>5403</v>
      </c>
      <c r="Q3584">
        <v>100</v>
      </c>
      <c r="R3584">
        <v>59.98</v>
      </c>
      <c r="S3584" s="2">
        <v>5998</v>
      </c>
      <c r="T3584" s="2">
        <v>4766</v>
      </c>
      <c r="U3584">
        <v>20.54</v>
      </c>
      <c r="V3584" t="str">
        <f>VLOOKUP(L3584,'[2]tabela de preços'!$A:$D,4,0)</f>
        <v>BRASILUX</v>
      </c>
      <c r="W3584" t="str">
        <f>VLOOKUP(L3584,'[2]tabela de preços'!$A:$F,6,0)</f>
        <v>ESMALTES</v>
      </c>
      <c r="X3584" t="str">
        <f>VLOOKUP(L3584,'[2]tabela de preços'!$A:$G,7,0)</f>
        <v>INDUSTRIAL</v>
      </c>
    </row>
    <row r="3585" spans="1:24" x14ac:dyDescent="0.3">
      <c r="A3585" t="s">
        <v>2073</v>
      </c>
      <c r="C3585" t="s">
        <v>2718</v>
      </c>
      <c r="D3585" s="1">
        <v>46058</v>
      </c>
      <c r="E3585" t="s">
        <v>2719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21</v>
      </c>
      <c r="J3585" t="s">
        <v>1257</v>
      </c>
      <c r="K3585" t="s">
        <v>2076</v>
      </c>
      <c r="L3585">
        <v>84259</v>
      </c>
      <c r="M3585" t="s">
        <v>673</v>
      </c>
      <c r="O3585" t="s">
        <v>11</v>
      </c>
      <c r="P3585">
        <v>5403</v>
      </c>
      <c r="Q3585">
        <v>100</v>
      </c>
      <c r="R3585">
        <v>32.369999999999997</v>
      </c>
      <c r="S3585" s="2">
        <v>3237</v>
      </c>
      <c r="T3585" s="2">
        <v>2264</v>
      </c>
      <c r="U3585">
        <v>30.06</v>
      </c>
      <c r="V3585" t="str">
        <f>VLOOKUP(L3585,'[2]tabela de preços'!$A:$D,4,0)</f>
        <v>BRASILUX</v>
      </c>
      <c r="W3585" t="str">
        <f>VLOOKUP(L3585,'[2]tabela de preços'!$A:$F,6,0)</f>
        <v>TINTA PAREDE</v>
      </c>
      <c r="X3585" t="str">
        <f>VLOOKUP(L3585,'[2]tabela de preços'!$A:$G,7,0)</f>
        <v>IMOBILIÁRIO</v>
      </c>
    </row>
    <row r="3586" spans="1:24" x14ac:dyDescent="0.3">
      <c r="A3586" t="s">
        <v>2073</v>
      </c>
      <c r="C3586" t="s">
        <v>2718</v>
      </c>
      <c r="D3586" s="1">
        <v>46058</v>
      </c>
      <c r="E3586" t="s">
        <v>2719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21</v>
      </c>
      <c r="J3586" t="s">
        <v>1257</v>
      </c>
      <c r="K3586" t="s">
        <v>2076</v>
      </c>
      <c r="L3586">
        <v>84411</v>
      </c>
      <c r="M3586" t="s">
        <v>35</v>
      </c>
      <c r="O3586" t="s">
        <v>11</v>
      </c>
      <c r="P3586">
        <v>5102</v>
      </c>
      <c r="Q3586">
        <v>50</v>
      </c>
      <c r="R3586">
        <v>4.29</v>
      </c>
      <c r="S3586">
        <v>214.5</v>
      </c>
      <c r="T3586">
        <v>177</v>
      </c>
      <c r="U3586">
        <v>17.48</v>
      </c>
      <c r="V3586" t="str">
        <f>VLOOKUP(L3586,'[2]tabela de preços'!$A:$D,4,0)</f>
        <v>ADERE</v>
      </c>
      <c r="W3586" t="str">
        <f>VLOOKUP(L3586,'[2]tabela de preços'!$A:$F,6,0)</f>
        <v xml:space="preserve">FITA DE USO GERAL </v>
      </c>
      <c r="X3586" t="str">
        <f>VLOOKUP(L3586,'[2]tabela de preços'!$A:$G,7,0)</f>
        <v>IMOBILIÁRIO</v>
      </c>
    </row>
    <row r="3587" spans="1:24" x14ac:dyDescent="0.3">
      <c r="A3587" t="s">
        <v>2073</v>
      </c>
      <c r="C3587" t="s">
        <v>2718</v>
      </c>
      <c r="D3587" s="1">
        <v>46058</v>
      </c>
      <c r="E3587" t="s">
        <v>2719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21</v>
      </c>
      <c r="J3587" t="s">
        <v>1257</v>
      </c>
      <c r="K3587" t="s">
        <v>2076</v>
      </c>
      <c r="L3587">
        <v>84928</v>
      </c>
      <c r="M3587" t="s">
        <v>36</v>
      </c>
      <c r="O3587" t="s">
        <v>11</v>
      </c>
      <c r="P3587">
        <v>5102</v>
      </c>
      <c r="Q3587">
        <v>20</v>
      </c>
      <c r="R3587">
        <v>9.39</v>
      </c>
      <c r="S3587">
        <v>187.8</v>
      </c>
      <c r="T3587">
        <v>142.6</v>
      </c>
      <c r="U3587">
        <v>24.07</v>
      </c>
      <c r="V3587" t="str">
        <f>VLOOKUP(L3587,'[2]tabela de preços'!$A:$D,4,0)</f>
        <v>ADERE</v>
      </c>
      <c r="W3587" t="str">
        <f>VLOOKUP(L3587,'[2]tabela de preços'!$A:$F,6,0)</f>
        <v xml:space="preserve">FITA DE USO GERAL </v>
      </c>
      <c r="X3587" t="str">
        <f>VLOOKUP(L3587,'[2]tabela de preços'!$A:$G,7,0)</f>
        <v>IMOBILIÁRIO</v>
      </c>
    </row>
    <row r="3588" spans="1:24" x14ac:dyDescent="0.3">
      <c r="A3588" t="s">
        <v>2073</v>
      </c>
      <c r="C3588" t="s">
        <v>2718</v>
      </c>
      <c r="D3588" s="1">
        <v>46058</v>
      </c>
      <c r="E3588" t="s">
        <v>2719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21</v>
      </c>
      <c r="J3588" t="s">
        <v>1257</v>
      </c>
      <c r="K3588" t="s">
        <v>2076</v>
      </c>
      <c r="L3588">
        <v>23878</v>
      </c>
      <c r="M3588" t="s">
        <v>851</v>
      </c>
      <c r="O3588" t="s">
        <v>11</v>
      </c>
      <c r="P3588">
        <v>5102</v>
      </c>
      <c r="Q3588">
        <v>100</v>
      </c>
      <c r="R3588">
        <v>7.69</v>
      </c>
      <c r="S3588">
        <v>769</v>
      </c>
      <c r="T3588">
        <v>584</v>
      </c>
      <c r="U3588">
        <v>24.06</v>
      </c>
      <c r="V3588" t="str">
        <f>VLOOKUP(L3588,'[2]tabela de preços'!$A:$D,4,0)</f>
        <v>ATLAS</v>
      </c>
      <c r="W3588" t="str">
        <f>VLOOKUP(L3588,'[2]tabela de preços'!$A:$F,6,0)</f>
        <v>ROLOS / TRINCHAS / PINCÉIS / ESPÁTULAS</v>
      </c>
      <c r="X3588" t="str">
        <f>VLOOKUP(L3588,'[2]tabela de preços'!$A:$G,7,0)</f>
        <v>IMOBILIÁRIO</v>
      </c>
    </row>
    <row r="3589" spans="1:24" x14ac:dyDescent="0.3">
      <c r="A3589" t="s">
        <v>2073</v>
      </c>
      <c r="C3589" t="s">
        <v>2718</v>
      </c>
      <c r="D3589" s="1">
        <v>46058</v>
      </c>
      <c r="E3589" t="s">
        <v>2719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21</v>
      </c>
      <c r="J3589" t="s">
        <v>1257</v>
      </c>
      <c r="K3589" t="s">
        <v>2076</v>
      </c>
      <c r="L3589">
        <v>84016</v>
      </c>
      <c r="M3589" t="s">
        <v>862</v>
      </c>
      <c r="O3589" t="s">
        <v>11</v>
      </c>
      <c r="P3589">
        <v>5102</v>
      </c>
      <c r="Q3589">
        <v>300</v>
      </c>
      <c r="R3589">
        <v>0.6</v>
      </c>
      <c r="S3589">
        <v>180</v>
      </c>
      <c r="T3589">
        <v>138</v>
      </c>
      <c r="U3589">
        <v>23.33</v>
      </c>
      <c r="V3589" t="str">
        <f>VLOOKUP(L3589,'[2]tabela de preços'!$A:$D,4,0)</f>
        <v>3M</v>
      </c>
      <c r="W3589" t="str">
        <f>VLOOKUP(L3589,'[2]tabela de preços'!$A:$F,6,0)</f>
        <v>LIXA MASSA  /MADEIRA / PAREDE</v>
      </c>
      <c r="X3589" t="str">
        <f>VLOOKUP(L3589,'[2]tabela de preços'!$A:$G,7,0)</f>
        <v>IMOBILIÁRIO</v>
      </c>
    </row>
    <row r="3590" spans="1:24" x14ac:dyDescent="0.3">
      <c r="A3590" t="s">
        <v>2073</v>
      </c>
      <c r="C3590" t="s">
        <v>2718</v>
      </c>
      <c r="D3590" s="1">
        <v>46058</v>
      </c>
      <c r="E3590" t="s">
        <v>2719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21</v>
      </c>
      <c r="J3590" t="s">
        <v>1257</v>
      </c>
      <c r="K3590" t="s">
        <v>2076</v>
      </c>
      <c r="L3590">
        <v>85344</v>
      </c>
      <c r="M3590" t="s">
        <v>839</v>
      </c>
      <c r="O3590" t="s">
        <v>11</v>
      </c>
      <c r="P3590">
        <v>5102</v>
      </c>
      <c r="Q3590">
        <v>90</v>
      </c>
      <c r="R3590">
        <v>35.74</v>
      </c>
      <c r="S3590" s="2">
        <v>3216.6</v>
      </c>
      <c r="T3590" s="2">
        <v>2441.6999999999998</v>
      </c>
      <c r="U3590">
        <v>24.09</v>
      </c>
      <c r="V3590" t="str">
        <f>VLOOKUP(L3590,'[2]tabela de preços'!$A:$D,4,0)</f>
        <v>DÁVILA  INOVE</v>
      </c>
      <c r="W3590" t="str">
        <f>VLOOKUP(L3590,'[2]tabela de preços'!$A:$F,6,0)</f>
        <v>MASSA CORRIDA / ACRÍLICA</v>
      </c>
      <c r="X3590" t="str">
        <f>VLOOKUP(L3590,'[2]tabela de preços'!$A:$G,7,0)</f>
        <v>IMOBILIÁRIO</v>
      </c>
    </row>
    <row r="3591" spans="1:24" x14ac:dyDescent="0.3">
      <c r="A3591" t="s">
        <v>2073</v>
      </c>
      <c r="C3591" t="s">
        <v>2718</v>
      </c>
      <c r="D3591" s="1">
        <v>46058</v>
      </c>
      <c r="E3591" t="s">
        <v>2719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21</v>
      </c>
      <c r="J3591" t="s">
        <v>1257</v>
      </c>
      <c r="K3591" t="s">
        <v>2076</v>
      </c>
      <c r="L3591">
        <v>84186</v>
      </c>
      <c r="M3591" t="s">
        <v>2720</v>
      </c>
      <c r="O3591" t="s">
        <v>11</v>
      </c>
      <c r="P3591">
        <v>5403</v>
      </c>
      <c r="Q3591">
        <v>10</v>
      </c>
      <c r="R3591">
        <v>69.37</v>
      </c>
      <c r="S3591">
        <v>693.7</v>
      </c>
      <c r="T3591">
        <v>562.4</v>
      </c>
      <c r="U3591">
        <v>18.93</v>
      </c>
      <c r="V3591" t="str">
        <f>VLOOKUP(L3591,'[2]tabela de preços'!$A:$D,4,0)</f>
        <v>BRASILUX</v>
      </c>
      <c r="W3591" t="str">
        <f>VLOOKUP(L3591,'[2]tabela de preços'!$A:$F,6,0)</f>
        <v>LINHA MOVELEIRA</v>
      </c>
      <c r="X3591" t="str">
        <f>VLOOKUP(L3591,'[2]tabela de preços'!$A:$G,7,0)</f>
        <v>MOVELEIRA</v>
      </c>
    </row>
    <row r="3592" spans="1:24" x14ac:dyDescent="0.3">
      <c r="A3592" t="s">
        <v>2073</v>
      </c>
      <c r="C3592" t="s">
        <v>2718</v>
      </c>
      <c r="D3592" s="1">
        <v>46058</v>
      </c>
      <c r="E3592" t="s">
        <v>2719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21</v>
      </c>
      <c r="J3592" t="s">
        <v>1257</v>
      </c>
      <c r="K3592" t="s">
        <v>2076</v>
      </c>
      <c r="L3592">
        <v>84439</v>
      </c>
      <c r="M3592" t="s">
        <v>2721</v>
      </c>
      <c r="O3592" t="s">
        <v>11</v>
      </c>
      <c r="P3592">
        <v>5102</v>
      </c>
      <c r="Q3592">
        <v>3</v>
      </c>
      <c r="R3592">
        <v>34.44</v>
      </c>
      <c r="S3592">
        <v>103.32</v>
      </c>
      <c r="T3592">
        <v>78.42</v>
      </c>
      <c r="U3592">
        <v>24.1</v>
      </c>
      <c r="V3592" t="str">
        <f>VLOOKUP(L3592,'[2]tabela de preços'!$A:$D,4,0)</f>
        <v>ATLAS</v>
      </c>
      <c r="W3592" t="str">
        <f>VLOOKUP(L3592,'[2]tabela de preços'!$A:$F,6,0)</f>
        <v>ROLOS / TRINCHAS / PINCÉIS / ESPÁTULAS</v>
      </c>
      <c r="X3592" t="str">
        <f>VLOOKUP(L3592,'[2]tabela de preços'!$A:$G,7,0)</f>
        <v>IMOBILIÁRIO</v>
      </c>
    </row>
    <row r="3593" spans="1:24" x14ac:dyDescent="0.3">
      <c r="A3593" t="s">
        <v>2073</v>
      </c>
      <c r="C3593" t="s">
        <v>2718</v>
      </c>
      <c r="D3593" s="1">
        <v>46058</v>
      </c>
      <c r="E3593" t="s">
        <v>2719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21</v>
      </c>
      <c r="J3593" t="s">
        <v>1257</v>
      </c>
      <c r="K3593" t="s">
        <v>2076</v>
      </c>
      <c r="L3593">
        <v>84427</v>
      </c>
      <c r="M3593" t="s">
        <v>1398</v>
      </c>
      <c r="O3593" t="s">
        <v>11</v>
      </c>
      <c r="P3593">
        <v>5102</v>
      </c>
      <c r="Q3593">
        <v>100</v>
      </c>
      <c r="R3593">
        <v>6.89</v>
      </c>
      <c r="S3593">
        <v>689</v>
      </c>
      <c r="T3593">
        <v>523</v>
      </c>
      <c r="U3593">
        <v>24.09</v>
      </c>
      <c r="V3593" t="str">
        <f>VLOOKUP(L3593,'[2]tabela de preços'!$A:$D,4,0)</f>
        <v>ATLAS</v>
      </c>
      <c r="W3593" t="str">
        <f>VLOOKUP(L3593,'[2]tabela de preços'!$A:$F,6,0)</f>
        <v>ROLOS / TRINCHAS / PINCÉIS / ESPÁTULAS</v>
      </c>
      <c r="X3593" t="str">
        <f>VLOOKUP(L3593,'[2]tabela de preços'!$A:$G,7,0)</f>
        <v>IMOBILIÁRIO</v>
      </c>
    </row>
    <row r="3594" spans="1:24" x14ac:dyDescent="0.3">
      <c r="A3594" t="s">
        <v>2073</v>
      </c>
      <c r="C3594" t="s">
        <v>2718</v>
      </c>
      <c r="D3594" s="1">
        <v>46058</v>
      </c>
      <c r="E3594" t="s">
        <v>2719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21</v>
      </c>
      <c r="J3594" t="s">
        <v>1257</v>
      </c>
      <c r="K3594" t="s">
        <v>2076</v>
      </c>
      <c r="L3594">
        <v>84425</v>
      </c>
      <c r="M3594" t="s">
        <v>616</v>
      </c>
      <c r="O3594" t="s">
        <v>11</v>
      </c>
      <c r="P3594">
        <v>5102</v>
      </c>
      <c r="Q3594">
        <v>100</v>
      </c>
      <c r="R3594">
        <v>3.52</v>
      </c>
      <c r="S3594">
        <v>352</v>
      </c>
      <c r="T3594">
        <v>267</v>
      </c>
      <c r="U3594">
        <v>24.15</v>
      </c>
      <c r="V3594" t="str">
        <f>VLOOKUP(L3594,'[2]tabela de preços'!$A:$D,4,0)</f>
        <v>ATLAS</v>
      </c>
      <c r="W3594" t="str">
        <f>VLOOKUP(L3594,'[2]tabela de preços'!$A:$F,6,0)</f>
        <v>ROLOS / TRINCHAS / PINCÉIS / ESPÁTULAS</v>
      </c>
      <c r="X3594" t="str">
        <f>VLOOKUP(L3594,'[2]tabela de preços'!$A:$G,7,0)</f>
        <v>IMOBILIÁRIO</v>
      </c>
    </row>
    <row r="3595" spans="1:24" x14ac:dyDescent="0.3">
      <c r="A3595" t="s">
        <v>2073</v>
      </c>
      <c r="C3595" t="s">
        <v>2718</v>
      </c>
      <c r="D3595" s="1">
        <v>46058</v>
      </c>
      <c r="E3595" t="s">
        <v>2719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21</v>
      </c>
      <c r="J3595" t="s">
        <v>1257</v>
      </c>
      <c r="K3595" t="s">
        <v>2076</v>
      </c>
      <c r="L3595">
        <v>84426</v>
      </c>
      <c r="M3595" t="s">
        <v>1957</v>
      </c>
      <c r="O3595" t="s">
        <v>11</v>
      </c>
      <c r="P3595">
        <v>5102</v>
      </c>
      <c r="Q3595">
        <v>100</v>
      </c>
      <c r="R3595">
        <v>4.3</v>
      </c>
      <c r="S3595">
        <v>430</v>
      </c>
      <c r="T3595">
        <v>328</v>
      </c>
      <c r="U3595">
        <v>23.72</v>
      </c>
      <c r="V3595" t="str">
        <f>VLOOKUP(L3595,'[2]tabela de preços'!$A:$D,4,0)</f>
        <v>ATLAS</v>
      </c>
      <c r="W3595" t="str">
        <f>VLOOKUP(L3595,'[2]tabela de preços'!$A:$F,6,0)</f>
        <v>ROLOS / TRINCHAS / PINCÉIS / ESPÁTULAS</v>
      </c>
      <c r="X3595" t="str">
        <f>VLOOKUP(L3595,'[2]tabela de preços'!$A:$G,7,0)</f>
        <v>IMOBILIÁRIO</v>
      </c>
    </row>
    <row r="3596" spans="1:24" x14ac:dyDescent="0.3">
      <c r="A3596" t="s">
        <v>2073</v>
      </c>
      <c r="C3596" t="s">
        <v>2718</v>
      </c>
      <c r="D3596" s="1">
        <v>46058</v>
      </c>
      <c r="E3596" t="s">
        <v>2719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21</v>
      </c>
      <c r="J3596" t="s">
        <v>1257</v>
      </c>
      <c r="K3596" t="s">
        <v>2076</v>
      </c>
      <c r="L3596">
        <v>85224</v>
      </c>
      <c r="M3596" t="s">
        <v>1597</v>
      </c>
      <c r="O3596" t="s">
        <v>11</v>
      </c>
      <c r="P3596">
        <v>5102</v>
      </c>
      <c r="Q3596">
        <v>100</v>
      </c>
      <c r="R3596">
        <v>12.19</v>
      </c>
      <c r="S3596" s="2">
        <v>1219</v>
      </c>
      <c r="T3596">
        <v>925</v>
      </c>
      <c r="U3596">
        <v>24.12</v>
      </c>
      <c r="V3596" t="str">
        <f>VLOOKUP(L3596,'[2]tabela de preços'!$A:$D,4,0)</f>
        <v>ATLAS</v>
      </c>
      <c r="W3596" t="str">
        <f>VLOOKUP(L3596,'[2]tabela de preços'!$A:$F,6,0)</f>
        <v>ROLOS / TRINCHAS / PINCÉIS / ESPÁTULAS</v>
      </c>
      <c r="X3596" t="str">
        <f>VLOOKUP(L3596,'[2]tabela de preços'!$A:$G,7,0)</f>
        <v>IMOBILIÁRIO</v>
      </c>
    </row>
    <row r="3597" spans="1:24" x14ac:dyDescent="0.3">
      <c r="A3597" t="s">
        <v>2073</v>
      </c>
      <c r="C3597" t="s">
        <v>2718</v>
      </c>
      <c r="D3597" s="1">
        <v>46058</v>
      </c>
      <c r="E3597" t="s">
        <v>2719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21</v>
      </c>
      <c r="J3597" t="s">
        <v>1257</v>
      </c>
      <c r="K3597" t="s">
        <v>2076</v>
      </c>
      <c r="L3597">
        <v>85339</v>
      </c>
      <c r="M3597" t="s">
        <v>1410</v>
      </c>
      <c r="O3597" t="s">
        <v>11</v>
      </c>
      <c r="P3597">
        <v>5403</v>
      </c>
      <c r="Q3597">
        <v>50</v>
      </c>
      <c r="R3597">
        <v>59.9</v>
      </c>
      <c r="S3597" s="2">
        <v>2995</v>
      </c>
      <c r="T3597" s="2">
        <v>2460</v>
      </c>
      <c r="U3597">
        <v>17.86</v>
      </c>
      <c r="V3597" t="str">
        <f>VLOOKUP(L3597,'[2]tabela de preços'!$A:$D,4,0)</f>
        <v>DÁVILA  INOVE</v>
      </c>
      <c r="W3597" t="str">
        <f>VLOOKUP(L3597,'[2]tabela de preços'!$A:$F,6,0)</f>
        <v>TEXTURA</v>
      </c>
      <c r="X3597" t="str">
        <f>VLOOKUP(L3597,'[2]tabela de preços'!$A:$G,7,0)</f>
        <v>IMOBILIÁRIO</v>
      </c>
    </row>
    <row r="3598" spans="1:24" x14ac:dyDescent="0.3">
      <c r="A3598" t="s">
        <v>2073</v>
      </c>
      <c r="C3598" t="s">
        <v>2718</v>
      </c>
      <c r="D3598" s="1">
        <v>46058</v>
      </c>
      <c r="E3598" t="s">
        <v>2719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21</v>
      </c>
      <c r="J3598" t="s">
        <v>1257</v>
      </c>
      <c r="K3598" t="s">
        <v>2076</v>
      </c>
      <c r="L3598">
        <v>85584</v>
      </c>
      <c r="M3598" t="s">
        <v>1101</v>
      </c>
      <c r="O3598" t="s">
        <v>11</v>
      </c>
      <c r="P3598">
        <v>5403</v>
      </c>
      <c r="Q3598">
        <v>50</v>
      </c>
      <c r="R3598">
        <v>59.9</v>
      </c>
      <c r="S3598" s="2">
        <v>2995</v>
      </c>
      <c r="T3598" s="2">
        <v>2460</v>
      </c>
      <c r="U3598">
        <v>17.86</v>
      </c>
      <c r="V3598" t="str">
        <f>VLOOKUP(L3598,'[2]tabela de preços'!$A:$D,4,0)</f>
        <v>DÁVILA  INOVE</v>
      </c>
      <c r="W3598" t="str">
        <f>VLOOKUP(L3598,'[2]tabela de preços'!$A:$F,6,0)</f>
        <v>TEXTURA</v>
      </c>
      <c r="X3598" t="str">
        <f>VLOOKUP(L3598,'[2]tabela de preços'!$A:$G,7,0)</f>
        <v>IMOBILIÁRIO</v>
      </c>
    </row>
    <row r="3599" spans="1:24" x14ac:dyDescent="0.3">
      <c r="A3599" t="s">
        <v>2073</v>
      </c>
      <c r="C3599" t="s">
        <v>2718</v>
      </c>
      <c r="D3599" s="1">
        <v>46058</v>
      </c>
      <c r="E3599" t="s">
        <v>2719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1257</v>
      </c>
      <c r="K3599" t="s">
        <v>2076</v>
      </c>
      <c r="L3599">
        <v>84560</v>
      </c>
      <c r="M3599" t="s">
        <v>118</v>
      </c>
      <c r="O3599" t="s">
        <v>11</v>
      </c>
      <c r="P3599">
        <v>5102</v>
      </c>
      <c r="Q3599">
        <v>50</v>
      </c>
      <c r="R3599">
        <v>47.89</v>
      </c>
      <c r="S3599" s="2">
        <v>2394.5</v>
      </c>
      <c r="T3599" s="2">
        <v>1958</v>
      </c>
      <c r="U3599">
        <v>18.23</v>
      </c>
      <c r="V3599" t="str">
        <f>VLOOKUP(L3599,'[2]tabela de preços'!$A:$D,4,0)</f>
        <v>BRASILUX</v>
      </c>
      <c r="W3599" t="str">
        <f>VLOOKUP(L3599,'[2]tabela de preços'!$A:$F,6,0)</f>
        <v>THINNER DE LIMPEZA</v>
      </c>
      <c r="X3599" t="str">
        <f>VLOOKUP(L3599,'[2]tabela de preços'!$A:$G,7,0)</f>
        <v>THINNER</v>
      </c>
    </row>
    <row r="3600" spans="1:24" x14ac:dyDescent="0.3">
      <c r="A3600" t="s">
        <v>2073</v>
      </c>
      <c r="C3600" t="s">
        <v>2718</v>
      </c>
      <c r="D3600" s="1">
        <v>46058</v>
      </c>
      <c r="E3600" t="s">
        <v>2719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1257</v>
      </c>
      <c r="K3600" t="s">
        <v>2076</v>
      </c>
      <c r="L3600">
        <v>10114</v>
      </c>
      <c r="M3600" t="s">
        <v>571</v>
      </c>
      <c r="O3600" t="s">
        <v>11</v>
      </c>
      <c r="P3600">
        <v>5102</v>
      </c>
      <c r="Q3600">
        <v>100</v>
      </c>
      <c r="R3600">
        <v>3.63</v>
      </c>
      <c r="S3600">
        <v>363</v>
      </c>
      <c r="T3600">
        <v>300</v>
      </c>
      <c r="U3600">
        <v>17.36</v>
      </c>
      <c r="V3600" t="str">
        <f>VLOOKUP(L3600,'[2]tabela de preços'!$A:$D,4,0)</f>
        <v>ATLAS</v>
      </c>
      <c r="W3600" t="str">
        <f>VLOOKUP(L3600,'[2]tabela de preços'!$A:$F,6,0)</f>
        <v>ROLOS / TRINCHAS / PINCÉIS / ESPÁTULAS</v>
      </c>
      <c r="X3600" t="str">
        <f>VLOOKUP(L3600,'[2]tabela de preços'!$A:$G,7,0)</f>
        <v>IMOBILIÁRIO</v>
      </c>
    </row>
    <row r="3601" spans="1:24" x14ac:dyDescent="0.3">
      <c r="A3601" t="s">
        <v>2073</v>
      </c>
      <c r="C3601" t="s">
        <v>2718</v>
      </c>
      <c r="D3601" s="1">
        <v>46058</v>
      </c>
      <c r="E3601" t="s">
        <v>2719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1257</v>
      </c>
      <c r="K3601" t="s">
        <v>2076</v>
      </c>
      <c r="L3601">
        <v>10117</v>
      </c>
      <c r="M3601" t="s">
        <v>1043</v>
      </c>
      <c r="O3601" t="s">
        <v>11</v>
      </c>
      <c r="P3601">
        <v>5102</v>
      </c>
      <c r="Q3601">
        <v>100</v>
      </c>
      <c r="R3601">
        <v>6.01</v>
      </c>
      <c r="S3601">
        <v>601</v>
      </c>
      <c r="T3601">
        <v>495</v>
      </c>
      <c r="U3601">
        <v>17.64</v>
      </c>
      <c r="V3601" t="str">
        <f>VLOOKUP(L3601,'[2]tabela de preços'!$A:$D,4,0)</f>
        <v>ATLAS</v>
      </c>
      <c r="W3601" t="str">
        <f>VLOOKUP(L3601,'[2]tabela de preços'!$A:$F,6,0)</f>
        <v>ROLOS / TRINCHAS / PINCÉIS / ESPÁTULAS</v>
      </c>
      <c r="X3601" t="str">
        <f>VLOOKUP(L3601,'[2]tabela de preços'!$A:$G,7,0)</f>
        <v>IMOBILIÁRIO</v>
      </c>
    </row>
    <row r="3602" spans="1:24" x14ac:dyDescent="0.3">
      <c r="A3602" t="s">
        <v>2073</v>
      </c>
      <c r="C3602" t="s">
        <v>2718</v>
      </c>
      <c r="D3602" s="1">
        <v>46058</v>
      </c>
      <c r="E3602" t="s">
        <v>2719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1257</v>
      </c>
      <c r="K3602" t="s">
        <v>2076</v>
      </c>
      <c r="L3602">
        <v>10120</v>
      </c>
      <c r="M3602" t="s">
        <v>2356</v>
      </c>
      <c r="O3602" t="s">
        <v>11</v>
      </c>
      <c r="P3602">
        <v>5102</v>
      </c>
      <c r="Q3602">
        <v>100</v>
      </c>
      <c r="R3602">
        <v>9.18</v>
      </c>
      <c r="S3602">
        <v>918</v>
      </c>
      <c r="T3602">
        <v>757</v>
      </c>
      <c r="U3602">
        <v>17.54</v>
      </c>
      <c r="V3602" t="str">
        <f>VLOOKUP(L3602,'[2]tabela de preços'!$A:$D,4,0)</f>
        <v>ATLAS</v>
      </c>
      <c r="W3602" t="str">
        <f>VLOOKUP(L3602,'[2]tabela de preços'!$A:$F,6,0)</f>
        <v>ROLOS / TRINCHAS / PINCÉIS / ESPÁTULAS</v>
      </c>
      <c r="X3602" t="str">
        <f>VLOOKUP(L3602,'[2]tabela de preços'!$A:$G,7,0)</f>
        <v>IMOBILIÁRIO</v>
      </c>
    </row>
    <row r="3603" spans="1:24" x14ac:dyDescent="0.3">
      <c r="A3603" t="s">
        <v>2073</v>
      </c>
      <c r="C3603" t="s">
        <v>2718</v>
      </c>
      <c r="D3603" s="1">
        <v>46058</v>
      </c>
      <c r="E3603" t="s">
        <v>2719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1257</v>
      </c>
      <c r="K3603" t="s">
        <v>2076</v>
      </c>
      <c r="L3603">
        <v>10121</v>
      </c>
      <c r="M3603" t="s">
        <v>2357</v>
      </c>
      <c r="O3603" t="s">
        <v>11</v>
      </c>
      <c r="P3603">
        <v>5102</v>
      </c>
      <c r="Q3603">
        <v>100</v>
      </c>
      <c r="R3603">
        <v>10.52</v>
      </c>
      <c r="S3603" s="2">
        <v>1052</v>
      </c>
      <c r="T3603">
        <v>867</v>
      </c>
      <c r="U3603">
        <v>17.59</v>
      </c>
      <c r="V3603" t="str">
        <f>VLOOKUP(L3603,'[2]tabela de preços'!$A:$D,4,0)</f>
        <v>ATLAS</v>
      </c>
      <c r="W3603" t="str">
        <f>VLOOKUP(L3603,'[2]tabela de preços'!$A:$F,6,0)</f>
        <v>ROLOS / TRINCHAS / PINCÉIS / ESPÁTULAS</v>
      </c>
      <c r="X3603" t="str">
        <f>VLOOKUP(L3603,'[2]tabela de preços'!$A:$G,7,0)</f>
        <v>IMOBILIÁRIO</v>
      </c>
    </row>
    <row r="3604" spans="1:24" x14ac:dyDescent="0.3">
      <c r="A3604" t="s">
        <v>2080</v>
      </c>
      <c r="B3604" t="s">
        <v>2081</v>
      </c>
      <c r="C3604" t="s">
        <v>2850</v>
      </c>
      <c r="D3604" s="1">
        <v>46062</v>
      </c>
      <c r="E3604" t="s">
        <v>2851</v>
      </c>
      <c r="F3604">
        <v>9</v>
      </c>
      <c r="G3604">
        <v>197</v>
      </c>
      <c r="H3604" t="str">
        <f>VLOOKUP(G3604,[1]OPERADORES!$A:$B,2,0)</f>
        <v xml:space="preserve">POLIANA LORRANE DE AMORIM </v>
      </c>
      <c r="I3604" t="s">
        <v>21</v>
      </c>
      <c r="J3604" t="s">
        <v>614</v>
      </c>
      <c r="K3604" t="s">
        <v>2084</v>
      </c>
      <c r="L3604">
        <v>20525</v>
      </c>
      <c r="M3604" t="s">
        <v>137</v>
      </c>
      <c r="O3604" t="s">
        <v>11</v>
      </c>
      <c r="P3604">
        <v>5102</v>
      </c>
      <c r="Q3604">
        <v>12</v>
      </c>
      <c r="R3604">
        <v>14.13</v>
      </c>
      <c r="S3604">
        <v>169.56</v>
      </c>
      <c r="T3604">
        <v>124.32</v>
      </c>
      <c r="U3604">
        <v>26.68</v>
      </c>
      <c r="V3604" t="str">
        <f>VLOOKUP(L3604,'[2]tabela de preços'!$A:$D,4,0)</f>
        <v>SHERWIN WILLIAMS</v>
      </c>
      <c r="W3604" t="str">
        <f>VLOOKUP(L3604,'[2]tabela de preços'!$A:$F,6,0)</f>
        <v>MASSA DE PEQUENOS REPAROS</v>
      </c>
      <c r="X3604" t="str">
        <f>VLOOKUP(L3604,'[2]tabela de preços'!$A:$G,7,0)</f>
        <v>AUTOMOTIVO</v>
      </c>
    </row>
    <row r="3605" spans="1:24" x14ac:dyDescent="0.3">
      <c r="A3605" t="s">
        <v>2080</v>
      </c>
      <c r="B3605" t="s">
        <v>2081</v>
      </c>
      <c r="C3605" t="s">
        <v>2850</v>
      </c>
      <c r="D3605" s="1">
        <v>46062</v>
      </c>
      <c r="E3605" t="s">
        <v>2851</v>
      </c>
      <c r="F3605">
        <v>9</v>
      </c>
      <c r="G3605">
        <v>197</v>
      </c>
      <c r="H3605" t="str">
        <f>VLOOKUP(G3605,[1]OPERADORES!$A:$B,2,0)</f>
        <v xml:space="preserve">POLIANA LORRANE DE AMORIM </v>
      </c>
      <c r="I3605" t="s">
        <v>21</v>
      </c>
      <c r="J3605" t="s">
        <v>614</v>
      </c>
      <c r="K3605" t="s">
        <v>2084</v>
      </c>
      <c r="L3605">
        <v>84200</v>
      </c>
      <c r="M3605" t="s">
        <v>1552</v>
      </c>
      <c r="O3605" t="s">
        <v>11</v>
      </c>
      <c r="P3605">
        <v>5403</v>
      </c>
      <c r="Q3605">
        <v>5</v>
      </c>
      <c r="R3605">
        <v>231.95</v>
      </c>
      <c r="S3605" s="2">
        <v>1159.75</v>
      </c>
      <c r="T3605">
        <v>850.25</v>
      </c>
      <c r="U3605">
        <v>26.69</v>
      </c>
      <c r="V3605" t="str">
        <f>VLOOKUP(L3605,'[2]tabela de preços'!$A:$D,4,0)</f>
        <v>BRASILUX</v>
      </c>
      <c r="W3605" t="str">
        <f>VLOOKUP(L3605,'[2]tabela de preços'!$A:$F,6,0)</f>
        <v>EPOXI</v>
      </c>
      <c r="X3605" t="str">
        <f>VLOOKUP(L3605,'[2]tabela de preços'!$A:$G,7,0)</f>
        <v>INDUSTRIAL</v>
      </c>
    </row>
    <row r="3606" spans="1:24" x14ac:dyDescent="0.3">
      <c r="A3606" t="s">
        <v>2080</v>
      </c>
      <c r="B3606" t="s">
        <v>2081</v>
      </c>
      <c r="C3606" t="s">
        <v>3286</v>
      </c>
      <c r="D3606" s="1">
        <v>46071</v>
      </c>
      <c r="E3606" t="s">
        <v>3287</v>
      </c>
      <c r="F3606">
        <v>9</v>
      </c>
      <c r="G3606">
        <v>197</v>
      </c>
      <c r="H3606" t="str">
        <f>VLOOKUP(G3606,[1]OPERADORES!$A:$B,2,0)</f>
        <v xml:space="preserve">POLIANA LORRANE DE AMORIM </v>
      </c>
      <c r="I3606" t="s">
        <v>21</v>
      </c>
      <c r="J3606" t="s">
        <v>614</v>
      </c>
      <c r="K3606" t="s">
        <v>2084</v>
      </c>
      <c r="L3606">
        <v>84026</v>
      </c>
      <c r="M3606" t="s">
        <v>816</v>
      </c>
      <c r="O3606" t="s">
        <v>11</v>
      </c>
      <c r="P3606">
        <v>5102</v>
      </c>
      <c r="Q3606">
        <v>60</v>
      </c>
      <c r="R3606">
        <v>9.15</v>
      </c>
      <c r="S3606">
        <v>549</v>
      </c>
      <c r="T3606">
        <v>417</v>
      </c>
      <c r="U3606">
        <v>24.04</v>
      </c>
      <c r="V3606" t="str">
        <f>VLOOKUP(L3606,'[2]tabela de preços'!$A:$D,4,0)</f>
        <v>BRASILUX</v>
      </c>
      <c r="W3606" t="str">
        <f>VLOOKUP(L3606,'[2]tabela de preços'!$A:$F,6,0)</f>
        <v>CATALISADORES INDIVIDUAIS</v>
      </c>
      <c r="X3606" t="str">
        <f>VLOOKUP(L3606,'[2]tabela de preços'!$A:$G,7,0)</f>
        <v>IMOBILIÁRIO</v>
      </c>
    </row>
    <row r="3607" spans="1:24" x14ac:dyDescent="0.3">
      <c r="A3607" t="s">
        <v>2087</v>
      </c>
      <c r="C3607" t="s">
        <v>2983</v>
      </c>
      <c r="D3607" s="1">
        <v>46063</v>
      </c>
      <c r="E3607" t="s">
        <v>2984</v>
      </c>
      <c r="F3607">
        <v>9</v>
      </c>
      <c r="G3607">
        <v>231</v>
      </c>
      <c r="H3607" t="str">
        <f>VLOOKUP(G3607,[1]OPERADORES!$A:$B,2,0)</f>
        <v>EDIJANE</v>
      </c>
      <c r="I3607" t="s">
        <v>21</v>
      </c>
      <c r="J3607" t="s">
        <v>2090</v>
      </c>
      <c r="K3607" t="s">
        <v>2091</v>
      </c>
      <c r="L3607">
        <v>84268</v>
      </c>
      <c r="M3607" t="s">
        <v>1566</v>
      </c>
      <c r="O3607" t="s">
        <v>11</v>
      </c>
      <c r="P3607">
        <v>5403</v>
      </c>
      <c r="Q3607">
        <v>4</v>
      </c>
      <c r="R3607">
        <v>193.92</v>
      </c>
      <c r="S3607">
        <v>775.68</v>
      </c>
      <c r="T3607">
        <v>588.76</v>
      </c>
      <c r="U3607">
        <v>24.1</v>
      </c>
      <c r="V3607" t="str">
        <f>VLOOKUP(L3607,'[2]tabela de preços'!$A:$D,4,0)</f>
        <v>BRASILUX</v>
      </c>
      <c r="W3607" t="str">
        <f>VLOOKUP(L3607,'[2]tabela de preços'!$A:$F,6,0)</f>
        <v>TINTA PAREDE</v>
      </c>
      <c r="X3607" t="str">
        <f>VLOOKUP(L3607,'[2]tabela de preços'!$A:$G,7,0)</f>
        <v>IMOBILIÁRIO</v>
      </c>
    </row>
    <row r="3608" spans="1:24" x14ac:dyDescent="0.3">
      <c r="A3608" t="s">
        <v>2100</v>
      </c>
      <c r="C3608" t="s">
        <v>2985</v>
      </c>
      <c r="D3608" s="1">
        <v>46063</v>
      </c>
      <c r="E3608" t="s">
        <v>2986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1788</v>
      </c>
      <c r="K3608" t="s">
        <v>2103</v>
      </c>
      <c r="L3608">
        <v>85357</v>
      </c>
      <c r="M3608" t="s">
        <v>2987</v>
      </c>
      <c r="O3608" t="s">
        <v>11</v>
      </c>
      <c r="P3608">
        <v>5102</v>
      </c>
      <c r="Q3608">
        <v>5</v>
      </c>
      <c r="R3608">
        <v>16.29</v>
      </c>
      <c r="S3608">
        <v>81.45</v>
      </c>
      <c r="T3608">
        <v>61.8</v>
      </c>
      <c r="U3608">
        <v>24.13</v>
      </c>
      <c r="V3608" t="str">
        <f>VLOOKUP(L3608,'[2]tabela de preços'!$A:$D,4,0)</f>
        <v>RHAI</v>
      </c>
      <c r="W3608" t="str">
        <f>VLOOKUP(L3608,'[2]tabela de preços'!$A:$F,6,0)</f>
        <v xml:space="preserve">COLA  PLÁSTICA </v>
      </c>
      <c r="X3608" t="str">
        <f>VLOOKUP(L3608,'[2]tabela de preços'!$A:$G,7,0)</f>
        <v>AUTOMOTIVO</v>
      </c>
    </row>
    <row r="3609" spans="1:24" x14ac:dyDescent="0.3">
      <c r="A3609" t="s">
        <v>2100</v>
      </c>
      <c r="C3609" t="s">
        <v>2985</v>
      </c>
      <c r="D3609" s="1">
        <v>46063</v>
      </c>
      <c r="E3609" t="s">
        <v>2986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1788</v>
      </c>
      <c r="K3609" t="s">
        <v>2103</v>
      </c>
      <c r="L3609">
        <v>84108</v>
      </c>
      <c r="M3609" t="s">
        <v>144</v>
      </c>
      <c r="O3609" t="s">
        <v>11</v>
      </c>
      <c r="P3609">
        <v>5403</v>
      </c>
      <c r="Q3609">
        <v>4</v>
      </c>
      <c r="R3609">
        <v>27.29</v>
      </c>
      <c r="S3609">
        <v>109.16</v>
      </c>
      <c r="T3609">
        <v>82.84</v>
      </c>
      <c r="U3609">
        <v>24.11</v>
      </c>
      <c r="V3609" t="str">
        <f>VLOOKUP(L3609,'[2]tabela de preços'!$A:$D,4,0)</f>
        <v>BRASILUX</v>
      </c>
      <c r="W3609" t="str">
        <f>VLOOKUP(L3609,'[2]tabela de preços'!$A:$F,6,0)</f>
        <v>TINTAS LACA</v>
      </c>
      <c r="X3609" t="str">
        <f>VLOOKUP(L3609,'[2]tabela de preços'!$A:$G,7,0)</f>
        <v>AUTOMOTIVO</v>
      </c>
    </row>
    <row r="3610" spans="1:24" x14ac:dyDescent="0.3">
      <c r="A3610" t="s">
        <v>2100</v>
      </c>
      <c r="C3610" t="s">
        <v>2985</v>
      </c>
      <c r="D3610" s="1">
        <v>46063</v>
      </c>
      <c r="E3610" t="s">
        <v>2986</v>
      </c>
      <c r="F3610">
        <v>9</v>
      </c>
      <c r="G3610">
        <v>174</v>
      </c>
      <c r="H3610" t="str">
        <f>VLOOKUP(G3610,[1]OPERADORES!$A:$B,2,0)</f>
        <v>MIRIÃ LOBATO RODRIGUES</v>
      </c>
      <c r="I3610" t="s">
        <v>21</v>
      </c>
      <c r="J3610" t="s">
        <v>1788</v>
      </c>
      <c r="K3610" t="s">
        <v>2103</v>
      </c>
      <c r="L3610">
        <v>21741</v>
      </c>
      <c r="M3610" t="s">
        <v>1509</v>
      </c>
      <c r="O3610" t="s">
        <v>11</v>
      </c>
      <c r="P3610">
        <v>5102</v>
      </c>
      <c r="Q3610">
        <v>5</v>
      </c>
      <c r="R3610">
        <v>20.89</v>
      </c>
      <c r="S3610">
        <v>104.45</v>
      </c>
      <c r="T3610">
        <v>79.3</v>
      </c>
      <c r="U3610">
        <v>24.08</v>
      </c>
      <c r="V3610" t="str">
        <f>VLOOKUP(L3610,'[2]tabela de preços'!$A:$D,4,0)</f>
        <v>SOLUFIX</v>
      </c>
      <c r="W3610" t="str">
        <f>VLOOKUP(L3610,'[2]tabela de preços'!$A:$F,6,0)</f>
        <v>COLA INST./ ADESIVOS COLANTES</v>
      </c>
      <c r="X3610" t="str">
        <f>VLOOKUP(L3610,'[2]tabela de preços'!$A:$G,7,0)</f>
        <v>AUTOMOTIVO</v>
      </c>
    </row>
    <row r="3611" spans="1:24" x14ac:dyDescent="0.3">
      <c r="A3611" t="s">
        <v>2100</v>
      </c>
      <c r="C3611" t="s">
        <v>2985</v>
      </c>
      <c r="D3611" s="1">
        <v>46063</v>
      </c>
      <c r="E3611" t="s">
        <v>2986</v>
      </c>
      <c r="F3611">
        <v>9</v>
      </c>
      <c r="G3611">
        <v>174</v>
      </c>
      <c r="H3611" t="str">
        <f>VLOOKUP(G3611,[1]OPERADORES!$A:$B,2,0)</f>
        <v>MIRIÃ LOBATO RODRIGUES</v>
      </c>
      <c r="I3611" t="s">
        <v>21</v>
      </c>
      <c r="J3611" t="s">
        <v>1788</v>
      </c>
      <c r="K3611" t="s">
        <v>2103</v>
      </c>
      <c r="L3611">
        <v>84557</v>
      </c>
      <c r="M3611" t="s">
        <v>116</v>
      </c>
      <c r="O3611" t="s">
        <v>11</v>
      </c>
      <c r="P3611">
        <v>5102</v>
      </c>
      <c r="Q3611">
        <v>6</v>
      </c>
      <c r="R3611">
        <v>17.489999999999998</v>
      </c>
      <c r="S3611">
        <v>104.94</v>
      </c>
      <c r="T3611">
        <v>83.76</v>
      </c>
      <c r="U3611">
        <v>20.18</v>
      </c>
      <c r="V3611" t="str">
        <f>VLOOKUP(L3611,'[2]tabela de preços'!$A:$D,4,0)</f>
        <v>BRASILUX</v>
      </c>
      <c r="W3611" t="str">
        <f>VLOOKUP(L3611,'[2]tabela de preços'!$A:$F,6,0)</f>
        <v>DILUENTE</v>
      </c>
      <c r="X3611" t="str">
        <f>VLOOKUP(L3611,'[2]tabela de preços'!$A:$G,7,0)</f>
        <v>AUTOMOTIVO</v>
      </c>
    </row>
    <row r="3612" spans="1:24" x14ac:dyDescent="0.3">
      <c r="A3612" t="s">
        <v>2100</v>
      </c>
      <c r="C3612" t="s">
        <v>2985</v>
      </c>
      <c r="D3612" s="1">
        <v>46063</v>
      </c>
      <c r="E3612" t="s">
        <v>2986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1788</v>
      </c>
      <c r="K3612" t="s">
        <v>2103</v>
      </c>
      <c r="L3612">
        <v>10236</v>
      </c>
      <c r="M3612" t="s">
        <v>133</v>
      </c>
      <c r="O3612" t="s">
        <v>11</v>
      </c>
      <c r="P3612">
        <v>5102</v>
      </c>
      <c r="Q3612">
        <v>30</v>
      </c>
      <c r="R3612">
        <v>2.79</v>
      </c>
      <c r="S3612">
        <v>83.7</v>
      </c>
      <c r="T3612">
        <v>69.599999999999994</v>
      </c>
      <c r="U3612">
        <v>16.850000000000001</v>
      </c>
      <c r="V3612" t="str">
        <f>VLOOKUP(L3612,'[2]tabela de preços'!$A:$D,4,0)</f>
        <v>NORTON</v>
      </c>
      <c r="W3612" t="str">
        <f>VLOOKUP(L3612,'[2]tabela de preços'!$A:$F,6,0)</f>
        <v xml:space="preserve">DISCOS / LIXAS / ABRASIVOS </v>
      </c>
      <c r="X3612" t="str">
        <f>VLOOKUP(L3612,'[2]tabela de preços'!$A:$G,7,0)</f>
        <v>AUTOMOTIVO</v>
      </c>
    </row>
    <row r="3613" spans="1:24" x14ac:dyDescent="0.3">
      <c r="A3613" t="s">
        <v>2100</v>
      </c>
      <c r="C3613" t="s">
        <v>2985</v>
      </c>
      <c r="D3613" s="1">
        <v>46063</v>
      </c>
      <c r="E3613" t="s">
        <v>2986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1788</v>
      </c>
      <c r="K3613" t="s">
        <v>2103</v>
      </c>
      <c r="L3613">
        <v>10232</v>
      </c>
      <c r="M3613" t="s">
        <v>134</v>
      </c>
      <c r="O3613" t="s">
        <v>11</v>
      </c>
      <c r="P3613">
        <v>5102</v>
      </c>
      <c r="Q3613">
        <v>30</v>
      </c>
      <c r="R3613">
        <v>2.79</v>
      </c>
      <c r="S3613">
        <v>83.7</v>
      </c>
      <c r="T3613">
        <v>67.5</v>
      </c>
      <c r="U3613">
        <v>19.350000000000001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2100</v>
      </c>
      <c r="C3614" t="s">
        <v>2985</v>
      </c>
      <c r="D3614" s="1">
        <v>46063</v>
      </c>
      <c r="E3614" t="s">
        <v>2986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1788</v>
      </c>
      <c r="K3614" t="s">
        <v>2103</v>
      </c>
      <c r="L3614">
        <v>20135</v>
      </c>
      <c r="M3614" t="s">
        <v>459</v>
      </c>
      <c r="O3614" t="s">
        <v>11</v>
      </c>
      <c r="P3614">
        <v>5102</v>
      </c>
      <c r="Q3614">
        <v>2</v>
      </c>
      <c r="R3614">
        <v>25.37</v>
      </c>
      <c r="S3614">
        <v>50.74</v>
      </c>
      <c r="T3614">
        <v>38.520000000000003</v>
      </c>
      <c r="U3614">
        <v>24.08</v>
      </c>
      <c r="V3614" t="str">
        <f>VLOOKUP(L3614,'[2]tabela de preços'!$A:$D,4,0)</f>
        <v>3M</v>
      </c>
      <c r="W3614" t="str">
        <f>VLOOKUP(L3614,'[2]tabela de preços'!$A:$F,6,0)</f>
        <v>DISCO TRIZACT</v>
      </c>
      <c r="X3614" t="str">
        <f>VLOOKUP(L3614,'[2]tabela de preços'!$A:$G,7,0)</f>
        <v>AUTOMOTIVO</v>
      </c>
    </row>
    <row r="3615" spans="1:24" x14ac:dyDescent="0.3">
      <c r="A3615" t="s">
        <v>2100</v>
      </c>
      <c r="C3615" t="s">
        <v>2985</v>
      </c>
      <c r="D3615" s="1">
        <v>46063</v>
      </c>
      <c r="E3615" t="s">
        <v>2986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1788</v>
      </c>
      <c r="K3615" t="s">
        <v>2103</v>
      </c>
      <c r="L3615">
        <v>24248</v>
      </c>
      <c r="M3615" t="s">
        <v>107</v>
      </c>
      <c r="O3615" t="s">
        <v>11</v>
      </c>
      <c r="P3615">
        <v>5102</v>
      </c>
      <c r="Q3615">
        <v>12</v>
      </c>
      <c r="R3615">
        <v>8</v>
      </c>
      <c r="S3615">
        <v>96</v>
      </c>
      <c r="T3615">
        <v>78</v>
      </c>
      <c r="U3615">
        <v>18.75</v>
      </c>
      <c r="V3615" t="str">
        <f>VLOOKUP(L3615,'[2]tabela de preços'!$A:$D,4,0)</f>
        <v>SHERWIN WILLIAMS</v>
      </c>
      <c r="W3615" t="str">
        <f>VLOOKUP(L3615,'[2]tabela de preços'!$A:$F,6,0)</f>
        <v>PRIMER AUTOMOTIVO</v>
      </c>
      <c r="X3615" t="str">
        <f>VLOOKUP(L3615,'[2]tabela de preços'!$A:$G,7,0)</f>
        <v>AUTOMOTIVO</v>
      </c>
    </row>
    <row r="3616" spans="1:24" x14ac:dyDescent="0.3">
      <c r="A3616" t="s">
        <v>2100</v>
      </c>
      <c r="C3616" t="s">
        <v>2985</v>
      </c>
      <c r="D3616" s="1">
        <v>46063</v>
      </c>
      <c r="E3616" t="s">
        <v>2986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1788</v>
      </c>
      <c r="K3616" t="s">
        <v>2103</v>
      </c>
      <c r="L3616">
        <v>9751</v>
      </c>
      <c r="M3616" t="s">
        <v>1333</v>
      </c>
      <c r="O3616" t="s">
        <v>11</v>
      </c>
      <c r="P3616">
        <v>5102</v>
      </c>
      <c r="Q3616">
        <v>1</v>
      </c>
      <c r="R3616">
        <v>58.78</v>
      </c>
      <c r="S3616">
        <v>58.78</v>
      </c>
      <c r="T3616">
        <v>44.61</v>
      </c>
      <c r="U3616">
        <v>24.11</v>
      </c>
      <c r="V3616" t="str">
        <f>VLOOKUP(L3616,'[2]tabela de preços'!$A:$D,4,0)</f>
        <v>3M</v>
      </c>
      <c r="W3616" t="str">
        <f>VLOOKUP(L3616,'[2]tabela de preços'!$A:$F,6,0)</f>
        <v xml:space="preserve">LÍQUIDOS P/ POLIMENTO </v>
      </c>
      <c r="X3616" t="str">
        <f>VLOOKUP(L3616,'[2]tabela de preços'!$A:$G,7,0)</f>
        <v>AUTOMOTIVO</v>
      </c>
    </row>
    <row r="3617" spans="1:24" x14ac:dyDescent="0.3">
      <c r="A3617" t="s">
        <v>2100</v>
      </c>
      <c r="C3617" t="s">
        <v>2985</v>
      </c>
      <c r="D3617" s="1">
        <v>46063</v>
      </c>
      <c r="E3617" t="s">
        <v>2986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1788</v>
      </c>
      <c r="K3617" t="s">
        <v>2103</v>
      </c>
      <c r="L3617">
        <v>24240</v>
      </c>
      <c r="M3617" t="s">
        <v>240</v>
      </c>
      <c r="O3617" t="s">
        <v>11</v>
      </c>
      <c r="P3617">
        <v>5102</v>
      </c>
      <c r="Q3617">
        <v>96</v>
      </c>
      <c r="R3617">
        <v>3.81</v>
      </c>
      <c r="S3617">
        <v>365.76</v>
      </c>
      <c r="T3617">
        <v>314.88</v>
      </c>
      <c r="U3617">
        <v>13.91</v>
      </c>
      <c r="V3617" t="str">
        <f>VLOOKUP(L3617,'[2]tabela de preços'!$A:$D,4,0)</f>
        <v>ADERE</v>
      </c>
      <c r="W3617" t="str">
        <f>VLOOKUP(L3617,'[2]tabela de preços'!$A:$F,6,0)</f>
        <v>FITA AUTOMOTIVA</v>
      </c>
      <c r="X3617" t="str">
        <f>VLOOKUP(L3617,'[2]tabela de preços'!$A:$G,7,0)</f>
        <v>AUTOMOTIVO</v>
      </c>
    </row>
    <row r="3618" spans="1:24" x14ac:dyDescent="0.3">
      <c r="A3618" t="s">
        <v>2100</v>
      </c>
      <c r="C3618" t="s">
        <v>2985</v>
      </c>
      <c r="D3618" s="1">
        <v>46063</v>
      </c>
      <c r="E3618" t="s">
        <v>2986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1788</v>
      </c>
      <c r="K3618" t="s">
        <v>2103</v>
      </c>
      <c r="L3618">
        <v>84406</v>
      </c>
      <c r="M3618" t="s">
        <v>2110</v>
      </c>
      <c r="O3618" t="s">
        <v>11</v>
      </c>
      <c r="P3618">
        <v>5102</v>
      </c>
      <c r="Q3618">
        <v>6</v>
      </c>
      <c r="R3618">
        <v>32.159999999999997</v>
      </c>
      <c r="S3618">
        <v>192.96</v>
      </c>
      <c r="T3618">
        <v>146.46</v>
      </c>
      <c r="U3618">
        <v>24.1</v>
      </c>
      <c r="V3618" t="str">
        <f>VLOOKUP(L3618,'[2]tabela de preços'!$A:$D,4,0)</f>
        <v>3M</v>
      </c>
      <c r="W3618" t="str">
        <f>VLOOKUP(L3618,'[2]tabela de preços'!$A:$F,6,0)</f>
        <v>FITA DUPLA FACE</v>
      </c>
      <c r="X3618" t="str">
        <f>VLOOKUP(L3618,'[2]tabela de preços'!$A:$G,7,0)</f>
        <v>AUTOMOTIVO</v>
      </c>
    </row>
    <row r="3619" spans="1:24" x14ac:dyDescent="0.3">
      <c r="A3619" t="s">
        <v>2100</v>
      </c>
      <c r="C3619" t="s">
        <v>2985</v>
      </c>
      <c r="D3619" s="1">
        <v>46063</v>
      </c>
      <c r="E3619" t="s">
        <v>2986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1788</v>
      </c>
      <c r="K3619" t="s">
        <v>2103</v>
      </c>
      <c r="L3619">
        <v>23602</v>
      </c>
      <c r="M3619" t="s">
        <v>215</v>
      </c>
      <c r="O3619" t="s">
        <v>11</v>
      </c>
      <c r="P3619">
        <v>5403</v>
      </c>
      <c r="Q3619">
        <v>9</v>
      </c>
      <c r="R3619">
        <v>35.89</v>
      </c>
      <c r="S3619">
        <v>323.01</v>
      </c>
      <c r="T3619">
        <v>263.25</v>
      </c>
      <c r="U3619">
        <v>18.5</v>
      </c>
      <c r="V3619" t="str">
        <f>VLOOKUP(L3619,'[2]tabela de preços'!$A:$D,4,0)</f>
        <v>SHERWIN WILLIAMS</v>
      </c>
      <c r="W3619" t="str">
        <f>VLOOKUP(L3619,'[2]tabela de preços'!$A:$F,6,0)</f>
        <v>VERNIZ AUTOMOTIVO</v>
      </c>
      <c r="X3619" t="str">
        <f>VLOOKUP(L3619,'[2]tabela de preços'!$A:$G,7,0)</f>
        <v>AUTOMOTIVO</v>
      </c>
    </row>
    <row r="3620" spans="1:24" x14ac:dyDescent="0.3">
      <c r="A3620" t="s">
        <v>2100</v>
      </c>
      <c r="C3620" t="s">
        <v>2985</v>
      </c>
      <c r="D3620" s="1">
        <v>46063</v>
      </c>
      <c r="E3620" t="s">
        <v>2986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1788</v>
      </c>
      <c r="K3620" t="s">
        <v>2103</v>
      </c>
      <c r="L3620">
        <v>20431</v>
      </c>
      <c r="M3620" t="s">
        <v>202</v>
      </c>
      <c r="O3620" t="s">
        <v>11</v>
      </c>
      <c r="P3620">
        <v>5403</v>
      </c>
      <c r="Q3620">
        <v>3</v>
      </c>
      <c r="R3620">
        <v>36.89</v>
      </c>
      <c r="S3620">
        <v>110.67</v>
      </c>
      <c r="T3620">
        <v>90.78</v>
      </c>
      <c r="U3620">
        <v>17.97</v>
      </c>
      <c r="V3620" t="str">
        <f>VLOOKUP(L3620,'[2]tabela de preços'!$A:$D,4,0)</f>
        <v>SHERWIN WILLIAMS</v>
      </c>
      <c r="W3620" t="str">
        <f>VLOOKUP(L3620,'[2]tabela de preços'!$A:$F,6,0)</f>
        <v>VERNIZ AUTOMOTIVO</v>
      </c>
      <c r="X3620" t="str">
        <f>VLOOKUP(L3620,'[2]tabela de preços'!$A:$G,7,0)</f>
        <v>AUTOMOTIVO</v>
      </c>
    </row>
    <row r="3621" spans="1:24" x14ac:dyDescent="0.3">
      <c r="A3621" t="s">
        <v>2100</v>
      </c>
      <c r="C3621" t="s">
        <v>2985</v>
      </c>
      <c r="D3621" s="1">
        <v>46063</v>
      </c>
      <c r="E3621" t="s">
        <v>2986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1788</v>
      </c>
      <c r="K3621" t="s">
        <v>2103</v>
      </c>
      <c r="L3621">
        <v>13</v>
      </c>
      <c r="M3621" t="s">
        <v>152</v>
      </c>
      <c r="O3621" t="s">
        <v>11</v>
      </c>
      <c r="P3621">
        <v>5102</v>
      </c>
      <c r="Q3621">
        <v>30</v>
      </c>
      <c r="R3621">
        <v>5.79</v>
      </c>
      <c r="S3621">
        <v>173.7</v>
      </c>
      <c r="T3621">
        <v>124.8</v>
      </c>
      <c r="U3621">
        <v>28.15</v>
      </c>
      <c r="V3621" t="str">
        <f>VLOOKUP(L3621,'[2]tabela de preços'!$A:$D,4,0)</f>
        <v>3M</v>
      </c>
      <c r="W3621" t="str">
        <f>VLOOKUP(L3621,'[2]tabela de preços'!$A:$F,6,0)</f>
        <v>LIXA DÁGUA</v>
      </c>
      <c r="X3621" t="str">
        <f>VLOOKUP(L3621,'[2]tabela de preços'!$A:$G,7,0)</f>
        <v>AUTOMOTIVO</v>
      </c>
    </row>
    <row r="3622" spans="1:24" x14ac:dyDescent="0.3">
      <c r="A3622" t="s">
        <v>2100</v>
      </c>
      <c r="C3622" t="s">
        <v>2985</v>
      </c>
      <c r="D3622" s="1">
        <v>46063</v>
      </c>
      <c r="E3622" t="s">
        <v>2986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1788</v>
      </c>
      <c r="K3622" t="s">
        <v>2103</v>
      </c>
      <c r="L3622">
        <v>15</v>
      </c>
      <c r="M3622" t="s">
        <v>205</v>
      </c>
      <c r="O3622" t="s">
        <v>11</v>
      </c>
      <c r="P3622">
        <v>5102</v>
      </c>
      <c r="Q3622">
        <v>15</v>
      </c>
      <c r="R3622">
        <v>5.79</v>
      </c>
      <c r="S3622">
        <v>86.85</v>
      </c>
      <c r="T3622">
        <v>62.4</v>
      </c>
      <c r="U3622">
        <v>28.15</v>
      </c>
      <c r="V3622" t="str">
        <f>VLOOKUP(L3622,'[2]tabela de preços'!$A:$D,4,0)</f>
        <v>3M</v>
      </c>
      <c r="W3622" t="str">
        <f>VLOOKUP(L3622,'[2]tabela de preços'!$A:$F,6,0)</f>
        <v>LIXA DÁGUA</v>
      </c>
      <c r="X3622" t="str">
        <f>VLOOKUP(L3622,'[2]tabela de preços'!$A:$G,7,0)</f>
        <v>AUTOMOTIVO</v>
      </c>
    </row>
    <row r="3623" spans="1:24" x14ac:dyDescent="0.3">
      <c r="A3623" t="s">
        <v>2100</v>
      </c>
      <c r="C3623" t="s">
        <v>2985</v>
      </c>
      <c r="D3623" s="1">
        <v>46063</v>
      </c>
      <c r="E3623" t="s">
        <v>2986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1788</v>
      </c>
      <c r="K3623" t="s">
        <v>2103</v>
      </c>
      <c r="L3623">
        <v>16</v>
      </c>
      <c r="M3623" t="s">
        <v>122</v>
      </c>
      <c r="O3623" t="s">
        <v>11</v>
      </c>
      <c r="P3623">
        <v>5102</v>
      </c>
      <c r="Q3623">
        <v>15</v>
      </c>
      <c r="R3623">
        <v>2.9</v>
      </c>
      <c r="S3623">
        <v>43.5</v>
      </c>
      <c r="T3623">
        <v>33</v>
      </c>
      <c r="U3623">
        <v>24.14</v>
      </c>
      <c r="V3623" t="str">
        <f>VLOOKUP(L3623,'[2]tabela de preços'!$A:$D,4,0)</f>
        <v>3M</v>
      </c>
      <c r="W3623" t="str">
        <f>VLOOKUP(L3623,'[2]tabela de preços'!$A:$F,6,0)</f>
        <v>LIXA DÁGUA</v>
      </c>
      <c r="X3623" t="str">
        <f>VLOOKUP(L3623,'[2]tabela de preços'!$A:$G,7,0)</f>
        <v>AUTOMOTIVO</v>
      </c>
    </row>
    <row r="3624" spans="1:24" x14ac:dyDescent="0.3">
      <c r="A3624" t="s">
        <v>2100</v>
      </c>
      <c r="C3624" t="s">
        <v>2985</v>
      </c>
      <c r="D3624" s="1">
        <v>46063</v>
      </c>
      <c r="E3624" t="s">
        <v>2986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1788</v>
      </c>
      <c r="K3624" t="s">
        <v>2103</v>
      </c>
      <c r="L3624">
        <v>10238</v>
      </c>
      <c r="M3624" t="s">
        <v>79</v>
      </c>
      <c r="O3624" t="s">
        <v>11</v>
      </c>
      <c r="P3624">
        <v>5102</v>
      </c>
      <c r="Q3624">
        <v>30</v>
      </c>
      <c r="R3624">
        <v>2.79</v>
      </c>
      <c r="S3624">
        <v>83.7</v>
      </c>
      <c r="T3624">
        <v>67.2</v>
      </c>
      <c r="U3624">
        <v>19.71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2100</v>
      </c>
      <c r="C3625" t="s">
        <v>2985</v>
      </c>
      <c r="D3625" s="1">
        <v>46063</v>
      </c>
      <c r="E3625" t="s">
        <v>2986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1788</v>
      </c>
      <c r="K3625" t="s">
        <v>2103</v>
      </c>
      <c r="L3625">
        <v>21077</v>
      </c>
      <c r="M3625" t="s">
        <v>207</v>
      </c>
      <c r="O3625" t="s">
        <v>11</v>
      </c>
      <c r="P3625">
        <v>5102</v>
      </c>
      <c r="Q3625">
        <v>6</v>
      </c>
      <c r="R3625">
        <v>44.68</v>
      </c>
      <c r="S3625">
        <v>268.08</v>
      </c>
      <c r="T3625">
        <v>203.52</v>
      </c>
      <c r="U3625">
        <v>24.08</v>
      </c>
      <c r="V3625" t="str">
        <f>VLOOKUP(L3625,'[2]tabela de preços'!$A:$D,4,0)</f>
        <v>SHERWIN WILLIAMS</v>
      </c>
      <c r="W3625" t="str">
        <f>VLOOKUP(L3625,'[2]tabela de preços'!$A:$F,6,0)</f>
        <v>MASSA POLIÉSTER</v>
      </c>
      <c r="X3625" t="str">
        <f>VLOOKUP(L3625,'[2]tabela de preços'!$A:$G,7,0)</f>
        <v>AUTOMOTIVO</v>
      </c>
    </row>
    <row r="3626" spans="1:24" x14ac:dyDescent="0.3">
      <c r="A3626" t="s">
        <v>2100</v>
      </c>
      <c r="C3626" t="s">
        <v>2985</v>
      </c>
      <c r="D3626" s="1">
        <v>46063</v>
      </c>
      <c r="E3626" t="s">
        <v>2986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1788</v>
      </c>
      <c r="K3626" t="s">
        <v>2103</v>
      </c>
      <c r="L3626">
        <v>87043</v>
      </c>
      <c r="M3626" t="s">
        <v>217</v>
      </c>
      <c r="O3626" t="s">
        <v>11</v>
      </c>
      <c r="P3626">
        <v>5102</v>
      </c>
      <c r="Q3626">
        <v>20</v>
      </c>
      <c r="R3626">
        <v>21.95</v>
      </c>
      <c r="S3626">
        <v>439</v>
      </c>
      <c r="T3626">
        <v>360.4</v>
      </c>
      <c r="U3626">
        <v>17.899999999999999</v>
      </c>
      <c r="V3626" t="str">
        <f>VLOOKUP(L3626,'[2]tabela de preços'!$A:$D,4,0)</f>
        <v>ROBERLO</v>
      </c>
      <c r="W3626" t="str">
        <f>VLOOKUP(L3626,'[2]tabela de preços'!$A:$F,6,0)</f>
        <v>MASSA POLIÉSTER</v>
      </c>
      <c r="X3626" t="str">
        <f>VLOOKUP(L3626,'[2]tabela de preços'!$A:$G,7,0)</f>
        <v>AUTOMOTIVO</v>
      </c>
    </row>
    <row r="3627" spans="1:24" x14ac:dyDescent="0.3">
      <c r="A3627" t="s">
        <v>2100</v>
      </c>
      <c r="C3627" t="s">
        <v>2985</v>
      </c>
      <c r="D3627" s="1">
        <v>46063</v>
      </c>
      <c r="E3627" t="s">
        <v>2986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1788</v>
      </c>
      <c r="K3627" t="s">
        <v>2103</v>
      </c>
      <c r="L3627">
        <v>24247</v>
      </c>
      <c r="M3627" t="s">
        <v>160</v>
      </c>
      <c r="O3627" t="s">
        <v>11</v>
      </c>
      <c r="P3627">
        <v>5403</v>
      </c>
      <c r="Q3627">
        <v>12</v>
      </c>
      <c r="R3627">
        <v>21</v>
      </c>
      <c r="S3627">
        <v>252</v>
      </c>
      <c r="T3627">
        <v>202.44</v>
      </c>
      <c r="U3627">
        <v>19.670000000000002</v>
      </c>
      <c r="V3627" t="str">
        <f>VLOOKUP(L3627,'[2]tabela de preços'!$A:$D,4,0)</f>
        <v>SHERWIN WILLIAMS</v>
      </c>
      <c r="W3627" t="str">
        <f>VLOOKUP(L3627,'[2]tabela de preços'!$A:$F,6,0)</f>
        <v>PRIMER AUTOMOTIVO</v>
      </c>
      <c r="X3627" t="str">
        <f>VLOOKUP(L3627,'[2]tabela de preços'!$A:$G,7,0)</f>
        <v>AUTOMOTIVO</v>
      </c>
    </row>
    <row r="3628" spans="1:24" x14ac:dyDescent="0.3">
      <c r="A3628" t="s">
        <v>2100</v>
      </c>
      <c r="C3628" t="s">
        <v>2985</v>
      </c>
      <c r="D3628" s="1">
        <v>46063</v>
      </c>
      <c r="E3628" t="s">
        <v>2986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1788</v>
      </c>
      <c r="K3628" t="s">
        <v>2103</v>
      </c>
      <c r="L3628">
        <v>20212</v>
      </c>
      <c r="M3628" t="s">
        <v>198</v>
      </c>
      <c r="O3628" t="s">
        <v>11</v>
      </c>
      <c r="P3628">
        <v>5403</v>
      </c>
      <c r="Q3628">
        <v>1</v>
      </c>
      <c r="R3628">
        <v>26.95</v>
      </c>
      <c r="S3628">
        <v>26.95</v>
      </c>
      <c r="T3628">
        <v>20.46</v>
      </c>
      <c r="U3628">
        <v>24.08</v>
      </c>
      <c r="V3628" t="str">
        <f>VLOOKUP(L3628,'[2]tabela de preços'!$A:$D,4,0)</f>
        <v>MAXI RUBBER</v>
      </c>
      <c r="W3628" t="str">
        <f>VLOOKUP(L3628,'[2]tabela de preços'!$A:$F,6,0)</f>
        <v>SELADORA P/ PLASTICO</v>
      </c>
      <c r="X3628" t="str">
        <f>VLOOKUP(L3628,'[2]tabela de preços'!$A:$G,7,0)</f>
        <v>AUTOMOTIVO</v>
      </c>
    </row>
    <row r="3629" spans="1:24" x14ac:dyDescent="0.3">
      <c r="A3629" t="s">
        <v>2100</v>
      </c>
      <c r="C3629" t="s">
        <v>2985</v>
      </c>
      <c r="D3629" s="1">
        <v>46063</v>
      </c>
      <c r="E3629" t="s">
        <v>2986</v>
      </c>
      <c r="F3629">
        <v>9</v>
      </c>
      <c r="G3629">
        <v>174</v>
      </c>
      <c r="H3629" t="str">
        <f>VLOOKUP(G3629,[1]OPERADORES!$A:$B,2,0)</f>
        <v>MIRIÃ LOBATO RODRIGUES</v>
      </c>
      <c r="I3629" t="s">
        <v>21</v>
      </c>
      <c r="J3629" t="s">
        <v>1788</v>
      </c>
      <c r="K3629" t="s">
        <v>2103</v>
      </c>
      <c r="L3629">
        <v>20239</v>
      </c>
      <c r="M3629" t="s">
        <v>2847</v>
      </c>
      <c r="O3629" t="s">
        <v>11</v>
      </c>
      <c r="P3629">
        <v>5102</v>
      </c>
      <c r="Q3629">
        <v>2</v>
      </c>
      <c r="R3629">
        <v>27.31</v>
      </c>
      <c r="S3629">
        <v>54.62</v>
      </c>
      <c r="T3629">
        <v>41.46</v>
      </c>
      <c r="U3629">
        <v>24.09</v>
      </c>
      <c r="V3629" t="str">
        <f>VLOOKUP(L3629,'[2]tabela de preços'!$A:$D,4,0)</f>
        <v>SIKA</v>
      </c>
      <c r="W3629" t="str">
        <f>VLOOKUP(L3629,'[2]tabela de preços'!$A:$F,6,0)</f>
        <v>VEDADORES / SELANTES</v>
      </c>
      <c r="X3629" t="str">
        <f>VLOOKUP(L3629,'[2]tabela de preços'!$A:$G,7,0)</f>
        <v>AUTOMOTIVO</v>
      </c>
    </row>
    <row r="3630" spans="1:24" x14ac:dyDescent="0.3">
      <c r="A3630" t="s">
        <v>2100</v>
      </c>
      <c r="C3630" t="s">
        <v>2985</v>
      </c>
      <c r="D3630" s="1">
        <v>46063</v>
      </c>
      <c r="E3630" t="s">
        <v>2986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1788</v>
      </c>
      <c r="K3630" t="s">
        <v>2103</v>
      </c>
      <c r="L3630">
        <v>10297</v>
      </c>
      <c r="M3630" t="s">
        <v>41</v>
      </c>
      <c r="O3630" t="s">
        <v>11</v>
      </c>
      <c r="P3630">
        <v>5102</v>
      </c>
      <c r="Q3630">
        <v>16</v>
      </c>
      <c r="R3630">
        <v>10.89</v>
      </c>
      <c r="S3630">
        <v>174.24</v>
      </c>
      <c r="T3630">
        <v>146.72</v>
      </c>
      <c r="U3630">
        <v>15.79</v>
      </c>
      <c r="V3630" t="str">
        <f>VLOOKUP(L3630,'[2]tabela de preços'!$A:$D,4,0)</f>
        <v>ANJO</v>
      </c>
      <c r="W3630" t="str">
        <f>VLOOKUP(L3630,'[2]tabela de preços'!$A:$F,6,0)</f>
        <v>THINNER DE LIMPEZA</v>
      </c>
      <c r="X3630" t="str">
        <f>VLOOKUP(L3630,'[2]tabela de preços'!$A:$G,7,0)</f>
        <v>THINNER</v>
      </c>
    </row>
    <row r="3631" spans="1:24" x14ac:dyDescent="0.3">
      <c r="A3631" t="s">
        <v>2100</v>
      </c>
      <c r="C3631" t="s">
        <v>2985</v>
      </c>
      <c r="D3631" s="1">
        <v>46063</v>
      </c>
      <c r="E3631" t="s">
        <v>2986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1788</v>
      </c>
      <c r="K3631" t="s">
        <v>2103</v>
      </c>
      <c r="L3631">
        <v>85666</v>
      </c>
      <c r="M3631" t="s">
        <v>341</v>
      </c>
      <c r="O3631" t="s">
        <v>11</v>
      </c>
      <c r="P3631">
        <v>5403</v>
      </c>
      <c r="Q3631">
        <v>3</v>
      </c>
      <c r="R3631">
        <v>15.79</v>
      </c>
      <c r="S3631">
        <v>47.37</v>
      </c>
      <c r="T3631">
        <v>35.97</v>
      </c>
      <c r="U3631">
        <v>24.07</v>
      </c>
      <c r="V3631" t="str">
        <f>VLOOKUP(L3631,'[2]tabela de preços'!$A:$D,4,0)</f>
        <v>UNIPEGA</v>
      </c>
      <c r="W3631" t="str">
        <f>VLOOKUP(L3631,'[2]tabela de preços'!$A:$F,6,0)</f>
        <v xml:space="preserve">SPRAYS </v>
      </c>
      <c r="X3631" t="str">
        <f>VLOOKUP(L3631,'[2]tabela de preços'!$A:$G,7,0)</f>
        <v>AUTOMOTIVO</v>
      </c>
    </row>
    <row r="3632" spans="1:24" x14ac:dyDescent="0.3">
      <c r="A3632" t="s">
        <v>2100</v>
      </c>
      <c r="C3632" t="s">
        <v>2985</v>
      </c>
      <c r="D3632" s="1">
        <v>46063</v>
      </c>
      <c r="E3632" t="s">
        <v>2986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1788</v>
      </c>
      <c r="K3632" t="s">
        <v>2103</v>
      </c>
      <c r="L3632">
        <v>84460</v>
      </c>
      <c r="M3632" t="s">
        <v>322</v>
      </c>
      <c r="O3632" t="s">
        <v>11</v>
      </c>
      <c r="P3632">
        <v>5102</v>
      </c>
      <c r="Q3632">
        <v>3</v>
      </c>
      <c r="R3632">
        <v>31.07</v>
      </c>
      <c r="S3632">
        <v>93.21</v>
      </c>
      <c r="T3632">
        <v>70.739999999999995</v>
      </c>
      <c r="U3632">
        <v>24.11</v>
      </c>
      <c r="V3632" t="str">
        <f>VLOOKUP(L3632,'[2]tabela de preços'!$A:$D,4,0)</f>
        <v>BRASILUX</v>
      </c>
      <c r="W3632" t="str">
        <f>VLOOKUP(L3632,'[2]tabela de preços'!$A:$F,6,0)</f>
        <v>VEDADORES / SELANTES</v>
      </c>
      <c r="X3632" t="str">
        <f>VLOOKUP(L3632,'[2]tabela de preços'!$A:$G,7,0)</f>
        <v>AUTOMOTIVO</v>
      </c>
    </row>
    <row r="3633" spans="1:24" x14ac:dyDescent="0.3">
      <c r="A3633" t="s">
        <v>2100</v>
      </c>
      <c r="C3633" t="s">
        <v>2985</v>
      </c>
      <c r="D3633" s="1">
        <v>46063</v>
      </c>
      <c r="E3633" t="s">
        <v>2986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1788</v>
      </c>
      <c r="K3633" t="s">
        <v>2103</v>
      </c>
      <c r="L3633">
        <v>10403</v>
      </c>
      <c r="M3633" t="s">
        <v>1764</v>
      </c>
      <c r="O3633" t="s">
        <v>11</v>
      </c>
      <c r="P3633">
        <v>5102</v>
      </c>
      <c r="Q3633">
        <v>1</v>
      </c>
      <c r="R3633">
        <v>77.400000000000006</v>
      </c>
      <c r="S3633">
        <v>77.400000000000006</v>
      </c>
      <c r="T3633">
        <v>58.75</v>
      </c>
      <c r="U3633">
        <v>24.1</v>
      </c>
      <c r="V3633" t="str">
        <f>VLOOKUP(L3633,'[2]tabela de preços'!$A:$D,4,0)</f>
        <v>MAXI RUBBER</v>
      </c>
      <c r="W3633" t="str">
        <f>VLOOKUP(L3633,'[2]tabela de preços'!$A:$F,6,0)</f>
        <v>VEDADORES / SELANTES</v>
      </c>
      <c r="X3633" t="str">
        <f>VLOOKUP(L3633,'[2]tabela de preços'!$A:$G,7,0)</f>
        <v>AUTOMOTIVO</v>
      </c>
    </row>
    <row r="3634" spans="1:24" x14ac:dyDescent="0.3">
      <c r="A3634" t="s">
        <v>2100</v>
      </c>
      <c r="C3634" t="s">
        <v>2985</v>
      </c>
      <c r="D3634" s="1">
        <v>46063</v>
      </c>
      <c r="E3634" t="s">
        <v>2986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1788</v>
      </c>
      <c r="K3634" t="s">
        <v>2103</v>
      </c>
      <c r="L3634">
        <v>10404</v>
      </c>
      <c r="M3634" t="s">
        <v>130</v>
      </c>
      <c r="O3634" t="s">
        <v>11</v>
      </c>
      <c r="P3634">
        <v>5102</v>
      </c>
      <c r="Q3634">
        <v>4</v>
      </c>
      <c r="R3634">
        <v>16.29</v>
      </c>
      <c r="S3634">
        <v>65.16</v>
      </c>
      <c r="T3634">
        <v>50.04</v>
      </c>
      <c r="U3634">
        <v>23.2</v>
      </c>
      <c r="V3634" t="str">
        <f>VLOOKUP(L3634,'[2]tabela de preços'!$A:$D,4,0)</f>
        <v>MAXI RUBBER</v>
      </c>
      <c r="W3634" t="str">
        <f>VLOOKUP(L3634,'[2]tabela de preços'!$A:$F,6,0)</f>
        <v>VEDADORES / SELANTES</v>
      </c>
      <c r="X3634" t="str">
        <f>VLOOKUP(L3634,'[2]tabela de preços'!$A:$G,7,0)</f>
        <v>AUTOMOTIVO</v>
      </c>
    </row>
    <row r="3635" spans="1:24" x14ac:dyDescent="0.3">
      <c r="A3635" t="s">
        <v>2469</v>
      </c>
      <c r="C3635" t="s">
        <v>2470</v>
      </c>
      <c r="D3635" s="1">
        <v>46055</v>
      </c>
      <c r="E3635" t="s">
        <v>2471</v>
      </c>
      <c r="F3635">
        <v>9</v>
      </c>
      <c r="G3635">
        <v>145</v>
      </c>
      <c r="H3635" t="str">
        <f>VLOOKUP(G3635,[1]OPERADORES!$A:$B,2,0)</f>
        <v xml:space="preserve">FABRICIA </v>
      </c>
      <c r="I3635" t="s">
        <v>244</v>
      </c>
      <c r="J3635" t="s">
        <v>967</v>
      </c>
      <c r="K3635" t="s">
        <v>2472</v>
      </c>
      <c r="L3635">
        <v>84114</v>
      </c>
      <c r="M3635" t="s">
        <v>292</v>
      </c>
      <c r="O3635" t="s">
        <v>11</v>
      </c>
      <c r="P3635">
        <v>6403</v>
      </c>
      <c r="Q3635">
        <v>2</v>
      </c>
      <c r="R3635">
        <v>153.99</v>
      </c>
      <c r="S3635">
        <v>307.98</v>
      </c>
      <c r="T3635">
        <v>233.76</v>
      </c>
      <c r="U3635">
        <v>24.1</v>
      </c>
      <c r="V3635" t="str">
        <f>VLOOKUP(L3635,'[2]tabela de preços'!$A:$D,4,0)</f>
        <v>BRASILUX</v>
      </c>
      <c r="W3635" t="str">
        <f>VLOOKUP(L3635,'[2]tabela de preços'!$A:$F,6,0)</f>
        <v>EPOXI</v>
      </c>
      <c r="X3635" t="str">
        <f>VLOOKUP(L3635,'[2]tabela de preços'!$A:$G,7,0)</f>
        <v>INDUSTRIAL</v>
      </c>
    </row>
    <row r="3636" spans="1:24" x14ac:dyDescent="0.3">
      <c r="A3636" t="s">
        <v>2469</v>
      </c>
      <c r="C3636" t="s">
        <v>2470</v>
      </c>
      <c r="D3636" s="1">
        <v>46055</v>
      </c>
      <c r="E3636" t="s">
        <v>2471</v>
      </c>
      <c r="F3636">
        <v>9</v>
      </c>
      <c r="G3636">
        <v>145</v>
      </c>
      <c r="H3636" t="str">
        <f>VLOOKUP(G3636,[1]OPERADORES!$A:$B,2,0)</f>
        <v xml:space="preserve">FABRICIA </v>
      </c>
      <c r="I3636" t="s">
        <v>244</v>
      </c>
      <c r="J3636" t="s">
        <v>967</v>
      </c>
      <c r="K3636" t="s">
        <v>2472</v>
      </c>
      <c r="L3636">
        <v>84116</v>
      </c>
      <c r="M3636" t="s">
        <v>2417</v>
      </c>
      <c r="O3636" t="s">
        <v>11</v>
      </c>
      <c r="P3636">
        <v>6403</v>
      </c>
      <c r="Q3636">
        <v>2</v>
      </c>
      <c r="R3636">
        <v>153.99</v>
      </c>
      <c r="S3636">
        <v>307.98</v>
      </c>
      <c r="T3636">
        <v>233.76</v>
      </c>
      <c r="U3636">
        <v>24.1</v>
      </c>
      <c r="V3636" t="str">
        <f>VLOOKUP(L3636,'[2]tabela de preços'!$A:$D,4,0)</f>
        <v>BRASILUX</v>
      </c>
      <c r="W3636" t="str">
        <f>VLOOKUP(L3636,'[2]tabela de preços'!$A:$F,6,0)</f>
        <v>EPOXI</v>
      </c>
      <c r="X3636" t="str">
        <f>VLOOKUP(L3636,'[2]tabela de preços'!$A:$G,7,0)</f>
        <v>INDUSTRIAL</v>
      </c>
    </row>
    <row r="3637" spans="1:24" x14ac:dyDescent="0.3">
      <c r="A3637" t="s">
        <v>2113</v>
      </c>
      <c r="C3637" t="s">
        <v>2722</v>
      </c>
      <c r="D3637" s="1">
        <v>46058</v>
      </c>
      <c r="E3637" t="s">
        <v>2723</v>
      </c>
      <c r="F3637">
        <v>9</v>
      </c>
      <c r="G3637">
        <v>236</v>
      </c>
      <c r="H3637" t="str">
        <f>VLOOKUP(G3637,[1]OPERADORES!$A:$B,2,0)</f>
        <v>DANIEL</v>
      </c>
      <c r="I3637" t="s">
        <v>21</v>
      </c>
      <c r="J3637" t="s">
        <v>211</v>
      </c>
      <c r="K3637" t="s">
        <v>2116</v>
      </c>
      <c r="L3637">
        <v>85448</v>
      </c>
      <c r="M3637" t="s">
        <v>1259</v>
      </c>
      <c r="O3637" t="s">
        <v>11</v>
      </c>
      <c r="P3637">
        <v>5403</v>
      </c>
      <c r="Q3637">
        <v>1</v>
      </c>
      <c r="R3637">
        <v>98.77</v>
      </c>
      <c r="S3637">
        <v>98.77</v>
      </c>
      <c r="T3637">
        <v>72.41</v>
      </c>
      <c r="U3637">
        <v>26.69</v>
      </c>
      <c r="V3637" t="str">
        <f>VLOOKUP(L3637,'[2]tabela de preços'!$A:$D,4,0)</f>
        <v>BRASILUX</v>
      </c>
      <c r="W3637" t="str">
        <f>VLOOKUP(L3637,'[2]tabela de preços'!$A:$F,6,0)</f>
        <v>TINTAS LACA</v>
      </c>
      <c r="X3637" t="str">
        <f>VLOOKUP(L3637,'[2]tabela de preços'!$A:$G,7,0)</f>
        <v>AUTOMOTIVO</v>
      </c>
    </row>
    <row r="3638" spans="1:24" x14ac:dyDescent="0.3">
      <c r="A3638" t="s">
        <v>2113</v>
      </c>
      <c r="C3638" t="s">
        <v>2722</v>
      </c>
      <c r="D3638" s="1">
        <v>46058</v>
      </c>
      <c r="E3638" t="s">
        <v>2723</v>
      </c>
      <c r="F3638">
        <v>9</v>
      </c>
      <c r="G3638">
        <v>236</v>
      </c>
      <c r="H3638" t="str">
        <f>VLOOKUP(G3638,[1]OPERADORES!$A:$B,2,0)</f>
        <v>DANIEL</v>
      </c>
      <c r="I3638" t="s">
        <v>21</v>
      </c>
      <c r="J3638" t="s">
        <v>211</v>
      </c>
      <c r="K3638" t="s">
        <v>2116</v>
      </c>
      <c r="L3638">
        <v>10297</v>
      </c>
      <c r="M3638" t="s">
        <v>41</v>
      </c>
      <c r="O3638" t="s">
        <v>11</v>
      </c>
      <c r="P3638">
        <v>5102</v>
      </c>
      <c r="Q3638">
        <v>2</v>
      </c>
      <c r="R3638">
        <v>10.89</v>
      </c>
      <c r="S3638">
        <v>21.78</v>
      </c>
      <c r="T3638">
        <v>18.34</v>
      </c>
      <c r="U3638">
        <v>15.79</v>
      </c>
      <c r="V3638" t="str">
        <f>VLOOKUP(L3638,'[2]tabela de preços'!$A:$D,4,0)</f>
        <v>ANJO</v>
      </c>
      <c r="W3638" t="str">
        <f>VLOOKUP(L3638,'[2]tabela de preços'!$A:$F,6,0)</f>
        <v>THINNER DE LIMPEZA</v>
      </c>
      <c r="X3638" t="str">
        <f>VLOOKUP(L3638,'[2]tabela de preços'!$A:$G,7,0)</f>
        <v>THINNER</v>
      </c>
    </row>
    <row r="3639" spans="1:24" x14ac:dyDescent="0.3">
      <c r="A3639" t="s">
        <v>2724</v>
      </c>
      <c r="C3639" t="s">
        <v>2725</v>
      </c>
      <c r="D3639" s="1">
        <v>46058</v>
      </c>
      <c r="E3639" t="s">
        <v>2726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1018</v>
      </c>
      <c r="K3639" t="s">
        <v>2727</v>
      </c>
      <c r="L3639">
        <v>86995</v>
      </c>
      <c r="M3639" t="s">
        <v>37</v>
      </c>
      <c r="O3639" t="s">
        <v>11</v>
      </c>
      <c r="P3639">
        <v>5102</v>
      </c>
      <c r="Q3639">
        <v>6</v>
      </c>
      <c r="R3639">
        <v>7.29</v>
      </c>
      <c r="S3639">
        <v>43.74</v>
      </c>
      <c r="T3639">
        <v>34.979999999999997</v>
      </c>
      <c r="U3639">
        <v>20.03</v>
      </c>
      <c r="V3639" t="str">
        <f>VLOOKUP(L3639,'[2]tabela de preços'!$A:$D,4,0)</f>
        <v>AUTOAMERICA</v>
      </c>
      <c r="W3639" t="str">
        <f>VLOOKUP(L3639,'[2]tabela de preços'!$A:$F,6,0)</f>
        <v>FLANELAS / PANOS</v>
      </c>
      <c r="X3639" t="str">
        <f>VLOOKUP(L3639,'[2]tabela de preços'!$A:$G,7,0)</f>
        <v>AUTOMOTIVO</v>
      </c>
    </row>
    <row r="3640" spans="1:24" x14ac:dyDescent="0.3">
      <c r="A3640" t="s">
        <v>2724</v>
      </c>
      <c r="C3640" t="s">
        <v>2725</v>
      </c>
      <c r="D3640" s="1">
        <v>46058</v>
      </c>
      <c r="E3640" t="s">
        <v>2726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1018</v>
      </c>
      <c r="K3640" t="s">
        <v>2727</v>
      </c>
      <c r="L3640">
        <v>20455</v>
      </c>
      <c r="M3640" t="s">
        <v>2104</v>
      </c>
      <c r="O3640" t="s">
        <v>11</v>
      </c>
      <c r="P3640">
        <v>5403</v>
      </c>
      <c r="Q3640">
        <v>6</v>
      </c>
      <c r="R3640">
        <v>29.5</v>
      </c>
      <c r="S3640">
        <v>177</v>
      </c>
      <c r="T3640">
        <v>134.34</v>
      </c>
      <c r="U3640">
        <v>24.1</v>
      </c>
      <c r="V3640" t="str">
        <f>VLOOKUP(L3640,'[2]tabela de preços'!$A:$D,4,0)</f>
        <v>SHERWIN WILLIAMS</v>
      </c>
      <c r="W3640" t="str">
        <f>VLOOKUP(L3640,'[2]tabela de preços'!$A:$F,6,0)</f>
        <v>VERNIZ AUTOMOTIVO</v>
      </c>
      <c r="X3640" t="str">
        <f>VLOOKUP(L3640,'[2]tabela de preços'!$A:$G,7,0)</f>
        <v>AUTOMOTIVO</v>
      </c>
    </row>
    <row r="3641" spans="1:24" x14ac:dyDescent="0.3">
      <c r="A3641" t="s">
        <v>2724</v>
      </c>
      <c r="C3641" t="s">
        <v>2725</v>
      </c>
      <c r="D3641" s="1">
        <v>46058</v>
      </c>
      <c r="E3641" t="s">
        <v>2726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1018</v>
      </c>
      <c r="K3641" t="s">
        <v>2727</v>
      </c>
      <c r="L3641">
        <v>23602</v>
      </c>
      <c r="M3641" t="s">
        <v>215</v>
      </c>
      <c r="O3641" t="s">
        <v>11</v>
      </c>
      <c r="P3641">
        <v>5403</v>
      </c>
      <c r="Q3641">
        <v>12</v>
      </c>
      <c r="R3641">
        <v>35.89</v>
      </c>
      <c r="S3641">
        <v>430.68</v>
      </c>
      <c r="T3641">
        <v>351</v>
      </c>
      <c r="U3641">
        <v>18.5</v>
      </c>
      <c r="V3641" t="str">
        <f>VLOOKUP(L3641,'[2]tabela de preços'!$A:$D,4,0)</f>
        <v>SHERWIN WILLIAMS</v>
      </c>
      <c r="W3641" t="str">
        <f>VLOOKUP(L3641,'[2]tabela de preços'!$A:$F,6,0)</f>
        <v>VERNIZ AUTOMOTIVO</v>
      </c>
      <c r="X3641" t="str">
        <f>VLOOKUP(L3641,'[2]tabela de preços'!$A:$G,7,0)</f>
        <v>AUTOMOTIVO</v>
      </c>
    </row>
    <row r="3642" spans="1:24" x14ac:dyDescent="0.3">
      <c r="A3642" t="s">
        <v>2724</v>
      </c>
      <c r="C3642" t="s">
        <v>2725</v>
      </c>
      <c r="D3642" s="1">
        <v>46058</v>
      </c>
      <c r="E3642" t="s">
        <v>2726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1018</v>
      </c>
      <c r="K3642" t="s">
        <v>2727</v>
      </c>
      <c r="L3642">
        <v>20431</v>
      </c>
      <c r="M3642" t="s">
        <v>202</v>
      </c>
      <c r="O3642" t="s">
        <v>11</v>
      </c>
      <c r="P3642">
        <v>5403</v>
      </c>
      <c r="Q3642">
        <v>6</v>
      </c>
      <c r="R3642">
        <v>36.89</v>
      </c>
      <c r="S3642">
        <v>221.34</v>
      </c>
      <c r="T3642">
        <v>181.56</v>
      </c>
      <c r="U3642">
        <v>17.97</v>
      </c>
      <c r="V3642" t="str">
        <f>VLOOKUP(L3642,'[2]tabela de preços'!$A:$D,4,0)</f>
        <v>SHERWIN WILLIAMS</v>
      </c>
      <c r="W3642" t="str">
        <f>VLOOKUP(L3642,'[2]tabela de preços'!$A:$F,6,0)</f>
        <v>VERNIZ AUTOMOTIVO</v>
      </c>
      <c r="X3642" t="str">
        <f>VLOOKUP(L3642,'[2]tabela de preços'!$A:$G,7,0)</f>
        <v>AUTOMOTIVO</v>
      </c>
    </row>
    <row r="3643" spans="1:24" x14ac:dyDescent="0.3">
      <c r="A3643" t="s">
        <v>2724</v>
      </c>
      <c r="C3643" t="s">
        <v>2725</v>
      </c>
      <c r="D3643" s="1">
        <v>46058</v>
      </c>
      <c r="E3643" t="s">
        <v>2726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1018</v>
      </c>
      <c r="K3643" t="s">
        <v>2727</v>
      </c>
      <c r="L3643">
        <v>20846</v>
      </c>
      <c r="M3643" t="s">
        <v>163</v>
      </c>
      <c r="O3643" t="s">
        <v>11</v>
      </c>
      <c r="P3643">
        <v>5102</v>
      </c>
      <c r="Q3643">
        <v>2</v>
      </c>
      <c r="R3643">
        <v>32.44</v>
      </c>
      <c r="S3643">
        <v>64.88</v>
      </c>
      <c r="T3643">
        <v>49.24</v>
      </c>
      <c r="U3643">
        <v>24.11</v>
      </c>
      <c r="V3643" t="str">
        <f>VLOOKUP(L3643,'[2]tabela de preços'!$A:$D,4,0)</f>
        <v>SHERWIN WILLIAMS</v>
      </c>
      <c r="W3643" t="str">
        <f>VLOOKUP(L3643,'[2]tabela de preços'!$A:$F,6,0)</f>
        <v>TINTAS POLIÉSTER</v>
      </c>
      <c r="X3643" t="str">
        <f>VLOOKUP(L3643,'[2]tabela de preços'!$A:$G,7,0)</f>
        <v>AUTOMOTIVO</v>
      </c>
    </row>
    <row r="3644" spans="1:24" x14ac:dyDescent="0.3">
      <c r="A3644" t="s">
        <v>2724</v>
      </c>
      <c r="C3644" t="s">
        <v>2725</v>
      </c>
      <c r="D3644" s="1">
        <v>46058</v>
      </c>
      <c r="E3644" t="s">
        <v>2726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1018</v>
      </c>
      <c r="K3644" t="s">
        <v>2727</v>
      </c>
      <c r="L3644">
        <v>20817</v>
      </c>
      <c r="M3644" t="s">
        <v>153</v>
      </c>
      <c r="O3644" t="s">
        <v>11</v>
      </c>
      <c r="P3644">
        <v>5102</v>
      </c>
      <c r="Q3644">
        <v>3</v>
      </c>
      <c r="R3644">
        <v>22.89</v>
      </c>
      <c r="S3644">
        <v>68.67</v>
      </c>
      <c r="T3644">
        <v>55.86</v>
      </c>
      <c r="U3644">
        <v>18.649999999999999</v>
      </c>
      <c r="V3644" t="str">
        <f>VLOOKUP(L3644,'[2]tabela de preços'!$A:$D,4,0)</f>
        <v>AUTO AMERICA</v>
      </c>
      <c r="W3644" t="str">
        <f>VLOOKUP(L3644,'[2]tabela de preços'!$A:$F,6,0)</f>
        <v>MASSA DE POLIR</v>
      </c>
      <c r="X3644" t="str">
        <f>VLOOKUP(L3644,'[2]tabela de preços'!$A:$G,7,0)</f>
        <v>AUTOMOTIVO</v>
      </c>
    </row>
    <row r="3645" spans="1:24" x14ac:dyDescent="0.3">
      <c r="A3645" t="s">
        <v>2724</v>
      </c>
      <c r="C3645" t="s">
        <v>2725</v>
      </c>
      <c r="D3645" s="1">
        <v>46058</v>
      </c>
      <c r="E3645" t="s">
        <v>2726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1018</v>
      </c>
      <c r="K3645" t="s">
        <v>2727</v>
      </c>
      <c r="L3645">
        <v>87043</v>
      </c>
      <c r="M3645" t="s">
        <v>217</v>
      </c>
      <c r="O3645" t="s">
        <v>11</v>
      </c>
      <c r="P3645">
        <v>5102</v>
      </c>
      <c r="Q3645">
        <v>12</v>
      </c>
      <c r="R3645">
        <v>21.95</v>
      </c>
      <c r="S3645">
        <v>263.39999999999998</v>
      </c>
      <c r="T3645">
        <v>216.24</v>
      </c>
      <c r="U3645">
        <v>17.899999999999999</v>
      </c>
      <c r="V3645" t="str">
        <f>VLOOKUP(L3645,'[2]tabela de preços'!$A:$D,4,0)</f>
        <v>ROBERLO</v>
      </c>
      <c r="W3645" t="str">
        <f>VLOOKUP(L3645,'[2]tabela de preços'!$A:$F,6,0)</f>
        <v>MASSA POLIÉSTER</v>
      </c>
      <c r="X3645" t="str">
        <f>VLOOKUP(L3645,'[2]tabela de preços'!$A:$G,7,0)</f>
        <v>AUTOMOTIVO</v>
      </c>
    </row>
    <row r="3646" spans="1:24" x14ac:dyDescent="0.3">
      <c r="A3646" t="s">
        <v>2724</v>
      </c>
      <c r="C3646" t="s">
        <v>2725</v>
      </c>
      <c r="D3646" s="1">
        <v>46058</v>
      </c>
      <c r="E3646" t="s">
        <v>2726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1018</v>
      </c>
      <c r="K3646" t="s">
        <v>2727</v>
      </c>
      <c r="L3646">
        <v>20414</v>
      </c>
      <c r="M3646" t="s">
        <v>112</v>
      </c>
      <c r="O3646" t="s">
        <v>11</v>
      </c>
      <c r="P3646">
        <v>5102</v>
      </c>
      <c r="Q3646">
        <v>6</v>
      </c>
      <c r="R3646">
        <v>21.89</v>
      </c>
      <c r="S3646">
        <v>131.34</v>
      </c>
      <c r="T3646">
        <v>108</v>
      </c>
      <c r="U3646">
        <v>17.77</v>
      </c>
      <c r="V3646" t="str">
        <f>VLOOKUP(L3646,'[2]tabela de preços'!$A:$D,4,0)</f>
        <v>SHERWIN WILLIAMS</v>
      </c>
      <c r="W3646" t="str">
        <f>VLOOKUP(L3646,'[2]tabela de preços'!$A:$F,6,0)</f>
        <v>DILUENTE</v>
      </c>
      <c r="X3646" t="str">
        <f>VLOOKUP(L3646,'[2]tabela de preços'!$A:$G,7,0)</f>
        <v>AUTOMOTIVO</v>
      </c>
    </row>
    <row r="3647" spans="1:24" x14ac:dyDescent="0.3">
      <c r="A3647" t="s">
        <v>2988</v>
      </c>
      <c r="B3647" t="s">
        <v>2989</v>
      </c>
      <c r="C3647" t="s">
        <v>2990</v>
      </c>
      <c r="D3647" s="1">
        <v>46064</v>
      </c>
      <c r="E3647" t="s">
        <v>2991</v>
      </c>
      <c r="F3647">
        <v>9</v>
      </c>
      <c r="G3647">
        <v>174</v>
      </c>
      <c r="H3647" t="str">
        <f>VLOOKUP(G3647,[1]OPERADORES!$A:$B,2,0)</f>
        <v>MIRIÃ LOBATO RODRIGUES</v>
      </c>
      <c r="I3647" t="s">
        <v>21</v>
      </c>
      <c r="J3647" t="s">
        <v>2992</v>
      </c>
      <c r="K3647" t="s">
        <v>2993</v>
      </c>
      <c r="L3647">
        <v>85691</v>
      </c>
      <c r="M3647" t="s">
        <v>1231</v>
      </c>
      <c r="O3647" t="s">
        <v>11</v>
      </c>
      <c r="P3647">
        <v>5102</v>
      </c>
      <c r="Q3647">
        <v>12</v>
      </c>
      <c r="R3647">
        <v>14.81</v>
      </c>
      <c r="S3647">
        <v>177.72</v>
      </c>
      <c r="T3647">
        <v>134.88</v>
      </c>
      <c r="U3647">
        <v>24.11</v>
      </c>
      <c r="V3647" t="str">
        <f>VLOOKUP(L3647,'[2]tabela de preços'!$A:$D,4,0)</f>
        <v>UNIPEGA</v>
      </c>
      <c r="W3647" t="str">
        <f>VLOOKUP(L3647,'[2]tabela de preços'!$A:$F,6,0)</f>
        <v>COLA INST./ ADESIVOS COLANTES</v>
      </c>
      <c r="X3647" t="str">
        <f>VLOOKUP(L3647,'[2]tabela de preços'!$A:$G,7,0)</f>
        <v>AUTOMOTIVO</v>
      </c>
    </row>
    <row r="3648" spans="1:24" x14ac:dyDescent="0.3">
      <c r="A3648" t="s">
        <v>2988</v>
      </c>
      <c r="B3648" t="s">
        <v>2989</v>
      </c>
      <c r="C3648" t="s">
        <v>2990</v>
      </c>
      <c r="D3648" s="1">
        <v>46064</v>
      </c>
      <c r="E3648" t="s">
        <v>2991</v>
      </c>
      <c r="F3648">
        <v>9</v>
      </c>
      <c r="G3648">
        <v>174</v>
      </c>
      <c r="H3648" t="str">
        <f>VLOOKUP(G3648,[1]OPERADORES!$A:$B,2,0)</f>
        <v>MIRIÃ LOBATO RODRIGUES</v>
      </c>
      <c r="I3648" t="s">
        <v>21</v>
      </c>
      <c r="J3648" t="s">
        <v>2992</v>
      </c>
      <c r="K3648" t="s">
        <v>2993</v>
      </c>
      <c r="L3648">
        <v>13</v>
      </c>
      <c r="M3648" t="s">
        <v>152</v>
      </c>
      <c r="O3648" t="s">
        <v>11</v>
      </c>
      <c r="P3648">
        <v>5102</v>
      </c>
      <c r="Q3648">
        <v>300</v>
      </c>
      <c r="R3648">
        <v>5.79</v>
      </c>
      <c r="S3648" s="2">
        <v>1737</v>
      </c>
      <c r="T3648" s="2">
        <v>1248</v>
      </c>
      <c r="U3648">
        <v>28.15</v>
      </c>
      <c r="V3648" t="str">
        <f>VLOOKUP(L3648,'[2]tabela de preços'!$A:$D,4,0)</f>
        <v>3M</v>
      </c>
      <c r="W3648" t="str">
        <f>VLOOKUP(L3648,'[2]tabela de preços'!$A:$F,6,0)</f>
        <v>LIXA DÁGUA</v>
      </c>
      <c r="X3648" t="str">
        <f>VLOOKUP(L3648,'[2]tabela de preços'!$A:$G,7,0)</f>
        <v>AUTOMOTIVO</v>
      </c>
    </row>
    <row r="3649" spans="1:24" x14ac:dyDescent="0.3">
      <c r="A3649" t="s">
        <v>2988</v>
      </c>
      <c r="B3649" t="s">
        <v>2989</v>
      </c>
      <c r="C3649" t="s">
        <v>2990</v>
      </c>
      <c r="D3649" s="1">
        <v>46064</v>
      </c>
      <c r="E3649" t="s">
        <v>2991</v>
      </c>
      <c r="F3649">
        <v>9</v>
      </c>
      <c r="G3649">
        <v>174</v>
      </c>
      <c r="H3649" t="str">
        <f>VLOOKUP(G3649,[1]OPERADORES!$A:$B,2,0)</f>
        <v>MIRIÃ LOBATO RODRIGUES</v>
      </c>
      <c r="I3649" t="s">
        <v>21</v>
      </c>
      <c r="J3649" t="s">
        <v>2992</v>
      </c>
      <c r="K3649" t="s">
        <v>2993</v>
      </c>
      <c r="L3649">
        <v>15</v>
      </c>
      <c r="M3649" t="s">
        <v>205</v>
      </c>
      <c r="O3649" t="s">
        <v>11</v>
      </c>
      <c r="P3649">
        <v>5102</v>
      </c>
      <c r="Q3649">
        <v>50</v>
      </c>
      <c r="R3649">
        <v>5.79</v>
      </c>
      <c r="S3649">
        <v>289.5</v>
      </c>
      <c r="T3649">
        <v>208</v>
      </c>
      <c r="U3649">
        <v>28.15</v>
      </c>
      <c r="V3649" t="str">
        <f>VLOOKUP(L3649,'[2]tabela de preços'!$A:$D,4,0)</f>
        <v>3M</v>
      </c>
      <c r="W3649" t="str">
        <f>VLOOKUP(L3649,'[2]tabela de preços'!$A:$F,6,0)</f>
        <v>LIXA DÁGUA</v>
      </c>
      <c r="X3649" t="str">
        <f>VLOOKUP(L3649,'[2]tabela de preços'!$A:$G,7,0)</f>
        <v>AUTOMOTIVO</v>
      </c>
    </row>
    <row r="3650" spans="1:24" x14ac:dyDescent="0.3">
      <c r="A3650" t="s">
        <v>2120</v>
      </c>
      <c r="C3650" t="s">
        <v>2852</v>
      </c>
      <c r="D3650" s="1">
        <v>46062</v>
      </c>
      <c r="E3650" t="s">
        <v>2853</v>
      </c>
      <c r="F3650">
        <v>9</v>
      </c>
      <c r="G3650">
        <v>145</v>
      </c>
      <c r="H3650" t="str">
        <f>VLOOKUP(G3650,[1]OPERADORES!$A:$B,2,0)</f>
        <v xml:space="preserve">FABRICIA </v>
      </c>
      <c r="I3650" t="s">
        <v>2854</v>
      </c>
      <c r="J3650" t="s">
        <v>2855</v>
      </c>
      <c r="K3650" t="s">
        <v>2856</v>
      </c>
      <c r="L3650">
        <v>10236</v>
      </c>
      <c r="M3650" t="s">
        <v>133</v>
      </c>
      <c r="O3650" t="s">
        <v>11</v>
      </c>
      <c r="P3650">
        <v>6102</v>
      </c>
      <c r="Q3650">
        <v>50</v>
      </c>
      <c r="R3650">
        <v>2.79</v>
      </c>
      <c r="S3650">
        <v>139.5</v>
      </c>
      <c r="T3650">
        <v>116</v>
      </c>
      <c r="U3650">
        <v>16.850000000000001</v>
      </c>
      <c r="V3650" t="str">
        <f>VLOOKUP(L3650,'[2]tabela de preços'!$A:$D,4,0)</f>
        <v>NORTON</v>
      </c>
      <c r="W3650" t="str">
        <f>VLOOKUP(L3650,'[2]tabela de preços'!$A:$F,6,0)</f>
        <v xml:space="preserve">DISCOS / LIXAS / ABRASIVOS </v>
      </c>
      <c r="X3650" t="str">
        <f>VLOOKUP(L3650,'[2]tabela de preços'!$A:$G,7,0)</f>
        <v>AUTOMOTIVO</v>
      </c>
    </row>
    <row r="3651" spans="1:24" x14ac:dyDescent="0.3">
      <c r="A3651" t="s">
        <v>2120</v>
      </c>
      <c r="C3651" t="s">
        <v>2852</v>
      </c>
      <c r="D3651" s="1">
        <v>46062</v>
      </c>
      <c r="E3651" t="s">
        <v>2853</v>
      </c>
      <c r="F3651">
        <v>9</v>
      </c>
      <c r="G3651">
        <v>145</v>
      </c>
      <c r="H3651" t="str">
        <f>VLOOKUP(G3651,[1]OPERADORES!$A:$B,2,0)</f>
        <v xml:space="preserve">FABRICIA </v>
      </c>
      <c r="I3651" t="s">
        <v>2854</v>
      </c>
      <c r="J3651" t="s">
        <v>2855</v>
      </c>
      <c r="K3651" t="s">
        <v>2856</v>
      </c>
      <c r="L3651">
        <v>84017</v>
      </c>
      <c r="M3651" t="s">
        <v>519</v>
      </c>
      <c r="O3651" t="s">
        <v>11</v>
      </c>
      <c r="P3651">
        <v>6102</v>
      </c>
      <c r="Q3651">
        <v>100</v>
      </c>
      <c r="R3651">
        <v>0.64</v>
      </c>
      <c r="S3651">
        <v>64</v>
      </c>
      <c r="T3651">
        <v>46</v>
      </c>
      <c r="U3651">
        <v>28.13</v>
      </c>
      <c r="V3651" t="str">
        <f>VLOOKUP(L3651,'[2]tabela de preços'!$A:$D,4,0)</f>
        <v>3M</v>
      </c>
      <c r="W3651" t="str">
        <f>VLOOKUP(L3651,'[2]tabela de preços'!$A:$F,6,0)</f>
        <v>LIXA MASSA  /MADEIRA / PAREDE</v>
      </c>
      <c r="X3651" t="str">
        <f>VLOOKUP(L3651,'[2]tabela de preços'!$A:$G,7,0)</f>
        <v>IMOBILIÁRIO</v>
      </c>
    </row>
    <row r="3652" spans="1:24" x14ac:dyDescent="0.3">
      <c r="A3652" t="s">
        <v>2120</v>
      </c>
      <c r="C3652" t="s">
        <v>2852</v>
      </c>
      <c r="D3652" s="1">
        <v>46062</v>
      </c>
      <c r="E3652" t="s">
        <v>2853</v>
      </c>
      <c r="F3652">
        <v>9</v>
      </c>
      <c r="G3652">
        <v>145</v>
      </c>
      <c r="H3652" t="str">
        <f>VLOOKUP(G3652,[1]OPERADORES!$A:$B,2,0)</f>
        <v xml:space="preserve">FABRICIA </v>
      </c>
      <c r="I3652" t="s">
        <v>2854</v>
      </c>
      <c r="J3652" t="s">
        <v>2855</v>
      </c>
      <c r="K3652" t="s">
        <v>2856</v>
      </c>
      <c r="L3652">
        <v>10243</v>
      </c>
      <c r="M3652" t="s">
        <v>83</v>
      </c>
      <c r="O3652" t="s">
        <v>11</v>
      </c>
      <c r="P3652">
        <v>6102</v>
      </c>
      <c r="Q3652">
        <v>100</v>
      </c>
      <c r="R3652">
        <v>2.79</v>
      </c>
      <c r="S3652">
        <v>279</v>
      </c>
      <c r="T3652">
        <v>193</v>
      </c>
      <c r="U3652">
        <v>30.82</v>
      </c>
      <c r="V3652" t="str">
        <f>VLOOKUP(L3652,'[2]tabela de preços'!$A:$D,4,0)</f>
        <v>NORTON</v>
      </c>
      <c r="W3652" t="str">
        <f>VLOOKUP(L3652,'[2]tabela de preços'!$A:$F,6,0)</f>
        <v xml:space="preserve">DISCOS / LIXAS / ABRASIVOS </v>
      </c>
      <c r="X3652" t="str">
        <f>VLOOKUP(L3652,'[2]tabela de preços'!$A:$G,7,0)</f>
        <v>AUTOMOTIVO</v>
      </c>
    </row>
    <row r="3653" spans="1:24" x14ac:dyDescent="0.3">
      <c r="A3653" t="s">
        <v>2994</v>
      </c>
      <c r="C3653" t="s">
        <v>2995</v>
      </c>
      <c r="D3653" s="1">
        <v>46064</v>
      </c>
      <c r="E3653" t="s">
        <v>2996</v>
      </c>
      <c r="F3653">
        <v>9</v>
      </c>
      <c r="G3653">
        <v>145</v>
      </c>
      <c r="H3653" t="str">
        <f>VLOOKUP(G3653,[1]OPERADORES!$A:$B,2,0)</f>
        <v xml:space="preserve">FABRICIA </v>
      </c>
      <c r="I3653" t="s">
        <v>244</v>
      </c>
      <c r="J3653" t="s">
        <v>967</v>
      </c>
      <c r="K3653" t="s">
        <v>2997</v>
      </c>
      <c r="L3653">
        <v>23110</v>
      </c>
      <c r="M3653" t="s">
        <v>409</v>
      </c>
      <c r="O3653" t="s">
        <v>11</v>
      </c>
      <c r="P3653">
        <v>6102</v>
      </c>
      <c r="Q3653">
        <v>100</v>
      </c>
      <c r="R3653">
        <v>2.35</v>
      </c>
      <c r="S3653">
        <v>235</v>
      </c>
      <c r="T3653">
        <v>185</v>
      </c>
      <c r="U3653">
        <v>21.28</v>
      </c>
      <c r="V3653" t="str">
        <f>VLOOKUP(L3653,'[2]tabela de preços'!$A:$D,4,0)</f>
        <v>3M</v>
      </c>
      <c r="W3653" t="str">
        <f>VLOOKUP(L3653,'[2]tabela de preços'!$A:$F,6,0)</f>
        <v xml:space="preserve">DISCOS / LIXAS / ABRASIVOS </v>
      </c>
      <c r="X3653" t="str">
        <f>VLOOKUP(L3653,'[2]tabela de preços'!$A:$G,7,0)</f>
        <v>AUTOMOTIVO</v>
      </c>
    </row>
    <row r="3654" spans="1:24" x14ac:dyDescent="0.3">
      <c r="A3654" t="s">
        <v>2994</v>
      </c>
      <c r="C3654" t="s">
        <v>2995</v>
      </c>
      <c r="D3654" s="1">
        <v>46064</v>
      </c>
      <c r="E3654" t="s">
        <v>2996</v>
      </c>
      <c r="F3654">
        <v>9</v>
      </c>
      <c r="G3654">
        <v>145</v>
      </c>
      <c r="H3654" t="str">
        <f>VLOOKUP(G3654,[1]OPERADORES!$A:$B,2,0)</f>
        <v xml:space="preserve">FABRICIA </v>
      </c>
      <c r="I3654" t="s">
        <v>244</v>
      </c>
      <c r="J3654" t="s">
        <v>967</v>
      </c>
      <c r="K3654" t="s">
        <v>2997</v>
      </c>
      <c r="L3654">
        <v>23105</v>
      </c>
      <c r="M3654" t="s">
        <v>402</v>
      </c>
      <c r="O3654" t="s">
        <v>11</v>
      </c>
      <c r="P3654">
        <v>6102</v>
      </c>
      <c r="Q3654">
        <v>300</v>
      </c>
      <c r="R3654">
        <v>2.35</v>
      </c>
      <c r="S3654">
        <v>705</v>
      </c>
      <c r="T3654">
        <v>576</v>
      </c>
      <c r="U3654">
        <v>18.3</v>
      </c>
      <c r="V3654" t="str">
        <f>VLOOKUP(L3654,'[2]tabela de preços'!$A:$D,4,0)</f>
        <v>3M</v>
      </c>
      <c r="W3654" t="str">
        <f>VLOOKUP(L3654,'[2]tabela de preços'!$A:$F,6,0)</f>
        <v xml:space="preserve">DISCOS / LIXAS / ABRASIVOS </v>
      </c>
      <c r="X3654" t="str">
        <f>VLOOKUP(L3654,'[2]tabela de preços'!$A:$G,7,0)</f>
        <v>AUTOMOTIVO</v>
      </c>
    </row>
    <row r="3655" spans="1:24" x14ac:dyDescent="0.3">
      <c r="A3655" t="s">
        <v>2994</v>
      </c>
      <c r="C3655" t="s">
        <v>2995</v>
      </c>
      <c r="D3655" s="1">
        <v>46064</v>
      </c>
      <c r="E3655" t="s">
        <v>2996</v>
      </c>
      <c r="F3655">
        <v>9</v>
      </c>
      <c r="G3655">
        <v>145</v>
      </c>
      <c r="H3655" t="str">
        <f>VLOOKUP(G3655,[1]OPERADORES!$A:$B,2,0)</f>
        <v xml:space="preserve">FABRICIA </v>
      </c>
      <c r="I3655" t="s">
        <v>244</v>
      </c>
      <c r="J3655" t="s">
        <v>967</v>
      </c>
      <c r="K3655" t="s">
        <v>2997</v>
      </c>
      <c r="L3655">
        <v>23107</v>
      </c>
      <c r="M3655" t="s">
        <v>247</v>
      </c>
      <c r="O3655" t="s">
        <v>11</v>
      </c>
      <c r="P3655">
        <v>6102</v>
      </c>
      <c r="Q3655">
        <v>300</v>
      </c>
      <c r="R3655">
        <v>2.35</v>
      </c>
      <c r="S3655">
        <v>705</v>
      </c>
      <c r="T3655">
        <v>555</v>
      </c>
      <c r="U3655">
        <v>21.28</v>
      </c>
      <c r="V3655" t="str">
        <f>VLOOKUP(L3655,'[2]tabela de preços'!$A:$D,4,0)</f>
        <v>3M</v>
      </c>
      <c r="W3655" t="str">
        <f>VLOOKUP(L3655,'[2]tabela de preços'!$A:$F,6,0)</f>
        <v xml:space="preserve">DISCOS / LIXAS / ABRASIVOS </v>
      </c>
      <c r="X3655" t="str">
        <f>VLOOKUP(L3655,'[2]tabela de preços'!$A:$G,7,0)</f>
        <v>AUTOMOTIVO</v>
      </c>
    </row>
    <row r="3656" spans="1:24" x14ac:dyDescent="0.3">
      <c r="A3656" t="s">
        <v>2994</v>
      </c>
      <c r="C3656" t="s">
        <v>2995</v>
      </c>
      <c r="D3656" s="1">
        <v>46064</v>
      </c>
      <c r="E3656" t="s">
        <v>2996</v>
      </c>
      <c r="F3656">
        <v>9</v>
      </c>
      <c r="G3656">
        <v>145</v>
      </c>
      <c r="H3656" t="str">
        <f>VLOOKUP(G3656,[1]OPERADORES!$A:$B,2,0)</f>
        <v xml:space="preserve">FABRICIA </v>
      </c>
      <c r="I3656" t="s">
        <v>244</v>
      </c>
      <c r="J3656" t="s">
        <v>967</v>
      </c>
      <c r="K3656" t="s">
        <v>2997</v>
      </c>
      <c r="L3656">
        <v>23108</v>
      </c>
      <c r="M3656" t="s">
        <v>248</v>
      </c>
      <c r="O3656" t="s">
        <v>11</v>
      </c>
      <c r="P3656">
        <v>6102</v>
      </c>
      <c r="Q3656">
        <v>300</v>
      </c>
      <c r="R3656">
        <v>2.35</v>
      </c>
      <c r="S3656">
        <v>705</v>
      </c>
      <c r="T3656">
        <v>555</v>
      </c>
      <c r="U3656">
        <v>21.28</v>
      </c>
      <c r="V3656" t="str">
        <f>VLOOKUP(L3656,'[2]tabela de preços'!$A:$D,4,0)</f>
        <v>3M</v>
      </c>
      <c r="W3656" t="str">
        <f>VLOOKUP(L3656,'[2]tabela de preços'!$A:$F,6,0)</f>
        <v xml:space="preserve">DISCOS / LIXAS / ABRASIVOS </v>
      </c>
      <c r="X3656" t="str">
        <f>VLOOKUP(L3656,'[2]tabela de preços'!$A:$G,7,0)</f>
        <v>AUTOMOTIVO</v>
      </c>
    </row>
    <row r="3657" spans="1:24" x14ac:dyDescent="0.3">
      <c r="A3657" t="s">
        <v>2994</v>
      </c>
      <c r="C3657" t="s">
        <v>2995</v>
      </c>
      <c r="D3657" s="1">
        <v>46064</v>
      </c>
      <c r="E3657" t="s">
        <v>2996</v>
      </c>
      <c r="F3657">
        <v>9</v>
      </c>
      <c r="G3657">
        <v>145</v>
      </c>
      <c r="H3657" t="str">
        <f>VLOOKUP(G3657,[1]OPERADORES!$A:$B,2,0)</f>
        <v xml:space="preserve">FABRICIA </v>
      </c>
      <c r="I3657" t="s">
        <v>244</v>
      </c>
      <c r="J3657" t="s">
        <v>967</v>
      </c>
      <c r="K3657" t="s">
        <v>2997</v>
      </c>
      <c r="L3657">
        <v>20135</v>
      </c>
      <c r="M3657" t="s">
        <v>459</v>
      </c>
      <c r="O3657" t="s">
        <v>11</v>
      </c>
      <c r="P3657">
        <v>6102</v>
      </c>
      <c r="Q3657">
        <v>60</v>
      </c>
      <c r="R3657">
        <v>25.37</v>
      </c>
      <c r="S3657" s="2">
        <v>1522.2</v>
      </c>
      <c r="T3657" s="2">
        <v>1155.5999999999999</v>
      </c>
      <c r="U3657">
        <v>24.08</v>
      </c>
      <c r="V3657" t="str">
        <f>VLOOKUP(L3657,'[2]tabela de preços'!$A:$D,4,0)</f>
        <v>3M</v>
      </c>
      <c r="W3657" t="str">
        <f>VLOOKUP(L3657,'[2]tabela de preços'!$A:$F,6,0)</f>
        <v>DISCO TRIZACT</v>
      </c>
      <c r="X3657" t="str">
        <f>VLOOKUP(L3657,'[2]tabela de preços'!$A:$G,7,0)</f>
        <v>AUTOMOTIVO</v>
      </c>
    </row>
    <row r="3658" spans="1:24" x14ac:dyDescent="0.3">
      <c r="A3658" t="s">
        <v>2994</v>
      </c>
      <c r="C3658" t="s">
        <v>2995</v>
      </c>
      <c r="D3658" s="1">
        <v>46064</v>
      </c>
      <c r="E3658" t="s">
        <v>2996</v>
      </c>
      <c r="F3658">
        <v>9</v>
      </c>
      <c r="G3658">
        <v>145</v>
      </c>
      <c r="H3658" t="str">
        <f>VLOOKUP(G3658,[1]OPERADORES!$A:$B,2,0)</f>
        <v xml:space="preserve">FABRICIA </v>
      </c>
      <c r="I3658" t="s">
        <v>244</v>
      </c>
      <c r="J3658" t="s">
        <v>967</v>
      </c>
      <c r="K3658" t="s">
        <v>2997</v>
      </c>
      <c r="L3658">
        <v>22188</v>
      </c>
      <c r="M3658" t="s">
        <v>78</v>
      </c>
      <c r="O3658" t="s">
        <v>11</v>
      </c>
      <c r="P3658">
        <v>6102</v>
      </c>
      <c r="Q3658">
        <v>36</v>
      </c>
      <c r="R3658">
        <v>13.84</v>
      </c>
      <c r="S3658">
        <v>498.24</v>
      </c>
      <c r="T3658">
        <v>392.04</v>
      </c>
      <c r="U3658">
        <v>21.32</v>
      </c>
      <c r="V3658" t="str">
        <f>VLOOKUP(L3658,'[2]tabela de preços'!$A:$D,4,0)</f>
        <v>3M</v>
      </c>
      <c r="W3658" t="str">
        <f>VLOOKUP(L3658,'[2]tabela de preços'!$A:$F,6,0)</f>
        <v>FITA AUTOMOTIVA</v>
      </c>
      <c r="X3658" t="str">
        <f>VLOOKUP(L3658,'[2]tabela de preços'!$A:$G,7,0)</f>
        <v>AUTOMOTIVO</v>
      </c>
    </row>
    <row r="3659" spans="1:24" x14ac:dyDescent="0.3">
      <c r="A3659" t="s">
        <v>2994</v>
      </c>
      <c r="C3659" t="s">
        <v>3288</v>
      </c>
      <c r="D3659" s="1">
        <v>46071</v>
      </c>
      <c r="E3659" t="s">
        <v>3289</v>
      </c>
      <c r="F3659">
        <v>9</v>
      </c>
      <c r="G3659">
        <v>145</v>
      </c>
      <c r="H3659" t="str">
        <f>VLOOKUP(G3659,[1]OPERADORES!$A:$B,2,0)</f>
        <v xml:space="preserve">FABRICIA </v>
      </c>
      <c r="I3659" t="s">
        <v>244</v>
      </c>
      <c r="J3659" t="s">
        <v>967</v>
      </c>
      <c r="K3659" t="s">
        <v>2997</v>
      </c>
      <c r="L3659">
        <v>84026</v>
      </c>
      <c r="M3659" t="s">
        <v>816</v>
      </c>
      <c r="O3659" t="s">
        <v>11</v>
      </c>
      <c r="P3659">
        <v>6102</v>
      </c>
      <c r="Q3659">
        <v>40</v>
      </c>
      <c r="R3659">
        <v>9.15</v>
      </c>
      <c r="S3659">
        <v>366</v>
      </c>
      <c r="T3659">
        <v>278</v>
      </c>
      <c r="U3659">
        <v>24.04</v>
      </c>
      <c r="V3659" t="str">
        <f>VLOOKUP(L3659,'[2]tabela de preços'!$A:$D,4,0)</f>
        <v>BRASILUX</v>
      </c>
      <c r="W3659" t="str">
        <f>VLOOKUP(L3659,'[2]tabela de preços'!$A:$F,6,0)</f>
        <v>CATALISADORES INDIVIDUAIS</v>
      </c>
      <c r="X3659" t="str">
        <f>VLOOKUP(L3659,'[2]tabela de preços'!$A:$G,7,0)</f>
        <v>IMOBILIÁRIO</v>
      </c>
    </row>
    <row r="3660" spans="1:24" x14ac:dyDescent="0.3">
      <c r="A3660" t="s">
        <v>2994</v>
      </c>
      <c r="C3660" t="s">
        <v>3288</v>
      </c>
      <c r="D3660" s="1">
        <v>46071</v>
      </c>
      <c r="E3660" t="s">
        <v>3289</v>
      </c>
      <c r="F3660">
        <v>9</v>
      </c>
      <c r="G3660">
        <v>145</v>
      </c>
      <c r="H3660" t="str">
        <f>VLOOKUP(G3660,[1]OPERADORES!$A:$B,2,0)</f>
        <v xml:space="preserve">FABRICIA </v>
      </c>
      <c r="I3660" t="s">
        <v>244</v>
      </c>
      <c r="J3660" t="s">
        <v>967</v>
      </c>
      <c r="K3660" t="s">
        <v>2997</v>
      </c>
      <c r="L3660">
        <v>58</v>
      </c>
      <c r="M3660" t="s">
        <v>389</v>
      </c>
      <c r="O3660" t="s">
        <v>11</v>
      </c>
      <c r="P3660">
        <v>6102</v>
      </c>
      <c r="Q3660">
        <v>100</v>
      </c>
      <c r="R3660">
        <v>1.01</v>
      </c>
      <c r="S3660">
        <v>101</v>
      </c>
      <c r="T3660">
        <v>77</v>
      </c>
      <c r="U3660">
        <v>23.76</v>
      </c>
      <c r="V3660" t="str">
        <f>VLOOKUP(L3660,'[2]tabela de preços'!$A:$D,4,0)</f>
        <v>3M</v>
      </c>
      <c r="W3660" t="str">
        <f>VLOOKUP(L3660,'[2]tabela de preços'!$A:$F,6,0)</f>
        <v>LIXA DÁGUA</v>
      </c>
      <c r="X3660" t="str">
        <f>VLOOKUP(L3660,'[2]tabela de preços'!$A:$G,7,0)</f>
        <v>AUTOMOTIVO</v>
      </c>
    </row>
    <row r="3661" spans="1:24" x14ac:dyDescent="0.3">
      <c r="A3661" t="s">
        <v>2994</v>
      </c>
      <c r="C3661" t="s">
        <v>3288</v>
      </c>
      <c r="D3661" s="1">
        <v>46071</v>
      </c>
      <c r="E3661" t="s">
        <v>3289</v>
      </c>
      <c r="F3661">
        <v>9</v>
      </c>
      <c r="G3661">
        <v>145</v>
      </c>
      <c r="H3661" t="str">
        <f>VLOOKUP(G3661,[1]OPERADORES!$A:$B,2,0)</f>
        <v xml:space="preserve">FABRICIA </v>
      </c>
      <c r="I3661" t="s">
        <v>244</v>
      </c>
      <c r="J3661" t="s">
        <v>967</v>
      </c>
      <c r="K3661" t="s">
        <v>2997</v>
      </c>
      <c r="L3661">
        <v>84011</v>
      </c>
      <c r="M3661" t="s">
        <v>957</v>
      </c>
      <c r="O3661" t="s">
        <v>11</v>
      </c>
      <c r="P3661">
        <v>6102</v>
      </c>
      <c r="Q3661">
        <v>100</v>
      </c>
      <c r="R3661">
        <v>2.23</v>
      </c>
      <c r="S3661">
        <v>223</v>
      </c>
      <c r="T3661">
        <v>169</v>
      </c>
      <c r="U3661">
        <v>24.22</v>
      </c>
      <c r="V3661" t="str">
        <f>VLOOKUP(L3661,'[2]tabela de preços'!$A:$D,4,0)</f>
        <v>3M</v>
      </c>
      <c r="W3661" t="str">
        <f>VLOOKUP(L3661,'[2]tabela de preços'!$A:$F,6,0)</f>
        <v>LIXA FERRO</v>
      </c>
      <c r="X3661" t="str">
        <f>VLOOKUP(L3661,'[2]tabela de preços'!$A:$G,7,0)</f>
        <v>IMOBILIÁRIO</v>
      </c>
    </row>
    <row r="3662" spans="1:24" x14ac:dyDescent="0.3">
      <c r="A3662" t="s">
        <v>2124</v>
      </c>
      <c r="B3662" t="s">
        <v>2125</v>
      </c>
      <c r="C3662" t="s">
        <v>3290</v>
      </c>
      <c r="D3662" s="1">
        <v>46066</v>
      </c>
      <c r="E3662" t="s">
        <v>3291</v>
      </c>
      <c r="F3662">
        <v>9</v>
      </c>
      <c r="G3662">
        <v>236</v>
      </c>
      <c r="H3662" t="str">
        <f>VLOOKUP(G3662,[1]OPERADORES!$A:$B,2,0)</f>
        <v>DANIEL</v>
      </c>
      <c r="I3662" t="s">
        <v>21</v>
      </c>
      <c r="J3662" t="s">
        <v>2128</v>
      </c>
      <c r="K3662" t="s">
        <v>2129</v>
      </c>
      <c r="L3662">
        <v>87057</v>
      </c>
      <c r="M3662" t="s">
        <v>1280</v>
      </c>
      <c r="O3662" t="s">
        <v>11</v>
      </c>
      <c r="P3662">
        <v>5403</v>
      </c>
      <c r="Q3662">
        <v>1</v>
      </c>
      <c r="R3662">
        <v>76.92</v>
      </c>
      <c r="S3662">
        <v>76.92</v>
      </c>
      <c r="T3662">
        <v>58.38</v>
      </c>
      <c r="U3662">
        <v>24.1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2857</v>
      </c>
      <c r="C3663" t="s">
        <v>2858</v>
      </c>
      <c r="D3663" s="1">
        <v>46062</v>
      </c>
      <c r="E3663" t="s">
        <v>2859</v>
      </c>
      <c r="F3663">
        <v>9</v>
      </c>
      <c r="G3663">
        <v>174</v>
      </c>
      <c r="H3663" t="str">
        <f>VLOOKUP(G3663,[1]OPERADORES!$A:$B,2,0)</f>
        <v>MIRIÃ LOBATO RODRIGUES</v>
      </c>
      <c r="I3663" t="s">
        <v>21</v>
      </c>
      <c r="J3663" t="s">
        <v>730</v>
      </c>
      <c r="K3663" t="s">
        <v>2860</v>
      </c>
      <c r="L3663">
        <v>85780</v>
      </c>
      <c r="M3663" t="s">
        <v>2861</v>
      </c>
      <c r="O3663" t="s">
        <v>11</v>
      </c>
      <c r="P3663">
        <v>5403</v>
      </c>
      <c r="Q3663">
        <v>3</v>
      </c>
      <c r="R3663">
        <v>164.77</v>
      </c>
      <c r="S3663">
        <v>494.31</v>
      </c>
      <c r="T3663">
        <v>388.92</v>
      </c>
      <c r="U3663">
        <v>21.32</v>
      </c>
      <c r="V3663" t="str">
        <f>VLOOKUP(L3663,'[2]tabela de preços'!$A:$D,4,0)</f>
        <v>CORAL</v>
      </c>
      <c r="W3663" t="str">
        <f>VLOOKUP(L3663,'[2]tabela de preços'!$A:$F,6,0)</f>
        <v>TINTA PAREDE</v>
      </c>
      <c r="X3663" t="str">
        <f>VLOOKUP(L3663,'[2]tabela de preços'!$A:$G,7,0)</f>
        <v>IMOBILIÁRIO</v>
      </c>
    </row>
    <row r="3664" spans="1:24" x14ac:dyDescent="0.3">
      <c r="A3664" t="s">
        <v>2857</v>
      </c>
      <c r="C3664" t="s">
        <v>2858</v>
      </c>
      <c r="D3664" s="1">
        <v>46062</v>
      </c>
      <c r="E3664" t="s">
        <v>2859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730</v>
      </c>
      <c r="K3664" t="s">
        <v>2860</v>
      </c>
      <c r="L3664">
        <v>84411</v>
      </c>
      <c r="M3664" t="s">
        <v>35</v>
      </c>
      <c r="O3664" t="s">
        <v>11</v>
      </c>
      <c r="P3664">
        <v>5102</v>
      </c>
      <c r="Q3664">
        <v>5</v>
      </c>
      <c r="R3664">
        <v>4.29</v>
      </c>
      <c r="S3664">
        <v>21.45</v>
      </c>
      <c r="T3664">
        <v>17.7</v>
      </c>
      <c r="U3664">
        <v>17.48</v>
      </c>
      <c r="V3664" t="str">
        <f>VLOOKUP(L3664,'[2]tabela de preços'!$A:$D,4,0)</f>
        <v>ADERE</v>
      </c>
      <c r="W3664" t="str">
        <f>VLOOKUP(L3664,'[2]tabela de preços'!$A:$F,6,0)</f>
        <v xml:space="preserve">FITA DE USO GERAL </v>
      </c>
      <c r="X3664" t="str">
        <f>VLOOKUP(L3664,'[2]tabela de preços'!$A:$G,7,0)</f>
        <v>IMOBILIÁRIO</v>
      </c>
    </row>
    <row r="3665" spans="1:24" x14ac:dyDescent="0.3">
      <c r="A3665" t="s">
        <v>2857</v>
      </c>
      <c r="C3665" t="s">
        <v>2858</v>
      </c>
      <c r="D3665" s="1">
        <v>46062</v>
      </c>
      <c r="E3665" t="s">
        <v>2859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730</v>
      </c>
      <c r="K3665" t="s">
        <v>2860</v>
      </c>
      <c r="L3665">
        <v>86995</v>
      </c>
      <c r="M3665" t="s">
        <v>37</v>
      </c>
      <c r="O3665" t="s">
        <v>11</v>
      </c>
      <c r="P3665">
        <v>5102</v>
      </c>
      <c r="Q3665">
        <v>20</v>
      </c>
      <c r="R3665">
        <v>7.29</v>
      </c>
      <c r="S3665">
        <v>145.80000000000001</v>
      </c>
      <c r="T3665">
        <v>116.6</v>
      </c>
      <c r="U3665">
        <v>20.03</v>
      </c>
      <c r="V3665" t="str">
        <f>VLOOKUP(L3665,'[2]tabela de preços'!$A:$D,4,0)</f>
        <v>AUTOAMERICA</v>
      </c>
      <c r="W3665" t="str">
        <f>VLOOKUP(L3665,'[2]tabela de preços'!$A:$F,6,0)</f>
        <v>FLANELAS / PANOS</v>
      </c>
      <c r="X3665" t="str">
        <f>VLOOKUP(L3665,'[2]tabela de preços'!$A:$G,7,0)</f>
        <v>AUTOMOTIVO</v>
      </c>
    </row>
    <row r="3666" spans="1:24" x14ac:dyDescent="0.3">
      <c r="A3666" t="s">
        <v>2857</v>
      </c>
      <c r="C3666" t="s">
        <v>2858</v>
      </c>
      <c r="D3666" s="1">
        <v>46062</v>
      </c>
      <c r="E3666" t="s">
        <v>2859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730</v>
      </c>
      <c r="K3666" t="s">
        <v>2860</v>
      </c>
      <c r="L3666">
        <v>86943</v>
      </c>
      <c r="M3666" t="s">
        <v>1111</v>
      </c>
      <c r="O3666" t="s">
        <v>11</v>
      </c>
      <c r="P3666">
        <v>5403</v>
      </c>
      <c r="Q3666">
        <v>4</v>
      </c>
      <c r="R3666">
        <v>119.29</v>
      </c>
      <c r="S3666">
        <v>477.16</v>
      </c>
      <c r="T3666">
        <v>362.16</v>
      </c>
      <c r="U3666">
        <v>24.1</v>
      </c>
      <c r="V3666" t="str">
        <f>VLOOKUP(L3666,'[2]tabela de preços'!$A:$D,4,0)</f>
        <v>BRASILUX</v>
      </c>
      <c r="W3666" t="str">
        <f>VLOOKUP(L3666,'[2]tabela de preços'!$A:$F,6,0)</f>
        <v>IMPERMEABILIZANTES</v>
      </c>
      <c r="X3666" t="str">
        <f>VLOOKUP(L3666,'[2]tabela de preços'!$A:$G,7,0)</f>
        <v>IMOBILIÁRIO</v>
      </c>
    </row>
    <row r="3667" spans="1:24" x14ac:dyDescent="0.3">
      <c r="A3667" t="s">
        <v>2857</v>
      </c>
      <c r="C3667" t="s">
        <v>2858</v>
      </c>
      <c r="D3667" s="1">
        <v>46062</v>
      </c>
      <c r="E3667" t="s">
        <v>2859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730</v>
      </c>
      <c r="K3667" t="s">
        <v>2860</v>
      </c>
      <c r="L3667">
        <v>84014</v>
      </c>
      <c r="M3667" t="s">
        <v>1152</v>
      </c>
      <c r="O3667" t="s">
        <v>11</v>
      </c>
      <c r="P3667">
        <v>5102</v>
      </c>
      <c r="Q3667">
        <v>5</v>
      </c>
      <c r="R3667">
        <v>2.2000000000000002</v>
      </c>
      <c r="S3667">
        <v>11</v>
      </c>
      <c r="T3667">
        <v>8.35</v>
      </c>
      <c r="U3667">
        <v>24.09</v>
      </c>
      <c r="V3667" t="str">
        <f>VLOOKUP(L3667,'[2]tabela de preços'!$A:$D,4,0)</f>
        <v>3M</v>
      </c>
      <c r="W3667" t="str">
        <f>VLOOKUP(L3667,'[2]tabela de preços'!$A:$F,6,0)</f>
        <v>LIXA FERRO</v>
      </c>
      <c r="X3667" t="str">
        <f>VLOOKUP(L3667,'[2]tabela de preços'!$A:$G,7,0)</f>
        <v>IMOBILIÁRIO</v>
      </c>
    </row>
    <row r="3668" spans="1:24" x14ac:dyDescent="0.3">
      <c r="A3668" t="s">
        <v>2857</v>
      </c>
      <c r="C3668" t="s">
        <v>2858</v>
      </c>
      <c r="D3668" s="1">
        <v>46062</v>
      </c>
      <c r="E3668" t="s">
        <v>2859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730</v>
      </c>
      <c r="K3668" t="s">
        <v>2860</v>
      </c>
      <c r="L3668">
        <v>84021</v>
      </c>
      <c r="M3668" t="s">
        <v>1945</v>
      </c>
      <c r="O3668" t="s">
        <v>11</v>
      </c>
      <c r="P3668">
        <v>5102</v>
      </c>
      <c r="Q3668">
        <v>20</v>
      </c>
      <c r="R3668">
        <v>0.6</v>
      </c>
      <c r="S3668">
        <v>12</v>
      </c>
      <c r="T3668">
        <v>9.1999999999999993</v>
      </c>
      <c r="U3668">
        <v>23.33</v>
      </c>
      <c r="V3668" t="str">
        <f>VLOOKUP(L3668,'[2]tabela de preços'!$A:$D,4,0)</f>
        <v>3M</v>
      </c>
      <c r="W3668" t="str">
        <f>VLOOKUP(L3668,'[2]tabela de preços'!$A:$F,6,0)</f>
        <v>LIXA MASSA  /MADEIRA / PAREDE</v>
      </c>
      <c r="X3668" t="str">
        <f>VLOOKUP(L3668,'[2]tabela de preços'!$A:$G,7,0)</f>
        <v>IMOBILIÁRIO</v>
      </c>
    </row>
    <row r="3669" spans="1:24" x14ac:dyDescent="0.3">
      <c r="A3669" t="s">
        <v>2857</v>
      </c>
      <c r="C3669" t="s">
        <v>2858</v>
      </c>
      <c r="D3669" s="1">
        <v>46062</v>
      </c>
      <c r="E3669" t="s">
        <v>2859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730</v>
      </c>
      <c r="K3669" t="s">
        <v>2860</v>
      </c>
      <c r="L3669">
        <v>84036</v>
      </c>
      <c r="M3669" t="s">
        <v>289</v>
      </c>
      <c r="O3669" t="s">
        <v>11</v>
      </c>
      <c r="P3669">
        <v>5102</v>
      </c>
      <c r="Q3669">
        <v>8</v>
      </c>
      <c r="R3669">
        <v>47.9</v>
      </c>
      <c r="S3669">
        <v>383.2</v>
      </c>
      <c r="T3669">
        <v>333.04</v>
      </c>
      <c r="U3669">
        <v>13.09</v>
      </c>
      <c r="V3669" t="str">
        <f>VLOOKUP(L3669,'[2]tabela de preços'!$A:$D,4,0)</f>
        <v>BRASILUX</v>
      </c>
      <c r="W3669" t="str">
        <f>VLOOKUP(L3669,'[2]tabela de preços'!$A:$F,6,0)</f>
        <v>MASSA CORRIDA / ACRÍLICA</v>
      </c>
      <c r="X3669" t="str">
        <f>VLOOKUP(L3669,'[2]tabela de preços'!$A:$G,7,0)</f>
        <v>IMOBILIÁRIO</v>
      </c>
    </row>
    <row r="3670" spans="1:24" x14ac:dyDescent="0.3">
      <c r="A3670" t="s">
        <v>2857</v>
      </c>
      <c r="C3670" t="s">
        <v>2858</v>
      </c>
      <c r="D3670" s="1">
        <v>46062</v>
      </c>
      <c r="E3670" t="s">
        <v>2859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730</v>
      </c>
      <c r="K3670" t="s">
        <v>2860</v>
      </c>
      <c r="L3670">
        <v>85227</v>
      </c>
      <c r="M3670" t="s">
        <v>1042</v>
      </c>
      <c r="O3670" t="s">
        <v>11</v>
      </c>
      <c r="P3670">
        <v>5102</v>
      </c>
      <c r="Q3670">
        <v>2</v>
      </c>
      <c r="R3670">
        <v>7.13</v>
      </c>
      <c r="S3670">
        <v>14.26</v>
      </c>
      <c r="T3670">
        <v>9.1999999999999993</v>
      </c>
      <c r="U3670">
        <v>35.479999999999997</v>
      </c>
      <c r="V3670" t="str">
        <f>VLOOKUP(L3670,'[2]tabela de preços'!$A:$D,4,0)</f>
        <v>ATLAS</v>
      </c>
      <c r="W3670" t="str">
        <f>VLOOKUP(L3670,'[2]tabela de preços'!$A:$F,6,0)</f>
        <v>ROLOS / TRINCHAS / PINCÉIS / ESPÁTULAS</v>
      </c>
      <c r="X3670" t="str">
        <f>VLOOKUP(L3670,'[2]tabela de preços'!$A:$G,7,0)</f>
        <v>IMOBILIÁRIO</v>
      </c>
    </row>
    <row r="3671" spans="1:24" x14ac:dyDescent="0.3">
      <c r="A3671" t="s">
        <v>2857</v>
      </c>
      <c r="C3671" t="s">
        <v>2858</v>
      </c>
      <c r="D3671" s="1">
        <v>46062</v>
      </c>
      <c r="E3671" t="s">
        <v>2859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730</v>
      </c>
      <c r="K3671" t="s">
        <v>2860</v>
      </c>
      <c r="L3671">
        <v>84420</v>
      </c>
      <c r="M3671" t="s">
        <v>353</v>
      </c>
      <c r="O3671" t="s">
        <v>11</v>
      </c>
      <c r="P3671">
        <v>5102</v>
      </c>
      <c r="Q3671">
        <v>2</v>
      </c>
      <c r="R3671">
        <v>20.34</v>
      </c>
      <c r="S3671">
        <v>40.68</v>
      </c>
      <c r="T3671">
        <v>30.88</v>
      </c>
      <c r="U3671">
        <v>24.09</v>
      </c>
      <c r="V3671" t="str">
        <f>VLOOKUP(L3671,'[2]tabela de preços'!$A:$D,4,0)</f>
        <v>ATLAS</v>
      </c>
      <c r="W3671" t="str">
        <f>VLOOKUP(L3671,'[2]tabela de preços'!$A:$F,6,0)</f>
        <v>ROLOS / TRINCHAS / PINCÉIS / ESPÁTULAS</v>
      </c>
      <c r="X3671" t="str">
        <f>VLOOKUP(L3671,'[2]tabela de preços'!$A:$G,7,0)</f>
        <v>IMOBILIÁRIO</v>
      </c>
    </row>
    <row r="3672" spans="1:24" x14ac:dyDescent="0.3">
      <c r="A3672" t="s">
        <v>2857</v>
      </c>
      <c r="C3672" t="s">
        <v>2858</v>
      </c>
      <c r="D3672" s="1">
        <v>46062</v>
      </c>
      <c r="E3672" t="s">
        <v>2859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730</v>
      </c>
      <c r="K3672" t="s">
        <v>2860</v>
      </c>
      <c r="L3672">
        <v>85340</v>
      </c>
      <c r="M3672" t="s">
        <v>2862</v>
      </c>
      <c r="O3672" t="s">
        <v>11</v>
      </c>
      <c r="P3672">
        <v>5403</v>
      </c>
      <c r="Q3672">
        <v>14</v>
      </c>
      <c r="R3672">
        <v>64.819999999999993</v>
      </c>
      <c r="S3672">
        <v>907.48</v>
      </c>
      <c r="T3672">
        <v>688.8</v>
      </c>
      <c r="U3672">
        <v>24.1</v>
      </c>
      <c r="V3672" t="str">
        <f>VLOOKUP(L3672,'[2]tabela de preços'!$A:$D,4,0)</f>
        <v>DÁVILA  INOVE</v>
      </c>
      <c r="W3672" t="str">
        <f>VLOOKUP(L3672,'[2]tabela de preços'!$A:$F,6,0)</f>
        <v>TEXTURA</v>
      </c>
      <c r="X3672" t="str">
        <f>VLOOKUP(L3672,'[2]tabela de preços'!$A:$G,7,0)</f>
        <v>IMOBILIÁRIO</v>
      </c>
    </row>
    <row r="3673" spans="1:24" x14ac:dyDescent="0.3">
      <c r="A3673" t="s">
        <v>2857</v>
      </c>
      <c r="C3673" t="s">
        <v>2858</v>
      </c>
      <c r="D3673" s="1">
        <v>46062</v>
      </c>
      <c r="E3673" t="s">
        <v>2859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730</v>
      </c>
      <c r="K3673" t="s">
        <v>2860</v>
      </c>
      <c r="L3673">
        <v>10118</v>
      </c>
      <c r="M3673" t="s">
        <v>572</v>
      </c>
      <c r="O3673" t="s">
        <v>11</v>
      </c>
      <c r="P3673">
        <v>5102</v>
      </c>
      <c r="Q3673">
        <v>3</v>
      </c>
      <c r="R3673">
        <v>5.0199999999999996</v>
      </c>
      <c r="S3673">
        <v>15.06</v>
      </c>
      <c r="T3673">
        <v>11.43</v>
      </c>
      <c r="U3673">
        <v>24.1</v>
      </c>
      <c r="V3673" t="str">
        <f>VLOOKUP(L3673,'[2]tabela de preços'!$A:$D,4,0)</f>
        <v>ATLAS</v>
      </c>
      <c r="W3673" t="str">
        <f>VLOOKUP(L3673,'[2]tabela de preços'!$A:$F,6,0)</f>
        <v>ROLOS / TRINCHAS / PINCÉIS / ESPÁTULAS</v>
      </c>
      <c r="X3673" t="str">
        <f>VLOOKUP(L3673,'[2]tabela de preços'!$A:$G,7,0)</f>
        <v>IMOBILIÁRIO</v>
      </c>
    </row>
    <row r="3674" spans="1:24" x14ac:dyDescent="0.3">
      <c r="A3674" t="s">
        <v>2857</v>
      </c>
      <c r="C3674" t="s">
        <v>3292</v>
      </c>
      <c r="D3674" s="1">
        <v>46066</v>
      </c>
      <c r="E3674" t="s">
        <v>3293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730</v>
      </c>
      <c r="K3674" t="s">
        <v>2860</v>
      </c>
      <c r="L3674">
        <v>84036</v>
      </c>
      <c r="M3674" t="s">
        <v>289</v>
      </c>
      <c r="O3674" t="s">
        <v>11</v>
      </c>
      <c r="P3674">
        <v>5102</v>
      </c>
      <c r="Q3674">
        <v>8</v>
      </c>
      <c r="R3674">
        <v>47.9</v>
      </c>
      <c r="S3674">
        <v>383.2</v>
      </c>
      <c r="T3674">
        <v>333.04</v>
      </c>
      <c r="U3674">
        <v>13.09</v>
      </c>
      <c r="V3674" t="str">
        <f>VLOOKUP(L3674,'[2]tabela de preços'!$A:$D,4,0)</f>
        <v>BRASILUX</v>
      </c>
      <c r="W3674" t="str">
        <f>VLOOKUP(L3674,'[2]tabela de preços'!$A:$F,6,0)</f>
        <v>MASSA CORRIDA / ACRÍLICA</v>
      </c>
      <c r="X3674" t="str">
        <f>VLOOKUP(L3674,'[2]tabela de preços'!$A:$G,7,0)</f>
        <v>IMOBILIÁRIO</v>
      </c>
    </row>
    <row r="3675" spans="1:24" x14ac:dyDescent="0.3">
      <c r="A3675" t="s">
        <v>2155</v>
      </c>
      <c r="C3675" t="s">
        <v>2998</v>
      </c>
      <c r="D3675" s="1">
        <v>46063</v>
      </c>
      <c r="E3675" t="s">
        <v>2999</v>
      </c>
      <c r="F3675">
        <v>9</v>
      </c>
      <c r="G3675">
        <v>145</v>
      </c>
      <c r="H3675" t="str">
        <f>VLOOKUP(G3675,[1]OPERADORES!$A:$B,2,0)</f>
        <v xml:space="preserve">FABRICIA </v>
      </c>
      <c r="I3675" t="s">
        <v>21</v>
      </c>
      <c r="J3675" t="s">
        <v>66</v>
      </c>
      <c r="K3675" t="s">
        <v>2158</v>
      </c>
      <c r="L3675">
        <v>83870</v>
      </c>
      <c r="M3675" t="s">
        <v>191</v>
      </c>
      <c r="O3675" t="s">
        <v>11</v>
      </c>
      <c r="P3675">
        <v>5102</v>
      </c>
      <c r="Q3675">
        <v>2</v>
      </c>
      <c r="R3675">
        <v>41.3</v>
      </c>
      <c r="S3675">
        <v>82.6</v>
      </c>
      <c r="T3675">
        <v>62.7</v>
      </c>
      <c r="U3675">
        <v>24.09</v>
      </c>
      <c r="V3675" t="str">
        <f>VLOOKUP(L3675,'[2]tabela de preços'!$A:$D,4,0)</f>
        <v>VONIXX</v>
      </c>
      <c r="W3675" t="str">
        <f>VLOOKUP(L3675,'[2]tabela de preços'!$A:$F,6,0)</f>
        <v>LINHA DE HIGENIZAÇÃO E ESTÉTICA  AUTOMOTIVA</v>
      </c>
      <c r="X3675" t="str">
        <f>VLOOKUP(L3675,'[2]tabela de preços'!$A:$G,7,0)</f>
        <v>AUTOMOTIVO</v>
      </c>
    </row>
    <row r="3676" spans="1:24" x14ac:dyDescent="0.3">
      <c r="A3676" t="s">
        <v>2155</v>
      </c>
      <c r="C3676" t="s">
        <v>2998</v>
      </c>
      <c r="D3676" s="1">
        <v>46063</v>
      </c>
      <c r="E3676" t="s">
        <v>2999</v>
      </c>
      <c r="F3676">
        <v>9</v>
      </c>
      <c r="G3676">
        <v>145</v>
      </c>
      <c r="H3676" t="str">
        <f>VLOOKUP(G3676,[1]OPERADORES!$A:$B,2,0)</f>
        <v xml:space="preserve">FABRICIA </v>
      </c>
      <c r="I3676" t="s">
        <v>21</v>
      </c>
      <c r="J3676" t="s">
        <v>66</v>
      </c>
      <c r="K3676" t="s">
        <v>2158</v>
      </c>
      <c r="L3676">
        <v>23716</v>
      </c>
      <c r="M3676" t="s">
        <v>220</v>
      </c>
      <c r="O3676" t="s">
        <v>11</v>
      </c>
      <c r="P3676">
        <v>5102</v>
      </c>
      <c r="Q3676">
        <v>2</v>
      </c>
      <c r="R3676">
        <v>40.71</v>
      </c>
      <c r="S3676">
        <v>81.42</v>
      </c>
      <c r="T3676">
        <v>61.8</v>
      </c>
      <c r="U3676">
        <v>24.1</v>
      </c>
      <c r="V3676" t="str">
        <f>VLOOKUP(L3676,'[2]tabela de preços'!$A:$D,4,0)</f>
        <v>NEW PAD</v>
      </c>
      <c r="W3676" t="str">
        <f>VLOOKUP(L3676,'[2]tabela de preços'!$A:$F,6,0)</f>
        <v>BOINAS PARA POLIMENTO</v>
      </c>
      <c r="X3676" t="str">
        <f>VLOOKUP(L3676,'[2]tabela de preços'!$A:$G,7,0)</f>
        <v>AUTOMOTIVO</v>
      </c>
    </row>
    <row r="3677" spans="1:24" x14ac:dyDescent="0.3">
      <c r="A3677" t="s">
        <v>2155</v>
      </c>
      <c r="C3677" t="s">
        <v>2998</v>
      </c>
      <c r="D3677" s="1">
        <v>46063</v>
      </c>
      <c r="E3677" t="s">
        <v>2999</v>
      </c>
      <c r="F3677">
        <v>9</v>
      </c>
      <c r="G3677">
        <v>145</v>
      </c>
      <c r="H3677" t="str">
        <f>VLOOKUP(G3677,[1]OPERADORES!$A:$B,2,0)</f>
        <v xml:space="preserve">FABRICIA </v>
      </c>
      <c r="I3677" t="s">
        <v>21</v>
      </c>
      <c r="J3677" t="s">
        <v>66</v>
      </c>
      <c r="K3677" t="s">
        <v>2158</v>
      </c>
      <c r="L3677">
        <v>22653</v>
      </c>
      <c r="M3677" t="s">
        <v>1498</v>
      </c>
      <c r="O3677" t="s">
        <v>11</v>
      </c>
      <c r="P3677">
        <v>5102</v>
      </c>
      <c r="Q3677">
        <v>12</v>
      </c>
      <c r="R3677">
        <v>17.79</v>
      </c>
      <c r="S3677">
        <v>213.48</v>
      </c>
      <c r="T3677">
        <v>162</v>
      </c>
      <c r="U3677">
        <v>24.11</v>
      </c>
      <c r="V3677" t="str">
        <f>VLOOKUP(L3677,'[2]tabela de preços'!$A:$D,4,0)</f>
        <v>WANDA</v>
      </c>
      <c r="W3677" t="str">
        <f>VLOOKUP(L3677,'[2]tabela de preços'!$A:$F,6,0)</f>
        <v>EMBALAGEM</v>
      </c>
      <c r="X3677" t="str">
        <f>VLOOKUP(L3677,'[2]tabela de preços'!$A:$G,7,0)</f>
        <v>AUTOMOTIVO</v>
      </c>
    </row>
    <row r="3678" spans="1:24" x14ac:dyDescent="0.3">
      <c r="A3678" t="s">
        <v>2164</v>
      </c>
      <c r="C3678" t="s">
        <v>2473</v>
      </c>
      <c r="D3678" s="1">
        <v>46055</v>
      </c>
      <c r="E3678" t="s">
        <v>2474</v>
      </c>
      <c r="F3678">
        <v>9</v>
      </c>
      <c r="G3678">
        <v>236</v>
      </c>
      <c r="H3678" t="str">
        <f>VLOOKUP(G3678,[1]OPERADORES!$A:$B,2,0)</f>
        <v>DANIEL</v>
      </c>
      <c r="I3678" t="s">
        <v>21</v>
      </c>
      <c r="J3678" t="s">
        <v>2167</v>
      </c>
      <c r="K3678" t="s">
        <v>2168</v>
      </c>
      <c r="L3678">
        <v>83992</v>
      </c>
      <c r="M3678" t="s">
        <v>1038</v>
      </c>
      <c r="O3678" t="s">
        <v>11</v>
      </c>
      <c r="P3678">
        <v>5102</v>
      </c>
      <c r="Q3678">
        <v>150</v>
      </c>
      <c r="R3678">
        <v>2.84</v>
      </c>
      <c r="S3678">
        <v>426</v>
      </c>
      <c r="T3678">
        <v>274.5</v>
      </c>
      <c r="U3678">
        <v>35.56</v>
      </c>
      <c r="V3678" t="str">
        <f>VLOOKUP(L3678,'[2]tabela de preços'!$A:$D,4,0)</f>
        <v>3M</v>
      </c>
      <c r="W3678" t="str">
        <f>VLOOKUP(L3678,'[2]tabela de preços'!$A:$F,6,0)</f>
        <v>LIXA FERRO</v>
      </c>
      <c r="X3678" t="str">
        <f>VLOOKUP(L3678,'[2]tabela de preços'!$A:$G,7,0)</f>
        <v>IMOBILIÁRIO</v>
      </c>
    </row>
    <row r="3679" spans="1:24" x14ac:dyDescent="0.3">
      <c r="A3679" t="s">
        <v>2164</v>
      </c>
      <c r="C3679" t="s">
        <v>3000</v>
      </c>
      <c r="D3679" s="1">
        <v>46064</v>
      </c>
      <c r="E3679" t="s">
        <v>3001</v>
      </c>
      <c r="F3679">
        <v>9</v>
      </c>
      <c r="G3679">
        <v>236</v>
      </c>
      <c r="H3679" t="str">
        <f>VLOOKUP(G3679,[1]OPERADORES!$A:$B,2,0)</f>
        <v>DANIEL</v>
      </c>
      <c r="I3679" t="s">
        <v>21</v>
      </c>
      <c r="J3679" t="s">
        <v>2167</v>
      </c>
      <c r="K3679" t="s">
        <v>2168</v>
      </c>
      <c r="L3679">
        <v>85328</v>
      </c>
      <c r="M3679" t="s">
        <v>605</v>
      </c>
      <c r="O3679" t="s">
        <v>11</v>
      </c>
      <c r="P3679">
        <v>5102</v>
      </c>
      <c r="Q3679">
        <v>1</v>
      </c>
      <c r="R3679">
        <v>579.12</v>
      </c>
      <c r="S3679">
        <v>579.12</v>
      </c>
      <c r="T3679">
        <v>403.43</v>
      </c>
      <c r="U3679">
        <v>30.34</v>
      </c>
      <c r="V3679" t="str">
        <f>VLOOKUP(L3679,'[2]tabela de preços'!$A:$D,4,0)</f>
        <v>BRASILUX</v>
      </c>
      <c r="W3679" t="str">
        <f>VLOOKUP(L3679,'[2]tabela de preços'!$A:$F,6,0)</f>
        <v>TINTA EM PÓ</v>
      </c>
      <c r="X3679" t="str">
        <f>VLOOKUP(L3679,'[2]tabela de preços'!$A:$G,7,0)</f>
        <v>INDUSTRIAL</v>
      </c>
    </row>
    <row r="3680" spans="1:24" x14ac:dyDescent="0.3">
      <c r="A3680" t="s">
        <v>2164</v>
      </c>
      <c r="C3680" t="s">
        <v>3294</v>
      </c>
      <c r="D3680" s="1">
        <v>46072</v>
      </c>
      <c r="E3680" t="s">
        <v>3295</v>
      </c>
      <c r="F3680">
        <v>9</v>
      </c>
      <c r="G3680">
        <v>236</v>
      </c>
      <c r="H3680" t="str">
        <f>VLOOKUP(G3680,[1]OPERADORES!$A:$B,2,0)</f>
        <v>DANIEL</v>
      </c>
      <c r="I3680" t="s">
        <v>21</v>
      </c>
      <c r="J3680" t="s">
        <v>2167</v>
      </c>
      <c r="K3680" t="s">
        <v>2168</v>
      </c>
      <c r="L3680">
        <v>85626</v>
      </c>
      <c r="M3680" t="s">
        <v>1040</v>
      </c>
      <c r="O3680" t="s">
        <v>11</v>
      </c>
      <c r="P3680">
        <v>5102</v>
      </c>
      <c r="Q3680">
        <v>2</v>
      </c>
      <c r="R3680">
        <v>34.9</v>
      </c>
      <c r="S3680">
        <v>69.8</v>
      </c>
      <c r="T3680">
        <v>57.36</v>
      </c>
      <c r="U3680">
        <v>17.82</v>
      </c>
      <c r="V3680" t="str">
        <f>VLOOKUP(L3680,'[2]tabela de preços'!$A:$D,4,0)</f>
        <v>WD-40</v>
      </c>
      <c r="W3680" t="str">
        <f>VLOOKUP(L3680,'[2]tabela de preços'!$A:$F,6,0)</f>
        <v>DESENGRIPANTE</v>
      </c>
      <c r="X3680" t="str">
        <f>VLOOKUP(L3680,'[2]tabela de preços'!$A:$G,7,0)</f>
        <v>AUTOMOTIVO</v>
      </c>
    </row>
    <row r="3681" spans="1:24" x14ac:dyDescent="0.3">
      <c r="A3681" t="s">
        <v>2164</v>
      </c>
      <c r="C3681" t="s">
        <v>3294</v>
      </c>
      <c r="D3681" s="1">
        <v>46072</v>
      </c>
      <c r="E3681" t="s">
        <v>3295</v>
      </c>
      <c r="F3681">
        <v>9</v>
      </c>
      <c r="G3681">
        <v>236</v>
      </c>
      <c r="H3681" t="str">
        <f>VLOOKUP(G3681,[1]OPERADORES!$A:$B,2,0)</f>
        <v>DANIEL</v>
      </c>
      <c r="I3681" t="s">
        <v>21</v>
      </c>
      <c r="J3681" t="s">
        <v>2167</v>
      </c>
      <c r="K3681" t="s">
        <v>2168</v>
      </c>
      <c r="L3681">
        <v>10298</v>
      </c>
      <c r="M3681" t="s">
        <v>85</v>
      </c>
      <c r="O3681" t="s">
        <v>11</v>
      </c>
      <c r="P3681">
        <v>5102</v>
      </c>
      <c r="Q3681">
        <v>2</v>
      </c>
      <c r="R3681">
        <v>56.89</v>
      </c>
      <c r="S3681">
        <v>113.78</v>
      </c>
      <c r="T3681">
        <v>94.76</v>
      </c>
      <c r="U3681">
        <v>16.72</v>
      </c>
      <c r="V3681" t="str">
        <f>VLOOKUP(L3681,'[2]tabela de preços'!$A:$D,4,0)</f>
        <v>ANJO</v>
      </c>
      <c r="W3681" t="str">
        <f>VLOOKUP(L3681,'[2]tabela de preços'!$A:$F,6,0)</f>
        <v>THINNER DE LIMPEZA</v>
      </c>
      <c r="X3681" t="str">
        <f>VLOOKUP(L3681,'[2]tabela de preços'!$A:$G,7,0)</f>
        <v>THINNER</v>
      </c>
    </row>
    <row r="3682" spans="1:24" x14ac:dyDescent="0.3">
      <c r="A3682" t="s">
        <v>2164</v>
      </c>
      <c r="C3682" t="s">
        <v>3294</v>
      </c>
      <c r="D3682" s="1">
        <v>46072</v>
      </c>
      <c r="E3682" t="s">
        <v>3295</v>
      </c>
      <c r="F3682">
        <v>9</v>
      </c>
      <c r="G3682">
        <v>236</v>
      </c>
      <c r="H3682" t="str">
        <f>VLOOKUP(G3682,[1]OPERADORES!$A:$B,2,0)</f>
        <v>DANIEL</v>
      </c>
      <c r="I3682" t="s">
        <v>21</v>
      </c>
      <c r="J3682" t="s">
        <v>2167</v>
      </c>
      <c r="K3682" t="s">
        <v>2168</v>
      </c>
      <c r="L3682">
        <v>85401</v>
      </c>
      <c r="M3682" t="s">
        <v>261</v>
      </c>
      <c r="O3682" t="s">
        <v>11</v>
      </c>
      <c r="P3682">
        <v>5102</v>
      </c>
      <c r="Q3682">
        <v>1</v>
      </c>
      <c r="R3682">
        <v>655.78</v>
      </c>
      <c r="S3682">
        <v>655.78</v>
      </c>
      <c r="T3682">
        <v>451.64</v>
      </c>
      <c r="U3682">
        <v>31.13</v>
      </c>
      <c r="V3682" t="str">
        <f>VLOOKUP(L3682,'[2]tabela de preços'!$A:$D,4,0)</f>
        <v>BRASILUX</v>
      </c>
      <c r="W3682" t="str">
        <f>VLOOKUP(L3682,'[2]tabela de preços'!$A:$F,6,0)</f>
        <v>TINTA EM PÓ</v>
      </c>
      <c r="X3682" t="str">
        <f>VLOOKUP(L3682,'[2]tabela de preços'!$A:$G,7,0)</f>
        <v>INDUSTRIAL</v>
      </c>
    </row>
    <row r="3683" spans="1:24" x14ac:dyDescent="0.3">
      <c r="A3683" t="s">
        <v>2164</v>
      </c>
      <c r="C3683" t="s">
        <v>3294</v>
      </c>
      <c r="D3683" s="1">
        <v>46072</v>
      </c>
      <c r="E3683" t="s">
        <v>3296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2167</v>
      </c>
      <c r="K3683" t="s">
        <v>2168</v>
      </c>
      <c r="L3683">
        <v>85558</v>
      </c>
      <c r="M3683" t="s">
        <v>1643</v>
      </c>
      <c r="O3683" t="s">
        <v>11</v>
      </c>
      <c r="P3683">
        <v>5405</v>
      </c>
      <c r="Q3683">
        <v>1</v>
      </c>
      <c r="R3683">
        <v>170.27</v>
      </c>
      <c r="S3683">
        <v>170.27</v>
      </c>
      <c r="T3683">
        <v>124.83</v>
      </c>
      <c r="U3683">
        <v>26.69</v>
      </c>
      <c r="V3683" t="str">
        <f>VLOOKUP(L3683,'[2]tabela de preços'!$A:$D,4,0)</f>
        <v>BRASILUX</v>
      </c>
      <c r="W3683" t="str">
        <f>VLOOKUP(L3683,'[2]tabela de preços'!$A:$F,6,0)</f>
        <v>EPOXI</v>
      </c>
      <c r="X3683" t="str">
        <f>VLOOKUP(L3683,'[2]tabela de preços'!$A:$G,7,0)</f>
        <v>INDUSTRIAL</v>
      </c>
    </row>
    <row r="3684" spans="1:24" x14ac:dyDescent="0.3">
      <c r="A3684" t="s">
        <v>2164</v>
      </c>
      <c r="C3684" t="s">
        <v>3294</v>
      </c>
      <c r="D3684" s="1">
        <v>46072</v>
      </c>
      <c r="E3684" t="s">
        <v>3296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2167</v>
      </c>
      <c r="K3684" t="s">
        <v>2168</v>
      </c>
      <c r="L3684">
        <v>85292</v>
      </c>
      <c r="M3684" t="s">
        <v>1288</v>
      </c>
      <c r="O3684" t="s">
        <v>11</v>
      </c>
      <c r="P3684">
        <v>5403</v>
      </c>
      <c r="Q3684">
        <v>1</v>
      </c>
      <c r="R3684">
        <v>169.39</v>
      </c>
      <c r="S3684">
        <v>169.39</v>
      </c>
      <c r="T3684">
        <v>128.57</v>
      </c>
      <c r="U3684">
        <v>24.1</v>
      </c>
      <c r="V3684" t="str">
        <f>VLOOKUP(L3684,'[2]tabela de preços'!$A:$D,4,0)</f>
        <v>BRASILUX</v>
      </c>
      <c r="W3684" t="str">
        <f>VLOOKUP(L3684,'[2]tabela de preços'!$A:$F,6,0)</f>
        <v>EPOXI</v>
      </c>
      <c r="X3684" t="str">
        <f>VLOOKUP(L3684,'[2]tabela de preços'!$A:$G,7,0)</f>
        <v>INDUSTRIAL</v>
      </c>
    </row>
    <row r="3685" spans="1:24" x14ac:dyDescent="0.3">
      <c r="A3685" t="s">
        <v>2171</v>
      </c>
      <c r="C3685" t="s">
        <v>2728</v>
      </c>
      <c r="D3685" s="1">
        <v>46057</v>
      </c>
      <c r="E3685" t="s">
        <v>2729</v>
      </c>
      <c r="F3685">
        <v>9</v>
      </c>
      <c r="G3685">
        <v>230</v>
      </c>
      <c r="H3685" t="str">
        <f>VLOOKUP(G3685,[1]OPERADORES!$A:$B,2,0)</f>
        <v>SÔNIA</v>
      </c>
      <c r="I3685" t="s">
        <v>21</v>
      </c>
      <c r="J3685" t="s">
        <v>2174</v>
      </c>
      <c r="K3685" t="s">
        <v>2175</v>
      </c>
      <c r="L3685">
        <v>9804</v>
      </c>
      <c r="M3685" t="s">
        <v>1190</v>
      </c>
      <c r="O3685" t="s">
        <v>11</v>
      </c>
      <c r="P3685">
        <v>5102</v>
      </c>
      <c r="Q3685">
        <v>1</v>
      </c>
      <c r="R3685">
        <v>37.04</v>
      </c>
      <c r="S3685">
        <v>37.04</v>
      </c>
      <c r="T3685">
        <v>28.11</v>
      </c>
      <c r="U3685">
        <v>24.11</v>
      </c>
      <c r="V3685" t="str">
        <f>VLOOKUP(L3685,'[2]tabela de preços'!$A:$D,4,0)</f>
        <v>WANDA</v>
      </c>
      <c r="W3685" t="str">
        <f>VLOOKUP(L3685,'[2]tabela de preços'!$A:$F,6,0)</f>
        <v>DESENGRAXANTE</v>
      </c>
      <c r="X3685" t="str">
        <f>VLOOKUP(L3685,'[2]tabela de preços'!$A:$G,7,0)</f>
        <v>AUTOMOTIVO</v>
      </c>
    </row>
    <row r="3686" spans="1:24" x14ac:dyDescent="0.3">
      <c r="A3686" t="s">
        <v>2171</v>
      </c>
      <c r="C3686" t="s">
        <v>2728</v>
      </c>
      <c r="D3686" s="1">
        <v>46057</v>
      </c>
      <c r="E3686" t="s">
        <v>2729</v>
      </c>
      <c r="F3686">
        <v>9</v>
      </c>
      <c r="G3686">
        <v>230</v>
      </c>
      <c r="H3686" t="str">
        <f>VLOOKUP(G3686,[1]OPERADORES!$A:$B,2,0)</f>
        <v>SÔNIA</v>
      </c>
      <c r="I3686" t="s">
        <v>21</v>
      </c>
      <c r="J3686" t="s">
        <v>2174</v>
      </c>
      <c r="K3686" t="s">
        <v>2175</v>
      </c>
      <c r="L3686">
        <v>10266</v>
      </c>
      <c r="M3686" t="s">
        <v>117</v>
      </c>
      <c r="O3686" t="s">
        <v>11</v>
      </c>
      <c r="P3686">
        <v>5102</v>
      </c>
      <c r="Q3686">
        <v>5</v>
      </c>
      <c r="R3686">
        <v>11.41</v>
      </c>
      <c r="S3686">
        <v>57.05</v>
      </c>
      <c r="T3686">
        <v>43.3</v>
      </c>
      <c r="U3686">
        <v>24.1</v>
      </c>
      <c r="V3686" t="str">
        <f>VLOOKUP(L3686,'[2]tabela de preços'!$A:$D,4,0)</f>
        <v>NORTON</v>
      </c>
      <c r="W3686" t="str">
        <f>VLOOKUP(L3686,'[2]tabela de preços'!$A:$F,6,0)</f>
        <v xml:space="preserve">DISCOS / LIXAS / ABRASIVOS </v>
      </c>
      <c r="X3686" t="str">
        <f>VLOOKUP(L3686,'[2]tabela de preços'!$A:$G,7,0)</f>
        <v>AUTOMOTIVO</v>
      </c>
    </row>
    <row r="3687" spans="1:24" x14ac:dyDescent="0.3">
      <c r="A3687" t="s">
        <v>2171</v>
      </c>
      <c r="C3687" t="s">
        <v>2728</v>
      </c>
      <c r="D3687" s="1">
        <v>46057</v>
      </c>
      <c r="E3687" t="s">
        <v>2729</v>
      </c>
      <c r="F3687">
        <v>9</v>
      </c>
      <c r="G3687">
        <v>230</v>
      </c>
      <c r="H3687" t="str">
        <f>VLOOKUP(G3687,[1]OPERADORES!$A:$B,2,0)</f>
        <v>SÔNIA</v>
      </c>
      <c r="I3687" t="s">
        <v>21</v>
      </c>
      <c r="J3687" t="s">
        <v>2174</v>
      </c>
      <c r="K3687" t="s">
        <v>2175</v>
      </c>
      <c r="L3687">
        <v>5</v>
      </c>
      <c r="M3687" t="s">
        <v>147</v>
      </c>
      <c r="O3687" t="s">
        <v>11</v>
      </c>
      <c r="P3687">
        <v>5102</v>
      </c>
      <c r="Q3687">
        <v>1</v>
      </c>
      <c r="R3687">
        <v>6.06</v>
      </c>
      <c r="S3687">
        <v>6.06</v>
      </c>
      <c r="T3687">
        <v>3.91</v>
      </c>
      <c r="U3687">
        <v>35.479999999999997</v>
      </c>
      <c r="V3687" t="str">
        <f>VLOOKUP(L3687,'[2]tabela de preços'!$A:$D,4,0)</f>
        <v>BRILHO ESTOPA</v>
      </c>
      <c r="W3687" t="str">
        <f>VLOOKUP(L3687,'[2]tabela de preços'!$A:$F,6,0)</f>
        <v>ESTOPAS</v>
      </c>
      <c r="X3687" t="str">
        <f>VLOOKUP(L3687,'[2]tabela de preços'!$A:$G,7,0)</f>
        <v>AUTOMOTIVO</v>
      </c>
    </row>
    <row r="3688" spans="1:24" x14ac:dyDescent="0.3">
      <c r="A3688" t="s">
        <v>2171</v>
      </c>
      <c r="C3688" t="s">
        <v>2728</v>
      </c>
      <c r="D3688" s="1">
        <v>46057</v>
      </c>
      <c r="E3688" t="s">
        <v>2729</v>
      </c>
      <c r="F3688">
        <v>9</v>
      </c>
      <c r="G3688">
        <v>230</v>
      </c>
      <c r="H3688" t="str">
        <f>VLOOKUP(G3688,[1]OPERADORES!$A:$B,2,0)</f>
        <v>SÔNIA</v>
      </c>
      <c r="I3688" t="s">
        <v>21</v>
      </c>
      <c r="J3688" t="s">
        <v>2174</v>
      </c>
      <c r="K3688" t="s">
        <v>2175</v>
      </c>
      <c r="L3688">
        <v>22173</v>
      </c>
      <c r="M3688" t="s">
        <v>194</v>
      </c>
      <c r="O3688" t="s">
        <v>11</v>
      </c>
      <c r="P3688">
        <v>5102</v>
      </c>
      <c r="Q3688">
        <v>4</v>
      </c>
      <c r="R3688">
        <v>4.58</v>
      </c>
      <c r="S3688">
        <v>18.32</v>
      </c>
      <c r="T3688">
        <v>13.92</v>
      </c>
      <c r="U3688">
        <v>24.02</v>
      </c>
      <c r="V3688" t="str">
        <f>VLOOKUP(L3688,'[2]tabela de preços'!$A:$D,4,0)</f>
        <v>3M</v>
      </c>
      <c r="W3688" t="str">
        <f>VLOOKUP(L3688,'[2]tabela de preços'!$A:$F,6,0)</f>
        <v>FITA AUTOMOTIVA</v>
      </c>
      <c r="X3688" t="str">
        <f>VLOOKUP(L3688,'[2]tabela de preços'!$A:$G,7,0)</f>
        <v>AUTOMOTIVO</v>
      </c>
    </row>
    <row r="3689" spans="1:24" x14ac:dyDescent="0.3">
      <c r="A3689" t="s">
        <v>2171</v>
      </c>
      <c r="C3689" t="s">
        <v>2728</v>
      </c>
      <c r="D3689" s="1">
        <v>46057</v>
      </c>
      <c r="E3689" t="s">
        <v>2729</v>
      </c>
      <c r="F3689">
        <v>9</v>
      </c>
      <c r="G3689">
        <v>230</v>
      </c>
      <c r="H3689" t="str">
        <f>VLOOKUP(G3689,[1]OPERADORES!$A:$B,2,0)</f>
        <v>SÔNIA</v>
      </c>
      <c r="I3689" t="s">
        <v>21</v>
      </c>
      <c r="J3689" t="s">
        <v>2174</v>
      </c>
      <c r="K3689" t="s">
        <v>2175</v>
      </c>
      <c r="L3689">
        <v>22188</v>
      </c>
      <c r="M3689" t="s">
        <v>78</v>
      </c>
      <c r="O3689" t="s">
        <v>11</v>
      </c>
      <c r="P3689">
        <v>5102</v>
      </c>
      <c r="Q3689">
        <v>2</v>
      </c>
      <c r="R3689">
        <v>14.35</v>
      </c>
      <c r="S3689">
        <v>28.7</v>
      </c>
      <c r="T3689">
        <v>21.78</v>
      </c>
      <c r="U3689">
        <v>24.11</v>
      </c>
      <c r="V3689" t="str">
        <f>VLOOKUP(L3689,'[2]tabela de preços'!$A:$D,4,0)</f>
        <v>3M</v>
      </c>
      <c r="W3689" t="str">
        <f>VLOOKUP(L3689,'[2]tabela de preços'!$A:$F,6,0)</f>
        <v>FITA AUTOMOTIVA</v>
      </c>
      <c r="X3689" t="str">
        <f>VLOOKUP(L3689,'[2]tabela de preços'!$A:$G,7,0)</f>
        <v>AUTOMOTIVO</v>
      </c>
    </row>
    <row r="3690" spans="1:24" x14ac:dyDescent="0.3">
      <c r="A3690" t="s">
        <v>2171</v>
      </c>
      <c r="C3690" t="s">
        <v>2728</v>
      </c>
      <c r="D3690" s="1">
        <v>46057</v>
      </c>
      <c r="E3690" t="s">
        <v>2729</v>
      </c>
      <c r="F3690">
        <v>9</v>
      </c>
      <c r="G3690">
        <v>230</v>
      </c>
      <c r="H3690" t="str">
        <f>VLOOKUP(G3690,[1]OPERADORES!$A:$B,2,0)</f>
        <v>SÔNIA</v>
      </c>
      <c r="I3690" t="s">
        <v>21</v>
      </c>
      <c r="J3690" t="s">
        <v>2174</v>
      </c>
      <c r="K3690" t="s">
        <v>2175</v>
      </c>
      <c r="L3690">
        <v>9775</v>
      </c>
      <c r="M3690" t="s">
        <v>708</v>
      </c>
      <c r="O3690" t="s">
        <v>11</v>
      </c>
      <c r="P3690">
        <v>5102</v>
      </c>
      <c r="Q3690">
        <v>1</v>
      </c>
      <c r="R3690">
        <v>54.57</v>
      </c>
      <c r="S3690">
        <v>54.57</v>
      </c>
      <c r="T3690">
        <v>41.42</v>
      </c>
      <c r="U3690">
        <v>24.1</v>
      </c>
      <c r="V3690" t="str">
        <f>VLOOKUP(L3690,'[2]tabela de preços'!$A:$D,4,0)</f>
        <v>SIKKENS</v>
      </c>
      <c r="W3690" t="str">
        <f>VLOOKUP(L3690,'[2]tabela de preços'!$A:$F,6,0)</f>
        <v>CATALISADORES INDIVIDUAS</v>
      </c>
      <c r="X3690" t="str">
        <f>VLOOKUP(L3690,'[2]tabela de preços'!$A:$G,7,0)</f>
        <v>AUTOMOTIVO</v>
      </c>
    </row>
    <row r="3691" spans="1:24" x14ac:dyDescent="0.3">
      <c r="A3691" t="s">
        <v>2171</v>
      </c>
      <c r="C3691" t="s">
        <v>2728</v>
      </c>
      <c r="D3691" s="1">
        <v>46057</v>
      </c>
      <c r="E3691" t="s">
        <v>2729</v>
      </c>
      <c r="F3691">
        <v>9</v>
      </c>
      <c r="G3691">
        <v>230</v>
      </c>
      <c r="H3691" t="str">
        <f>VLOOKUP(G3691,[1]OPERADORES!$A:$B,2,0)</f>
        <v>SÔNIA</v>
      </c>
      <c r="I3691" t="s">
        <v>21</v>
      </c>
      <c r="J3691" t="s">
        <v>2174</v>
      </c>
      <c r="K3691" t="s">
        <v>2175</v>
      </c>
      <c r="L3691">
        <v>87109</v>
      </c>
      <c r="M3691" t="s">
        <v>2201</v>
      </c>
      <c r="O3691" t="s">
        <v>11</v>
      </c>
      <c r="P3691">
        <v>5102</v>
      </c>
      <c r="Q3691">
        <v>1</v>
      </c>
      <c r="R3691">
        <v>41.35</v>
      </c>
      <c r="S3691">
        <v>41.35</v>
      </c>
      <c r="T3691">
        <v>31.39</v>
      </c>
      <c r="U3691">
        <v>24.09</v>
      </c>
      <c r="V3691" t="str">
        <f>VLOOKUP(L3691,'[2]tabela de preços'!$A:$D,4,0)</f>
        <v>SHERWIN WILLIAMS</v>
      </c>
      <c r="W3691" t="str">
        <f>VLOOKUP(L3691,'[2]tabela de preços'!$A:$F,6,0)</f>
        <v>TINTAS PU</v>
      </c>
      <c r="X3691" t="str">
        <f>VLOOKUP(L3691,'[2]tabela de preços'!$A:$G,7,0)</f>
        <v>AUTOMOTIVO</v>
      </c>
    </row>
    <row r="3692" spans="1:24" x14ac:dyDescent="0.3">
      <c r="A3692" t="s">
        <v>2171</v>
      </c>
      <c r="C3692" t="s">
        <v>2728</v>
      </c>
      <c r="D3692" s="1">
        <v>46057</v>
      </c>
      <c r="E3692" t="s">
        <v>2729</v>
      </c>
      <c r="F3692">
        <v>9</v>
      </c>
      <c r="G3692">
        <v>230</v>
      </c>
      <c r="H3692" t="str">
        <f>VLOOKUP(G3692,[1]OPERADORES!$A:$B,2,0)</f>
        <v>SÔNIA</v>
      </c>
      <c r="I3692" t="s">
        <v>21</v>
      </c>
      <c r="J3692" t="s">
        <v>2174</v>
      </c>
      <c r="K3692" t="s">
        <v>2175</v>
      </c>
      <c r="L3692">
        <v>16</v>
      </c>
      <c r="M3692" t="s">
        <v>122</v>
      </c>
      <c r="O3692" t="s">
        <v>11</v>
      </c>
      <c r="P3692">
        <v>5102</v>
      </c>
      <c r="Q3692">
        <v>8</v>
      </c>
      <c r="R3692">
        <v>2.9</v>
      </c>
      <c r="S3692">
        <v>23.2</v>
      </c>
      <c r="T3692">
        <v>17.600000000000001</v>
      </c>
      <c r="U3692">
        <v>24.14</v>
      </c>
      <c r="V3692" t="str">
        <f>VLOOKUP(L3692,'[2]tabela de preços'!$A:$D,4,0)</f>
        <v>3M</v>
      </c>
      <c r="W3692" t="str">
        <f>VLOOKUP(L3692,'[2]tabela de preços'!$A:$F,6,0)</f>
        <v>LIXA DÁGUA</v>
      </c>
      <c r="X3692" t="str">
        <f>VLOOKUP(L3692,'[2]tabela de preços'!$A:$G,7,0)</f>
        <v>AUTOMOTIVO</v>
      </c>
    </row>
    <row r="3693" spans="1:24" x14ac:dyDescent="0.3">
      <c r="A3693" t="s">
        <v>2171</v>
      </c>
      <c r="C3693" t="s">
        <v>2728</v>
      </c>
      <c r="D3693" s="1">
        <v>46057</v>
      </c>
      <c r="E3693" t="s">
        <v>2729</v>
      </c>
      <c r="F3693">
        <v>9</v>
      </c>
      <c r="G3693">
        <v>230</v>
      </c>
      <c r="H3693" t="str">
        <f>VLOOKUP(G3693,[1]OPERADORES!$A:$B,2,0)</f>
        <v>SÔNIA</v>
      </c>
      <c r="I3693" t="s">
        <v>21</v>
      </c>
      <c r="J3693" t="s">
        <v>2174</v>
      </c>
      <c r="K3693" t="s">
        <v>2175</v>
      </c>
      <c r="L3693">
        <v>10243</v>
      </c>
      <c r="M3693" t="s">
        <v>83</v>
      </c>
      <c r="O3693" t="s">
        <v>11</v>
      </c>
      <c r="P3693">
        <v>5102</v>
      </c>
      <c r="Q3693">
        <v>5</v>
      </c>
      <c r="R3693">
        <v>2.79</v>
      </c>
      <c r="S3693">
        <v>13.95</v>
      </c>
      <c r="T3693">
        <v>9.65</v>
      </c>
      <c r="U3693">
        <v>30.82</v>
      </c>
      <c r="V3693" t="str">
        <f>VLOOKUP(L3693,'[2]tabela de preços'!$A:$D,4,0)</f>
        <v>NORTON</v>
      </c>
      <c r="W3693" t="str">
        <f>VLOOKUP(L3693,'[2]tabela de preços'!$A:$F,6,0)</f>
        <v xml:space="preserve">DISCOS / LIXAS / ABRASIVOS </v>
      </c>
      <c r="X3693" t="str">
        <f>VLOOKUP(L3693,'[2]tabela de preços'!$A:$G,7,0)</f>
        <v>AUTOMOTIVO</v>
      </c>
    </row>
    <row r="3694" spans="1:24" x14ac:dyDescent="0.3">
      <c r="A3694" t="s">
        <v>2171</v>
      </c>
      <c r="C3694" t="s">
        <v>2728</v>
      </c>
      <c r="D3694" s="1">
        <v>46057</v>
      </c>
      <c r="E3694" t="s">
        <v>2729</v>
      </c>
      <c r="F3694">
        <v>9</v>
      </c>
      <c r="G3694">
        <v>230</v>
      </c>
      <c r="H3694" t="str">
        <f>VLOOKUP(G3694,[1]OPERADORES!$A:$B,2,0)</f>
        <v>SÔNIA</v>
      </c>
      <c r="I3694" t="s">
        <v>21</v>
      </c>
      <c r="J3694" t="s">
        <v>2174</v>
      </c>
      <c r="K3694" t="s">
        <v>2175</v>
      </c>
      <c r="L3694">
        <v>10244</v>
      </c>
      <c r="M3694" t="s">
        <v>84</v>
      </c>
      <c r="O3694" t="s">
        <v>11</v>
      </c>
      <c r="P3694">
        <v>5102</v>
      </c>
      <c r="Q3694">
        <v>5</v>
      </c>
      <c r="R3694">
        <v>2.79</v>
      </c>
      <c r="S3694">
        <v>13.95</v>
      </c>
      <c r="T3694">
        <v>9.65</v>
      </c>
      <c r="U3694">
        <v>30.82</v>
      </c>
      <c r="V3694" t="str">
        <f>VLOOKUP(L3694,'[2]tabela de preços'!$A:$D,4,0)</f>
        <v>NORTON</v>
      </c>
      <c r="W3694" t="str">
        <f>VLOOKUP(L3694,'[2]tabela de preços'!$A:$F,6,0)</f>
        <v xml:space="preserve">DISCOS / LIXAS / ABRASIVOS </v>
      </c>
      <c r="X3694" t="str">
        <f>VLOOKUP(L3694,'[2]tabela de preços'!$A:$G,7,0)</f>
        <v>AUTOMOTIVO</v>
      </c>
    </row>
    <row r="3695" spans="1:24" x14ac:dyDescent="0.3">
      <c r="A3695" t="s">
        <v>2171</v>
      </c>
      <c r="C3695" t="s">
        <v>2728</v>
      </c>
      <c r="D3695" s="1">
        <v>46057</v>
      </c>
      <c r="E3695" t="s">
        <v>2729</v>
      </c>
      <c r="F3695">
        <v>9</v>
      </c>
      <c r="G3695">
        <v>230</v>
      </c>
      <c r="H3695" t="str">
        <f>VLOOKUP(G3695,[1]OPERADORES!$A:$B,2,0)</f>
        <v>SÔNIA</v>
      </c>
      <c r="I3695" t="s">
        <v>21</v>
      </c>
      <c r="J3695" t="s">
        <v>2174</v>
      </c>
      <c r="K3695" t="s">
        <v>2175</v>
      </c>
      <c r="L3695">
        <v>10245</v>
      </c>
      <c r="M3695" t="s">
        <v>195</v>
      </c>
      <c r="O3695" t="s">
        <v>11</v>
      </c>
      <c r="P3695">
        <v>5102</v>
      </c>
      <c r="Q3695">
        <v>5</v>
      </c>
      <c r="R3695">
        <v>2.79</v>
      </c>
      <c r="S3695">
        <v>13.95</v>
      </c>
      <c r="T3695">
        <v>9.65</v>
      </c>
      <c r="U3695">
        <v>30.82</v>
      </c>
      <c r="V3695" t="str">
        <f>VLOOKUP(L3695,'[2]tabela de preços'!$A:$D,4,0)</f>
        <v>NORTON</v>
      </c>
      <c r="W3695" t="str">
        <f>VLOOKUP(L3695,'[2]tabela de preços'!$A:$F,6,0)</f>
        <v xml:space="preserve">DISCOS / LIXAS / ABRASIVOS </v>
      </c>
      <c r="X3695" t="str">
        <f>VLOOKUP(L3695,'[2]tabela de preços'!$A:$G,7,0)</f>
        <v>AUTOMOTIVO</v>
      </c>
    </row>
    <row r="3696" spans="1:24" x14ac:dyDescent="0.3">
      <c r="A3696" t="s">
        <v>2171</v>
      </c>
      <c r="C3696" t="s">
        <v>2728</v>
      </c>
      <c r="D3696" s="1">
        <v>46057</v>
      </c>
      <c r="E3696" t="s">
        <v>2729</v>
      </c>
      <c r="F3696">
        <v>9</v>
      </c>
      <c r="G3696">
        <v>230</v>
      </c>
      <c r="H3696" t="str">
        <f>VLOOKUP(G3696,[1]OPERADORES!$A:$B,2,0)</f>
        <v>SÔNIA</v>
      </c>
      <c r="I3696" t="s">
        <v>21</v>
      </c>
      <c r="J3696" t="s">
        <v>2174</v>
      </c>
      <c r="K3696" t="s">
        <v>2175</v>
      </c>
      <c r="L3696">
        <v>9994</v>
      </c>
      <c r="M3696" t="s">
        <v>2730</v>
      </c>
      <c r="O3696" t="s">
        <v>11</v>
      </c>
      <c r="P3696">
        <v>5102</v>
      </c>
      <c r="Q3696">
        <v>1</v>
      </c>
      <c r="R3696">
        <v>44.97</v>
      </c>
      <c r="S3696">
        <v>44.97</v>
      </c>
      <c r="T3696">
        <v>34.14</v>
      </c>
      <c r="U3696">
        <v>24.08</v>
      </c>
      <c r="V3696" t="str">
        <f>VLOOKUP(L3696,'[2]tabela de preços'!$A:$D,4,0)</f>
        <v>SIKKENS</v>
      </c>
      <c r="W3696" t="str">
        <f>VLOOKUP(L3696,'[2]tabela de preços'!$A:$F,6,0)</f>
        <v>DILUENTE</v>
      </c>
      <c r="X3696" t="str">
        <f>VLOOKUP(L3696,'[2]tabela de preços'!$A:$G,7,0)</f>
        <v>AUTOMOTIVO</v>
      </c>
    </row>
    <row r="3697" spans="1:24" x14ac:dyDescent="0.3">
      <c r="A3697" t="s">
        <v>2171</v>
      </c>
      <c r="C3697" t="s">
        <v>2728</v>
      </c>
      <c r="D3697" s="1">
        <v>46057</v>
      </c>
      <c r="E3697" t="s">
        <v>2729</v>
      </c>
      <c r="F3697">
        <v>9</v>
      </c>
      <c r="G3697">
        <v>230</v>
      </c>
      <c r="H3697" t="str">
        <f>VLOOKUP(G3697,[1]OPERADORES!$A:$B,2,0)</f>
        <v>SÔNIA</v>
      </c>
      <c r="I3697" t="s">
        <v>21</v>
      </c>
      <c r="J3697" t="s">
        <v>2174</v>
      </c>
      <c r="K3697" t="s">
        <v>2175</v>
      </c>
      <c r="L3697">
        <v>20212</v>
      </c>
      <c r="M3697" t="s">
        <v>198</v>
      </c>
      <c r="O3697" t="s">
        <v>11</v>
      </c>
      <c r="P3697">
        <v>5403</v>
      </c>
      <c r="Q3697">
        <v>1</v>
      </c>
      <c r="R3697">
        <v>26.95</v>
      </c>
      <c r="S3697">
        <v>26.95</v>
      </c>
      <c r="T3697">
        <v>20.46</v>
      </c>
      <c r="U3697">
        <v>24.08</v>
      </c>
      <c r="V3697" t="str">
        <f>VLOOKUP(L3697,'[2]tabela de preços'!$A:$D,4,0)</f>
        <v>MAXI RUBBER</v>
      </c>
      <c r="W3697" t="str">
        <f>VLOOKUP(L3697,'[2]tabela de preços'!$A:$F,6,0)</f>
        <v>SELADORA P/ PLASTICO</v>
      </c>
      <c r="X3697" t="str">
        <f>VLOOKUP(L3697,'[2]tabela de preços'!$A:$G,7,0)</f>
        <v>AUTOMOTIVO</v>
      </c>
    </row>
    <row r="3698" spans="1:24" x14ac:dyDescent="0.3">
      <c r="A3698" t="s">
        <v>2171</v>
      </c>
      <c r="C3698" t="s">
        <v>2728</v>
      </c>
      <c r="D3698" s="1">
        <v>46057</v>
      </c>
      <c r="E3698" t="s">
        <v>2729</v>
      </c>
      <c r="F3698">
        <v>9</v>
      </c>
      <c r="G3698">
        <v>230</v>
      </c>
      <c r="H3698" t="str">
        <f>VLOOKUP(G3698,[1]OPERADORES!$A:$B,2,0)</f>
        <v>SÔNIA</v>
      </c>
      <c r="I3698" t="s">
        <v>21</v>
      </c>
      <c r="J3698" t="s">
        <v>2174</v>
      </c>
      <c r="K3698" t="s">
        <v>2175</v>
      </c>
      <c r="L3698">
        <v>9989</v>
      </c>
      <c r="M3698" t="s">
        <v>2560</v>
      </c>
      <c r="O3698" t="s">
        <v>11</v>
      </c>
      <c r="P3698">
        <v>5403</v>
      </c>
      <c r="Q3698">
        <v>1</v>
      </c>
      <c r="R3698">
        <v>57.66</v>
      </c>
      <c r="S3698">
        <v>57.66</v>
      </c>
      <c r="T3698">
        <v>43.76</v>
      </c>
      <c r="U3698">
        <v>24.11</v>
      </c>
      <c r="V3698" t="str">
        <f>VLOOKUP(L3698,'[2]tabela de preços'!$A:$D,4,0)</f>
        <v>SIKKENS</v>
      </c>
      <c r="W3698" t="str">
        <f>VLOOKUP(L3698,'[2]tabela de preços'!$A:$F,6,0)</f>
        <v>PRIMER AUTOMOTIVO</v>
      </c>
      <c r="X3698" t="str">
        <f>VLOOKUP(L3698,'[2]tabela de preços'!$A:$G,7,0)</f>
        <v>AUTOMOTIVO</v>
      </c>
    </row>
    <row r="3699" spans="1:24" x14ac:dyDescent="0.3">
      <c r="A3699" t="s">
        <v>2171</v>
      </c>
      <c r="C3699" t="s">
        <v>2728</v>
      </c>
      <c r="D3699" s="1">
        <v>46057</v>
      </c>
      <c r="E3699" t="s">
        <v>2729</v>
      </c>
      <c r="F3699">
        <v>9</v>
      </c>
      <c r="G3699">
        <v>230</v>
      </c>
      <c r="H3699" t="str">
        <f>VLOOKUP(G3699,[1]OPERADORES!$A:$B,2,0)</f>
        <v>SÔNIA</v>
      </c>
      <c r="I3699" t="s">
        <v>21</v>
      </c>
      <c r="J3699" t="s">
        <v>2174</v>
      </c>
      <c r="K3699" t="s">
        <v>2175</v>
      </c>
      <c r="L3699">
        <v>10298</v>
      </c>
      <c r="M3699" t="s">
        <v>85</v>
      </c>
      <c r="O3699" t="s">
        <v>11</v>
      </c>
      <c r="P3699">
        <v>5102</v>
      </c>
      <c r="Q3699">
        <v>1</v>
      </c>
      <c r="R3699">
        <v>56.89</v>
      </c>
      <c r="S3699">
        <v>56.89</v>
      </c>
      <c r="T3699">
        <v>47.38</v>
      </c>
      <c r="U3699">
        <v>16.72</v>
      </c>
      <c r="V3699" t="str">
        <f>VLOOKUP(L3699,'[2]tabela de preços'!$A:$D,4,0)</f>
        <v>ANJO</v>
      </c>
      <c r="W3699" t="str">
        <f>VLOOKUP(L3699,'[2]tabela de preços'!$A:$F,6,0)</f>
        <v>THINNER DE LIMPEZA</v>
      </c>
      <c r="X3699" t="str">
        <f>VLOOKUP(L3699,'[2]tabela de preços'!$A:$G,7,0)</f>
        <v>THINNER</v>
      </c>
    </row>
    <row r="3700" spans="1:24" x14ac:dyDescent="0.3">
      <c r="A3700" t="s">
        <v>2171</v>
      </c>
      <c r="C3700" t="s">
        <v>2728</v>
      </c>
      <c r="D3700" s="1">
        <v>46057</v>
      </c>
      <c r="E3700" t="s">
        <v>2729</v>
      </c>
      <c r="F3700">
        <v>9</v>
      </c>
      <c r="G3700">
        <v>230</v>
      </c>
      <c r="H3700" t="str">
        <f>VLOOKUP(G3700,[1]OPERADORES!$A:$B,2,0)</f>
        <v>SÔNIA</v>
      </c>
      <c r="I3700" t="s">
        <v>21</v>
      </c>
      <c r="J3700" t="s">
        <v>2174</v>
      </c>
      <c r="K3700" t="s">
        <v>2175</v>
      </c>
      <c r="L3700">
        <v>10404</v>
      </c>
      <c r="M3700" t="s">
        <v>130</v>
      </c>
      <c r="O3700" t="s">
        <v>11</v>
      </c>
      <c r="P3700">
        <v>5102</v>
      </c>
      <c r="Q3700">
        <v>4</v>
      </c>
      <c r="R3700">
        <v>13.85</v>
      </c>
      <c r="S3700">
        <v>55.4</v>
      </c>
      <c r="T3700">
        <v>50.04</v>
      </c>
      <c r="U3700">
        <v>9.68</v>
      </c>
      <c r="V3700" t="str">
        <f>VLOOKUP(L3700,'[2]tabela de preços'!$A:$D,4,0)</f>
        <v>MAXI RUBBER</v>
      </c>
      <c r="W3700" t="str">
        <f>VLOOKUP(L3700,'[2]tabela de preços'!$A:$F,6,0)</f>
        <v>VEDADORES / SELANTES</v>
      </c>
      <c r="X3700" t="str">
        <f>VLOOKUP(L3700,'[2]tabela de preços'!$A:$G,7,0)</f>
        <v>AUTOMOTIVO</v>
      </c>
    </row>
    <row r="3701" spans="1:24" x14ac:dyDescent="0.3">
      <c r="A3701" t="s">
        <v>2171</v>
      </c>
      <c r="C3701" t="s">
        <v>3297</v>
      </c>
      <c r="D3701" s="1">
        <v>46066</v>
      </c>
      <c r="E3701" t="s">
        <v>3298</v>
      </c>
      <c r="F3701">
        <v>9</v>
      </c>
      <c r="G3701">
        <v>174</v>
      </c>
      <c r="H3701" t="str">
        <f>VLOOKUP(G3701,[1]OPERADORES!$A:$B,2,0)</f>
        <v>MIRIÃ LOBATO RODRIGUES</v>
      </c>
      <c r="I3701" t="s">
        <v>21</v>
      </c>
      <c r="J3701" t="s">
        <v>2174</v>
      </c>
      <c r="K3701" t="s">
        <v>2175</v>
      </c>
      <c r="L3701">
        <v>10266</v>
      </c>
      <c r="M3701" t="s">
        <v>117</v>
      </c>
      <c r="O3701" t="s">
        <v>11</v>
      </c>
      <c r="P3701">
        <v>5102</v>
      </c>
      <c r="Q3701">
        <v>2</v>
      </c>
      <c r="R3701">
        <v>11.41</v>
      </c>
      <c r="S3701">
        <v>22.82</v>
      </c>
      <c r="T3701">
        <v>17.32</v>
      </c>
      <c r="U3701">
        <v>24.1</v>
      </c>
      <c r="V3701" t="str">
        <f>VLOOKUP(L3701,'[2]tabela de preços'!$A:$D,4,0)</f>
        <v>NORTON</v>
      </c>
      <c r="W3701" t="str">
        <f>VLOOKUP(L3701,'[2]tabela de preços'!$A:$F,6,0)</f>
        <v xml:space="preserve">DISCOS / LIXAS / ABRASIVOS </v>
      </c>
      <c r="X3701" t="str">
        <f>VLOOKUP(L3701,'[2]tabela de preços'!$A:$G,7,0)</f>
        <v>AUTOMOTIVO</v>
      </c>
    </row>
    <row r="3702" spans="1:24" x14ac:dyDescent="0.3">
      <c r="A3702" t="s">
        <v>2171</v>
      </c>
      <c r="C3702" t="s">
        <v>3297</v>
      </c>
      <c r="D3702" s="1">
        <v>46066</v>
      </c>
      <c r="E3702" t="s">
        <v>3298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21</v>
      </c>
      <c r="J3702" t="s">
        <v>2174</v>
      </c>
      <c r="K3702" t="s">
        <v>2175</v>
      </c>
      <c r="L3702">
        <v>9775</v>
      </c>
      <c r="M3702" t="s">
        <v>708</v>
      </c>
      <c r="O3702" t="s">
        <v>11</v>
      </c>
      <c r="P3702">
        <v>5102</v>
      </c>
      <c r="Q3702">
        <v>1</v>
      </c>
      <c r="R3702">
        <v>54.57</v>
      </c>
      <c r="S3702">
        <v>54.57</v>
      </c>
      <c r="T3702">
        <v>41.42</v>
      </c>
      <c r="U3702">
        <v>24.1</v>
      </c>
      <c r="V3702" t="str">
        <f>VLOOKUP(L3702,'[2]tabela de preços'!$A:$D,4,0)</f>
        <v>SIKKENS</v>
      </c>
      <c r="W3702" t="str">
        <f>VLOOKUP(L3702,'[2]tabela de preços'!$A:$F,6,0)</f>
        <v>CATALISADORES INDIVIDUAS</v>
      </c>
      <c r="X3702" t="str">
        <f>VLOOKUP(L3702,'[2]tabela de preços'!$A:$G,7,0)</f>
        <v>AUTOMOTIVO</v>
      </c>
    </row>
    <row r="3703" spans="1:24" x14ac:dyDescent="0.3">
      <c r="A3703" t="s">
        <v>2171</v>
      </c>
      <c r="C3703" t="s">
        <v>3297</v>
      </c>
      <c r="D3703" s="1">
        <v>46066</v>
      </c>
      <c r="E3703" t="s">
        <v>3298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21</v>
      </c>
      <c r="J3703" t="s">
        <v>2174</v>
      </c>
      <c r="K3703" t="s">
        <v>2175</v>
      </c>
      <c r="L3703">
        <v>10240</v>
      </c>
      <c r="M3703" t="s">
        <v>81</v>
      </c>
      <c r="O3703" t="s">
        <v>11</v>
      </c>
      <c r="P3703">
        <v>5102</v>
      </c>
      <c r="Q3703">
        <v>5</v>
      </c>
      <c r="R3703">
        <v>2.79</v>
      </c>
      <c r="S3703">
        <v>13.95</v>
      </c>
      <c r="T3703">
        <v>11.2</v>
      </c>
      <c r="U3703">
        <v>19.71</v>
      </c>
      <c r="V3703" t="str">
        <f>VLOOKUP(L3703,'[2]tabela de preços'!$A:$D,4,0)</f>
        <v>NORTON</v>
      </c>
      <c r="W3703" t="str">
        <f>VLOOKUP(L3703,'[2]tabela de preços'!$A:$F,6,0)</f>
        <v xml:space="preserve">DISCOS / LIXAS / ABRASIVOS </v>
      </c>
      <c r="X3703" t="str">
        <f>VLOOKUP(L3703,'[2]tabela de preços'!$A:$G,7,0)</f>
        <v>AUTOMOTIVO</v>
      </c>
    </row>
    <row r="3704" spans="1:24" x14ac:dyDescent="0.3">
      <c r="A3704" t="s">
        <v>2171</v>
      </c>
      <c r="C3704" t="s">
        <v>3297</v>
      </c>
      <c r="D3704" s="1">
        <v>46066</v>
      </c>
      <c r="E3704" t="s">
        <v>3298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21</v>
      </c>
      <c r="J3704" t="s">
        <v>2174</v>
      </c>
      <c r="K3704" t="s">
        <v>2175</v>
      </c>
      <c r="L3704">
        <v>10244</v>
      </c>
      <c r="M3704" t="s">
        <v>84</v>
      </c>
      <c r="O3704" t="s">
        <v>11</v>
      </c>
      <c r="P3704">
        <v>5102</v>
      </c>
      <c r="Q3704">
        <v>5</v>
      </c>
      <c r="R3704">
        <v>2.79</v>
      </c>
      <c r="S3704">
        <v>13.95</v>
      </c>
      <c r="T3704">
        <v>9.65</v>
      </c>
      <c r="U3704">
        <v>30.82</v>
      </c>
      <c r="V3704" t="str">
        <f>VLOOKUP(L3704,'[2]tabela de preços'!$A:$D,4,0)</f>
        <v>NORTON</v>
      </c>
      <c r="W3704" t="str">
        <f>VLOOKUP(L3704,'[2]tabela de preços'!$A:$F,6,0)</f>
        <v xml:space="preserve">DISCOS / LIXAS / ABRASIVOS </v>
      </c>
      <c r="X3704" t="str">
        <f>VLOOKUP(L3704,'[2]tabela de preços'!$A:$G,7,0)</f>
        <v>AUTOMOTIVO</v>
      </c>
    </row>
    <row r="3705" spans="1:24" x14ac:dyDescent="0.3">
      <c r="A3705" t="s">
        <v>2171</v>
      </c>
      <c r="C3705" t="s">
        <v>3297</v>
      </c>
      <c r="D3705" s="1">
        <v>46066</v>
      </c>
      <c r="E3705" t="s">
        <v>3298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21</v>
      </c>
      <c r="J3705" t="s">
        <v>2174</v>
      </c>
      <c r="K3705" t="s">
        <v>2175</v>
      </c>
      <c r="L3705">
        <v>10245</v>
      </c>
      <c r="M3705" t="s">
        <v>195</v>
      </c>
      <c r="O3705" t="s">
        <v>11</v>
      </c>
      <c r="P3705">
        <v>5102</v>
      </c>
      <c r="Q3705">
        <v>5</v>
      </c>
      <c r="R3705">
        <v>2.79</v>
      </c>
      <c r="S3705">
        <v>13.95</v>
      </c>
      <c r="T3705">
        <v>9.65</v>
      </c>
      <c r="U3705">
        <v>30.82</v>
      </c>
      <c r="V3705" t="str">
        <f>VLOOKUP(L3705,'[2]tabela de preços'!$A:$D,4,0)</f>
        <v>NORTON</v>
      </c>
      <c r="W3705" t="str">
        <f>VLOOKUP(L3705,'[2]tabela de preços'!$A:$F,6,0)</f>
        <v xml:space="preserve">DISCOS / LIXAS / ABRASIVOS </v>
      </c>
      <c r="X3705" t="str">
        <f>VLOOKUP(L3705,'[2]tabela de preços'!$A:$G,7,0)</f>
        <v>AUTOMOTIVO</v>
      </c>
    </row>
    <row r="3706" spans="1:24" x14ac:dyDescent="0.3">
      <c r="A3706" t="s">
        <v>2171</v>
      </c>
      <c r="C3706" t="s">
        <v>3299</v>
      </c>
      <c r="D3706" s="1">
        <v>46066</v>
      </c>
      <c r="E3706" t="s">
        <v>3300</v>
      </c>
      <c r="F3706">
        <v>9</v>
      </c>
      <c r="G3706">
        <v>174</v>
      </c>
      <c r="H3706" t="str">
        <f>VLOOKUP(G3706,[1]OPERADORES!$A:$B,2,0)</f>
        <v>MIRIÃ LOBATO RODRIGUES</v>
      </c>
      <c r="I3706" t="s">
        <v>21</v>
      </c>
      <c r="J3706" t="s">
        <v>2174</v>
      </c>
      <c r="K3706" t="s">
        <v>2175</v>
      </c>
      <c r="L3706">
        <v>22173</v>
      </c>
      <c r="M3706" t="s">
        <v>194</v>
      </c>
      <c r="O3706" t="s">
        <v>11</v>
      </c>
      <c r="P3706">
        <v>5102</v>
      </c>
      <c r="Q3706">
        <v>10</v>
      </c>
      <c r="R3706">
        <v>4.58</v>
      </c>
      <c r="S3706">
        <v>45.8</v>
      </c>
      <c r="T3706">
        <v>34.799999999999997</v>
      </c>
      <c r="U3706">
        <v>24.02</v>
      </c>
      <c r="V3706" t="str">
        <f>VLOOKUP(L3706,'[2]tabela de preços'!$A:$D,4,0)</f>
        <v>3M</v>
      </c>
      <c r="W3706" t="str">
        <f>VLOOKUP(L3706,'[2]tabela de preços'!$A:$F,6,0)</f>
        <v>FITA AUTOMOTIVA</v>
      </c>
      <c r="X3706" t="str">
        <f>VLOOKUP(L3706,'[2]tabela de preços'!$A:$G,7,0)</f>
        <v>AUTOMOTIVO</v>
      </c>
    </row>
    <row r="3707" spans="1:24" x14ac:dyDescent="0.3">
      <c r="A3707" t="s">
        <v>2171</v>
      </c>
      <c r="C3707" t="s">
        <v>3299</v>
      </c>
      <c r="D3707" s="1">
        <v>46066</v>
      </c>
      <c r="E3707" t="s">
        <v>3300</v>
      </c>
      <c r="F3707">
        <v>9</v>
      </c>
      <c r="G3707">
        <v>174</v>
      </c>
      <c r="H3707" t="str">
        <f>VLOOKUP(G3707,[1]OPERADORES!$A:$B,2,0)</f>
        <v>MIRIÃ LOBATO RODRIGUES</v>
      </c>
      <c r="I3707" t="s">
        <v>21</v>
      </c>
      <c r="J3707" t="s">
        <v>2174</v>
      </c>
      <c r="K3707" t="s">
        <v>2175</v>
      </c>
      <c r="L3707">
        <v>22188</v>
      </c>
      <c r="M3707" t="s">
        <v>78</v>
      </c>
      <c r="O3707" t="s">
        <v>11</v>
      </c>
      <c r="P3707">
        <v>5102</v>
      </c>
      <c r="Q3707">
        <v>5</v>
      </c>
      <c r="R3707">
        <v>14.35</v>
      </c>
      <c r="S3707">
        <v>71.75</v>
      </c>
      <c r="T3707">
        <v>54.45</v>
      </c>
      <c r="U3707">
        <v>24.11</v>
      </c>
      <c r="V3707" t="str">
        <f>VLOOKUP(L3707,'[2]tabela de preços'!$A:$D,4,0)</f>
        <v>3M</v>
      </c>
      <c r="W3707" t="str">
        <f>VLOOKUP(L3707,'[2]tabela de preços'!$A:$F,6,0)</f>
        <v>FITA AUTOMOTIVA</v>
      </c>
      <c r="X3707" t="str">
        <f>VLOOKUP(L3707,'[2]tabela de preços'!$A:$G,7,0)</f>
        <v>AUTOMOTIVO</v>
      </c>
    </row>
    <row r="3708" spans="1:24" x14ac:dyDescent="0.3">
      <c r="A3708" t="s">
        <v>2171</v>
      </c>
      <c r="C3708" t="s">
        <v>3299</v>
      </c>
      <c r="D3708" s="1">
        <v>46066</v>
      </c>
      <c r="E3708" t="s">
        <v>3300</v>
      </c>
      <c r="F3708">
        <v>9</v>
      </c>
      <c r="G3708">
        <v>174</v>
      </c>
      <c r="H3708" t="str">
        <f>VLOOKUP(G3708,[1]OPERADORES!$A:$B,2,0)</f>
        <v>MIRIÃ LOBATO RODRIGUES</v>
      </c>
      <c r="I3708" t="s">
        <v>21</v>
      </c>
      <c r="J3708" t="s">
        <v>2174</v>
      </c>
      <c r="K3708" t="s">
        <v>2175</v>
      </c>
      <c r="L3708">
        <v>86995</v>
      </c>
      <c r="M3708" t="s">
        <v>2817</v>
      </c>
      <c r="O3708" t="s">
        <v>11</v>
      </c>
      <c r="P3708">
        <v>5102</v>
      </c>
      <c r="Q3708">
        <v>1</v>
      </c>
      <c r="R3708">
        <v>7.29</v>
      </c>
      <c r="S3708">
        <v>7.29</v>
      </c>
      <c r="T3708">
        <v>5.83</v>
      </c>
      <c r="U3708">
        <v>20.03</v>
      </c>
      <c r="V3708" t="str">
        <f>VLOOKUP(L3708,'[2]tabela de preços'!$A:$D,4,0)</f>
        <v>AUTOAMERICA</v>
      </c>
      <c r="W3708" t="str">
        <f>VLOOKUP(L3708,'[2]tabela de preços'!$A:$F,6,0)</f>
        <v>FLANELAS / PANOS</v>
      </c>
      <c r="X3708" t="str">
        <f>VLOOKUP(L3708,'[2]tabela de preços'!$A:$G,7,0)</f>
        <v>AUTOMOTIVO</v>
      </c>
    </row>
    <row r="3709" spans="1:24" x14ac:dyDescent="0.3">
      <c r="A3709" t="s">
        <v>2171</v>
      </c>
      <c r="C3709" t="s">
        <v>3299</v>
      </c>
      <c r="D3709" s="1">
        <v>46066</v>
      </c>
      <c r="E3709" t="s">
        <v>3300</v>
      </c>
      <c r="F3709">
        <v>9</v>
      </c>
      <c r="G3709">
        <v>174</v>
      </c>
      <c r="H3709" t="str">
        <f>VLOOKUP(G3709,[1]OPERADORES!$A:$B,2,0)</f>
        <v>MIRIÃ LOBATO RODRIGUES</v>
      </c>
      <c r="I3709" t="s">
        <v>21</v>
      </c>
      <c r="J3709" t="s">
        <v>2174</v>
      </c>
      <c r="K3709" t="s">
        <v>2175</v>
      </c>
      <c r="L3709">
        <v>23653</v>
      </c>
      <c r="M3709" t="s">
        <v>644</v>
      </c>
      <c r="O3709" t="s">
        <v>11</v>
      </c>
      <c r="P3709">
        <v>5102</v>
      </c>
      <c r="Q3709">
        <v>2</v>
      </c>
      <c r="R3709">
        <v>67.150000000000006</v>
      </c>
      <c r="S3709">
        <v>134.30000000000001</v>
      </c>
      <c r="T3709">
        <v>101.94</v>
      </c>
      <c r="U3709">
        <v>24.1</v>
      </c>
      <c r="V3709" t="str">
        <f>VLOOKUP(L3709,'[2]tabela de preços'!$A:$D,4,0)</f>
        <v>SIKKENS</v>
      </c>
      <c r="W3709" t="str">
        <f>VLOOKUP(L3709,'[2]tabela de preços'!$A:$F,6,0)</f>
        <v>CATALISADORES INDIVIDUAS</v>
      </c>
      <c r="X3709" t="str">
        <f>VLOOKUP(L3709,'[2]tabela de preços'!$A:$G,7,0)</f>
        <v>AUTOMOTIVO</v>
      </c>
    </row>
    <row r="3710" spans="1:24" x14ac:dyDescent="0.3">
      <c r="A3710" t="s">
        <v>2171</v>
      </c>
      <c r="C3710" t="s">
        <v>3299</v>
      </c>
      <c r="D3710" s="1">
        <v>46066</v>
      </c>
      <c r="E3710" t="s">
        <v>3300</v>
      </c>
      <c r="F3710">
        <v>9</v>
      </c>
      <c r="G3710">
        <v>174</v>
      </c>
      <c r="H3710" t="str">
        <f>VLOOKUP(G3710,[1]OPERADORES!$A:$B,2,0)</f>
        <v>MIRIÃ LOBATO RODRIGUES</v>
      </c>
      <c r="I3710" t="s">
        <v>21</v>
      </c>
      <c r="J3710" t="s">
        <v>2174</v>
      </c>
      <c r="K3710" t="s">
        <v>2175</v>
      </c>
      <c r="L3710">
        <v>16</v>
      </c>
      <c r="M3710" t="s">
        <v>122</v>
      </c>
      <c r="O3710" t="s">
        <v>11</v>
      </c>
      <c r="P3710">
        <v>5102</v>
      </c>
      <c r="Q3710">
        <v>5</v>
      </c>
      <c r="R3710">
        <v>2.9</v>
      </c>
      <c r="S3710">
        <v>14.5</v>
      </c>
      <c r="T3710">
        <v>11</v>
      </c>
      <c r="U3710">
        <v>24.14</v>
      </c>
      <c r="V3710" t="str">
        <f>VLOOKUP(L3710,'[2]tabela de preços'!$A:$D,4,0)</f>
        <v>3M</v>
      </c>
      <c r="W3710" t="str">
        <f>VLOOKUP(L3710,'[2]tabela de preços'!$A:$F,6,0)</f>
        <v>LIXA DÁGUA</v>
      </c>
      <c r="X3710" t="str">
        <f>VLOOKUP(L3710,'[2]tabela de preços'!$A:$G,7,0)</f>
        <v>AUTOMOTIVO</v>
      </c>
    </row>
    <row r="3711" spans="1:24" x14ac:dyDescent="0.3">
      <c r="A3711" t="s">
        <v>2171</v>
      </c>
      <c r="C3711" t="s">
        <v>3299</v>
      </c>
      <c r="D3711" s="1">
        <v>46066</v>
      </c>
      <c r="E3711" t="s">
        <v>3300</v>
      </c>
      <c r="F3711">
        <v>9</v>
      </c>
      <c r="G3711">
        <v>174</v>
      </c>
      <c r="H3711" t="str">
        <f>VLOOKUP(G3711,[1]OPERADORES!$A:$B,2,0)</f>
        <v>MIRIÃ LOBATO RODRIGUES</v>
      </c>
      <c r="I3711" t="s">
        <v>21</v>
      </c>
      <c r="J3711" t="s">
        <v>2174</v>
      </c>
      <c r="K3711" t="s">
        <v>2175</v>
      </c>
      <c r="L3711">
        <v>20021</v>
      </c>
      <c r="M3711" t="s">
        <v>276</v>
      </c>
      <c r="O3711" t="s">
        <v>11</v>
      </c>
      <c r="P3711">
        <v>5102</v>
      </c>
      <c r="Q3711">
        <v>5</v>
      </c>
      <c r="R3711">
        <v>3.43</v>
      </c>
      <c r="S3711">
        <v>17.149999999999999</v>
      </c>
      <c r="T3711">
        <v>13</v>
      </c>
      <c r="U3711">
        <v>24.2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2171</v>
      </c>
      <c r="C3712" t="s">
        <v>3299</v>
      </c>
      <c r="D3712" s="1">
        <v>46066</v>
      </c>
      <c r="E3712" t="s">
        <v>3300</v>
      </c>
      <c r="F3712">
        <v>9</v>
      </c>
      <c r="G3712">
        <v>174</v>
      </c>
      <c r="H3712" t="str">
        <f>VLOOKUP(G3712,[1]OPERADORES!$A:$B,2,0)</f>
        <v>MIRIÃ LOBATO RODRIGUES</v>
      </c>
      <c r="I3712" t="s">
        <v>21</v>
      </c>
      <c r="J3712" t="s">
        <v>2174</v>
      </c>
      <c r="K3712" t="s">
        <v>2175</v>
      </c>
      <c r="L3712">
        <v>84658</v>
      </c>
      <c r="M3712" t="s">
        <v>100</v>
      </c>
      <c r="O3712" t="s">
        <v>11</v>
      </c>
      <c r="P3712">
        <v>5102</v>
      </c>
      <c r="Q3712">
        <v>2</v>
      </c>
      <c r="R3712">
        <v>40.840000000000003</v>
      </c>
      <c r="S3712">
        <v>81.680000000000007</v>
      </c>
      <c r="T3712">
        <v>62</v>
      </c>
      <c r="U3712">
        <v>24.09</v>
      </c>
      <c r="V3712" t="str">
        <f>VLOOKUP(L3712,'[2]tabela de preços'!$A:$D,4,0)</f>
        <v>ANJO</v>
      </c>
      <c r="W3712" t="str">
        <f>VLOOKUP(L3712,'[2]tabela de preços'!$A:$F,6,0)</f>
        <v>MASSA POLIÉSTER</v>
      </c>
      <c r="X3712" t="str">
        <f>VLOOKUP(L3712,'[2]tabela de preços'!$A:$G,7,0)</f>
        <v>AUTOMOTIVO</v>
      </c>
    </row>
    <row r="3713" spans="1:24" x14ac:dyDescent="0.3">
      <c r="A3713" t="s">
        <v>2171</v>
      </c>
      <c r="C3713" t="s">
        <v>3299</v>
      </c>
      <c r="D3713" s="1">
        <v>46066</v>
      </c>
      <c r="E3713" t="s">
        <v>3300</v>
      </c>
      <c r="F3713">
        <v>9</v>
      </c>
      <c r="G3713">
        <v>174</v>
      </c>
      <c r="H3713" t="str">
        <f>VLOOKUP(G3713,[1]OPERADORES!$A:$B,2,0)</f>
        <v>MIRIÃ LOBATO RODRIGUES</v>
      </c>
      <c r="I3713" t="s">
        <v>21</v>
      </c>
      <c r="J3713" t="s">
        <v>2174</v>
      </c>
      <c r="K3713" t="s">
        <v>2175</v>
      </c>
      <c r="L3713">
        <v>9767</v>
      </c>
      <c r="M3713" t="s">
        <v>2188</v>
      </c>
      <c r="O3713" t="s">
        <v>11</v>
      </c>
      <c r="P3713">
        <v>5403</v>
      </c>
      <c r="Q3713">
        <v>1</v>
      </c>
      <c r="R3713">
        <v>175.58</v>
      </c>
      <c r="S3713">
        <v>175.58</v>
      </c>
      <c r="T3713">
        <v>133.27000000000001</v>
      </c>
      <c r="U3713">
        <v>24.1</v>
      </c>
      <c r="V3713" t="str">
        <f>VLOOKUP(L3713,'[2]tabela de preços'!$A:$D,4,0)</f>
        <v>SIKKENS</v>
      </c>
      <c r="W3713" t="str">
        <f>VLOOKUP(L3713,'[2]tabela de preços'!$A:$F,6,0)</f>
        <v>PRIMER AUTOMOTIVO</v>
      </c>
      <c r="X3713" t="str">
        <f>VLOOKUP(L3713,'[2]tabela de preços'!$A:$G,7,0)</f>
        <v>AUTOMOTIVO</v>
      </c>
    </row>
    <row r="3714" spans="1:24" x14ac:dyDescent="0.3">
      <c r="A3714" t="s">
        <v>2171</v>
      </c>
      <c r="C3714" t="s">
        <v>3299</v>
      </c>
      <c r="D3714" s="1">
        <v>46066</v>
      </c>
      <c r="E3714" t="s">
        <v>3300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2174</v>
      </c>
      <c r="K3714" t="s">
        <v>2175</v>
      </c>
      <c r="L3714">
        <v>23412</v>
      </c>
      <c r="M3714" t="s">
        <v>1856</v>
      </c>
      <c r="O3714" t="s">
        <v>11</v>
      </c>
      <c r="P3714">
        <v>5102</v>
      </c>
      <c r="Q3714">
        <v>1</v>
      </c>
      <c r="R3714">
        <v>24.74</v>
      </c>
      <c r="S3714">
        <v>24.74</v>
      </c>
      <c r="T3714">
        <v>18.78</v>
      </c>
      <c r="U3714">
        <v>24.09</v>
      </c>
      <c r="V3714" t="str">
        <f>VLOOKUP(L3714,'[2]tabela de preços'!$A:$D,4,0)</f>
        <v>VONIXX</v>
      </c>
      <c r="W3714" t="str">
        <f>VLOOKUP(L3714,'[2]tabela de preços'!$A:$F,6,0)</f>
        <v>LINHA DE HIGENIZAÇÃO E ESTÉTICA  AUTOMOTIVA</v>
      </c>
      <c r="X3714" t="str">
        <f>VLOOKUP(L3714,'[2]tabela de preços'!$A:$G,7,0)</f>
        <v>AUTOMOTIVO</v>
      </c>
    </row>
    <row r="3715" spans="1:24" x14ac:dyDescent="0.3">
      <c r="A3715" t="s">
        <v>2171</v>
      </c>
      <c r="C3715" t="s">
        <v>3299</v>
      </c>
      <c r="D3715" s="1">
        <v>46066</v>
      </c>
      <c r="E3715" t="s">
        <v>3300</v>
      </c>
      <c r="F3715">
        <v>9</v>
      </c>
      <c r="G3715">
        <v>174</v>
      </c>
      <c r="H3715" t="str">
        <f>VLOOKUP(G3715,[1]OPERADORES!$A:$B,2,0)</f>
        <v>MIRIÃ LOBATO RODRIGUES</v>
      </c>
      <c r="I3715" t="s">
        <v>21</v>
      </c>
      <c r="J3715" t="s">
        <v>2174</v>
      </c>
      <c r="K3715" t="s">
        <v>2175</v>
      </c>
      <c r="L3715">
        <v>84894</v>
      </c>
      <c r="M3715" t="s">
        <v>1260</v>
      </c>
      <c r="O3715" t="s">
        <v>11</v>
      </c>
      <c r="P3715">
        <v>5102</v>
      </c>
      <c r="Q3715">
        <v>1</v>
      </c>
      <c r="R3715">
        <v>59.53</v>
      </c>
      <c r="S3715">
        <v>59.53</v>
      </c>
      <c r="T3715">
        <v>45.19</v>
      </c>
      <c r="U3715">
        <v>24.09</v>
      </c>
      <c r="V3715" t="str">
        <f>VLOOKUP(L3715,'[2]tabela de preços'!$A:$D,4,0)</f>
        <v>BRASILUX</v>
      </c>
      <c r="W3715" t="str">
        <f>VLOOKUP(L3715,'[2]tabela de preços'!$A:$F,6,0)</f>
        <v>DILUENTE</v>
      </c>
      <c r="X3715" t="str">
        <f>VLOOKUP(L3715,'[2]tabela de preços'!$A:$G,7,0)</f>
        <v>AUTOMOTIVO</v>
      </c>
    </row>
    <row r="3716" spans="1:24" x14ac:dyDescent="0.3">
      <c r="A3716" t="s">
        <v>2171</v>
      </c>
      <c r="C3716" t="s">
        <v>3299</v>
      </c>
      <c r="D3716" s="1">
        <v>46066</v>
      </c>
      <c r="E3716" t="s">
        <v>3300</v>
      </c>
      <c r="F3716">
        <v>9</v>
      </c>
      <c r="G3716">
        <v>174</v>
      </c>
      <c r="H3716" t="str">
        <f>VLOOKUP(G3716,[1]OPERADORES!$A:$B,2,0)</f>
        <v>MIRIÃ LOBATO RODRIGUES</v>
      </c>
      <c r="I3716" t="s">
        <v>21</v>
      </c>
      <c r="J3716" t="s">
        <v>2174</v>
      </c>
      <c r="K3716" t="s">
        <v>2175</v>
      </c>
      <c r="L3716">
        <v>84402</v>
      </c>
      <c r="M3716" t="s">
        <v>3301</v>
      </c>
      <c r="O3716" t="s">
        <v>11</v>
      </c>
      <c r="P3716">
        <v>5102</v>
      </c>
      <c r="Q3716">
        <v>1</v>
      </c>
      <c r="R3716">
        <v>102.57</v>
      </c>
      <c r="S3716">
        <v>102.57</v>
      </c>
      <c r="T3716">
        <v>77.849999999999994</v>
      </c>
      <c r="U3716">
        <v>24.1</v>
      </c>
      <c r="V3716" t="str">
        <f>VLOOKUP(L3716,'[2]tabela de preços'!$A:$D,4,0)</f>
        <v>VONIXX</v>
      </c>
      <c r="W3716" t="str">
        <f>VLOOKUP(L3716,'[2]tabela de preços'!$A:$F,6,0)</f>
        <v>LINHA DE HIGENIZAÇÃO E ESTÉTICA  AUTOMOTIVA</v>
      </c>
      <c r="X3716" t="str">
        <f>VLOOKUP(L3716,'[2]tabela de preços'!$A:$G,7,0)</f>
        <v>AUTOMOTIVO</v>
      </c>
    </row>
    <row r="3717" spans="1:24" x14ac:dyDescent="0.3">
      <c r="A3717" t="s">
        <v>2213</v>
      </c>
      <c r="C3717" t="s">
        <v>2802</v>
      </c>
      <c r="D3717" s="1">
        <v>46059</v>
      </c>
      <c r="E3717" t="s">
        <v>2803</v>
      </c>
      <c r="F3717">
        <v>9</v>
      </c>
      <c r="G3717">
        <v>236</v>
      </c>
      <c r="H3717" t="str">
        <f>VLOOKUP(G3717,[1]OPERADORES!$A:$B,2,0)</f>
        <v>DANIEL</v>
      </c>
      <c r="I3717" t="s">
        <v>21</v>
      </c>
      <c r="J3717" t="s">
        <v>1816</v>
      </c>
      <c r="K3717" t="s">
        <v>2216</v>
      </c>
      <c r="L3717">
        <v>85271</v>
      </c>
      <c r="M3717" t="s">
        <v>850</v>
      </c>
      <c r="O3717" t="s">
        <v>11</v>
      </c>
      <c r="P3717">
        <v>5403</v>
      </c>
      <c r="Q3717">
        <v>1</v>
      </c>
      <c r="R3717">
        <v>166.31</v>
      </c>
      <c r="S3717">
        <v>166.31</v>
      </c>
      <c r="T3717">
        <v>112.94</v>
      </c>
      <c r="U3717">
        <v>32.090000000000003</v>
      </c>
      <c r="V3717" t="str">
        <f>VLOOKUP(L3717,'[2]tabela de preços'!$A:$D,4,0)</f>
        <v>BRASILUX</v>
      </c>
      <c r="W3717" t="str">
        <f>VLOOKUP(L3717,'[2]tabela de preços'!$A:$F,6,0)</f>
        <v>TINTA PARA PISO</v>
      </c>
      <c r="X3717" t="str">
        <f>VLOOKUP(L3717,'[2]tabela de preços'!$A:$G,7,0)</f>
        <v>IMOBILIÁRIO</v>
      </c>
    </row>
    <row r="3718" spans="1:24" x14ac:dyDescent="0.3">
      <c r="A3718" t="s">
        <v>2213</v>
      </c>
      <c r="C3718" t="s">
        <v>3302</v>
      </c>
      <c r="D3718" s="1">
        <v>46066</v>
      </c>
      <c r="E3718" t="s">
        <v>3303</v>
      </c>
      <c r="F3718">
        <v>9</v>
      </c>
      <c r="G3718">
        <v>236</v>
      </c>
      <c r="H3718" t="str">
        <f>VLOOKUP(G3718,[1]OPERADORES!$A:$B,2,0)</f>
        <v>DANIEL</v>
      </c>
      <c r="I3718" t="s">
        <v>21</v>
      </c>
      <c r="J3718" t="s">
        <v>1816</v>
      </c>
      <c r="K3718" t="s">
        <v>2216</v>
      </c>
      <c r="L3718">
        <v>84767</v>
      </c>
      <c r="M3718" t="s">
        <v>732</v>
      </c>
      <c r="O3718" t="s">
        <v>11</v>
      </c>
      <c r="P3718">
        <v>5403</v>
      </c>
      <c r="Q3718">
        <v>12</v>
      </c>
      <c r="R3718">
        <v>163.04</v>
      </c>
      <c r="S3718" s="2">
        <v>1956.48</v>
      </c>
      <c r="T3718" s="2">
        <v>1402.56</v>
      </c>
      <c r="U3718">
        <v>28.31</v>
      </c>
      <c r="V3718" t="str">
        <f>VLOOKUP(L3718,'[2]tabela de preços'!$A:$D,4,0)</f>
        <v>BRASILUX</v>
      </c>
      <c r="W3718" t="str">
        <f>VLOOKUP(L3718,'[2]tabela de preços'!$A:$F,6,0)</f>
        <v>EPOXI</v>
      </c>
      <c r="X3718" t="str">
        <f>VLOOKUP(L3718,'[2]tabela de preços'!$A:$G,7,0)</f>
        <v>INDUSTRIAL</v>
      </c>
    </row>
    <row r="3719" spans="1:24" x14ac:dyDescent="0.3">
      <c r="A3719" t="s">
        <v>2213</v>
      </c>
      <c r="C3719" t="s">
        <v>3304</v>
      </c>
      <c r="D3719" s="1">
        <v>46066</v>
      </c>
      <c r="E3719" t="s">
        <v>3305</v>
      </c>
      <c r="F3719">
        <v>9</v>
      </c>
      <c r="G3719">
        <v>236</v>
      </c>
      <c r="H3719" t="str">
        <f>VLOOKUP(G3719,[1]OPERADORES!$A:$B,2,0)</f>
        <v>DANIEL</v>
      </c>
      <c r="I3719" t="s">
        <v>21</v>
      </c>
      <c r="J3719" t="s">
        <v>1816</v>
      </c>
      <c r="K3719" t="s">
        <v>2216</v>
      </c>
      <c r="L3719">
        <v>84331</v>
      </c>
      <c r="M3719" t="s">
        <v>497</v>
      </c>
      <c r="O3719" t="s">
        <v>11</v>
      </c>
      <c r="P3719">
        <v>5403</v>
      </c>
      <c r="Q3719">
        <v>4</v>
      </c>
      <c r="R3719">
        <v>59.98</v>
      </c>
      <c r="S3719">
        <v>239.92</v>
      </c>
      <c r="T3719">
        <v>208</v>
      </c>
      <c r="U3719">
        <v>13.3</v>
      </c>
      <c r="V3719" t="str">
        <f>VLOOKUP(L3719,'[2]tabela de preços'!$A:$D,4,0)</f>
        <v>BRASILUX</v>
      </c>
      <c r="W3719" t="str">
        <f>VLOOKUP(L3719,'[2]tabela de preços'!$A:$F,6,0)</f>
        <v>ESMALTES</v>
      </c>
      <c r="X3719" t="str">
        <f>VLOOKUP(L3719,'[2]tabela de preços'!$A:$G,7,0)</f>
        <v>INDUSTRIAL</v>
      </c>
    </row>
    <row r="3720" spans="1:24" x14ac:dyDescent="0.3">
      <c r="A3720" t="s">
        <v>2213</v>
      </c>
      <c r="C3720" t="s">
        <v>3304</v>
      </c>
      <c r="D3720" s="1">
        <v>46066</v>
      </c>
      <c r="E3720" t="s">
        <v>3305</v>
      </c>
      <c r="F3720">
        <v>9</v>
      </c>
      <c r="G3720">
        <v>236</v>
      </c>
      <c r="H3720" t="str">
        <f>VLOOKUP(G3720,[1]OPERADORES!$A:$B,2,0)</f>
        <v>DANIEL</v>
      </c>
      <c r="I3720" t="s">
        <v>21</v>
      </c>
      <c r="J3720" t="s">
        <v>1816</v>
      </c>
      <c r="K3720" t="s">
        <v>2216</v>
      </c>
      <c r="L3720">
        <v>84113</v>
      </c>
      <c r="M3720" t="s">
        <v>737</v>
      </c>
      <c r="O3720" t="s">
        <v>11</v>
      </c>
      <c r="P3720">
        <v>5403</v>
      </c>
      <c r="Q3720">
        <v>5</v>
      </c>
      <c r="R3720">
        <v>163.04</v>
      </c>
      <c r="S3720">
        <v>815.2</v>
      </c>
      <c r="T3720">
        <v>584.4</v>
      </c>
      <c r="U3720">
        <v>28.31</v>
      </c>
      <c r="V3720" t="str">
        <f>VLOOKUP(L3720,'[2]tabela de preços'!$A:$D,4,0)</f>
        <v>BRASILUX</v>
      </c>
      <c r="W3720" t="str">
        <f>VLOOKUP(L3720,'[2]tabela de preços'!$A:$F,6,0)</f>
        <v>EPOXI</v>
      </c>
      <c r="X3720" t="str">
        <f>VLOOKUP(L3720,'[2]tabela de preços'!$A:$G,7,0)</f>
        <v>INDUSTRIAL</v>
      </c>
    </row>
    <row r="3721" spans="1:24" x14ac:dyDescent="0.3">
      <c r="A3721" t="s">
        <v>2213</v>
      </c>
      <c r="C3721" t="s">
        <v>3306</v>
      </c>
      <c r="D3721" s="1">
        <v>46066</v>
      </c>
      <c r="E3721" t="s">
        <v>3307</v>
      </c>
      <c r="F3721">
        <v>9</v>
      </c>
      <c r="G3721">
        <v>236</v>
      </c>
      <c r="H3721" t="str">
        <f>VLOOKUP(G3721,[1]OPERADORES!$A:$B,2,0)</f>
        <v>DANIEL</v>
      </c>
      <c r="I3721" t="s">
        <v>21</v>
      </c>
      <c r="J3721" t="s">
        <v>1816</v>
      </c>
      <c r="K3721" t="s">
        <v>2216</v>
      </c>
      <c r="L3721">
        <v>84116</v>
      </c>
      <c r="M3721" t="s">
        <v>2417</v>
      </c>
      <c r="O3721" t="s">
        <v>11</v>
      </c>
      <c r="P3721">
        <v>5403</v>
      </c>
      <c r="Q3721">
        <v>12</v>
      </c>
      <c r="R3721">
        <v>153.99</v>
      </c>
      <c r="S3721" s="2">
        <v>1847.88</v>
      </c>
      <c r="T3721" s="2">
        <v>1402.56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2213</v>
      </c>
      <c r="C3722" t="s">
        <v>3308</v>
      </c>
      <c r="D3722" s="1">
        <v>46071</v>
      </c>
      <c r="E3722" t="s">
        <v>3309</v>
      </c>
      <c r="F3722">
        <v>9</v>
      </c>
      <c r="G3722">
        <v>236</v>
      </c>
      <c r="H3722" t="str">
        <f>VLOOKUP(G3722,[1]OPERADORES!$A:$B,2,0)</f>
        <v>DANIEL</v>
      </c>
      <c r="I3722" t="s">
        <v>21</v>
      </c>
      <c r="J3722" t="s">
        <v>1816</v>
      </c>
      <c r="K3722" t="s">
        <v>2216</v>
      </c>
      <c r="L3722">
        <v>84333</v>
      </c>
      <c r="M3722" t="s">
        <v>1025</v>
      </c>
      <c r="O3722" t="s">
        <v>11</v>
      </c>
      <c r="P3722">
        <v>5403</v>
      </c>
      <c r="Q3722">
        <v>4</v>
      </c>
      <c r="R3722">
        <v>59.98</v>
      </c>
      <c r="S3722">
        <v>239.92</v>
      </c>
      <c r="T3722">
        <v>188.16</v>
      </c>
      <c r="U3722">
        <v>21.57</v>
      </c>
      <c r="V3722" t="str">
        <f>VLOOKUP(L3722,'[2]tabela de preços'!$A:$D,4,0)</f>
        <v>BRASILUX</v>
      </c>
      <c r="W3722" t="str">
        <f>VLOOKUP(L3722,'[2]tabela de preços'!$A:$F,6,0)</f>
        <v>ESMALTES</v>
      </c>
      <c r="X3722" t="str">
        <f>VLOOKUP(L3722,'[2]tabela de preços'!$A:$G,7,0)</f>
        <v>INDUSTRIAL</v>
      </c>
    </row>
    <row r="3723" spans="1:24" x14ac:dyDescent="0.3">
      <c r="A3723" t="s">
        <v>2213</v>
      </c>
      <c r="C3723" t="s">
        <v>3308</v>
      </c>
      <c r="D3723" s="1">
        <v>46071</v>
      </c>
      <c r="E3723" t="s">
        <v>3309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1816</v>
      </c>
      <c r="K3723" t="s">
        <v>2216</v>
      </c>
      <c r="L3723">
        <v>85271</v>
      </c>
      <c r="M3723" t="s">
        <v>850</v>
      </c>
      <c r="O3723" t="s">
        <v>11</v>
      </c>
      <c r="P3723">
        <v>5403</v>
      </c>
      <c r="Q3723">
        <v>6</v>
      </c>
      <c r="R3723">
        <v>166.31</v>
      </c>
      <c r="S3723">
        <v>997.86</v>
      </c>
      <c r="T3723">
        <v>677.64</v>
      </c>
      <c r="U3723">
        <v>32.090000000000003</v>
      </c>
      <c r="V3723" t="str">
        <f>VLOOKUP(L3723,'[2]tabela de preços'!$A:$D,4,0)</f>
        <v>BRASILUX</v>
      </c>
      <c r="W3723" t="str">
        <f>VLOOKUP(L3723,'[2]tabela de preços'!$A:$F,6,0)</f>
        <v>TINTA PARA PISO</v>
      </c>
      <c r="X3723" t="str">
        <f>VLOOKUP(L3723,'[2]tabela de preços'!$A:$G,7,0)</f>
        <v>IMOBILIÁRIO</v>
      </c>
    </row>
    <row r="3724" spans="1:24" x14ac:dyDescent="0.3">
      <c r="A3724" t="s">
        <v>2213</v>
      </c>
      <c r="C3724" t="s">
        <v>3308</v>
      </c>
      <c r="D3724" s="1">
        <v>46071</v>
      </c>
      <c r="E3724" t="s">
        <v>3309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1816</v>
      </c>
      <c r="K3724" t="s">
        <v>2216</v>
      </c>
      <c r="L3724">
        <v>84420</v>
      </c>
      <c r="M3724" t="s">
        <v>353</v>
      </c>
      <c r="O3724" t="s">
        <v>11</v>
      </c>
      <c r="P3724">
        <v>5102</v>
      </c>
      <c r="Q3724">
        <v>5</v>
      </c>
      <c r="R3724">
        <v>21.54</v>
      </c>
      <c r="S3724">
        <v>107.7</v>
      </c>
      <c r="T3724">
        <v>77.2</v>
      </c>
      <c r="U3724">
        <v>28.32</v>
      </c>
      <c r="V3724" t="str">
        <f>VLOOKUP(L3724,'[2]tabela de preços'!$A:$D,4,0)</f>
        <v>ATLAS</v>
      </c>
      <c r="W3724" t="str">
        <f>VLOOKUP(L3724,'[2]tabela de preços'!$A:$F,6,0)</f>
        <v>ROLOS / TRINCHAS / PINCÉIS / ESPÁTULAS</v>
      </c>
      <c r="X3724" t="str">
        <f>VLOOKUP(L3724,'[2]tabela de preços'!$A:$G,7,0)</f>
        <v>IMOBILIÁRIO</v>
      </c>
    </row>
    <row r="3725" spans="1:24" x14ac:dyDescent="0.3">
      <c r="A3725" t="s">
        <v>2231</v>
      </c>
      <c r="C3725" t="s">
        <v>2731</v>
      </c>
      <c r="D3725" s="1">
        <v>46058</v>
      </c>
      <c r="E3725" t="s">
        <v>2732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494</v>
      </c>
      <c r="K3725" t="s">
        <v>2234</v>
      </c>
      <c r="L3725">
        <v>84331</v>
      </c>
      <c r="M3725" t="s">
        <v>497</v>
      </c>
      <c r="O3725" t="s">
        <v>11</v>
      </c>
      <c r="P3725">
        <v>5403</v>
      </c>
      <c r="Q3725">
        <v>3</v>
      </c>
      <c r="R3725">
        <v>59.98</v>
      </c>
      <c r="S3725">
        <v>179.94</v>
      </c>
      <c r="T3725">
        <v>156</v>
      </c>
      <c r="U3725">
        <v>13.3</v>
      </c>
      <c r="V3725" t="str">
        <f>VLOOKUP(L3725,'[2]tabela de preços'!$A:$D,4,0)</f>
        <v>BRASILUX</v>
      </c>
      <c r="W3725" t="str">
        <f>VLOOKUP(L3725,'[2]tabela de preços'!$A:$F,6,0)</f>
        <v>ESMALTES</v>
      </c>
      <c r="X3725" t="str">
        <f>VLOOKUP(L3725,'[2]tabela de preços'!$A:$G,7,0)</f>
        <v>INDUSTRIAL</v>
      </c>
    </row>
    <row r="3726" spans="1:24" x14ac:dyDescent="0.3">
      <c r="A3726" t="s">
        <v>2231</v>
      </c>
      <c r="C3726" t="s">
        <v>3310</v>
      </c>
      <c r="D3726" s="1">
        <v>46065</v>
      </c>
      <c r="E3726" t="s">
        <v>3311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494</v>
      </c>
      <c r="K3726" t="s">
        <v>2234</v>
      </c>
      <c r="L3726">
        <v>84036</v>
      </c>
      <c r="M3726" t="s">
        <v>289</v>
      </c>
      <c r="O3726" t="s">
        <v>11</v>
      </c>
      <c r="P3726">
        <v>5102</v>
      </c>
      <c r="Q3726">
        <v>1</v>
      </c>
      <c r="R3726">
        <v>47.9</v>
      </c>
      <c r="S3726">
        <v>47.9</v>
      </c>
      <c r="T3726">
        <v>41.63</v>
      </c>
      <c r="U3726">
        <v>13.09</v>
      </c>
      <c r="V3726" t="str">
        <f>VLOOKUP(L3726,'[2]tabela de preços'!$A:$D,4,0)</f>
        <v>BRASILUX</v>
      </c>
      <c r="W3726" t="str">
        <f>VLOOKUP(L3726,'[2]tabela de preços'!$A:$F,6,0)</f>
        <v>MASSA CORRIDA / ACRÍLICA</v>
      </c>
      <c r="X3726" t="str">
        <f>VLOOKUP(L3726,'[2]tabela de preços'!$A:$G,7,0)</f>
        <v>IMOBILIÁRIO</v>
      </c>
    </row>
    <row r="3727" spans="1:24" x14ac:dyDescent="0.3">
      <c r="A3727" t="s">
        <v>2231</v>
      </c>
      <c r="C3727" t="s">
        <v>3312</v>
      </c>
      <c r="D3727" s="1">
        <v>46072</v>
      </c>
      <c r="E3727" t="s">
        <v>3313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494</v>
      </c>
      <c r="K3727" t="s">
        <v>2234</v>
      </c>
      <c r="L3727">
        <v>84331</v>
      </c>
      <c r="M3727" t="s">
        <v>497</v>
      </c>
      <c r="O3727" t="s">
        <v>11</v>
      </c>
      <c r="P3727">
        <v>5403</v>
      </c>
      <c r="Q3727">
        <v>5</v>
      </c>
      <c r="R3727">
        <v>59.98</v>
      </c>
      <c r="S3727">
        <v>299.89999999999998</v>
      </c>
      <c r="T3727">
        <v>260</v>
      </c>
      <c r="U3727">
        <v>13.3</v>
      </c>
      <c r="V3727" t="str">
        <f>VLOOKUP(L3727,'[2]tabela de preços'!$A:$D,4,0)</f>
        <v>BRASILUX</v>
      </c>
      <c r="W3727" t="str">
        <f>VLOOKUP(L3727,'[2]tabela de preços'!$A:$F,6,0)</f>
        <v>ESMALTES</v>
      </c>
      <c r="X3727" t="str">
        <f>VLOOKUP(L3727,'[2]tabela de preços'!$A:$G,7,0)</f>
        <v>INDUSTRIAL</v>
      </c>
    </row>
    <row r="3728" spans="1:24" x14ac:dyDescent="0.3">
      <c r="A3728" t="s">
        <v>2236</v>
      </c>
      <c r="B3728" t="s">
        <v>2237</v>
      </c>
      <c r="C3728" t="s">
        <v>3314</v>
      </c>
      <c r="D3728" s="1">
        <v>46065</v>
      </c>
      <c r="E3728" t="s">
        <v>3315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2240</v>
      </c>
      <c r="K3728" t="s">
        <v>2241</v>
      </c>
      <c r="L3728">
        <v>21860</v>
      </c>
      <c r="M3728" t="s">
        <v>2038</v>
      </c>
      <c r="O3728" t="s">
        <v>11</v>
      </c>
      <c r="P3728">
        <v>5403</v>
      </c>
      <c r="Q3728">
        <v>3</v>
      </c>
      <c r="R3728">
        <v>63.48</v>
      </c>
      <c r="S3728">
        <v>190.44</v>
      </c>
      <c r="T3728">
        <v>139.62</v>
      </c>
      <c r="U3728">
        <v>26.69</v>
      </c>
      <c r="V3728" t="str">
        <f>VLOOKUP(L3728,'[2]tabela de preços'!$A:$D,4,0)</f>
        <v>SIKKENS</v>
      </c>
      <c r="W3728" t="str">
        <f>VLOOKUP(L3728,'[2]tabela de preços'!$A:$F,6,0)</f>
        <v>VERNIZ AUTOMOTIVO</v>
      </c>
      <c r="X3728" t="str">
        <f>VLOOKUP(L3728,'[2]tabela de preços'!$A:$G,7,0)</f>
        <v>AUTOMOTIVO</v>
      </c>
    </row>
    <row r="3729" spans="1:24" x14ac:dyDescent="0.3">
      <c r="A3729" t="s">
        <v>2236</v>
      </c>
      <c r="B3729" t="s">
        <v>2237</v>
      </c>
      <c r="C3729" t="s">
        <v>3314</v>
      </c>
      <c r="D3729" s="1">
        <v>46065</v>
      </c>
      <c r="E3729" t="s">
        <v>3315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2240</v>
      </c>
      <c r="K3729" t="s">
        <v>2241</v>
      </c>
      <c r="L3729">
        <v>10224</v>
      </c>
      <c r="M3729" t="s">
        <v>270</v>
      </c>
      <c r="O3729" t="s">
        <v>11</v>
      </c>
      <c r="P3729">
        <v>5102</v>
      </c>
      <c r="Q3729">
        <v>10</v>
      </c>
      <c r="R3729">
        <v>2.79</v>
      </c>
      <c r="S3729">
        <v>27.9</v>
      </c>
      <c r="T3729">
        <v>23.2</v>
      </c>
      <c r="U3729">
        <v>16.850000000000001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2236</v>
      </c>
      <c r="B3730" t="s">
        <v>2237</v>
      </c>
      <c r="C3730" t="s">
        <v>3314</v>
      </c>
      <c r="D3730" s="1">
        <v>46065</v>
      </c>
      <c r="E3730" t="s">
        <v>3315</v>
      </c>
      <c r="F3730">
        <v>9</v>
      </c>
      <c r="G3730">
        <v>236</v>
      </c>
      <c r="H3730" t="str">
        <f>VLOOKUP(G3730,[1]OPERADORES!$A:$B,2,0)</f>
        <v>DANIEL</v>
      </c>
      <c r="I3730" t="s">
        <v>21</v>
      </c>
      <c r="J3730" t="s">
        <v>2240</v>
      </c>
      <c r="K3730" t="s">
        <v>2241</v>
      </c>
      <c r="L3730">
        <v>10228</v>
      </c>
      <c r="M3730" t="s">
        <v>3316</v>
      </c>
      <c r="O3730" t="s">
        <v>11</v>
      </c>
      <c r="P3730">
        <v>5102</v>
      </c>
      <c r="Q3730">
        <v>10</v>
      </c>
      <c r="R3730">
        <v>2.79</v>
      </c>
      <c r="S3730">
        <v>27.9</v>
      </c>
      <c r="T3730">
        <v>23.6</v>
      </c>
      <c r="U3730">
        <v>15.41</v>
      </c>
      <c r="V3730" t="str">
        <f>VLOOKUP(L3730,'[2]tabela de preços'!$A:$D,4,0)</f>
        <v>NORTON</v>
      </c>
      <c r="W3730" t="str">
        <f>VLOOKUP(L3730,'[2]tabela de preços'!$A:$F,6,0)</f>
        <v xml:space="preserve">DISCOS / LIXAS / ABRASIVOS </v>
      </c>
      <c r="X3730" t="str">
        <f>VLOOKUP(L3730,'[2]tabela de preços'!$A:$G,7,0)</f>
        <v>AUTOMOTIVO</v>
      </c>
    </row>
    <row r="3731" spans="1:24" x14ac:dyDescent="0.3">
      <c r="A3731" t="s">
        <v>2236</v>
      </c>
      <c r="B3731" t="s">
        <v>2237</v>
      </c>
      <c r="C3731" t="s">
        <v>3314</v>
      </c>
      <c r="D3731" s="1">
        <v>46065</v>
      </c>
      <c r="E3731" t="s">
        <v>3315</v>
      </c>
      <c r="F3731">
        <v>9</v>
      </c>
      <c r="G3731">
        <v>236</v>
      </c>
      <c r="H3731" t="str">
        <f>VLOOKUP(G3731,[1]OPERADORES!$A:$B,2,0)</f>
        <v>DANIEL</v>
      </c>
      <c r="I3731" t="s">
        <v>21</v>
      </c>
      <c r="J3731" t="s">
        <v>2240</v>
      </c>
      <c r="K3731" t="s">
        <v>2241</v>
      </c>
      <c r="L3731">
        <v>20135</v>
      </c>
      <c r="M3731" t="s">
        <v>459</v>
      </c>
      <c r="O3731" t="s">
        <v>11</v>
      </c>
      <c r="P3731">
        <v>5102</v>
      </c>
      <c r="Q3731">
        <v>2</v>
      </c>
      <c r="R3731">
        <v>29.85</v>
      </c>
      <c r="S3731">
        <v>59.7</v>
      </c>
      <c r="T3731">
        <v>38.520000000000003</v>
      </c>
      <c r="U3731">
        <v>35.479999999999997</v>
      </c>
      <c r="V3731" t="str">
        <f>VLOOKUP(L3731,'[2]tabela de preços'!$A:$D,4,0)</f>
        <v>3M</v>
      </c>
      <c r="W3731" t="str">
        <f>VLOOKUP(L3731,'[2]tabela de preços'!$A:$F,6,0)</f>
        <v>DISCO TRIZACT</v>
      </c>
      <c r="X3731" t="str">
        <f>VLOOKUP(L3731,'[2]tabela de preços'!$A:$G,7,0)</f>
        <v>AUTOMOTIVO</v>
      </c>
    </row>
    <row r="3732" spans="1:24" x14ac:dyDescent="0.3">
      <c r="A3732" t="s">
        <v>2236</v>
      </c>
      <c r="B3732" t="s">
        <v>2237</v>
      </c>
      <c r="C3732" t="s">
        <v>3314</v>
      </c>
      <c r="D3732" s="1">
        <v>46065</v>
      </c>
      <c r="E3732" t="s">
        <v>3315</v>
      </c>
      <c r="F3732">
        <v>9</v>
      </c>
      <c r="G3732">
        <v>236</v>
      </c>
      <c r="H3732" t="str">
        <f>VLOOKUP(G3732,[1]OPERADORES!$A:$B,2,0)</f>
        <v>DANIEL</v>
      </c>
      <c r="I3732" t="s">
        <v>21</v>
      </c>
      <c r="J3732" t="s">
        <v>2240</v>
      </c>
      <c r="K3732" t="s">
        <v>2241</v>
      </c>
      <c r="L3732">
        <v>21862</v>
      </c>
      <c r="M3732" t="s">
        <v>2040</v>
      </c>
      <c r="O3732" t="s">
        <v>11</v>
      </c>
      <c r="P3732">
        <v>5102</v>
      </c>
      <c r="Q3732">
        <v>3</v>
      </c>
      <c r="R3732">
        <v>30.85</v>
      </c>
      <c r="S3732">
        <v>92.55</v>
      </c>
      <c r="T3732">
        <v>67.86</v>
      </c>
      <c r="U3732">
        <v>26.68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2236</v>
      </c>
      <c r="B3733" t="s">
        <v>2237</v>
      </c>
      <c r="C3733" t="s">
        <v>3314</v>
      </c>
      <c r="D3733" s="1">
        <v>46065</v>
      </c>
      <c r="E3733" t="s">
        <v>3315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2240</v>
      </c>
      <c r="K3733" t="s">
        <v>2241</v>
      </c>
      <c r="L3733">
        <v>21125</v>
      </c>
      <c r="M3733" t="s">
        <v>2242</v>
      </c>
      <c r="O3733" t="s">
        <v>11</v>
      </c>
      <c r="P3733">
        <v>5102</v>
      </c>
      <c r="Q3733">
        <v>2</v>
      </c>
      <c r="R3733">
        <v>47.86</v>
      </c>
      <c r="S3733">
        <v>95.72</v>
      </c>
      <c r="T3733">
        <v>72.64</v>
      </c>
      <c r="U3733">
        <v>24.11</v>
      </c>
      <c r="V3733" t="str">
        <f>VLOOKUP(L3733,'[2]tabela de preços'!$A:$D,4,0)</f>
        <v>PURPLEX</v>
      </c>
      <c r="W3733" t="str">
        <f>VLOOKUP(L3733,'[2]tabela de preços'!$A:$F,6,0)</f>
        <v>TACO LIXADOR</v>
      </c>
      <c r="X3733" t="str">
        <f>VLOOKUP(L3733,'[2]tabela de preços'!$A:$G,7,0)</f>
        <v>AUTOMOTIVO</v>
      </c>
    </row>
    <row r="3734" spans="1:24" x14ac:dyDescent="0.3">
      <c r="A3734" t="s">
        <v>3002</v>
      </c>
      <c r="C3734" t="s">
        <v>3003</v>
      </c>
      <c r="D3734" s="1">
        <v>46063</v>
      </c>
      <c r="E3734" t="s">
        <v>3004</v>
      </c>
      <c r="F3734">
        <v>9</v>
      </c>
      <c r="G3734">
        <v>230</v>
      </c>
      <c r="H3734" t="str">
        <f>VLOOKUP(G3734,[1]OPERADORES!$A:$B,2,0)</f>
        <v>SÔNIA</v>
      </c>
      <c r="I3734" t="s">
        <v>715</v>
      </c>
      <c r="J3734" t="s">
        <v>3005</v>
      </c>
      <c r="K3734" t="s">
        <v>3006</v>
      </c>
      <c r="L3734">
        <v>10236</v>
      </c>
      <c r="M3734" t="s">
        <v>133</v>
      </c>
      <c r="O3734" t="s">
        <v>11</v>
      </c>
      <c r="P3734">
        <v>6102</v>
      </c>
      <c r="Q3734">
        <v>20</v>
      </c>
      <c r="R3734">
        <v>2.79</v>
      </c>
      <c r="S3734">
        <v>55.8</v>
      </c>
      <c r="T3734">
        <v>46.4</v>
      </c>
      <c r="U3734">
        <v>16.850000000000001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3002</v>
      </c>
      <c r="C3735" t="s">
        <v>3003</v>
      </c>
      <c r="D3735" s="1">
        <v>46063</v>
      </c>
      <c r="E3735" t="s">
        <v>3004</v>
      </c>
      <c r="F3735">
        <v>9</v>
      </c>
      <c r="G3735">
        <v>230</v>
      </c>
      <c r="H3735" t="str">
        <f>VLOOKUP(G3735,[1]OPERADORES!$A:$B,2,0)</f>
        <v>SÔNIA</v>
      </c>
      <c r="I3735" t="s">
        <v>715</v>
      </c>
      <c r="J3735" t="s">
        <v>3005</v>
      </c>
      <c r="K3735" t="s">
        <v>3006</v>
      </c>
      <c r="L3735">
        <v>10226</v>
      </c>
      <c r="M3735" t="s">
        <v>145</v>
      </c>
      <c r="O3735" t="s">
        <v>11</v>
      </c>
      <c r="P3735">
        <v>6102</v>
      </c>
      <c r="Q3735">
        <v>20</v>
      </c>
      <c r="R3735">
        <v>2.79</v>
      </c>
      <c r="S3735">
        <v>55.8</v>
      </c>
      <c r="T3735">
        <v>46.4</v>
      </c>
      <c r="U3735">
        <v>16.850000000000001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3002</v>
      </c>
      <c r="C3736" t="s">
        <v>3003</v>
      </c>
      <c r="D3736" s="1">
        <v>46063</v>
      </c>
      <c r="E3736" t="s">
        <v>3004</v>
      </c>
      <c r="F3736">
        <v>9</v>
      </c>
      <c r="G3736">
        <v>230</v>
      </c>
      <c r="H3736" t="str">
        <f>VLOOKUP(G3736,[1]OPERADORES!$A:$B,2,0)</f>
        <v>SÔNIA</v>
      </c>
      <c r="I3736" t="s">
        <v>715</v>
      </c>
      <c r="J3736" t="s">
        <v>3005</v>
      </c>
      <c r="K3736" t="s">
        <v>3006</v>
      </c>
      <c r="L3736">
        <v>10232</v>
      </c>
      <c r="M3736" t="s">
        <v>134</v>
      </c>
      <c r="O3736" t="s">
        <v>11</v>
      </c>
      <c r="P3736">
        <v>6102</v>
      </c>
      <c r="Q3736">
        <v>20</v>
      </c>
      <c r="R3736">
        <v>2.79</v>
      </c>
      <c r="S3736">
        <v>55.8</v>
      </c>
      <c r="T3736">
        <v>45</v>
      </c>
      <c r="U3736">
        <v>19.350000000000001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3002</v>
      </c>
      <c r="C3737" t="s">
        <v>3003</v>
      </c>
      <c r="D3737" s="1">
        <v>46063</v>
      </c>
      <c r="E3737" t="s">
        <v>3004</v>
      </c>
      <c r="F3737">
        <v>9</v>
      </c>
      <c r="G3737">
        <v>230</v>
      </c>
      <c r="H3737" t="str">
        <f>VLOOKUP(G3737,[1]OPERADORES!$A:$B,2,0)</f>
        <v>SÔNIA</v>
      </c>
      <c r="I3737" t="s">
        <v>715</v>
      </c>
      <c r="J3737" t="s">
        <v>3005</v>
      </c>
      <c r="K3737" t="s">
        <v>3006</v>
      </c>
      <c r="L3737">
        <v>23365</v>
      </c>
      <c r="M3737" t="s">
        <v>3007</v>
      </c>
      <c r="O3737" t="s">
        <v>11</v>
      </c>
      <c r="P3737">
        <v>6102</v>
      </c>
      <c r="Q3737">
        <v>3</v>
      </c>
      <c r="R3737">
        <v>60.66</v>
      </c>
      <c r="S3737">
        <v>181.98</v>
      </c>
      <c r="T3737">
        <v>138.12</v>
      </c>
      <c r="U3737">
        <v>24.1</v>
      </c>
      <c r="V3737" t="str">
        <f>VLOOKUP(L3737,'[2]tabela de preços'!$A:$D,4,0)</f>
        <v>SHERWIN WILLIAMS</v>
      </c>
      <c r="W3737" t="str">
        <f>VLOOKUP(L3737,'[2]tabela de preços'!$A:$F,6,0)</f>
        <v>CATALISADORES INDIVIDUAS</v>
      </c>
      <c r="X3737" t="str">
        <f>VLOOKUP(L3737,'[2]tabela de preços'!$A:$G,7,0)</f>
        <v>AUTOMOTIVO</v>
      </c>
    </row>
    <row r="3738" spans="1:24" x14ac:dyDescent="0.3">
      <c r="A3738" t="s">
        <v>3002</v>
      </c>
      <c r="C3738" t="s">
        <v>3003</v>
      </c>
      <c r="D3738" s="1">
        <v>46063</v>
      </c>
      <c r="E3738" t="s">
        <v>3004</v>
      </c>
      <c r="F3738">
        <v>9</v>
      </c>
      <c r="G3738">
        <v>230</v>
      </c>
      <c r="H3738" t="str">
        <f>VLOOKUP(G3738,[1]OPERADORES!$A:$B,2,0)</f>
        <v>SÔNIA</v>
      </c>
      <c r="I3738" t="s">
        <v>715</v>
      </c>
      <c r="J3738" t="s">
        <v>3005</v>
      </c>
      <c r="K3738" t="s">
        <v>3006</v>
      </c>
      <c r="L3738">
        <v>24240</v>
      </c>
      <c r="M3738" t="s">
        <v>240</v>
      </c>
      <c r="O3738" t="s">
        <v>11</v>
      </c>
      <c r="P3738">
        <v>6102</v>
      </c>
      <c r="Q3738">
        <v>20</v>
      </c>
      <c r="R3738">
        <v>3.81</v>
      </c>
      <c r="S3738">
        <v>76.2</v>
      </c>
      <c r="T3738">
        <v>65.599999999999994</v>
      </c>
      <c r="U3738">
        <v>13.91</v>
      </c>
      <c r="V3738" t="str">
        <f>VLOOKUP(L3738,'[2]tabela de preços'!$A:$D,4,0)</f>
        <v>ADERE</v>
      </c>
      <c r="W3738" t="str">
        <f>VLOOKUP(L3738,'[2]tabela de preços'!$A:$F,6,0)</f>
        <v>FITA AUTOMOTIVA</v>
      </c>
      <c r="X3738" t="str">
        <f>VLOOKUP(L3738,'[2]tabela de preços'!$A:$G,7,0)</f>
        <v>AUTOMOTIVO</v>
      </c>
    </row>
    <row r="3739" spans="1:24" x14ac:dyDescent="0.3">
      <c r="A3739" t="s">
        <v>3002</v>
      </c>
      <c r="C3739" t="s">
        <v>3003</v>
      </c>
      <c r="D3739" s="1">
        <v>46063</v>
      </c>
      <c r="E3739" t="s">
        <v>3004</v>
      </c>
      <c r="F3739">
        <v>9</v>
      </c>
      <c r="G3739">
        <v>230</v>
      </c>
      <c r="H3739" t="str">
        <f>VLOOKUP(G3739,[1]OPERADORES!$A:$B,2,0)</f>
        <v>SÔNIA</v>
      </c>
      <c r="I3739" t="s">
        <v>715</v>
      </c>
      <c r="J3739" t="s">
        <v>3005</v>
      </c>
      <c r="K3739" t="s">
        <v>3006</v>
      </c>
      <c r="L3739">
        <v>13</v>
      </c>
      <c r="M3739" t="s">
        <v>152</v>
      </c>
      <c r="O3739" t="s">
        <v>11</v>
      </c>
      <c r="P3739">
        <v>6102</v>
      </c>
      <c r="Q3739">
        <v>50</v>
      </c>
      <c r="R3739">
        <v>5.79</v>
      </c>
      <c r="S3739">
        <v>289.5</v>
      </c>
      <c r="T3739">
        <v>208</v>
      </c>
      <c r="U3739">
        <v>28.15</v>
      </c>
      <c r="V3739" t="str">
        <f>VLOOKUP(L3739,'[2]tabela de preços'!$A:$D,4,0)</f>
        <v>3M</v>
      </c>
      <c r="W3739" t="str">
        <f>VLOOKUP(L3739,'[2]tabela de preços'!$A:$F,6,0)</f>
        <v>LIXA DÁGUA</v>
      </c>
      <c r="X3739" t="str">
        <f>VLOOKUP(L3739,'[2]tabela de preços'!$A:$G,7,0)</f>
        <v>AUTOMOTIVO</v>
      </c>
    </row>
    <row r="3740" spans="1:24" x14ac:dyDescent="0.3">
      <c r="A3740" t="s">
        <v>3002</v>
      </c>
      <c r="C3740" t="s">
        <v>3003</v>
      </c>
      <c r="D3740" s="1">
        <v>46063</v>
      </c>
      <c r="E3740" t="s">
        <v>3004</v>
      </c>
      <c r="F3740">
        <v>9</v>
      </c>
      <c r="G3740">
        <v>230</v>
      </c>
      <c r="H3740" t="str">
        <f>VLOOKUP(G3740,[1]OPERADORES!$A:$B,2,0)</f>
        <v>SÔNIA</v>
      </c>
      <c r="I3740" t="s">
        <v>715</v>
      </c>
      <c r="J3740" t="s">
        <v>3005</v>
      </c>
      <c r="K3740" t="s">
        <v>3006</v>
      </c>
      <c r="L3740">
        <v>16</v>
      </c>
      <c r="M3740" t="s">
        <v>122</v>
      </c>
      <c r="O3740" t="s">
        <v>11</v>
      </c>
      <c r="P3740">
        <v>6102</v>
      </c>
      <c r="Q3740">
        <v>50</v>
      </c>
      <c r="R3740">
        <v>2.9</v>
      </c>
      <c r="S3740">
        <v>145</v>
      </c>
      <c r="T3740">
        <v>110</v>
      </c>
      <c r="U3740">
        <v>24.14</v>
      </c>
      <c r="V3740" t="str">
        <f>VLOOKUP(L3740,'[2]tabela de preços'!$A:$D,4,0)</f>
        <v>3M</v>
      </c>
      <c r="W3740" t="str">
        <f>VLOOKUP(L3740,'[2]tabela de preços'!$A:$F,6,0)</f>
        <v>LIXA DÁGUA</v>
      </c>
      <c r="X3740" t="str">
        <f>VLOOKUP(L3740,'[2]tabela de preços'!$A:$G,7,0)</f>
        <v>AUTOMOTIVO</v>
      </c>
    </row>
    <row r="3741" spans="1:24" x14ac:dyDescent="0.3">
      <c r="A3741" t="s">
        <v>3002</v>
      </c>
      <c r="C3741" t="s">
        <v>3003</v>
      </c>
      <c r="D3741" s="1">
        <v>46063</v>
      </c>
      <c r="E3741" t="s">
        <v>3004</v>
      </c>
      <c r="F3741">
        <v>9</v>
      </c>
      <c r="G3741">
        <v>230</v>
      </c>
      <c r="H3741" t="str">
        <f>VLOOKUP(G3741,[1]OPERADORES!$A:$B,2,0)</f>
        <v>SÔNIA</v>
      </c>
      <c r="I3741" t="s">
        <v>715</v>
      </c>
      <c r="J3741" t="s">
        <v>3005</v>
      </c>
      <c r="K3741" t="s">
        <v>3006</v>
      </c>
      <c r="L3741">
        <v>10240</v>
      </c>
      <c r="M3741" t="s">
        <v>81</v>
      </c>
      <c r="O3741" t="s">
        <v>11</v>
      </c>
      <c r="P3741">
        <v>6102</v>
      </c>
      <c r="Q3741">
        <v>50</v>
      </c>
      <c r="R3741">
        <v>2.79</v>
      </c>
      <c r="S3741">
        <v>139.5</v>
      </c>
      <c r="T3741">
        <v>112</v>
      </c>
      <c r="U3741">
        <v>19.71</v>
      </c>
      <c r="V3741" t="str">
        <f>VLOOKUP(L3741,'[2]tabela de preços'!$A:$D,4,0)</f>
        <v>NORTON</v>
      </c>
      <c r="W3741" t="str">
        <f>VLOOKUP(L3741,'[2]tabela de preços'!$A:$F,6,0)</f>
        <v xml:space="preserve">DISCOS / LIXAS / ABRASIVOS </v>
      </c>
      <c r="X3741" t="str">
        <f>VLOOKUP(L3741,'[2]tabela de preços'!$A:$G,7,0)</f>
        <v>AUTOMOTIVO</v>
      </c>
    </row>
    <row r="3742" spans="1:24" x14ac:dyDescent="0.3">
      <c r="A3742" t="s">
        <v>3002</v>
      </c>
      <c r="C3742" t="s">
        <v>3003</v>
      </c>
      <c r="D3742" s="1">
        <v>46063</v>
      </c>
      <c r="E3742" t="s">
        <v>3004</v>
      </c>
      <c r="F3742">
        <v>9</v>
      </c>
      <c r="G3742">
        <v>230</v>
      </c>
      <c r="H3742" t="str">
        <f>VLOOKUP(G3742,[1]OPERADORES!$A:$B,2,0)</f>
        <v>SÔNIA</v>
      </c>
      <c r="I3742" t="s">
        <v>715</v>
      </c>
      <c r="J3742" t="s">
        <v>3005</v>
      </c>
      <c r="K3742" t="s">
        <v>3006</v>
      </c>
      <c r="L3742">
        <v>10243</v>
      </c>
      <c r="M3742" t="s">
        <v>83</v>
      </c>
      <c r="O3742" t="s">
        <v>11</v>
      </c>
      <c r="P3742">
        <v>6102</v>
      </c>
      <c r="Q3742">
        <v>50</v>
      </c>
      <c r="R3742">
        <v>2.79</v>
      </c>
      <c r="S3742">
        <v>139.5</v>
      </c>
      <c r="T3742">
        <v>96.5</v>
      </c>
      <c r="U3742">
        <v>30.82</v>
      </c>
      <c r="V3742" t="str">
        <f>VLOOKUP(L3742,'[2]tabela de preços'!$A:$D,4,0)</f>
        <v>NORTON</v>
      </c>
      <c r="W3742" t="str">
        <f>VLOOKUP(L3742,'[2]tabela de preços'!$A:$F,6,0)</f>
        <v xml:space="preserve">DISCOS / LIXAS / ABRASIVOS </v>
      </c>
      <c r="X3742" t="str">
        <f>VLOOKUP(L3742,'[2]tabela de preços'!$A:$G,7,0)</f>
        <v>AUTOMOTIVO</v>
      </c>
    </row>
    <row r="3743" spans="1:24" x14ac:dyDescent="0.3">
      <c r="A3743" t="s">
        <v>3002</v>
      </c>
      <c r="C3743" t="s">
        <v>3003</v>
      </c>
      <c r="D3743" s="1">
        <v>46063</v>
      </c>
      <c r="E3743" t="s">
        <v>3004</v>
      </c>
      <c r="F3743">
        <v>9</v>
      </c>
      <c r="G3743">
        <v>230</v>
      </c>
      <c r="H3743" t="str">
        <f>VLOOKUP(G3743,[1]OPERADORES!$A:$B,2,0)</f>
        <v>SÔNIA</v>
      </c>
      <c r="I3743" t="s">
        <v>715</v>
      </c>
      <c r="J3743" t="s">
        <v>3005</v>
      </c>
      <c r="K3743" t="s">
        <v>3006</v>
      </c>
      <c r="L3743">
        <v>21077</v>
      </c>
      <c r="M3743" t="s">
        <v>207</v>
      </c>
      <c r="O3743" t="s">
        <v>11</v>
      </c>
      <c r="P3743">
        <v>6102</v>
      </c>
      <c r="Q3743">
        <v>12</v>
      </c>
      <c r="R3743">
        <v>44.68</v>
      </c>
      <c r="S3743">
        <v>536.16</v>
      </c>
      <c r="T3743">
        <v>407.04</v>
      </c>
      <c r="U3743">
        <v>24.08</v>
      </c>
      <c r="V3743" t="str">
        <f>VLOOKUP(L3743,'[2]tabela de preços'!$A:$D,4,0)</f>
        <v>SHERWIN WILLIAMS</v>
      </c>
      <c r="W3743" t="str">
        <f>VLOOKUP(L3743,'[2]tabela de preços'!$A:$F,6,0)</f>
        <v>MASSA POLIÉSTER</v>
      </c>
      <c r="X3743" t="str">
        <f>VLOOKUP(L3743,'[2]tabela de preços'!$A:$G,7,0)</f>
        <v>AUTOMOTIVO</v>
      </c>
    </row>
    <row r="3744" spans="1:24" x14ac:dyDescent="0.3">
      <c r="A3744" t="s">
        <v>3002</v>
      </c>
      <c r="C3744" t="s">
        <v>3003</v>
      </c>
      <c r="D3744" s="1">
        <v>46063</v>
      </c>
      <c r="E3744" t="s">
        <v>3004</v>
      </c>
      <c r="F3744">
        <v>9</v>
      </c>
      <c r="G3744">
        <v>230</v>
      </c>
      <c r="H3744" t="str">
        <f>VLOOKUP(G3744,[1]OPERADORES!$A:$B,2,0)</f>
        <v>SÔNIA</v>
      </c>
      <c r="I3744" t="s">
        <v>715</v>
      </c>
      <c r="J3744" t="s">
        <v>3005</v>
      </c>
      <c r="K3744" t="s">
        <v>3006</v>
      </c>
      <c r="L3744">
        <v>84560</v>
      </c>
      <c r="M3744" t="s">
        <v>118</v>
      </c>
      <c r="O3744" t="s">
        <v>11</v>
      </c>
      <c r="P3744">
        <v>6102</v>
      </c>
      <c r="Q3744">
        <v>4</v>
      </c>
      <c r="R3744">
        <v>47.89</v>
      </c>
      <c r="S3744">
        <v>191.56</v>
      </c>
      <c r="T3744">
        <v>156.63999999999999</v>
      </c>
      <c r="U3744">
        <v>18.23</v>
      </c>
      <c r="V3744" t="str">
        <f>VLOOKUP(L3744,'[2]tabela de preços'!$A:$D,4,0)</f>
        <v>BRASILUX</v>
      </c>
      <c r="W3744" t="str">
        <f>VLOOKUP(L3744,'[2]tabela de preços'!$A:$F,6,0)</f>
        <v>THINNER DE LIMPEZA</v>
      </c>
      <c r="X3744" t="str">
        <f>VLOOKUP(L3744,'[2]tabela de preços'!$A:$G,7,0)</f>
        <v>THINNER</v>
      </c>
    </row>
    <row r="3745" spans="1:24" x14ac:dyDescent="0.3">
      <c r="A3745" t="s">
        <v>3002</v>
      </c>
      <c r="C3745" t="s">
        <v>3003</v>
      </c>
      <c r="D3745" s="1">
        <v>46063</v>
      </c>
      <c r="E3745" t="s">
        <v>3004</v>
      </c>
      <c r="F3745">
        <v>9</v>
      </c>
      <c r="G3745">
        <v>230</v>
      </c>
      <c r="H3745" t="str">
        <f>VLOOKUP(G3745,[1]OPERADORES!$A:$B,2,0)</f>
        <v>SÔNIA</v>
      </c>
      <c r="I3745" t="s">
        <v>715</v>
      </c>
      <c r="J3745" t="s">
        <v>3005</v>
      </c>
      <c r="K3745" t="s">
        <v>3006</v>
      </c>
      <c r="L3745">
        <v>20414</v>
      </c>
      <c r="M3745" t="s">
        <v>112</v>
      </c>
      <c r="O3745" t="s">
        <v>11</v>
      </c>
      <c r="P3745">
        <v>6102</v>
      </c>
      <c r="Q3745">
        <v>20</v>
      </c>
      <c r="R3745">
        <v>21.89</v>
      </c>
      <c r="S3745">
        <v>437.8</v>
      </c>
      <c r="T3745">
        <v>360</v>
      </c>
      <c r="U3745">
        <v>17.77</v>
      </c>
      <c r="V3745" t="str">
        <f>VLOOKUP(L3745,'[2]tabela de preços'!$A:$D,4,0)</f>
        <v>SHERWIN WILLIAMS</v>
      </c>
      <c r="W3745" t="str">
        <f>VLOOKUP(L3745,'[2]tabela de preços'!$A:$F,6,0)</f>
        <v>DILUENTE</v>
      </c>
      <c r="X3745" t="str">
        <f>VLOOKUP(L3745,'[2]tabela de preços'!$A:$G,7,0)</f>
        <v>AUTOMOTIVO</v>
      </c>
    </row>
    <row r="3746" spans="1:24" x14ac:dyDescent="0.3">
      <c r="A3746" t="s">
        <v>3002</v>
      </c>
      <c r="C3746" t="s">
        <v>3003</v>
      </c>
      <c r="D3746" s="1">
        <v>46063</v>
      </c>
      <c r="E3746" t="s">
        <v>3004</v>
      </c>
      <c r="F3746">
        <v>9</v>
      </c>
      <c r="G3746">
        <v>230</v>
      </c>
      <c r="H3746" t="str">
        <f>VLOOKUP(G3746,[1]OPERADORES!$A:$B,2,0)</f>
        <v>SÔNIA</v>
      </c>
      <c r="I3746" t="s">
        <v>715</v>
      </c>
      <c r="J3746" t="s">
        <v>3005</v>
      </c>
      <c r="K3746" t="s">
        <v>3006</v>
      </c>
      <c r="L3746">
        <v>20454</v>
      </c>
      <c r="M3746" t="s">
        <v>1086</v>
      </c>
      <c r="O3746" t="s">
        <v>11</v>
      </c>
      <c r="P3746">
        <v>6403</v>
      </c>
      <c r="Q3746">
        <v>1</v>
      </c>
      <c r="R3746">
        <v>184.14</v>
      </c>
      <c r="S3746">
        <v>184.14</v>
      </c>
      <c r="T3746">
        <v>139.77000000000001</v>
      </c>
      <c r="U3746">
        <v>24.1</v>
      </c>
      <c r="V3746" t="str">
        <f>VLOOKUP(L3746,'[2]tabela de preços'!$A:$D,4,0)</f>
        <v>SHERWIN WILLIAMS</v>
      </c>
      <c r="W3746" t="str">
        <f>VLOOKUP(L3746,'[2]tabela de preços'!$A:$F,6,0)</f>
        <v>VERNIZ AUTOMOTIVO</v>
      </c>
      <c r="X3746" t="str">
        <f>VLOOKUP(L3746,'[2]tabela de preços'!$A:$G,7,0)</f>
        <v>AUTOMOTIVO</v>
      </c>
    </row>
    <row r="3747" spans="1:24" x14ac:dyDescent="0.3">
      <c r="A3747" t="s">
        <v>3317</v>
      </c>
      <c r="C3747" t="s">
        <v>3318</v>
      </c>
      <c r="D3747" s="1">
        <v>46071</v>
      </c>
      <c r="E3747" t="s">
        <v>3319</v>
      </c>
      <c r="F3747">
        <v>9</v>
      </c>
      <c r="G3747">
        <v>236</v>
      </c>
      <c r="H3747" t="str">
        <f>VLOOKUP(G3747,[1]OPERADORES!$A:$B,2,0)</f>
        <v>DANIEL</v>
      </c>
      <c r="I3747" t="s">
        <v>21</v>
      </c>
      <c r="J3747" t="s">
        <v>3320</v>
      </c>
      <c r="K3747" t="s">
        <v>3321</v>
      </c>
      <c r="L3747">
        <v>85318</v>
      </c>
      <c r="M3747" t="s">
        <v>258</v>
      </c>
      <c r="O3747" t="s">
        <v>11</v>
      </c>
      <c r="P3747">
        <v>5102</v>
      </c>
      <c r="Q3747">
        <v>1</v>
      </c>
      <c r="R3747">
        <v>819</v>
      </c>
      <c r="S3747">
        <v>819</v>
      </c>
      <c r="T3747">
        <v>583.96</v>
      </c>
      <c r="U3747">
        <v>28.7</v>
      </c>
      <c r="V3747" t="str">
        <f>VLOOKUP(L3747,'[2]tabela de preços'!$A:$D,4,0)</f>
        <v>BRASILUX</v>
      </c>
      <c r="W3747" t="str">
        <f>VLOOKUP(L3747,'[2]tabela de preços'!$A:$F,6,0)</f>
        <v>TINTA EM PÓ</v>
      </c>
      <c r="X3747" t="str">
        <f>VLOOKUP(L3747,'[2]tabela de preços'!$A:$G,7,0)</f>
        <v>INDUSTRIAL</v>
      </c>
    </row>
    <row r="3748" spans="1:24" x14ac:dyDescent="0.3">
      <c r="A3748" t="s">
        <v>3317</v>
      </c>
      <c r="C3748" t="s">
        <v>3318</v>
      </c>
      <c r="D3748" s="1">
        <v>46071</v>
      </c>
      <c r="E3748" t="s">
        <v>3319</v>
      </c>
      <c r="F3748">
        <v>9</v>
      </c>
      <c r="G3748">
        <v>236</v>
      </c>
      <c r="H3748" t="str">
        <f>VLOOKUP(G3748,[1]OPERADORES!$A:$B,2,0)</f>
        <v>DANIEL</v>
      </c>
      <c r="I3748" t="s">
        <v>21</v>
      </c>
      <c r="J3748" t="s">
        <v>3320</v>
      </c>
      <c r="K3748" t="s">
        <v>3321</v>
      </c>
      <c r="L3748">
        <v>85398</v>
      </c>
      <c r="M3748" t="s">
        <v>3066</v>
      </c>
      <c r="O3748" t="s">
        <v>11</v>
      </c>
      <c r="P3748">
        <v>5102</v>
      </c>
      <c r="Q3748">
        <v>1</v>
      </c>
      <c r="R3748">
        <v>670.38</v>
      </c>
      <c r="S3748">
        <v>670.38</v>
      </c>
      <c r="T3748">
        <v>461.69</v>
      </c>
      <c r="U3748">
        <v>31.13</v>
      </c>
      <c r="V3748" t="str">
        <f>VLOOKUP(L3748,'[2]tabela de preços'!$A:$D,4,0)</f>
        <v>BRASILUX</v>
      </c>
      <c r="W3748" t="str">
        <f>VLOOKUP(L3748,'[2]tabela de preços'!$A:$F,6,0)</f>
        <v>TINTA EM PÓ</v>
      </c>
      <c r="X3748" t="str">
        <f>VLOOKUP(L3748,'[2]tabela de preços'!$A:$G,7,0)</f>
        <v>INDUSTRIAL</v>
      </c>
    </row>
    <row r="3749" spans="1:24" x14ac:dyDescent="0.3">
      <c r="A3749" t="s">
        <v>3322</v>
      </c>
      <c r="C3749" t="s">
        <v>3323</v>
      </c>
      <c r="D3749" s="1">
        <v>46072</v>
      </c>
      <c r="E3749" t="s">
        <v>3324</v>
      </c>
      <c r="F3749">
        <v>9</v>
      </c>
      <c r="G3749">
        <v>174</v>
      </c>
      <c r="H3749" t="str">
        <f>VLOOKUP(G3749,[1]OPERADORES!$A:$B,2,0)</f>
        <v>MIRIÃ LOBATO RODRIGUES</v>
      </c>
      <c r="I3749" t="s">
        <v>21</v>
      </c>
      <c r="J3749" t="s">
        <v>3325</v>
      </c>
      <c r="K3749" t="s">
        <v>3326</v>
      </c>
      <c r="L3749">
        <v>86995</v>
      </c>
      <c r="M3749" t="s">
        <v>2817</v>
      </c>
      <c r="O3749" t="s">
        <v>11</v>
      </c>
      <c r="P3749">
        <v>5102</v>
      </c>
      <c r="Q3749">
        <v>10</v>
      </c>
      <c r="R3749">
        <v>7.29</v>
      </c>
      <c r="S3749">
        <v>72.900000000000006</v>
      </c>
      <c r="T3749">
        <v>58.3</v>
      </c>
      <c r="U3749">
        <v>20.03</v>
      </c>
      <c r="V3749" t="str">
        <f>VLOOKUP(L3749,'[2]tabela de preços'!$A:$D,4,0)</f>
        <v>AUTOAMERICA</v>
      </c>
      <c r="W3749" t="str">
        <f>VLOOKUP(L3749,'[2]tabela de preços'!$A:$F,6,0)</f>
        <v>FLANELAS / PANOS</v>
      </c>
      <c r="X3749" t="str">
        <f>VLOOKUP(L3749,'[2]tabela de preços'!$A:$G,7,0)</f>
        <v>AUTOMOTIVO</v>
      </c>
    </row>
    <row r="3750" spans="1:24" x14ac:dyDescent="0.3">
      <c r="A3750" t="s">
        <v>3322</v>
      </c>
      <c r="C3750" t="s">
        <v>3323</v>
      </c>
      <c r="D3750" s="1">
        <v>46072</v>
      </c>
      <c r="E3750" t="s">
        <v>3324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3325</v>
      </c>
      <c r="K3750" t="s">
        <v>3326</v>
      </c>
      <c r="L3750">
        <v>10243</v>
      </c>
      <c r="M3750" t="s">
        <v>83</v>
      </c>
      <c r="O3750" t="s">
        <v>11</v>
      </c>
      <c r="P3750">
        <v>5102</v>
      </c>
      <c r="Q3750">
        <v>50</v>
      </c>
      <c r="R3750">
        <v>2.79</v>
      </c>
      <c r="S3750">
        <v>139.5</v>
      </c>
      <c r="T3750">
        <v>96.5</v>
      </c>
      <c r="U3750">
        <v>30.82</v>
      </c>
      <c r="V3750" t="str">
        <f>VLOOKUP(L3750,'[2]tabela de preços'!$A:$D,4,0)</f>
        <v>NORTON</v>
      </c>
      <c r="W3750" t="str">
        <f>VLOOKUP(L3750,'[2]tabela de preços'!$A:$F,6,0)</f>
        <v xml:space="preserve">DISCOS / LIXAS / ABRASIVOS </v>
      </c>
      <c r="X3750" t="str">
        <f>VLOOKUP(L3750,'[2]tabela de preços'!$A:$G,7,0)</f>
        <v>AUTOMOTIVO</v>
      </c>
    </row>
    <row r="3751" spans="1:24" x14ac:dyDescent="0.3">
      <c r="A3751" t="s">
        <v>3322</v>
      </c>
      <c r="C3751" t="s">
        <v>3323</v>
      </c>
      <c r="D3751" s="1">
        <v>46072</v>
      </c>
      <c r="E3751" t="s">
        <v>3324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3325</v>
      </c>
      <c r="K3751" t="s">
        <v>3326</v>
      </c>
      <c r="L3751">
        <v>10245</v>
      </c>
      <c r="M3751" t="s">
        <v>195</v>
      </c>
      <c r="O3751" t="s">
        <v>11</v>
      </c>
      <c r="P3751">
        <v>5102</v>
      </c>
      <c r="Q3751">
        <v>50</v>
      </c>
      <c r="R3751">
        <v>2.79</v>
      </c>
      <c r="S3751">
        <v>139.5</v>
      </c>
      <c r="T3751">
        <v>96.5</v>
      </c>
      <c r="U3751">
        <v>30.82</v>
      </c>
      <c r="V3751" t="str">
        <f>VLOOKUP(L3751,'[2]tabela de preços'!$A:$D,4,0)</f>
        <v>NORTON</v>
      </c>
      <c r="W3751" t="str">
        <f>VLOOKUP(L3751,'[2]tabela de preços'!$A:$F,6,0)</f>
        <v xml:space="preserve">DISCOS / LIXAS / ABRASIVOS </v>
      </c>
      <c r="X3751" t="str">
        <f>VLOOKUP(L3751,'[2]tabela de preços'!$A:$G,7,0)</f>
        <v>AUTOMOTIVO</v>
      </c>
    </row>
    <row r="3752" spans="1:24" x14ac:dyDescent="0.3">
      <c r="A3752" t="s">
        <v>3322</v>
      </c>
      <c r="C3752" t="s">
        <v>3323</v>
      </c>
      <c r="D3752" s="1">
        <v>46072</v>
      </c>
      <c r="E3752" t="s">
        <v>3324</v>
      </c>
      <c r="F3752">
        <v>9</v>
      </c>
      <c r="G3752">
        <v>174</v>
      </c>
      <c r="H3752" t="str">
        <f>VLOOKUP(G3752,[1]OPERADORES!$A:$B,2,0)</f>
        <v>MIRIÃ LOBATO RODRIGUES</v>
      </c>
      <c r="I3752" t="s">
        <v>21</v>
      </c>
      <c r="J3752" t="s">
        <v>3325</v>
      </c>
      <c r="K3752" t="s">
        <v>3326</v>
      </c>
      <c r="L3752">
        <v>84560</v>
      </c>
      <c r="M3752" t="s">
        <v>118</v>
      </c>
      <c r="O3752" t="s">
        <v>11</v>
      </c>
      <c r="P3752">
        <v>5102</v>
      </c>
      <c r="Q3752">
        <v>12</v>
      </c>
      <c r="R3752">
        <v>47.89</v>
      </c>
      <c r="S3752">
        <v>574.67999999999995</v>
      </c>
      <c r="T3752">
        <v>469.92</v>
      </c>
      <c r="U3752">
        <v>18.23</v>
      </c>
      <c r="V3752" t="str">
        <f>VLOOKUP(L3752,'[2]tabela de preços'!$A:$D,4,0)</f>
        <v>BRASILUX</v>
      </c>
      <c r="W3752" t="str">
        <f>VLOOKUP(L3752,'[2]tabela de preços'!$A:$F,6,0)</f>
        <v>THINNER DE LIMPEZA</v>
      </c>
      <c r="X3752" t="str">
        <f>VLOOKUP(L3752,'[2]tabela de preços'!$A:$G,7,0)</f>
        <v>THINNER</v>
      </c>
    </row>
    <row r="3753" spans="1:24" x14ac:dyDescent="0.3">
      <c r="A3753" t="s">
        <v>3322</v>
      </c>
      <c r="C3753" t="s">
        <v>3323</v>
      </c>
      <c r="D3753" s="1">
        <v>46072</v>
      </c>
      <c r="E3753" t="s">
        <v>3324</v>
      </c>
      <c r="F3753">
        <v>9</v>
      </c>
      <c r="G3753">
        <v>174</v>
      </c>
      <c r="H3753" t="str">
        <f>VLOOKUP(G3753,[1]OPERADORES!$A:$B,2,0)</f>
        <v>MIRIÃ LOBATO RODRIGUES</v>
      </c>
      <c r="I3753" t="s">
        <v>21</v>
      </c>
      <c r="J3753" t="s">
        <v>3325</v>
      </c>
      <c r="K3753" t="s">
        <v>3326</v>
      </c>
      <c r="L3753">
        <v>84497</v>
      </c>
      <c r="M3753" t="s">
        <v>1159</v>
      </c>
      <c r="O3753" t="s">
        <v>11</v>
      </c>
      <c r="P3753">
        <v>5102</v>
      </c>
      <c r="Q3753">
        <v>24</v>
      </c>
      <c r="R3753">
        <v>9.99</v>
      </c>
      <c r="S3753">
        <v>239.76</v>
      </c>
      <c r="T3753">
        <v>195.36</v>
      </c>
      <c r="U3753">
        <v>18.52</v>
      </c>
      <c r="V3753" t="str">
        <f>VLOOKUP(L3753,'[2]tabela de preços'!$A:$D,4,0)</f>
        <v>BRASILUX</v>
      </c>
      <c r="W3753" t="str">
        <f>VLOOKUP(L3753,'[2]tabela de preços'!$A:$F,6,0)</f>
        <v>THINNER DE LIMPEZA</v>
      </c>
      <c r="X3753" t="str">
        <f>VLOOKUP(L3753,'[2]tabela de preços'!$A:$G,7,0)</f>
        <v>THINNER</v>
      </c>
    </row>
    <row r="3754" spans="1:24" x14ac:dyDescent="0.3">
      <c r="A3754" t="s">
        <v>2293</v>
      </c>
      <c r="C3754" t="s">
        <v>3327</v>
      </c>
      <c r="D3754" s="1">
        <v>46066</v>
      </c>
      <c r="E3754" t="s">
        <v>3328</v>
      </c>
      <c r="F3754">
        <v>9</v>
      </c>
      <c r="G3754">
        <v>197</v>
      </c>
      <c r="H3754" t="str">
        <f>VLOOKUP(G3754,[1]OPERADORES!$A:$B,2,0)</f>
        <v xml:space="preserve">POLIANA LORRANE DE AMORIM </v>
      </c>
      <c r="I3754" t="s">
        <v>21</v>
      </c>
      <c r="J3754" t="s">
        <v>3329</v>
      </c>
      <c r="K3754" t="s">
        <v>3330</v>
      </c>
      <c r="L3754">
        <v>84616</v>
      </c>
      <c r="M3754" t="s">
        <v>2298</v>
      </c>
      <c r="O3754" t="s">
        <v>11</v>
      </c>
      <c r="P3754">
        <v>5403</v>
      </c>
      <c r="Q3754">
        <v>2</v>
      </c>
      <c r="R3754">
        <v>62.66</v>
      </c>
      <c r="S3754">
        <v>125.32</v>
      </c>
      <c r="T3754">
        <v>95.12</v>
      </c>
      <c r="U3754">
        <v>24.1</v>
      </c>
      <c r="V3754" t="str">
        <f>VLOOKUP(L3754,'[2]tabela de preços'!$A:$D,4,0)</f>
        <v>BRASILUX</v>
      </c>
      <c r="W3754" t="str">
        <f>VLOOKUP(L3754,'[2]tabela de preços'!$A:$F,6,0)</f>
        <v>BASES IMOBILIÁRIAS</v>
      </c>
      <c r="X3754" t="str">
        <f>VLOOKUP(L3754,'[2]tabela de preços'!$A:$G,7,0)</f>
        <v>IMOBILIÁRIO</v>
      </c>
    </row>
    <row r="3755" spans="1:24" x14ac:dyDescent="0.3">
      <c r="A3755" t="s">
        <v>2293</v>
      </c>
      <c r="C3755" t="s">
        <v>3327</v>
      </c>
      <c r="D3755" s="1">
        <v>46066</v>
      </c>
      <c r="E3755" t="s">
        <v>3328</v>
      </c>
      <c r="F3755">
        <v>9</v>
      </c>
      <c r="G3755">
        <v>197</v>
      </c>
      <c r="H3755" t="str">
        <f>VLOOKUP(G3755,[1]OPERADORES!$A:$B,2,0)</f>
        <v xml:space="preserve">POLIANA LORRANE DE AMORIM </v>
      </c>
      <c r="I3755" t="s">
        <v>21</v>
      </c>
      <c r="J3755" t="s">
        <v>3329</v>
      </c>
      <c r="K3755" t="s">
        <v>3330</v>
      </c>
      <c r="L3755">
        <v>84615</v>
      </c>
      <c r="M3755" t="s">
        <v>2304</v>
      </c>
      <c r="O3755" t="s">
        <v>11</v>
      </c>
      <c r="P3755">
        <v>5403</v>
      </c>
      <c r="Q3755">
        <v>4</v>
      </c>
      <c r="R3755">
        <v>17.91</v>
      </c>
      <c r="S3755">
        <v>71.64</v>
      </c>
      <c r="T3755">
        <v>54.36</v>
      </c>
      <c r="U3755">
        <v>24.12</v>
      </c>
      <c r="V3755" t="str">
        <f>VLOOKUP(L3755,'[2]tabela de preços'!$A:$D,4,0)</f>
        <v>BRASILUX</v>
      </c>
      <c r="W3755" t="str">
        <f>VLOOKUP(L3755,'[2]tabela de preços'!$A:$F,6,0)</f>
        <v>BASES IMOBILIÁRIAS</v>
      </c>
      <c r="X3755" t="str">
        <f>VLOOKUP(L3755,'[2]tabela de preços'!$A:$G,7,0)</f>
        <v>IMOBILIÁRIO</v>
      </c>
    </row>
    <row r="3756" spans="1:24" x14ac:dyDescent="0.3">
      <c r="A3756" t="s">
        <v>2293</v>
      </c>
      <c r="C3756" t="s">
        <v>3327</v>
      </c>
      <c r="D3756" s="1">
        <v>46066</v>
      </c>
      <c r="E3756" t="s">
        <v>3328</v>
      </c>
      <c r="F3756">
        <v>9</v>
      </c>
      <c r="G3756">
        <v>197</v>
      </c>
      <c r="H3756" t="str">
        <f>VLOOKUP(G3756,[1]OPERADORES!$A:$B,2,0)</f>
        <v xml:space="preserve">POLIANA LORRANE DE AMORIM </v>
      </c>
      <c r="I3756" t="s">
        <v>21</v>
      </c>
      <c r="J3756" t="s">
        <v>3329</v>
      </c>
      <c r="K3756" t="s">
        <v>3330</v>
      </c>
      <c r="L3756">
        <v>84746</v>
      </c>
      <c r="M3756" t="s">
        <v>3331</v>
      </c>
      <c r="O3756" t="s">
        <v>11</v>
      </c>
      <c r="P3756">
        <v>5403</v>
      </c>
      <c r="Q3756">
        <v>2</v>
      </c>
      <c r="R3756">
        <v>15.62</v>
      </c>
      <c r="S3756">
        <v>31.24</v>
      </c>
      <c r="T3756">
        <v>23.72</v>
      </c>
      <c r="U3756">
        <v>24.07</v>
      </c>
      <c r="V3756" t="str">
        <f>VLOOKUP(L3756,'[2]tabela de preços'!$A:$D,4,0)</f>
        <v>BRASILUX</v>
      </c>
      <c r="W3756" t="str">
        <f>VLOOKUP(L3756,'[2]tabela de preços'!$A:$F,6,0)</f>
        <v>BASES IMOBILIÁRIAS</v>
      </c>
      <c r="X3756" t="str">
        <f>VLOOKUP(L3756,'[2]tabela de preços'!$A:$G,7,0)</f>
        <v>IMOBILIÁRIO</v>
      </c>
    </row>
    <row r="3757" spans="1:24" x14ac:dyDescent="0.3">
      <c r="A3757" t="s">
        <v>2293</v>
      </c>
      <c r="C3757" t="s">
        <v>3327</v>
      </c>
      <c r="D3757" s="1">
        <v>46066</v>
      </c>
      <c r="E3757" t="s">
        <v>3328</v>
      </c>
      <c r="F3757">
        <v>9</v>
      </c>
      <c r="G3757">
        <v>197</v>
      </c>
      <c r="H3757" t="str">
        <f>VLOOKUP(G3757,[1]OPERADORES!$A:$B,2,0)</f>
        <v xml:space="preserve">POLIANA LORRANE DE AMORIM </v>
      </c>
      <c r="I3757" t="s">
        <v>21</v>
      </c>
      <c r="J3757" t="s">
        <v>3329</v>
      </c>
      <c r="K3757" t="s">
        <v>3330</v>
      </c>
      <c r="L3757">
        <v>84996</v>
      </c>
      <c r="M3757" t="s">
        <v>3332</v>
      </c>
      <c r="O3757" t="s">
        <v>11</v>
      </c>
      <c r="P3757">
        <v>5403</v>
      </c>
      <c r="Q3757">
        <v>2</v>
      </c>
      <c r="R3757">
        <v>13.8</v>
      </c>
      <c r="S3757">
        <v>27.6</v>
      </c>
      <c r="T3757">
        <v>20.94</v>
      </c>
      <c r="U3757">
        <v>24.13</v>
      </c>
      <c r="V3757" t="str">
        <f>VLOOKUP(L3757,'[2]tabela de preços'!$A:$D,4,0)</f>
        <v>BRASILUX</v>
      </c>
      <c r="W3757" t="str">
        <f>VLOOKUP(L3757,'[2]tabela de preços'!$A:$F,6,0)</f>
        <v>BASES IMOBILIÁRIAS</v>
      </c>
      <c r="X3757" t="str">
        <f>VLOOKUP(L3757,'[2]tabela de preços'!$A:$G,7,0)</f>
        <v>IMOBILIÁRIO</v>
      </c>
    </row>
    <row r="3758" spans="1:24" x14ac:dyDescent="0.3">
      <c r="A3758" t="s">
        <v>2293</v>
      </c>
      <c r="C3758" t="s">
        <v>3327</v>
      </c>
      <c r="D3758" s="1">
        <v>46066</v>
      </c>
      <c r="E3758" t="s">
        <v>3328</v>
      </c>
      <c r="F3758">
        <v>9</v>
      </c>
      <c r="G3758">
        <v>197</v>
      </c>
      <c r="H3758" t="str">
        <f>VLOOKUP(G3758,[1]OPERADORES!$A:$B,2,0)</f>
        <v xml:space="preserve">POLIANA LORRANE DE AMORIM </v>
      </c>
      <c r="I3758" t="s">
        <v>21</v>
      </c>
      <c r="J3758" t="s">
        <v>3329</v>
      </c>
      <c r="K3758" t="s">
        <v>3330</v>
      </c>
      <c r="L3758">
        <v>84293</v>
      </c>
      <c r="M3758" t="s">
        <v>2077</v>
      </c>
      <c r="O3758" t="s">
        <v>11</v>
      </c>
      <c r="P3758">
        <v>5403</v>
      </c>
      <c r="Q3758">
        <v>1</v>
      </c>
      <c r="R3758">
        <v>83.95</v>
      </c>
      <c r="S3758">
        <v>83.95</v>
      </c>
      <c r="T3758">
        <v>63.71</v>
      </c>
      <c r="U3758">
        <v>24.11</v>
      </c>
      <c r="V3758" t="str">
        <f>VLOOKUP(L3758,'[2]tabela de preços'!$A:$D,4,0)</f>
        <v>BRASILUX</v>
      </c>
      <c r="W3758" t="str">
        <f>VLOOKUP(L3758,'[2]tabela de preços'!$A:$F,6,0)</f>
        <v>TINTA PAREDE</v>
      </c>
      <c r="X3758" t="str">
        <f>VLOOKUP(L3758,'[2]tabela de preços'!$A:$G,7,0)</f>
        <v>IMOBILIÁRIO</v>
      </c>
    </row>
    <row r="3759" spans="1:24" x14ac:dyDescent="0.3">
      <c r="A3759" t="s">
        <v>2293</v>
      </c>
      <c r="C3759" t="s">
        <v>3327</v>
      </c>
      <c r="D3759" s="1">
        <v>46066</v>
      </c>
      <c r="E3759" t="s">
        <v>3328</v>
      </c>
      <c r="F3759">
        <v>9</v>
      </c>
      <c r="G3759">
        <v>197</v>
      </c>
      <c r="H3759" t="str">
        <f>VLOOKUP(G3759,[1]OPERADORES!$A:$B,2,0)</f>
        <v xml:space="preserve">POLIANA LORRANE DE AMORIM </v>
      </c>
      <c r="I3759" t="s">
        <v>21</v>
      </c>
      <c r="J3759" t="s">
        <v>3329</v>
      </c>
      <c r="K3759" t="s">
        <v>3330</v>
      </c>
      <c r="L3759">
        <v>84438</v>
      </c>
      <c r="M3759" t="s">
        <v>1955</v>
      </c>
      <c r="O3759" t="s">
        <v>11</v>
      </c>
      <c r="P3759">
        <v>5102</v>
      </c>
      <c r="Q3759">
        <v>4</v>
      </c>
      <c r="R3759">
        <v>7.16</v>
      </c>
      <c r="S3759">
        <v>28.64</v>
      </c>
      <c r="T3759">
        <v>21.72</v>
      </c>
      <c r="U3759">
        <v>24.16</v>
      </c>
      <c r="V3759" t="str">
        <f>VLOOKUP(L3759,'[2]tabela de preços'!$A:$D,4,0)</f>
        <v>ATLAS</v>
      </c>
      <c r="W3759" t="str">
        <f>VLOOKUP(L3759,'[2]tabela de preços'!$A:$F,6,0)</f>
        <v>ROLOS / TRINCHAS / PINCÉIS / ESPÁTULAS</v>
      </c>
      <c r="X3759" t="str">
        <f>VLOOKUP(L3759,'[2]tabela de preços'!$A:$G,7,0)</f>
        <v>IMOBILIÁRIO</v>
      </c>
    </row>
    <row r="3760" spans="1:24" x14ac:dyDescent="0.3">
      <c r="A3760" t="s">
        <v>2293</v>
      </c>
      <c r="C3760" t="s">
        <v>3327</v>
      </c>
      <c r="D3760" s="1">
        <v>46066</v>
      </c>
      <c r="E3760" t="s">
        <v>3328</v>
      </c>
      <c r="F3760">
        <v>9</v>
      </c>
      <c r="G3760">
        <v>197</v>
      </c>
      <c r="H3760" t="str">
        <f>VLOOKUP(G3760,[1]OPERADORES!$A:$B,2,0)</f>
        <v xml:space="preserve">POLIANA LORRANE DE AMORIM </v>
      </c>
      <c r="I3760" t="s">
        <v>21</v>
      </c>
      <c r="J3760" t="s">
        <v>3329</v>
      </c>
      <c r="K3760" t="s">
        <v>3330</v>
      </c>
      <c r="L3760">
        <v>84691</v>
      </c>
      <c r="M3760" t="s">
        <v>2443</v>
      </c>
      <c r="O3760" t="s">
        <v>11</v>
      </c>
      <c r="P3760">
        <v>5403</v>
      </c>
      <c r="Q3760">
        <v>4</v>
      </c>
      <c r="R3760">
        <v>8.3800000000000008</v>
      </c>
      <c r="S3760">
        <v>33.520000000000003</v>
      </c>
      <c r="T3760">
        <v>25.44</v>
      </c>
      <c r="U3760">
        <v>24.11</v>
      </c>
      <c r="V3760" t="str">
        <f>VLOOKUP(L3760,'[2]tabela de preços'!$A:$D,4,0)</f>
        <v>BRASILUX</v>
      </c>
      <c r="W3760" t="str">
        <f>VLOOKUP(L3760,'[2]tabela de preços'!$A:$F,6,0)</f>
        <v>LINHA MOVELEIRA</v>
      </c>
      <c r="X3760" t="str">
        <f>VLOOKUP(L3760,'[2]tabela de preços'!$A:$G,7,0)</f>
        <v>MOVELEIRA</v>
      </c>
    </row>
    <row r="3761" spans="1:24" x14ac:dyDescent="0.3">
      <c r="A3761" t="s">
        <v>2293</v>
      </c>
      <c r="C3761" t="s">
        <v>3327</v>
      </c>
      <c r="D3761" s="1">
        <v>46066</v>
      </c>
      <c r="E3761" t="s">
        <v>3328</v>
      </c>
      <c r="F3761">
        <v>9</v>
      </c>
      <c r="G3761">
        <v>197</v>
      </c>
      <c r="H3761" t="str">
        <f>VLOOKUP(G3761,[1]OPERADORES!$A:$B,2,0)</f>
        <v xml:space="preserve">POLIANA LORRANE DE AMORIM </v>
      </c>
      <c r="I3761" t="s">
        <v>21</v>
      </c>
      <c r="J3761" t="s">
        <v>3329</v>
      </c>
      <c r="K3761" t="s">
        <v>3330</v>
      </c>
      <c r="L3761">
        <v>84692</v>
      </c>
      <c r="M3761" t="s">
        <v>3333</v>
      </c>
      <c r="O3761" t="s">
        <v>11</v>
      </c>
      <c r="P3761">
        <v>5403</v>
      </c>
      <c r="Q3761">
        <v>4</v>
      </c>
      <c r="R3761">
        <v>8.2100000000000009</v>
      </c>
      <c r="S3761">
        <v>32.840000000000003</v>
      </c>
      <c r="T3761">
        <v>24.92</v>
      </c>
      <c r="U3761">
        <v>24.12</v>
      </c>
      <c r="V3761" t="str">
        <f>VLOOKUP(L3761,'[2]tabela de preços'!$A:$D,4,0)</f>
        <v>BRASILUX</v>
      </c>
      <c r="W3761" t="str">
        <f>VLOOKUP(L3761,'[2]tabela de preços'!$A:$F,6,0)</f>
        <v>LINHA MOVELEIRA</v>
      </c>
      <c r="X3761" t="str">
        <f>VLOOKUP(L3761,'[2]tabela de preços'!$A:$G,7,0)</f>
        <v>MOVELEIRA</v>
      </c>
    </row>
    <row r="3762" spans="1:24" x14ac:dyDescent="0.3">
      <c r="A3762" t="s">
        <v>2293</v>
      </c>
      <c r="C3762" t="s">
        <v>3327</v>
      </c>
      <c r="D3762" s="1">
        <v>46066</v>
      </c>
      <c r="E3762" t="s">
        <v>3328</v>
      </c>
      <c r="F3762">
        <v>9</v>
      </c>
      <c r="G3762">
        <v>197</v>
      </c>
      <c r="H3762" t="str">
        <f>VLOOKUP(G3762,[1]OPERADORES!$A:$B,2,0)</f>
        <v xml:space="preserve">POLIANA LORRANE DE AMORIM </v>
      </c>
      <c r="I3762" t="s">
        <v>21</v>
      </c>
      <c r="J3762" t="s">
        <v>3329</v>
      </c>
      <c r="K3762" t="s">
        <v>3330</v>
      </c>
      <c r="L3762">
        <v>84142</v>
      </c>
      <c r="M3762" t="s">
        <v>1594</v>
      </c>
      <c r="O3762" t="s">
        <v>11</v>
      </c>
      <c r="P3762">
        <v>5403</v>
      </c>
      <c r="Q3762">
        <v>2</v>
      </c>
      <c r="R3762">
        <v>74.94</v>
      </c>
      <c r="S3762">
        <v>149.87</v>
      </c>
      <c r="T3762">
        <v>113.76</v>
      </c>
      <c r="U3762">
        <v>24.09</v>
      </c>
      <c r="V3762" t="str">
        <f>VLOOKUP(L3762,'[2]tabela de preços'!$A:$D,4,0)</f>
        <v>BRASILUX</v>
      </c>
      <c r="W3762" t="str">
        <f>VLOOKUP(L3762,'[2]tabela de preços'!$A:$F,6,0)</f>
        <v>ESMALTES</v>
      </c>
      <c r="X3762" t="str">
        <f>VLOOKUP(L3762,'[2]tabela de preços'!$A:$G,7,0)</f>
        <v>INDUSTRIAL</v>
      </c>
    </row>
    <row r="3763" spans="1:24" x14ac:dyDescent="0.3">
      <c r="A3763" t="s">
        <v>2293</v>
      </c>
      <c r="C3763" t="s">
        <v>3327</v>
      </c>
      <c r="D3763" s="1">
        <v>46066</v>
      </c>
      <c r="E3763" t="s">
        <v>3328</v>
      </c>
      <c r="F3763">
        <v>9</v>
      </c>
      <c r="G3763">
        <v>197</v>
      </c>
      <c r="H3763" t="str">
        <f>VLOOKUP(G3763,[1]OPERADORES!$A:$B,2,0)</f>
        <v xml:space="preserve">POLIANA LORRANE DE AMORIM </v>
      </c>
      <c r="I3763" t="s">
        <v>21</v>
      </c>
      <c r="J3763" t="s">
        <v>3329</v>
      </c>
      <c r="K3763" t="s">
        <v>3330</v>
      </c>
      <c r="L3763">
        <v>84144</v>
      </c>
      <c r="M3763" t="s">
        <v>1287</v>
      </c>
      <c r="O3763" t="s">
        <v>11</v>
      </c>
      <c r="P3763">
        <v>5403</v>
      </c>
      <c r="Q3763">
        <v>2</v>
      </c>
      <c r="R3763">
        <v>59.98</v>
      </c>
      <c r="S3763">
        <v>119.96</v>
      </c>
      <c r="T3763">
        <v>104</v>
      </c>
      <c r="U3763">
        <v>13.3</v>
      </c>
      <c r="V3763" t="str">
        <f>VLOOKUP(L3763,'[2]tabela de preços'!$A:$D,4,0)</f>
        <v>BRASILUX</v>
      </c>
      <c r="W3763" t="str">
        <f>VLOOKUP(L3763,'[2]tabela de preços'!$A:$F,6,0)</f>
        <v>ESMALTES</v>
      </c>
      <c r="X3763" t="str">
        <f>VLOOKUP(L3763,'[2]tabela de preços'!$A:$G,7,0)</f>
        <v>INDUSTRIAL</v>
      </c>
    </row>
    <row r="3764" spans="1:24" x14ac:dyDescent="0.3">
      <c r="A3764" t="s">
        <v>2293</v>
      </c>
      <c r="C3764" t="s">
        <v>3327</v>
      </c>
      <c r="D3764" s="1">
        <v>46066</v>
      </c>
      <c r="E3764" t="s">
        <v>3328</v>
      </c>
      <c r="F3764">
        <v>9</v>
      </c>
      <c r="G3764">
        <v>197</v>
      </c>
      <c r="H3764" t="str">
        <f>VLOOKUP(G3764,[1]OPERADORES!$A:$B,2,0)</f>
        <v xml:space="preserve">POLIANA LORRANE DE AMORIM </v>
      </c>
      <c r="I3764" t="s">
        <v>21</v>
      </c>
      <c r="J3764" t="s">
        <v>3329</v>
      </c>
      <c r="K3764" t="s">
        <v>3330</v>
      </c>
      <c r="L3764">
        <v>84146</v>
      </c>
      <c r="M3764" t="s">
        <v>1707</v>
      </c>
      <c r="O3764" t="s">
        <v>11</v>
      </c>
      <c r="P3764">
        <v>5403</v>
      </c>
      <c r="Q3764">
        <v>2</v>
      </c>
      <c r="R3764">
        <v>21.56</v>
      </c>
      <c r="S3764">
        <v>43.12</v>
      </c>
      <c r="T3764">
        <v>32.74</v>
      </c>
      <c r="U3764">
        <v>24.07</v>
      </c>
      <c r="V3764" t="str">
        <f>VLOOKUP(L3764,'[2]tabela de preços'!$A:$D,4,0)</f>
        <v>BRASILUX</v>
      </c>
      <c r="W3764" t="str">
        <f>VLOOKUP(L3764,'[2]tabela de preços'!$A:$F,6,0)</f>
        <v>ESMALTES</v>
      </c>
      <c r="X3764" t="str">
        <f>VLOOKUP(L3764,'[2]tabela de preços'!$A:$G,7,0)</f>
        <v>INDUSTRIAL</v>
      </c>
    </row>
    <row r="3765" spans="1:24" x14ac:dyDescent="0.3">
      <c r="A3765" t="s">
        <v>2293</v>
      </c>
      <c r="C3765" t="s">
        <v>3327</v>
      </c>
      <c r="D3765" s="1">
        <v>46066</v>
      </c>
      <c r="E3765" t="s">
        <v>3328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3329</v>
      </c>
      <c r="K3765" t="s">
        <v>3330</v>
      </c>
      <c r="L3765">
        <v>84139</v>
      </c>
      <c r="M3765" t="s">
        <v>590</v>
      </c>
      <c r="O3765" t="s">
        <v>11</v>
      </c>
      <c r="P3765">
        <v>5403</v>
      </c>
      <c r="Q3765">
        <v>4</v>
      </c>
      <c r="R3765">
        <v>7.74</v>
      </c>
      <c r="S3765">
        <v>30.94</v>
      </c>
      <c r="T3765">
        <v>23.52</v>
      </c>
      <c r="U3765">
        <v>23.98</v>
      </c>
      <c r="V3765" t="str">
        <f>VLOOKUP(L3765,'[2]tabela de preços'!$A:$D,4,0)</f>
        <v>BRASILUX</v>
      </c>
      <c r="W3765" t="str">
        <f>VLOOKUP(L3765,'[2]tabela de preços'!$A:$F,6,0)</f>
        <v>ESMALTES</v>
      </c>
      <c r="X3765" t="str">
        <f>VLOOKUP(L3765,'[2]tabela de preços'!$A:$G,7,0)</f>
        <v>INDUSTRIAL</v>
      </c>
    </row>
    <row r="3766" spans="1:24" x14ac:dyDescent="0.3">
      <c r="A3766" t="s">
        <v>2293</v>
      </c>
      <c r="C3766" t="s">
        <v>3327</v>
      </c>
      <c r="D3766" s="1">
        <v>46066</v>
      </c>
      <c r="E3766" t="s">
        <v>3328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3329</v>
      </c>
      <c r="K3766" t="s">
        <v>3330</v>
      </c>
      <c r="L3766">
        <v>21968</v>
      </c>
      <c r="M3766" t="s">
        <v>2256</v>
      </c>
      <c r="O3766" t="s">
        <v>11</v>
      </c>
      <c r="P3766">
        <v>5403</v>
      </c>
      <c r="Q3766">
        <v>6</v>
      </c>
      <c r="R3766">
        <v>16.29</v>
      </c>
      <c r="S3766">
        <v>97.74</v>
      </c>
      <c r="T3766">
        <v>74.16</v>
      </c>
      <c r="U3766">
        <v>24.13</v>
      </c>
      <c r="V3766" t="str">
        <f>VLOOKUP(L3766,'[2]tabela de preços'!$A:$D,4,0)</f>
        <v>SHERWIN WILLIAMS</v>
      </c>
      <c r="W3766" t="str">
        <f>VLOOKUP(L3766,'[2]tabela de preços'!$A:$F,6,0)</f>
        <v xml:space="preserve">SPRAYS </v>
      </c>
      <c r="X3766" t="str">
        <f>VLOOKUP(L3766,'[2]tabela de preços'!$A:$G,7,0)</f>
        <v>AUTOMOTIVO</v>
      </c>
    </row>
    <row r="3767" spans="1:24" x14ac:dyDescent="0.3">
      <c r="A3767" t="s">
        <v>2293</v>
      </c>
      <c r="C3767" t="s">
        <v>3327</v>
      </c>
      <c r="D3767" s="1">
        <v>46066</v>
      </c>
      <c r="E3767" t="s">
        <v>3328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3329</v>
      </c>
      <c r="K3767" t="s">
        <v>3330</v>
      </c>
      <c r="L3767">
        <v>21757</v>
      </c>
      <c r="M3767" t="s">
        <v>2117</v>
      </c>
      <c r="O3767" t="s">
        <v>11</v>
      </c>
      <c r="P3767">
        <v>5403</v>
      </c>
      <c r="Q3767">
        <v>3</v>
      </c>
      <c r="R3767">
        <v>16.07</v>
      </c>
      <c r="S3767">
        <v>48.21</v>
      </c>
      <c r="T3767">
        <v>36.57</v>
      </c>
      <c r="U3767">
        <v>24.14</v>
      </c>
      <c r="V3767" t="str">
        <f>VLOOKUP(L3767,'[2]tabela de preços'!$A:$D,4,0)</f>
        <v>SHERWIN WILLIAMS</v>
      </c>
      <c r="W3767" t="str">
        <f>VLOOKUP(L3767,'[2]tabela de preços'!$A:$F,6,0)</f>
        <v xml:space="preserve">SPRAYS </v>
      </c>
      <c r="X3767" t="str">
        <f>VLOOKUP(L3767,'[2]tabela de preços'!$A:$G,7,0)</f>
        <v>AUTOMOTIVO</v>
      </c>
    </row>
    <row r="3768" spans="1:24" x14ac:dyDescent="0.3">
      <c r="A3768" t="s">
        <v>2293</v>
      </c>
      <c r="C3768" t="s">
        <v>3334</v>
      </c>
      <c r="D3768" s="1">
        <v>46066</v>
      </c>
      <c r="E3768" t="s">
        <v>3335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2296</v>
      </c>
      <c r="K3768" t="s">
        <v>2297</v>
      </c>
      <c r="L3768">
        <v>84617</v>
      </c>
      <c r="M3768" t="s">
        <v>3336</v>
      </c>
      <c r="O3768" t="s">
        <v>11</v>
      </c>
      <c r="P3768">
        <v>5403</v>
      </c>
      <c r="Q3768">
        <v>1</v>
      </c>
      <c r="R3768">
        <v>286.93</v>
      </c>
      <c r="S3768">
        <v>286.93</v>
      </c>
      <c r="T3768">
        <v>217.79</v>
      </c>
      <c r="U3768">
        <v>24.1</v>
      </c>
      <c r="V3768" t="str">
        <f>VLOOKUP(L3768,'[2]tabela de preços'!$A:$D,4,0)</f>
        <v>BRASILUX</v>
      </c>
      <c r="W3768" t="str">
        <f>VLOOKUP(L3768,'[2]tabela de preços'!$A:$F,6,0)</f>
        <v>BASES IMOBILIÁRIAS</v>
      </c>
      <c r="X3768" t="str">
        <f>VLOOKUP(L3768,'[2]tabela de preços'!$A:$G,7,0)</f>
        <v>IMOBILIÁRIO</v>
      </c>
    </row>
    <row r="3769" spans="1:24" x14ac:dyDescent="0.3">
      <c r="A3769" t="s">
        <v>2293</v>
      </c>
      <c r="C3769" t="s">
        <v>3334</v>
      </c>
      <c r="D3769" s="1">
        <v>46066</v>
      </c>
      <c r="E3769" t="s">
        <v>3335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2296</v>
      </c>
      <c r="K3769" t="s">
        <v>2297</v>
      </c>
      <c r="L3769">
        <v>84616</v>
      </c>
      <c r="M3769" t="s">
        <v>2298</v>
      </c>
      <c r="O3769" t="s">
        <v>11</v>
      </c>
      <c r="P3769">
        <v>5403</v>
      </c>
      <c r="Q3769">
        <v>4</v>
      </c>
      <c r="R3769">
        <v>62.66</v>
      </c>
      <c r="S3769">
        <v>250.64</v>
      </c>
      <c r="T3769">
        <v>190.24</v>
      </c>
      <c r="U3769">
        <v>24.1</v>
      </c>
      <c r="V3769" t="str">
        <f>VLOOKUP(L3769,'[2]tabela de preços'!$A:$D,4,0)</f>
        <v>BRASILUX</v>
      </c>
      <c r="W3769" t="str">
        <f>VLOOKUP(L3769,'[2]tabela de preços'!$A:$F,6,0)</f>
        <v>BASES IMOBILIÁRIAS</v>
      </c>
      <c r="X3769" t="str">
        <f>VLOOKUP(L3769,'[2]tabela de preços'!$A:$G,7,0)</f>
        <v>IMOBILIÁRIO</v>
      </c>
    </row>
    <row r="3770" spans="1:24" x14ac:dyDescent="0.3">
      <c r="A3770" t="s">
        <v>2293</v>
      </c>
      <c r="C3770" t="s">
        <v>3334</v>
      </c>
      <c r="D3770" s="1">
        <v>46066</v>
      </c>
      <c r="E3770" t="s">
        <v>3335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2296</v>
      </c>
      <c r="K3770" t="s">
        <v>2297</v>
      </c>
      <c r="L3770">
        <v>84618</v>
      </c>
      <c r="M3770" t="s">
        <v>2299</v>
      </c>
      <c r="O3770" t="s">
        <v>11</v>
      </c>
      <c r="P3770">
        <v>5403</v>
      </c>
      <c r="Q3770">
        <v>2</v>
      </c>
      <c r="R3770">
        <v>58.81</v>
      </c>
      <c r="S3770">
        <v>117.62</v>
      </c>
      <c r="T3770">
        <v>89.28</v>
      </c>
      <c r="U3770">
        <v>24.09</v>
      </c>
      <c r="V3770" t="str">
        <f>VLOOKUP(L3770,'[2]tabela de preços'!$A:$D,4,0)</f>
        <v>BRASILUX</v>
      </c>
      <c r="W3770" t="str">
        <f>VLOOKUP(L3770,'[2]tabela de preços'!$A:$F,6,0)</f>
        <v>BASES IMOBILIÁRIAS</v>
      </c>
      <c r="X3770" t="str">
        <f>VLOOKUP(L3770,'[2]tabela de preços'!$A:$G,7,0)</f>
        <v>IMOBILIÁRIO</v>
      </c>
    </row>
    <row r="3771" spans="1:24" x14ac:dyDescent="0.3">
      <c r="A3771" t="s">
        <v>2293</v>
      </c>
      <c r="C3771" t="s">
        <v>3334</v>
      </c>
      <c r="D3771" s="1">
        <v>46066</v>
      </c>
      <c r="E3771" t="s">
        <v>3335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2296</v>
      </c>
      <c r="K3771" t="s">
        <v>2297</v>
      </c>
      <c r="L3771">
        <v>84744</v>
      </c>
      <c r="M3771" t="s">
        <v>1591</v>
      </c>
      <c r="O3771" t="s">
        <v>11</v>
      </c>
      <c r="P3771">
        <v>5403</v>
      </c>
      <c r="Q3771">
        <v>1</v>
      </c>
      <c r="R3771">
        <v>365.88</v>
      </c>
      <c r="S3771">
        <v>365.88</v>
      </c>
      <c r="T3771">
        <v>277.70999999999998</v>
      </c>
      <c r="U3771">
        <v>24.1</v>
      </c>
      <c r="V3771" t="str">
        <f>VLOOKUP(L3771,'[2]tabela de preços'!$A:$D,4,0)</f>
        <v>BRASILUX</v>
      </c>
      <c r="W3771" t="str">
        <f>VLOOKUP(L3771,'[2]tabela de preços'!$A:$F,6,0)</f>
        <v>TINTA PAREDE</v>
      </c>
      <c r="X3771" t="str">
        <f>VLOOKUP(L3771,'[2]tabela de preços'!$A:$G,7,0)</f>
        <v>IMOBILIÁRIO</v>
      </c>
    </row>
    <row r="3772" spans="1:24" x14ac:dyDescent="0.3">
      <c r="A3772" t="s">
        <v>2293</v>
      </c>
      <c r="C3772" t="s">
        <v>3334</v>
      </c>
      <c r="D3772" s="1">
        <v>46066</v>
      </c>
      <c r="E3772" t="s">
        <v>3335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2296</v>
      </c>
      <c r="K3772" t="s">
        <v>2297</v>
      </c>
      <c r="L3772">
        <v>84293</v>
      </c>
      <c r="M3772" t="s">
        <v>2077</v>
      </c>
      <c r="O3772" t="s">
        <v>11</v>
      </c>
      <c r="P3772">
        <v>5403</v>
      </c>
      <c r="Q3772">
        <v>2</v>
      </c>
      <c r="R3772">
        <v>83.95</v>
      </c>
      <c r="S3772">
        <v>167.9</v>
      </c>
      <c r="T3772">
        <v>127.42</v>
      </c>
      <c r="U3772">
        <v>24.11</v>
      </c>
      <c r="V3772" t="str">
        <f>VLOOKUP(L3772,'[2]tabela de preços'!$A:$D,4,0)</f>
        <v>BRASILUX</v>
      </c>
      <c r="W3772" t="str">
        <f>VLOOKUP(L3772,'[2]tabela de preços'!$A:$F,6,0)</f>
        <v>TINTA PAREDE</v>
      </c>
      <c r="X3772" t="str">
        <f>VLOOKUP(L3772,'[2]tabela de preços'!$A:$G,7,0)</f>
        <v>IMOBILIÁRIO</v>
      </c>
    </row>
    <row r="3773" spans="1:24" x14ac:dyDescent="0.3">
      <c r="A3773" t="s">
        <v>2293</v>
      </c>
      <c r="C3773" t="s">
        <v>3334</v>
      </c>
      <c r="D3773" s="1">
        <v>46066</v>
      </c>
      <c r="E3773" t="s">
        <v>3335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2296</v>
      </c>
      <c r="K3773" t="s">
        <v>2297</v>
      </c>
      <c r="L3773">
        <v>84958</v>
      </c>
      <c r="M3773" t="s">
        <v>1870</v>
      </c>
      <c r="O3773" t="s">
        <v>11</v>
      </c>
      <c r="P3773">
        <v>5403</v>
      </c>
      <c r="Q3773">
        <v>2</v>
      </c>
      <c r="R3773">
        <v>18.510000000000002</v>
      </c>
      <c r="S3773">
        <v>37.020000000000003</v>
      </c>
      <c r="T3773">
        <v>28.1</v>
      </c>
      <c r="U3773">
        <v>24.1</v>
      </c>
      <c r="V3773" t="str">
        <f>VLOOKUP(L3773,'[2]tabela de preços'!$A:$D,4,0)</f>
        <v>BRASILUX</v>
      </c>
      <c r="W3773" t="str">
        <f>VLOOKUP(L3773,'[2]tabela de preços'!$A:$F,6,0)</f>
        <v>BATIDA DE PEDRA</v>
      </c>
      <c r="X3773" t="str">
        <f>VLOOKUP(L3773,'[2]tabela de preços'!$A:$G,7,0)</f>
        <v>AUTOMOTIVO</v>
      </c>
    </row>
    <row r="3774" spans="1:24" x14ac:dyDescent="0.3">
      <c r="A3774" t="s">
        <v>2293</v>
      </c>
      <c r="C3774" t="s">
        <v>3334</v>
      </c>
      <c r="D3774" s="1">
        <v>46066</v>
      </c>
      <c r="E3774" t="s">
        <v>3335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2296</v>
      </c>
      <c r="K3774" t="s">
        <v>2297</v>
      </c>
      <c r="L3774">
        <v>84959</v>
      </c>
      <c r="M3774" t="s">
        <v>214</v>
      </c>
      <c r="O3774" t="s">
        <v>11</v>
      </c>
      <c r="P3774">
        <v>5403</v>
      </c>
      <c r="Q3774">
        <v>1</v>
      </c>
      <c r="R3774">
        <v>18.600000000000001</v>
      </c>
      <c r="S3774">
        <v>18.600000000000001</v>
      </c>
      <c r="T3774">
        <v>14.12</v>
      </c>
      <c r="U3774">
        <v>24.09</v>
      </c>
      <c r="V3774" t="str">
        <f>VLOOKUP(L3774,'[2]tabela de preços'!$A:$D,4,0)</f>
        <v>BRASILUX</v>
      </c>
      <c r="W3774" t="str">
        <f>VLOOKUP(L3774,'[2]tabela de preços'!$A:$F,6,0)</f>
        <v>BATIDA DE PEDRA</v>
      </c>
      <c r="X3774" t="str">
        <f>VLOOKUP(L3774,'[2]tabela de preços'!$A:$G,7,0)</f>
        <v>AUTOMOTIVO</v>
      </c>
    </row>
    <row r="3775" spans="1:24" x14ac:dyDescent="0.3">
      <c r="A3775" t="s">
        <v>2293</v>
      </c>
      <c r="C3775" t="s">
        <v>3334</v>
      </c>
      <c r="D3775" s="1">
        <v>46066</v>
      </c>
      <c r="E3775" t="s">
        <v>3335</v>
      </c>
      <c r="F3775">
        <v>9</v>
      </c>
      <c r="G3775">
        <v>197</v>
      </c>
      <c r="H3775" t="str">
        <f>VLOOKUP(G3775,[1]OPERADORES!$A:$B,2,0)</f>
        <v xml:space="preserve">POLIANA LORRANE DE AMORIM </v>
      </c>
      <c r="I3775" t="s">
        <v>21</v>
      </c>
      <c r="J3775" t="s">
        <v>2296</v>
      </c>
      <c r="K3775" t="s">
        <v>2297</v>
      </c>
      <c r="L3775">
        <v>84143</v>
      </c>
      <c r="M3775" t="s">
        <v>1706</v>
      </c>
      <c r="O3775" t="s">
        <v>11</v>
      </c>
      <c r="P3775">
        <v>5403</v>
      </c>
      <c r="Q3775">
        <v>3</v>
      </c>
      <c r="R3775">
        <v>20.41</v>
      </c>
      <c r="S3775">
        <v>61.23</v>
      </c>
      <c r="T3775">
        <v>46.47</v>
      </c>
      <c r="U3775">
        <v>24.11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2293</v>
      </c>
      <c r="C3776" t="s">
        <v>3334</v>
      </c>
      <c r="D3776" s="1">
        <v>46066</v>
      </c>
      <c r="E3776" t="s">
        <v>3335</v>
      </c>
      <c r="F3776">
        <v>9</v>
      </c>
      <c r="G3776">
        <v>197</v>
      </c>
      <c r="H3776" t="str">
        <f>VLOOKUP(G3776,[1]OPERADORES!$A:$B,2,0)</f>
        <v xml:space="preserve">POLIANA LORRANE DE AMORIM </v>
      </c>
      <c r="I3776" t="s">
        <v>21</v>
      </c>
      <c r="J3776" t="s">
        <v>2296</v>
      </c>
      <c r="K3776" t="s">
        <v>2297</v>
      </c>
      <c r="L3776">
        <v>84177</v>
      </c>
      <c r="M3776" t="s">
        <v>1718</v>
      </c>
      <c r="O3776" t="s">
        <v>11</v>
      </c>
      <c r="P3776">
        <v>5403</v>
      </c>
      <c r="Q3776">
        <v>1</v>
      </c>
      <c r="R3776">
        <v>29.69</v>
      </c>
      <c r="S3776">
        <v>29.69</v>
      </c>
      <c r="T3776">
        <v>22.54</v>
      </c>
      <c r="U3776">
        <v>24.08</v>
      </c>
      <c r="V3776" t="str">
        <f>VLOOKUP(L3776,'[2]tabela de preços'!$A:$D,4,0)</f>
        <v>BRASILUX</v>
      </c>
      <c r="W3776" t="str">
        <f>VLOOKUP(L3776,'[2]tabela de preços'!$A:$F,6,0)</f>
        <v>ESMALTES</v>
      </c>
      <c r="X3776" t="str">
        <f>VLOOKUP(L3776,'[2]tabela de preços'!$A:$G,7,0)</f>
        <v>INDUSTRIAL</v>
      </c>
    </row>
    <row r="3777" spans="1:24" x14ac:dyDescent="0.3">
      <c r="A3777" t="s">
        <v>2293</v>
      </c>
      <c r="C3777" t="s">
        <v>3334</v>
      </c>
      <c r="D3777" s="1">
        <v>46066</v>
      </c>
      <c r="E3777" t="s">
        <v>3335</v>
      </c>
      <c r="F3777">
        <v>9</v>
      </c>
      <c r="G3777">
        <v>197</v>
      </c>
      <c r="H3777" t="str">
        <f>VLOOKUP(G3777,[1]OPERADORES!$A:$B,2,0)</f>
        <v xml:space="preserve">POLIANA LORRANE DE AMORIM </v>
      </c>
      <c r="I3777" t="s">
        <v>21</v>
      </c>
      <c r="J3777" t="s">
        <v>2296</v>
      </c>
      <c r="K3777" t="s">
        <v>2297</v>
      </c>
      <c r="L3777">
        <v>84175</v>
      </c>
      <c r="M3777" t="s">
        <v>1429</v>
      </c>
      <c r="O3777" t="s">
        <v>11</v>
      </c>
      <c r="P3777">
        <v>5403</v>
      </c>
      <c r="Q3777">
        <v>1</v>
      </c>
      <c r="R3777">
        <v>91.77</v>
      </c>
      <c r="S3777">
        <v>91.77</v>
      </c>
      <c r="T3777">
        <v>69.66</v>
      </c>
      <c r="U3777">
        <v>24.09</v>
      </c>
      <c r="V3777" t="str">
        <f>VLOOKUP(L3777,'[2]tabela de preços'!$A:$D,4,0)</f>
        <v>BRASILUX</v>
      </c>
      <c r="W3777" t="str">
        <f>VLOOKUP(L3777,'[2]tabela de preços'!$A:$F,6,0)</f>
        <v>ESMALTES</v>
      </c>
      <c r="X3777" t="str">
        <f>VLOOKUP(L3777,'[2]tabela de preços'!$A:$G,7,0)</f>
        <v>INDUSTRIAL</v>
      </c>
    </row>
    <row r="3778" spans="1:24" x14ac:dyDescent="0.3">
      <c r="A3778" t="s">
        <v>2293</v>
      </c>
      <c r="C3778" t="s">
        <v>3334</v>
      </c>
      <c r="D3778" s="1">
        <v>46066</v>
      </c>
      <c r="E3778" t="s">
        <v>3335</v>
      </c>
      <c r="F3778">
        <v>9</v>
      </c>
      <c r="G3778">
        <v>197</v>
      </c>
      <c r="H3778" t="str">
        <f>VLOOKUP(G3778,[1]OPERADORES!$A:$B,2,0)</f>
        <v xml:space="preserve">POLIANA LORRANE DE AMORIM </v>
      </c>
      <c r="I3778" t="s">
        <v>21</v>
      </c>
      <c r="J3778" t="s">
        <v>2296</v>
      </c>
      <c r="K3778" t="s">
        <v>2297</v>
      </c>
      <c r="L3778">
        <v>84178</v>
      </c>
      <c r="M3778" t="s">
        <v>2255</v>
      </c>
      <c r="O3778" t="s">
        <v>11</v>
      </c>
      <c r="P3778">
        <v>5403</v>
      </c>
      <c r="Q3778">
        <v>1</v>
      </c>
      <c r="R3778">
        <v>24.75</v>
      </c>
      <c r="S3778">
        <v>24.75</v>
      </c>
      <c r="T3778">
        <v>18.79</v>
      </c>
      <c r="U3778">
        <v>24.08</v>
      </c>
      <c r="V3778" t="str">
        <f>VLOOKUP(L3778,'[2]tabela de preços'!$A:$D,4,0)</f>
        <v>BRASILUX</v>
      </c>
      <c r="W3778" t="str">
        <f>VLOOKUP(L3778,'[2]tabela de preços'!$A:$F,6,0)</f>
        <v>ESMALTES</v>
      </c>
      <c r="X3778" t="str">
        <f>VLOOKUP(L3778,'[2]tabela de preços'!$A:$G,7,0)</f>
        <v>INDUSTRIAL</v>
      </c>
    </row>
    <row r="3779" spans="1:24" x14ac:dyDescent="0.3">
      <c r="A3779" t="s">
        <v>2293</v>
      </c>
      <c r="C3779" t="s">
        <v>3334</v>
      </c>
      <c r="D3779" s="1">
        <v>46066</v>
      </c>
      <c r="E3779" t="s">
        <v>3335</v>
      </c>
      <c r="F3779">
        <v>9</v>
      </c>
      <c r="G3779">
        <v>197</v>
      </c>
      <c r="H3779" t="str">
        <f>VLOOKUP(G3779,[1]OPERADORES!$A:$B,2,0)</f>
        <v xml:space="preserve">POLIANA LORRANE DE AMORIM </v>
      </c>
      <c r="I3779" t="s">
        <v>21</v>
      </c>
      <c r="J3779" t="s">
        <v>2296</v>
      </c>
      <c r="K3779" t="s">
        <v>2297</v>
      </c>
      <c r="L3779">
        <v>85682</v>
      </c>
      <c r="M3779" t="s">
        <v>596</v>
      </c>
      <c r="O3779" t="s">
        <v>11</v>
      </c>
      <c r="P3779">
        <v>5102</v>
      </c>
      <c r="Q3779">
        <v>12</v>
      </c>
      <c r="R3779">
        <v>3.41</v>
      </c>
      <c r="S3779">
        <v>40.92</v>
      </c>
      <c r="T3779">
        <v>30</v>
      </c>
      <c r="U3779">
        <v>26.69</v>
      </c>
      <c r="V3779" t="str">
        <f>VLOOKUP(L3779,'[2]tabela de preços'!$A:$D,4,0)</f>
        <v>UNIPEGA</v>
      </c>
      <c r="W3779" t="str">
        <f>VLOOKUP(L3779,'[2]tabela de preços'!$A:$F,6,0)</f>
        <v>SILICONE</v>
      </c>
      <c r="X3779" t="str">
        <f>VLOOKUP(L3779,'[2]tabela de preços'!$A:$G,7,0)</f>
        <v>IMOBILIÁRIO</v>
      </c>
    </row>
    <row r="3780" spans="1:24" x14ac:dyDescent="0.3">
      <c r="A3780" t="s">
        <v>2306</v>
      </c>
      <c r="C3780" t="s">
        <v>3008</v>
      </c>
      <c r="D3780" s="1">
        <v>46063</v>
      </c>
      <c r="E3780" t="s">
        <v>3009</v>
      </c>
      <c r="F3780">
        <v>9</v>
      </c>
      <c r="G3780">
        <v>230</v>
      </c>
      <c r="H3780" t="str">
        <f>VLOOKUP(G3780,[1]OPERADORES!$A:$B,2,0)</f>
        <v>SÔNIA</v>
      </c>
      <c r="I3780" t="s">
        <v>21</v>
      </c>
      <c r="J3780" t="s">
        <v>2309</v>
      </c>
      <c r="K3780" t="s">
        <v>2310</v>
      </c>
      <c r="L3780">
        <v>85310</v>
      </c>
      <c r="M3780" t="s">
        <v>1050</v>
      </c>
      <c r="O3780" t="s">
        <v>11</v>
      </c>
      <c r="P3780">
        <v>5403</v>
      </c>
      <c r="Q3780">
        <v>4</v>
      </c>
      <c r="R3780">
        <v>88.5</v>
      </c>
      <c r="S3780">
        <v>354</v>
      </c>
      <c r="T3780">
        <v>268.68</v>
      </c>
      <c r="U3780">
        <v>24.1</v>
      </c>
      <c r="V3780" t="str">
        <f>VLOOKUP(L3780,'[2]tabela de preços'!$A:$D,4,0)</f>
        <v>BRASILUX</v>
      </c>
      <c r="W3780" t="str">
        <f>VLOOKUP(L3780,'[2]tabela de preços'!$A:$F,6,0)</f>
        <v>ESMALTES</v>
      </c>
      <c r="X3780" t="str">
        <f>VLOOKUP(L3780,'[2]tabela de preços'!$A:$G,7,0)</f>
        <v>INDUSTRIAL</v>
      </c>
    </row>
    <row r="3781" spans="1:24" x14ac:dyDescent="0.3">
      <c r="A3781" t="s">
        <v>2319</v>
      </c>
      <c r="C3781" t="s">
        <v>3010</v>
      </c>
      <c r="D3781" s="1">
        <v>46064</v>
      </c>
      <c r="E3781" t="s">
        <v>3011</v>
      </c>
      <c r="F3781">
        <v>9</v>
      </c>
      <c r="G3781">
        <v>231</v>
      </c>
      <c r="H3781" t="str">
        <f>VLOOKUP(G3781,[1]OPERADORES!$A:$B,2,0)</f>
        <v>EDIJANE</v>
      </c>
      <c r="I3781" t="s">
        <v>21</v>
      </c>
      <c r="J3781" t="s">
        <v>843</v>
      </c>
      <c r="K3781" t="s">
        <v>2322</v>
      </c>
      <c r="L3781">
        <v>85324</v>
      </c>
      <c r="M3781" t="s">
        <v>1846</v>
      </c>
      <c r="O3781" t="s">
        <v>11</v>
      </c>
      <c r="P3781">
        <v>5102</v>
      </c>
      <c r="Q3781">
        <v>5</v>
      </c>
      <c r="R3781">
        <v>514.22</v>
      </c>
      <c r="S3781" s="2">
        <v>2571.1</v>
      </c>
      <c r="T3781" s="2">
        <v>1833.25</v>
      </c>
      <c r="U3781">
        <v>28.7</v>
      </c>
      <c r="V3781" t="str">
        <f>VLOOKUP(L3781,'[2]tabela de preços'!$A:$D,4,0)</f>
        <v>BRASILUX</v>
      </c>
      <c r="W3781" t="str">
        <f>VLOOKUP(L3781,'[2]tabela de preços'!$A:$F,6,0)</f>
        <v>TINTA EM PÓ</v>
      </c>
      <c r="X3781" t="str">
        <f>VLOOKUP(L3781,'[2]tabela de preços'!$A:$G,7,0)</f>
        <v>INDUSTRIAL</v>
      </c>
    </row>
    <row r="3782" spans="1:24" x14ac:dyDescent="0.3">
      <c r="A3782" t="s">
        <v>2319</v>
      </c>
      <c r="C3782" t="s">
        <v>3010</v>
      </c>
      <c r="D3782" s="1">
        <v>46064</v>
      </c>
      <c r="E3782" t="s">
        <v>3011</v>
      </c>
      <c r="F3782">
        <v>9</v>
      </c>
      <c r="G3782">
        <v>231</v>
      </c>
      <c r="H3782" t="str">
        <f>VLOOKUP(G3782,[1]OPERADORES!$A:$B,2,0)</f>
        <v>EDIJANE</v>
      </c>
      <c r="I3782" t="s">
        <v>21</v>
      </c>
      <c r="J3782" t="s">
        <v>843</v>
      </c>
      <c r="K3782" t="s">
        <v>2322</v>
      </c>
      <c r="L3782">
        <v>85316</v>
      </c>
      <c r="M3782" t="s">
        <v>365</v>
      </c>
      <c r="O3782" t="s">
        <v>11</v>
      </c>
      <c r="P3782">
        <v>5102</v>
      </c>
      <c r="Q3782">
        <v>3</v>
      </c>
      <c r="R3782">
        <v>670.83</v>
      </c>
      <c r="S3782" s="2">
        <v>2012.49</v>
      </c>
      <c r="T3782" s="2">
        <v>1434.93</v>
      </c>
      <c r="U3782">
        <v>28.7</v>
      </c>
      <c r="V3782" t="str">
        <f>VLOOKUP(L3782,'[2]tabela de preços'!$A:$D,4,0)</f>
        <v>BRASILUX</v>
      </c>
      <c r="W3782" t="str">
        <f>VLOOKUP(L3782,'[2]tabela de preços'!$A:$F,6,0)</f>
        <v>TINTA EM PÓ</v>
      </c>
      <c r="X3782" t="str">
        <f>VLOOKUP(L3782,'[2]tabela de preços'!$A:$G,7,0)</f>
        <v>INDUSTRIAL</v>
      </c>
    </row>
    <row r="3783" spans="1:24" x14ac:dyDescent="0.3">
      <c r="A3783" t="s">
        <v>2327</v>
      </c>
      <c r="C3783" t="s">
        <v>2733</v>
      </c>
      <c r="D3783" s="1">
        <v>46057</v>
      </c>
      <c r="E3783" t="s">
        <v>2734</v>
      </c>
      <c r="F3783">
        <v>9</v>
      </c>
      <c r="G3783">
        <v>230</v>
      </c>
      <c r="H3783" t="str">
        <f>VLOOKUP(G3783,[1]OPERADORES!$A:$B,2,0)</f>
        <v>SÔNIA</v>
      </c>
      <c r="I3783" t="s">
        <v>21</v>
      </c>
      <c r="J3783" t="s">
        <v>66</v>
      </c>
      <c r="K3783" t="s">
        <v>2330</v>
      </c>
      <c r="L3783">
        <v>21643</v>
      </c>
      <c r="M3783" t="s">
        <v>2735</v>
      </c>
      <c r="O3783" t="s">
        <v>11</v>
      </c>
      <c r="P3783">
        <v>5102</v>
      </c>
      <c r="Q3783">
        <v>1</v>
      </c>
      <c r="R3783">
        <v>34.75</v>
      </c>
      <c r="S3783">
        <v>34.75</v>
      </c>
      <c r="T3783">
        <v>22.27</v>
      </c>
      <c r="U3783">
        <v>35.909999999999997</v>
      </c>
      <c r="V3783" t="str">
        <f>VLOOKUP(L3783,'[2]tabela de preços'!$A:$D,4,0)</f>
        <v>MAXI RUBBER</v>
      </c>
      <c r="W3783" t="str">
        <f>VLOOKUP(L3783,'[2]tabela de preços'!$A:$F,6,0)</f>
        <v>COLA INST./ ADESIVOS COLANTES</v>
      </c>
      <c r="X3783" t="str">
        <f>VLOOKUP(L3783,'[2]tabela de preços'!$A:$G,7,0)</f>
        <v>AUTOMOTIVO</v>
      </c>
    </row>
    <row r="3784" spans="1:24" x14ac:dyDescent="0.3">
      <c r="A3784" t="s">
        <v>2327</v>
      </c>
      <c r="C3784" t="s">
        <v>2733</v>
      </c>
      <c r="D3784" s="1">
        <v>46057</v>
      </c>
      <c r="E3784" t="s">
        <v>2734</v>
      </c>
      <c r="F3784">
        <v>9</v>
      </c>
      <c r="G3784">
        <v>230</v>
      </c>
      <c r="H3784" t="str">
        <f>VLOOKUP(G3784,[1]OPERADORES!$A:$B,2,0)</f>
        <v>SÔNIA</v>
      </c>
      <c r="I3784" t="s">
        <v>21</v>
      </c>
      <c r="J3784" t="s">
        <v>66</v>
      </c>
      <c r="K3784" t="s">
        <v>2330</v>
      </c>
      <c r="L3784">
        <v>22173</v>
      </c>
      <c r="M3784" t="s">
        <v>194</v>
      </c>
      <c r="O3784" t="s">
        <v>11</v>
      </c>
      <c r="P3784">
        <v>5102</v>
      </c>
      <c r="Q3784">
        <v>11</v>
      </c>
      <c r="R3784">
        <v>4.58</v>
      </c>
      <c r="S3784">
        <v>50.38</v>
      </c>
      <c r="T3784">
        <v>38.28</v>
      </c>
      <c r="U3784">
        <v>24.02</v>
      </c>
      <c r="V3784" t="str">
        <f>VLOOKUP(L3784,'[2]tabela de preços'!$A:$D,4,0)</f>
        <v>3M</v>
      </c>
      <c r="W3784" t="str">
        <f>VLOOKUP(L3784,'[2]tabela de preços'!$A:$F,6,0)</f>
        <v>FITA AUTOMOTIVA</v>
      </c>
      <c r="X3784" t="str">
        <f>VLOOKUP(L3784,'[2]tabela de preços'!$A:$G,7,0)</f>
        <v>AUTOMOTIVO</v>
      </c>
    </row>
    <row r="3785" spans="1:24" x14ac:dyDescent="0.3">
      <c r="A3785" t="s">
        <v>2327</v>
      </c>
      <c r="C3785" t="s">
        <v>2733</v>
      </c>
      <c r="D3785" s="1">
        <v>46057</v>
      </c>
      <c r="E3785" t="s">
        <v>2734</v>
      </c>
      <c r="F3785">
        <v>9</v>
      </c>
      <c r="G3785">
        <v>230</v>
      </c>
      <c r="H3785" t="str">
        <f>VLOOKUP(G3785,[1]OPERADORES!$A:$B,2,0)</f>
        <v>SÔNIA</v>
      </c>
      <c r="I3785" t="s">
        <v>21</v>
      </c>
      <c r="J3785" t="s">
        <v>66</v>
      </c>
      <c r="K3785" t="s">
        <v>2330</v>
      </c>
      <c r="L3785">
        <v>20375</v>
      </c>
      <c r="M3785" t="s">
        <v>148</v>
      </c>
      <c r="O3785" t="s">
        <v>11</v>
      </c>
      <c r="P3785">
        <v>5403</v>
      </c>
      <c r="Q3785">
        <v>5</v>
      </c>
      <c r="R3785">
        <v>35.69</v>
      </c>
      <c r="S3785">
        <v>178.45</v>
      </c>
      <c r="T3785">
        <v>127.25</v>
      </c>
      <c r="U3785">
        <v>28.69</v>
      </c>
      <c r="V3785" t="str">
        <f>VLOOKUP(L3785,'[2]tabela de preços'!$A:$D,4,0)</f>
        <v>SHERWIN WILLIAMS</v>
      </c>
      <c r="W3785" t="str">
        <f>VLOOKUP(L3785,'[2]tabela de preços'!$A:$F,6,0)</f>
        <v>TINTAS POLIÉSTER</v>
      </c>
      <c r="X3785" t="str">
        <f>VLOOKUP(L3785,'[2]tabela de preços'!$A:$G,7,0)</f>
        <v>AUTOMOTIVO</v>
      </c>
    </row>
    <row r="3786" spans="1:24" x14ac:dyDescent="0.3">
      <c r="A3786" t="s">
        <v>2327</v>
      </c>
      <c r="C3786" t="s">
        <v>2733</v>
      </c>
      <c r="D3786" s="1">
        <v>46057</v>
      </c>
      <c r="E3786" t="s">
        <v>2734</v>
      </c>
      <c r="F3786">
        <v>9</v>
      </c>
      <c r="G3786">
        <v>230</v>
      </c>
      <c r="H3786" t="str">
        <f>VLOOKUP(G3786,[1]OPERADORES!$A:$B,2,0)</f>
        <v>SÔNIA</v>
      </c>
      <c r="I3786" t="s">
        <v>21</v>
      </c>
      <c r="J3786" t="s">
        <v>66</v>
      </c>
      <c r="K3786" t="s">
        <v>2330</v>
      </c>
      <c r="L3786">
        <v>22180</v>
      </c>
      <c r="M3786" t="s">
        <v>404</v>
      </c>
      <c r="O3786" t="s">
        <v>11</v>
      </c>
      <c r="P3786">
        <v>5102</v>
      </c>
      <c r="Q3786">
        <v>1</v>
      </c>
      <c r="R3786">
        <v>19.29</v>
      </c>
      <c r="S3786">
        <v>19.29</v>
      </c>
      <c r="T3786">
        <v>14.64</v>
      </c>
      <c r="U3786">
        <v>24.11</v>
      </c>
      <c r="V3786" t="str">
        <f>VLOOKUP(L3786,'[2]tabela de preços'!$A:$D,4,0)</f>
        <v>MADRUGA</v>
      </c>
      <c r="W3786" t="str">
        <f>VLOOKUP(L3786,'[2]tabela de preços'!$A:$F,6,0)</f>
        <v>PAPEL DE MASCARAMENTO</v>
      </c>
      <c r="X3786" t="str">
        <f>VLOOKUP(L3786,'[2]tabela de preços'!$A:$G,7,0)</f>
        <v>AUTOMOTIVO</v>
      </c>
    </row>
    <row r="3787" spans="1:24" x14ac:dyDescent="0.3">
      <c r="A3787" t="s">
        <v>2327</v>
      </c>
      <c r="C3787" t="s">
        <v>2733</v>
      </c>
      <c r="D3787" s="1">
        <v>46057</v>
      </c>
      <c r="E3787" t="s">
        <v>2734</v>
      </c>
      <c r="F3787">
        <v>9</v>
      </c>
      <c r="G3787">
        <v>230</v>
      </c>
      <c r="H3787" t="str">
        <f>VLOOKUP(G3787,[1]OPERADORES!$A:$B,2,0)</f>
        <v>SÔNIA</v>
      </c>
      <c r="I3787" t="s">
        <v>21</v>
      </c>
      <c r="J3787" t="s">
        <v>66</v>
      </c>
      <c r="K3787" t="s">
        <v>2330</v>
      </c>
      <c r="L3787">
        <v>10394</v>
      </c>
      <c r="M3787" t="s">
        <v>2736</v>
      </c>
      <c r="O3787" t="s">
        <v>11</v>
      </c>
      <c r="P3787">
        <v>5102</v>
      </c>
      <c r="Q3787">
        <v>5</v>
      </c>
      <c r="R3787">
        <v>12.93</v>
      </c>
      <c r="S3787">
        <v>64.650000000000006</v>
      </c>
      <c r="T3787">
        <v>49.05</v>
      </c>
      <c r="U3787">
        <v>24.13</v>
      </c>
      <c r="V3787" t="str">
        <f>VLOOKUP(L3787,'[2]tabela de preços'!$A:$D,4,0)</f>
        <v>MAXI RUBBER</v>
      </c>
      <c r="W3787" t="str">
        <f>VLOOKUP(L3787,'[2]tabela de preços'!$A:$F,6,0)</f>
        <v xml:space="preserve">COLA  PLÁSTICA </v>
      </c>
      <c r="X3787" t="str">
        <f>VLOOKUP(L3787,'[2]tabela de preços'!$A:$G,7,0)</f>
        <v>AUTOMOTIVO</v>
      </c>
    </row>
    <row r="3788" spans="1:24" x14ac:dyDescent="0.3">
      <c r="A3788" t="s">
        <v>2327</v>
      </c>
      <c r="C3788" t="s">
        <v>2737</v>
      </c>
      <c r="D3788" s="1">
        <v>46057</v>
      </c>
      <c r="E3788" t="s">
        <v>2738</v>
      </c>
      <c r="F3788">
        <v>9</v>
      </c>
      <c r="G3788">
        <v>230</v>
      </c>
      <c r="H3788" t="str">
        <f>VLOOKUP(G3788,[1]OPERADORES!$A:$B,2,0)</f>
        <v>SÔNIA</v>
      </c>
      <c r="I3788" t="s">
        <v>21</v>
      </c>
      <c r="J3788" t="s">
        <v>66</v>
      </c>
      <c r="K3788" t="s">
        <v>2330</v>
      </c>
      <c r="L3788">
        <v>21643</v>
      </c>
      <c r="M3788" t="s">
        <v>2735</v>
      </c>
      <c r="O3788" t="s">
        <v>11</v>
      </c>
      <c r="P3788">
        <v>5102</v>
      </c>
      <c r="Q3788">
        <v>1</v>
      </c>
      <c r="R3788">
        <v>34.520000000000003</v>
      </c>
      <c r="S3788">
        <v>34.520000000000003</v>
      </c>
      <c r="T3788">
        <v>22.27</v>
      </c>
      <c r="U3788">
        <v>35.49</v>
      </c>
      <c r="V3788" t="str">
        <f>VLOOKUP(L3788,'[2]tabela de preços'!$A:$D,4,0)</f>
        <v>MAXI RUBBER</v>
      </c>
      <c r="W3788" t="str">
        <f>VLOOKUP(L3788,'[2]tabela de preços'!$A:$F,6,0)</f>
        <v>COLA INST./ ADESIVOS COLANTES</v>
      </c>
      <c r="X3788" t="str">
        <f>VLOOKUP(L3788,'[2]tabela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2026-02-20T10:57:01Z</dcterms:modified>
</cp:coreProperties>
</file>