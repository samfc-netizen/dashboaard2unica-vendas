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BE16B1B4-CF44-401E-801D-5CB79B9E90D8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3975" i="1" l="1"/>
  <c r="W3975" i="1"/>
  <c r="X3975" i="1"/>
  <c r="V3976" i="1"/>
  <c r="W3976" i="1"/>
  <c r="X3976" i="1"/>
  <c r="V3977" i="1"/>
  <c r="W3977" i="1"/>
  <c r="X3977" i="1"/>
  <c r="V3978" i="1"/>
  <c r="W3978" i="1"/>
  <c r="X3978" i="1"/>
  <c r="V3979" i="1"/>
  <c r="W3979" i="1"/>
  <c r="X3979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3993" i="1"/>
  <c r="W3993" i="1"/>
  <c r="X3993" i="1"/>
  <c r="V3994" i="1"/>
  <c r="W3994" i="1"/>
  <c r="X3994" i="1"/>
  <c r="V3995" i="1"/>
  <c r="W3995" i="1"/>
  <c r="X3995" i="1"/>
  <c r="V3996" i="1"/>
  <c r="W3996" i="1"/>
  <c r="X3996" i="1"/>
  <c r="V3997" i="1"/>
  <c r="W3997" i="1"/>
  <c r="X3997" i="1"/>
  <c r="V3998" i="1"/>
  <c r="W3998" i="1"/>
  <c r="X3998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033" i="1"/>
  <c r="W4033" i="1"/>
  <c r="X4033" i="1"/>
  <c r="V4034" i="1"/>
  <c r="W4034" i="1"/>
  <c r="X4034" i="1"/>
  <c r="V4035" i="1"/>
  <c r="W4035" i="1"/>
  <c r="X4035" i="1"/>
  <c r="V4036" i="1"/>
  <c r="W4036" i="1"/>
  <c r="X4036" i="1"/>
  <c r="V4037" i="1"/>
  <c r="W4037" i="1"/>
  <c r="X4037" i="1"/>
  <c r="V4038" i="1"/>
  <c r="W4038" i="1"/>
  <c r="X4038" i="1"/>
  <c r="V4039" i="1"/>
  <c r="W4039" i="1"/>
  <c r="X4039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072" i="1"/>
  <c r="W4072" i="1"/>
  <c r="X4072" i="1"/>
  <c r="V4073" i="1"/>
  <c r="W4073" i="1"/>
  <c r="X4073" i="1"/>
  <c r="V4074" i="1"/>
  <c r="W4074" i="1"/>
  <c r="X4074" i="1"/>
  <c r="V4075" i="1"/>
  <c r="W4075" i="1"/>
  <c r="X4075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091" i="1"/>
  <c r="W4091" i="1"/>
  <c r="X4091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122" i="1"/>
  <c r="W4122" i="1"/>
  <c r="X4122" i="1"/>
  <c r="V4123" i="1"/>
  <c r="W4123" i="1"/>
  <c r="X4123" i="1"/>
  <c r="V4124" i="1"/>
  <c r="W4124" i="1"/>
  <c r="X4124" i="1"/>
  <c r="V4125" i="1"/>
  <c r="W4125" i="1"/>
  <c r="X4125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139" i="1"/>
  <c r="W4139" i="1"/>
  <c r="X4139" i="1"/>
  <c r="V4140" i="1"/>
  <c r="W4140" i="1"/>
  <c r="X4140" i="1"/>
  <c r="V4141" i="1"/>
  <c r="W4141" i="1"/>
  <c r="X4141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148" i="1"/>
  <c r="W4148" i="1"/>
  <c r="X4148" i="1"/>
  <c r="V4149" i="1"/>
  <c r="W4149" i="1"/>
  <c r="X4149" i="1"/>
  <c r="V4150" i="1"/>
  <c r="W4150" i="1"/>
  <c r="X4150" i="1"/>
  <c r="V4151" i="1"/>
  <c r="W4151" i="1"/>
  <c r="X4151" i="1"/>
  <c r="V4152" i="1"/>
  <c r="W4152" i="1"/>
  <c r="X4152" i="1"/>
  <c r="V4153" i="1"/>
  <c r="W4153" i="1"/>
  <c r="X4153" i="1"/>
  <c r="V4154" i="1"/>
  <c r="W4154" i="1"/>
  <c r="X4154" i="1"/>
  <c r="V4155" i="1"/>
  <c r="W4155" i="1"/>
  <c r="X4155" i="1"/>
  <c r="V4156" i="1"/>
  <c r="W4156" i="1"/>
  <c r="X4156" i="1"/>
  <c r="V4157" i="1"/>
  <c r="W4157" i="1"/>
  <c r="X4157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4192" i="1"/>
  <c r="W4192" i="1"/>
  <c r="X4192" i="1"/>
  <c r="V4193" i="1"/>
  <c r="W4193" i="1"/>
  <c r="X4193" i="1"/>
  <c r="V4194" i="1"/>
  <c r="W4194" i="1"/>
  <c r="X4194" i="1"/>
  <c r="V4195" i="1"/>
  <c r="W4195" i="1"/>
  <c r="X4195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200" i="1"/>
  <c r="W4200" i="1"/>
  <c r="X4200" i="1"/>
  <c r="V4201" i="1"/>
  <c r="W4201" i="1"/>
  <c r="X4201" i="1"/>
  <c r="V4202" i="1"/>
  <c r="W4202" i="1"/>
  <c r="X4202" i="1"/>
  <c r="V4203" i="1"/>
  <c r="W4203" i="1"/>
  <c r="X4203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V4214" i="1"/>
  <c r="W4214" i="1"/>
  <c r="X4214" i="1"/>
  <c r="V4215" i="1"/>
  <c r="W4215" i="1"/>
  <c r="X4215" i="1"/>
  <c r="V4216" i="1"/>
  <c r="W4216" i="1"/>
  <c r="X4216" i="1"/>
  <c r="V4217" i="1"/>
  <c r="W4217" i="1"/>
  <c r="X4217" i="1"/>
  <c r="V4218" i="1"/>
  <c r="W4218" i="1"/>
  <c r="X4218" i="1"/>
  <c r="V4219" i="1"/>
  <c r="W4219" i="1"/>
  <c r="X4219" i="1"/>
  <c r="V4220" i="1"/>
  <c r="W4220" i="1"/>
  <c r="X4220" i="1"/>
  <c r="V4221" i="1"/>
  <c r="W4221" i="1"/>
  <c r="X4221" i="1"/>
  <c r="V4222" i="1"/>
  <c r="W4222" i="1"/>
  <c r="X4222" i="1"/>
  <c r="V4223" i="1"/>
  <c r="W4223" i="1"/>
  <c r="X4223" i="1"/>
  <c r="V4224" i="1"/>
  <c r="W4224" i="1"/>
  <c r="X4224" i="1"/>
  <c r="V4225" i="1"/>
  <c r="W4225" i="1"/>
  <c r="X4225" i="1"/>
  <c r="V4226" i="1"/>
  <c r="W4226" i="1"/>
  <c r="X4226" i="1"/>
  <c r="V4227" i="1"/>
  <c r="W4227" i="1"/>
  <c r="X4227" i="1"/>
  <c r="V4228" i="1"/>
  <c r="W4228" i="1"/>
  <c r="X4228" i="1"/>
  <c r="V4229" i="1"/>
  <c r="W4229" i="1"/>
  <c r="X4229" i="1"/>
  <c r="V4230" i="1"/>
  <c r="W4230" i="1"/>
  <c r="X4230" i="1"/>
  <c r="V4231" i="1"/>
  <c r="W4231" i="1"/>
  <c r="X4231" i="1"/>
  <c r="V4232" i="1"/>
  <c r="W4232" i="1"/>
  <c r="X4232" i="1"/>
  <c r="V4233" i="1"/>
  <c r="W4233" i="1"/>
  <c r="X4233" i="1"/>
  <c r="V4234" i="1"/>
  <c r="W4234" i="1"/>
  <c r="X4234" i="1"/>
  <c r="V4235" i="1"/>
  <c r="W4235" i="1"/>
  <c r="X4235" i="1"/>
  <c r="V4236" i="1"/>
  <c r="W4236" i="1"/>
  <c r="X4236" i="1"/>
  <c r="V4237" i="1"/>
  <c r="W4237" i="1"/>
  <c r="X4237" i="1"/>
  <c r="V4238" i="1"/>
  <c r="W4238" i="1"/>
  <c r="X4238" i="1"/>
  <c r="V4239" i="1"/>
  <c r="W4239" i="1"/>
  <c r="X4239" i="1"/>
  <c r="V4240" i="1"/>
  <c r="W4240" i="1"/>
  <c r="X4240" i="1"/>
  <c r="V4241" i="1"/>
  <c r="W4241" i="1"/>
  <c r="X4241" i="1"/>
  <c r="V4242" i="1"/>
  <c r="W4242" i="1"/>
  <c r="X4242" i="1"/>
  <c r="V4243" i="1"/>
  <c r="W4243" i="1"/>
  <c r="X4243" i="1"/>
  <c r="V4244" i="1"/>
  <c r="W4244" i="1"/>
  <c r="X4244" i="1"/>
  <c r="V4245" i="1"/>
  <c r="W4245" i="1"/>
  <c r="X4245" i="1"/>
  <c r="V4246" i="1"/>
  <c r="W4246" i="1"/>
  <c r="X4246" i="1"/>
  <c r="V4247" i="1"/>
  <c r="W4247" i="1"/>
  <c r="X4247" i="1"/>
  <c r="V4248" i="1"/>
  <c r="W4248" i="1"/>
  <c r="X4248" i="1"/>
  <c r="V4249" i="1"/>
  <c r="W4249" i="1"/>
  <c r="X4249" i="1"/>
  <c r="V4250" i="1"/>
  <c r="W4250" i="1"/>
  <c r="X4250" i="1"/>
  <c r="V4251" i="1"/>
  <c r="W4251" i="1"/>
  <c r="X4251" i="1"/>
  <c r="V4252" i="1"/>
  <c r="W4252" i="1"/>
  <c r="X4252" i="1"/>
  <c r="V4253" i="1"/>
  <c r="W4253" i="1"/>
  <c r="X4253" i="1"/>
  <c r="V4254" i="1"/>
  <c r="W4254" i="1"/>
  <c r="X4254" i="1"/>
  <c r="V4255" i="1"/>
  <c r="W4255" i="1"/>
  <c r="X4255" i="1"/>
  <c r="V4256" i="1"/>
  <c r="W4256" i="1"/>
  <c r="X4256" i="1"/>
  <c r="V4257" i="1"/>
  <c r="W4257" i="1"/>
  <c r="X4257" i="1"/>
  <c r="V4258" i="1"/>
  <c r="W4258" i="1"/>
  <c r="X4258" i="1"/>
  <c r="V4259" i="1"/>
  <c r="W4259" i="1"/>
  <c r="X4259" i="1"/>
  <c r="V4260" i="1"/>
  <c r="W4260" i="1"/>
  <c r="X4260" i="1"/>
  <c r="V4261" i="1"/>
  <c r="W4261" i="1"/>
  <c r="X4261" i="1"/>
  <c r="V4262" i="1"/>
  <c r="W4262" i="1"/>
  <c r="X4262" i="1"/>
  <c r="V4263" i="1"/>
  <c r="W4263" i="1"/>
  <c r="X4263" i="1"/>
  <c r="V4264" i="1"/>
  <c r="W4264" i="1"/>
  <c r="X4264" i="1"/>
  <c r="V4265" i="1"/>
  <c r="W4265" i="1"/>
  <c r="X4265" i="1"/>
  <c r="V4266" i="1"/>
  <c r="W4266" i="1"/>
  <c r="X4266" i="1"/>
  <c r="V4267" i="1"/>
  <c r="W4267" i="1"/>
  <c r="X4267" i="1"/>
  <c r="V4268" i="1"/>
  <c r="W4268" i="1"/>
  <c r="X4268" i="1"/>
  <c r="V4269" i="1"/>
  <c r="W4269" i="1"/>
  <c r="X4269" i="1"/>
  <c r="V4270" i="1"/>
  <c r="W4270" i="1"/>
  <c r="X4270" i="1"/>
  <c r="V4271" i="1"/>
  <c r="W4271" i="1"/>
  <c r="X4271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281" i="1"/>
  <c r="W4281" i="1"/>
  <c r="X4281" i="1"/>
  <c r="V4282" i="1"/>
  <c r="W4282" i="1"/>
  <c r="X4282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299" i="1"/>
  <c r="W4299" i="1"/>
  <c r="X4299" i="1"/>
  <c r="V4300" i="1"/>
  <c r="W4300" i="1"/>
  <c r="X4300" i="1"/>
  <c r="V4301" i="1"/>
  <c r="W4301" i="1"/>
  <c r="X4301" i="1"/>
  <c r="V4302" i="1"/>
  <c r="W4302" i="1"/>
  <c r="X4302" i="1"/>
  <c r="V4303" i="1"/>
  <c r="W4303" i="1"/>
  <c r="X4303" i="1"/>
  <c r="V4304" i="1"/>
  <c r="W4304" i="1"/>
  <c r="X4304" i="1"/>
  <c r="V4305" i="1"/>
  <c r="W4305" i="1"/>
  <c r="X4305" i="1"/>
  <c r="V4306" i="1"/>
  <c r="W4306" i="1"/>
  <c r="X4306" i="1"/>
  <c r="V4307" i="1"/>
  <c r="W4307" i="1"/>
  <c r="X4307" i="1"/>
  <c r="V4308" i="1"/>
  <c r="W4308" i="1"/>
  <c r="X4308" i="1"/>
  <c r="V4309" i="1"/>
  <c r="W4309" i="1"/>
  <c r="X4309" i="1"/>
  <c r="V4310" i="1"/>
  <c r="W4310" i="1"/>
  <c r="X4310" i="1"/>
  <c r="V4311" i="1"/>
  <c r="W4311" i="1"/>
  <c r="X4311" i="1"/>
  <c r="V4312" i="1"/>
  <c r="W4312" i="1"/>
  <c r="X4312" i="1"/>
  <c r="V4313" i="1"/>
  <c r="W4313" i="1"/>
  <c r="X4313" i="1"/>
  <c r="V4314" i="1"/>
  <c r="W4314" i="1"/>
  <c r="X4314" i="1"/>
  <c r="V4315" i="1"/>
  <c r="W4315" i="1"/>
  <c r="X4315" i="1"/>
  <c r="V4316" i="1"/>
  <c r="W4316" i="1"/>
  <c r="X4316" i="1"/>
  <c r="V4317" i="1"/>
  <c r="W4317" i="1"/>
  <c r="X4317" i="1"/>
  <c r="V4318" i="1"/>
  <c r="W4318" i="1"/>
  <c r="X4318" i="1"/>
  <c r="V4319" i="1"/>
  <c r="W4319" i="1"/>
  <c r="X4319" i="1"/>
  <c r="V4320" i="1"/>
  <c r="W4320" i="1"/>
  <c r="X4320" i="1"/>
  <c r="V4321" i="1"/>
  <c r="W4321" i="1"/>
  <c r="X4321" i="1"/>
  <c r="V4322" i="1"/>
  <c r="W4322" i="1"/>
  <c r="X4322" i="1"/>
  <c r="V4323" i="1"/>
  <c r="W4323" i="1"/>
  <c r="X4323" i="1"/>
  <c r="V4324" i="1"/>
  <c r="W4324" i="1"/>
  <c r="X4324" i="1"/>
  <c r="V4325" i="1"/>
  <c r="W4325" i="1"/>
  <c r="X4325" i="1"/>
  <c r="V4326" i="1"/>
  <c r="W4326" i="1"/>
  <c r="X4326" i="1"/>
  <c r="V4327" i="1"/>
  <c r="W4327" i="1"/>
  <c r="X4327" i="1"/>
  <c r="V4328" i="1"/>
  <c r="W4328" i="1"/>
  <c r="X4328" i="1"/>
  <c r="V4329" i="1"/>
  <c r="W4329" i="1"/>
  <c r="X4329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<sst xmlns="http://schemas.openxmlformats.org/spreadsheetml/2006/main" count="35576" uniqueCount="3724">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</sst>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6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4329" totalsRowShown="0">
  <autoFilter ref="A1:X4329" xr:uid="{98BFBED1-B99E-441A-BA7E-5533E4B19798}"/>
  <sortState xmlns:xlrd2="http://schemas.microsoft.com/office/spreadsheetml/2017/richdata2" ref="A2:X4075">
    <sortCondition ref="D1:D4075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4329"/>
  <sheetViews>
    <sheetView tabSelected="1" topLeftCell="N3965" zoomScale="90" zoomScaleNormal="90" workbookViewId="0">
      <selection activeCell="V3974" sqref="V3974:X4329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3521</v>
      </c>
      <c r="C3978" t="s">
        <v>3522</v>
      </c>
      <c r="D3978" s="1">
        <v>46077</v>
      </c>
      <c r="E3978" t="s">
        <v>3523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397</v>
      </c>
      <c r="K3978" t="s">
        <v>3524</v>
      </c>
      <c r="L3978">
        <v>15</v>
      </c>
      <c r="M3978" t="s">
        <v>205</v>
      </c>
      <c r="O3978" t="s">
        <v>11</v>
      </c>
      <c r="P3978">
        <v>5102</v>
      </c>
      <c r="Q3978">
        <v>1</v>
      </c>
      <c r="R3978">
        <v>5.79</v>
      </c>
      <c r="S3978">
        <v>5.79</v>
      </c>
      <c r="T3978">
        <v>4.16</v>
      </c>
      <c r="U3978">
        <v>28.15</v>
      </c>
      <c r="V3978" t="str">
        <f>VLOOKUP(L3978,'[2]tabela de preços'!$A:$D,4,0)</f>
        <v>3M</v>
      </c>
      <c r="W3978" t="str">
        <f>VLOOKUP(L3978,'[2]tabela de preços'!$A:$F,6,0)</f>
        <v>LIXA DÁGUA</v>
      </c>
      <c r="X3978" t="str">
        <f>VLOOKUP(L3978,'[2]tabela de preços'!$A:$G,7,0)</f>
        <v>AUTOMOTIVO</v>
      </c>
    </row>
    <row r="3979" spans="1:24" x14ac:dyDescent="0.3">
      <c r="A3979" t="s">
        <v>3521</v>
      </c>
      <c r="C3979" t="s">
        <v>3522</v>
      </c>
      <c r="D3979" s="1">
        <v>46077</v>
      </c>
      <c r="E3979" t="s">
        <v>3523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397</v>
      </c>
      <c r="K3979" t="s">
        <v>3524</v>
      </c>
      <c r="L3979">
        <v>16</v>
      </c>
      <c r="M3979" t="s">
        <v>122</v>
      </c>
      <c r="O3979" t="s">
        <v>11</v>
      </c>
      <c r="P3979">
        <v>5102</v>
      </c>
      <c r="Q3979">
        <v>1</v>
      </c>
      <c r="R3979">
        <v>4.21</v>
      </c>
      <c r="S3979">
        <v>4.21</v>
      </c>
      <c r="T3979">
        <v>2.2000000000000002</v>
      </c>
      <c r="U3979">
        <v>47.74</v>
      </c>
      <c r="V3979" t="str">
        <f>VLOOKUP(L3979,'[2]tabela de preços'!$A:$D,4,0)</f>
        <v>3M</v>
      </c>
      <c r="W3979" t="str">
        <f>VLOOKUP(L3979,'[2]tabela de preços'!$A:$F,6,0)</f>
        <v>LIXA DÁGUA</v>
      </c>
      <c r="X3979" t="str">
        <f>VLOOKUP(L3979,'[2]tabela de preços'!$A:$G,7,0)</f>
        <v>AUTOMOTIVO</v>
      </c>
    </row>
    <row r="3980" spans="1:24" x14ac:dyDescent="0.3">
      <c r="A3980" t="s">
        <v>3030</v>
      </c>
      <c r="C3980" t="s">
        <v>3525</v>
      </c>
      <c r="D3980" s="1">
        <v>46077</v>
      </c>
      <c r="E3980" t="s">
        <v>3526</v>
      </c>
      <c r="F3980">
        <v>9</v>
      </c>
      <c r="G3980">
        <v>236</v>
      </c>
      <c r="H3980" t="str">
        <f>VLOOKUP(G3980,[1]OPERADORES!$A:$B,2,0)</f>
        <v>DANIEL</v>
      </c>
      <c r="I3980" t="s">
        <v>3033</v>
      </c>
      <c r="J3980" t="s">
        <v>3034</v>
      </c>
      <c r="K3980" t="s">
        <v>3035</v>
      </c>
      <c r="L3980">
        <v>23110</v>
      </c>
      <c r="M3980" t="s">
        <v>409</v>
      </c>
      <c r="O3980" t="s">
        <v>11</v>
      </c>
      <c r="P3980">
        <v>6102</v>
      </c>
      <c r="Q3980">
        <v>10</v>
      </c>
      <c r="R3980">
        <v>2.35</v>
      </c>
      <c r="S3980">
        <v>23.5</v>
      </c>
      <c r="T3980">
        <v>18.5</v>
      </c>
      <c r="U3980">
        <v>21.28</v>
      </c>
      <c r="V3980" t="str">
        <f>VLOOKUP(L3980,'[2]tabela de preços'!$A:$D,4,0)</f>
        <v>3M</v>
      </c>
      <c r="W3980" t="str">
        <f>VLOOKUP(L3980,'[2]tabela de preços'!$A:$F,6,0)</f>
        <v xml:space="preserve">DISCOS / LIXAS / ABRASIVOS </v>
      </c>
      <c r="X3980" t="str">
        <f>VLOOKUP(L3980,'[2]tabela de preços'!$A:$G,7,0)</f>
        <v>AUTOMOTIVO</v>
      </c>
    </row>
    <row r="3981" spans="1:24" x14ac:dyDescent="0.3">
      <c r="A3981" t="s">
        <v>3030</v>
      </c>
      <c r="C3981" t="s">
        <v>3525</v>
      </c>
      <c r="D3981" s="1">
        <v>46077</v>
      </c>
      <c r="E3981" t="s">
        <v>3526</v>
      </c>
      <c r="F3981">
        <v>9</v>
      </c>
      <c r="G3981">
        <v>236</v>
      </c>
      <c r="H3981" t="str">
        <f>VLOOKUP(G3981,[1]OPERADORES!$A:$B,2,0)</f>
        <v>DANIEL</v>
      </c>
      <c r="I3981" t="s">
        <v>3033</v>
      </c>
      <c r="J3981" t="s">
        <v>3034</v>
      </c>
      <c r="K3981" t="s">
        <v>3035</v>
      </c>
      <c r="L3981">
        <v>23105</v>
      </c>
      <c r="M3981" t="s">
        <v>402</v>
      </c>
      <c r="O3981" t="s">
        <v>11</v>
      </c>
      <c r="P3981">
        <v>6102</v>
      </c>
      <c r="Q3981">
        <v>10</v>
      </c>
      <c r="R3981">
        <v>2.35</v>
      </c>
      <c r="S3981">
        <v>23.5</v>
      </c>
      <c r="T3981">
        <v>19.2</v>
      </c>
      <c r="U3981">
        <v>18.3</v>
      </c>
      <c r="V3981" t="str">
        <f>VLOOKUP(L3981,'[2]tabela de preços'!$A:$D,4,0)</f>
        <v>3M</v>
      </c>
      <c r="W3981" t="str">
        <f>VLOOKUP(L3981,'[2]tabela de preços'!$A:$F,6,0)</f>
        <v xml:space="preserve">DISCOS / LIXAS / ABRASIVOS </v>
      </c>
      <c r="X3981" t="str">
        <f>VLOOKUP(L3981,'[2]tabela de preços'!$A:$G,7,0)</f>
        <v>AUTOMOTIVO</v>
      </c>
    </row>
    <row r="3982" spans="1:24" x14ac:dyDescent="0.3">
      <c r="A3982" t="s">
        <v>3030</v>
      </c>
      <c r="C3982" t="s">
        <v>3525</v>
      </c>
      <c r="D3982" s="1">
        <v>46077</v>
      </c>
      <c r="E3982" t="s">
        <v>3526</v>
      </c>
      <c r="F3982">
        <v>9</v>
      </c>
      <c r="G3982">
        <v>236</v>
      </c>
      <c r="H3982" t="str">
        <f>VLOOKUP(G3982,[1]OPERADORES!$A:$B,2,0)</f>
        <v>DANIEL</v>
      </c>
      <c r="I3982" t="s">
        <v>3033</v>
      </c>
      <c r="J3982" t="s">
        <v>3034</v>
      </c>
      <c r="K3982" t="s">
        <v>3035</v>
      </c>
      <c r="L3982">
        <v>23107</v>
      </c>
      <c r="M3982" t="s">
        <v>247</v>
      </c>
      <c r="O3982" t="s">
        <v>11</v>
      </c>
      <c r="P3982">
        <v>6102</v>
      </c>
      <c r="Q3982">
        <v>10</v>
      </c>
      <c r="R3982">
        <v>2.35</v>
      </c>
      <c r="S3982">
        <v>23.5</v>
      </c>
      <c r="T3982">
        <v>18.5</v>
      </c>
      <c r="U3982">
        <v>21.28</v>
      </c>
      <c r="V3982" t="str">
        <f>VLOOKUP(L3982,'[2]tabela de preços'!$A:$D,4,0)</f>
        <v>3M</v>
      </c>
      <c r="W3982" t="str">
        <f>VLOOKUP(L3982,'[2]tabela de preços'!$A:$F,6,0)</f>
        <v xml:space="preserve">DISCOS / LIXAS / ABRASIVOS </v>
      </c>
      <c r="X3982" t="str">
        <f>VLOOKUP(L3982,'[2]tabela de preços'!$A:$G,7,0)</f>
        <v>AUTOMOTIVO</v>
      </c>
    </row>
    <row r="3983" spans="1:24" x14ac:dyDescent="0.3">
      <c r="A3983" t="s">
        <v>3030</v>
      </c>
      <c r="C3983" t="s">
        <v>3525</v>
      </c>
      <c r="D3983" s="1">
        <v>46077</v>
      </c>
      <c r="E3983" t="s">
        <v>3526</v>
      </c>
      <c r="F3983">
        <v>9</v>
      </c>
      <c r="G3983">
        <v>236</v>
      </c>
      <c r="H3983" t="str">
        <f>VLOOKUP(G3983,[1]OPERADORES!$A:$B,2,0)</f>
        <v>DANIEL</v>
      </c>
      <c r="I3983" t="s">
        <v>3033</v>
      </c>
      <c r="J3983" t="s">
        <v>3034</v>
      </c>
      <c r="K3983" t="s">
        <v>3035</v>
      </c>
      <c r="L3983">
        <v>15</v>
      </c>
      <c r="M3983" t="s">
        <v>205</v>
      </c>
      <c r="O3983" t="s">
        <v>11</v>
      </c>
      <c r="P3983">
        <v>6102</v>
      </c>
      <c r="Q3983">
        <v>50</v>
      </c>
      <c r="R3983">
        <v>5.79</v>
      </c>
      <c r="S3983">
        <v>289.5</v>
      </c>
      <c r="T3983">
        <v>208</v>
      </c>
      <c r="U3983">
        <v>28.15</v>
      </c>
      <c r="V3983" t="str">
        <f>VLOOKUP(L3983,'[2]tabela de preços'!$A:$D,4,0)</f>
        <v>3M</v>
      </c>
      <c r="W3983" t="str">
        <f>VLOOKUP(L3983,'[2]tabela de preços'!$A:$F,6,0)</f>
        <v>LIXA DÁGUA</v>
      </c>
      <c r="X3983" t="str">
        <f>VLOOKUP(L3983,'[2]tabela de preços'!$A:$G,7,0)</f>
        <v>AUTOMOTIVO</v>
      </c>
    </row>
    <row r="3984" spans="1:24" x14ac:dyDescent="0.3">
      <c r="A3984" t="s">
        <v>3030</v>
      </c>
      <c r="C3984" t="s">
        <v>3525</v>
      </c>
      <c r="D3984" s="1">
        <v>46077</v>
      </c>
      <c r="E3984" t="s">
        <v>3526</v>
      </c>
      <c r="F3984">
        <v>9</v>
      </c>
      <c r="G3984">
        <v>236</v>
      </c>
      <c r="H3984" t="str">
        <f>VLOOKUP(G3984,[1]OPERADORES!$A:$B,2,0)</f>
        <v>DANIEL</v>
      </c>
      <c r="I3984" t="s">
        <v>3033</v>
      </c>
      <c r="J3984" t="s">
        <v>3034</v>
      </c>
      <c r="K3984" t="s">
        <v>3035</v>
      </c>
      <c r="L3984">
        <v>16</v>
      </c>
      <c r="M3984" t="s">
        <v>122</v>
      </c>
      <c r="O3984" t="s">
        <v>11</v>
      </c>
      <c r="P3984">
        <v>6102</v>
      </c>
      <c r="Q3984">
        <v>50</v>
      </c>
      <c r="R3984">
        <v>2.97</v>
      </c>
      <c r="S3984">
        <v>148.5</v>
      </c>
      <c r="T3984">
        <v>110</v>
      </c>
      <c r="U3984">
        <v>25.93</v>
      </c>
      <c r="V3984" t="str">
        <f>VLOOKUP(L3984,'[2]tabela de preços'!$A:$D,4,0)</f>
        <v>3M</v>
      </c>
      <c r="W3984" t="str">
        <f>VLOOKUP(L3984,'[2]tabela de preços'!$A:$F,6,0)</f>
        <v>LIXA DÁGUA</v>
      </c>
      <c r="X3984" t="str">
        <f>VLOOKUP(L3984,'[2]tabela de preços'!$A:$G,7,0)</f>
        <v>AUTOMOTIVO</v>
      </c>
    </row>
    <row r="3985" spans="1:24" x14ac:dyDescent="0.3">
      <c r="A3985" t="s">
        <v>3527</v>
      </c>
      <c r="C3985" t="s">
        <v>3528</v>
      </c>
      <c r="D3985" s="1">
        <v>46078</v>
      </c>
      <c r="E3985" t="s">
        <v>3529</v>
      </c>
      <c r="F3985">
        <v>9</v>
      </c>
      <c r="G3985">
        <v>197</v>
      </c>
      <c r="H3985" t="str">
        <f>VLOOKUP(G3985,[1]OPERADORES!$A:$B,2,0)</f>
        <v xml:space="preserve">POLIANA LORRANE DE AMORIM </v>
      </c>
      <c r="I3985" t="s">
        <v>282</v>
      </c>
      <c r="J3985" t="s">
        <v>3530</v>
      </c>
      <c r="K3985" t="s">
        <v>3531</v>
      </c>
      <c r="L3985">
        <v>84381</v>
      </c>
      <c r="M3985" t="s">
        <v>91</v>
      </c>
      <c r="O3985" t="s">
        <v>11</v>
      </c>
      <c r="P3985">
        <v>6403</v>
      </c>
      <c r="Q3985">
        <v>6</v>
      </c>
      <c r="R3985">
        <v>159.9</v>
      </c>
      <c r="S3985">
        <v>959.4</v>
      </c>
      <c r="T3985">
        <v>825.66</v>
      </c>
      <c r="U3985">
        <v>13.94</v>
      </c>
      <c r="V3985" t="str">
        <f>VLOOKUP(L3985,'[2]tabela de preços'!$A:$D,4,0)</f>
        <v>BRASILUX</v>
      </c>
      <c r="W3985" t="str">
        <f>VLOOKUP(L3985,'[2]tabela de preços'!$A:$F,6,0)</f>
        <v>TINTA PARA PISO</v>
      </c>
      <c r="X3985" t="str">
        <f>VLOOKUP(L3985,'[2]tabela de preços'!$A:$G,7,0)</f>
        <v>IMOBILIÁRIO</v>
      </c>
    </row>
    <row r="3986" spans="1:24" x14ac:dyDescent="0.3">
      <c r="A3986" t="s">
        <v>3527</v>
      </c>
      <c r="C3986" t="s">
        <v>3528</v>
      </c>
      <c r="D3986" s="1">
        <v>46078</v>
      </c>
      <c r="E3986" t="s">
        <v>3529</v>
      </c>
      <c r="F3986">
        <v>9</v>
      </c>
      <c r="G3986">
        <v>197</v>
      </c>
      <c r="H3986" t="str">
        <f>VLOOKUP(G3986,[1]OPERADORES!$A:$B,2,0)</f>
        <v xml:space="preserve">POLIANA LORRANE DE AMORIM </v>
      </c>
      <c r="I3986" t="s">
        <v>282</v>
      </c>
      <c r="J3986" t="s">
        <v>3530</v>
      </c>
      <c r="K3986" t="s">
        <v>3531</v>
      </c>
      <c r="L3986">
        <v>84389</v>
      </c>
      <c r="M3986" t="s">
        <v>832</v>
      </c>
      <c r="O3986" t="s">
        <v>11</v>
      </c>
      <c r="P3986">
        <v>6403</v>
      </c>
      <c r="Q3986">
        <v>12</v>
      </c>
      <c r="R3986">
        <v>159.9</v>
      </c>
      <c r="S3986" s="2">
        <v>1918.8</v>
      </c>
      <c r="T3986" s="2">
        <v>1651.32</v>
      </c>
      <c r="U3986">
        <v>13.94</v>
      </c>
      <c r="V3986" t="str">
        <f>VLOOKUP(L3986,'[2]tabela de preços'!$A:$D,4,0)</f>
        <v>BRASILUX</v>
      </c>
      <c r="W3986" t="str">
        <f>VLOOKUP(L3986,'[2]tabela de preços'!$A:$F,6,0)</f>
        <v>TINTA PARA PISO</v>
      </c>
      <c r="X3986" t="str">
        <f>VLOOKUP(L3986,'[2]tabela de preços'!$A:$G,7,0)</f>
        <v>IMOBILIÁRIO</v>
      </c>
    </row>
    <row r="3987" spans="1:24" x14ac:dyDescent="0.3">
      <c r="A3987" t="s">
        <v>3527</v>
      </c>
      <c r="C3987" t="s">
        <v>3528</v>
      </c>
      <c r="D3987" s="1">
        <v>46078</v>
      </c>
      <c r="E3987" t="s">
        <v>3529</v>
      </c>
      <c r="F3987">
        <v>9</v>
      </c>
      <c r="G3987">
        <v>197</v>
      </c>
      <c r="H3987" t="str">
        <f>VLOOKUP(G3987,[1]OPERADORES!$A:$B,2,0)</f>
        <v xml:space="preserve">POLIANA LORRANE DE AMORIM </v>
      </c>
      <c r="I3987" t="s">
        <v>282</v>
      </c>
      <c r="J3987" t="s">
        <v>3530</v>
      </c>
      <c r="K3987" t="s">
        <v>3531</v>
      </c>
      <c r="L3987">
        <v>10298</v>
      </c>
      <c r="M3987" t="s">
        <v>85</v>
      </c>
      <c r="O3987" t="s">
        <v>11</v>
      </c>
      <c r="P3987">
        <v>6102</v>
      </c>
      <c r="Q3987">
        <v>20</v>
      </c>
      <c r="R3987">
        <v>54.9</v>
      </c>
      <c r="S3987" s="2">
        <v>1098</v>
      </c>
      <c r="T3987">
        <v>947.6</v>
      </c>
      <c r="U3987">
        <v>13.7</v>
      </c>
      <c r="V3987" t="str">
        <f>VLOOKUP(L3987,'[2]tabela de preços'!$A:$D,4,0)</f>
        <v>ANJO</v>
      </c>
      <c r="W3987" t="str">
        <f>VLOOKUP(L3987,'[2]tabela de preços'!$A:$F,6,0)</f>
        <v>THINNER DE LIMPEZA</v>
      </c>
      <c r="X3987" t="str">
        <f>VLOOKUP(L3987,'[2]tabela de preços'!$A:$G,7,0)</f>
        <v>THINNER</v>
      </c>
    </row>
    <row r="3988" spans="1:24" x14ac:dyDescent="0.3">
      <c r="A3988" t="s">
        <v>3527</v>
      </c>
      <c r="C3988" t="s">
        <v>3528</v>
      </c>
      <c r="D3988" s="1">
        <v>46078</v>
      </c>
      <c r="E3988" t="s">
        <v>3529</v>
      </c>
      <c r="F3988">
        <v>9</v>
      </c>
      <c r="G3988">
        <v>197</v>
      </c>
      <c r="H3988" t="str">
        <f>VLOOKUP(G3988,[1]OPERADORES!$A:$B,2,0)</f>
        <v xml:space="preserve">POLIANA LORRANE DE AMORIM </v>
      </c>
      <c r="I3988" t="s">
        <v>282</v>
      </c>
      <c r="J3988" t="s">
        <v>3530</v>
      </c>
      <c r="K3988" t="s">
        <v>3531</v>
      </c>
      <c r="L3988">
        <v>10297</v>
      </c>
      <c r="M3988" t="s">
        <v>41</v>
      </c>
      <c r="O3988" t="s">
        <v>11</v>
      </c>
      <c r="P3988">
        <v>6102</v>
      </c>
      <c r="Q3988">
        <v>36</v>
      </c>
      <c r="R3988">
        <v>10.49</v>
      </c>
      <c r="S3988">
        <v>377.64</v>
      </c>
      <c r="T3988">
        <v>330.12</v>
      </c>
      <c r="U3988">
        <v>12.58</v>
      </c>
      <c r="V3988" t="str">
        <f>VLOOKUP(L3988,'[2]tabela de preços'!$A:$D,4,0)</f>
        <v>ANJO</v>
      </c>
      <c r="W3988" t="str">
        <f>VLOOKUP(L3988,'[2]tabela de preços'!$A:$F,6,0)</f>
        <v>THINNER DE LIMPEZA</v>
      </c>
      <c r="X3988" t="str">
        <f>VLOOKUP(L3988,'[2]tabela de preços'!$A:$G,7,0)</f>
        <v>THINNER</v>
      </c>
    </row>
    <row r="3989" spans="1:24" x14ac:dyDescent="0.3">
      <c r="A3989" t="s">
        <v>313</v>
      </c>
      <c r="B3989" t="s">
        <v>314</v>
      </c>
      <c r="C3989" t="s">
        <v>3532</v>
      </c>
      <c r="D3989" s="1">
        <v>46077</v>
      </c>
      <c r="E3989" t="s">
        <v>3533</v>
      </c>
      <c r="F3989">
        <v>9</v>
      </c>
      <c r="G3989">
        <v>197</v>
      </c>
      <c r="H3989" t="str">
        <f>VLOOKUP(G3989,[1]OPERADORES!$A:$B,2,0)</f>
        <v xml:space="preserve">POLIANA LORRANE DE AMORIM </v>
      </c>
      <c r="I3989" t="s">
        <v>317</v>
      </c>
      <c r="J3989" t="s">
        <v>318</v>
      </c>
      <c r="K3989" t="s">
        <v>319</v>
      </c>
      <c r="L3989">
        <v>85621</v>
      </c>
      <c r="M3989" t="s">
        <v>1656</v>
      </c>
      <c r="O3989" t="s">
        <v>11</v>
      </c>
      <c r="P3989">
        <v>6102</v>
      </c>
      <c r="Q3989">
        <v>6</v>
      </c>
      <c r="R3989">
        <v>16.75</v>
      </c>
      <c r="S3989">
        <v>100.5</v>
      </c>
      <c r="T3989">
        <v>73.680000000000007</v>
      </c>
      <c r="U3989">
        <v>26.69</v>
      </c>
      <c r="V3989" t="str">
        <f>VLOOKUP(L3989,'[2]tabela de preços'!$A:$D,4,0)</f>
        <v>ADERE</v>
      </c>
      <c r="W3989" t="str">
        <f>VLOOKUP(L3989,'[2]tabela de preços'!$A:$F,6,0)</f>
        <v xml:space="preserve">FITA DE USO GERAL </v>
      </c>
      <c r="X3989" t="str">
        <f>VLOOKUP(L3989,'[2]tabela de preços'!$A:$G,7,0)</f>
        <v>IMOBILIÁRIO</v>
      </c>
    </row>
    <row r="3990" spans="1:24" x14ac:dyDescent="0.3">
      <c r="A3990" t="s">
        <v>313</v>
      </c>
      <c r="B3990" t="s">
        <v>314</v>
      </c>
      <c r="C3990" t="s">
        <v>3532</v>
      </c>
      <c r="D3990" s="1">
        <v>46077</v>
      </c>
      <c r="E3990" t="s">
        <v>3533</v>
      </c>
      <c r="F3990">
        <v>9</v>
      </c>
      <c r="G3990">
        <v>197</v>
      </c>
      <c r="H3990" t="str">
        <f>VLOOKUP(G3990,[1]OPERADORES!$A:$B,2,0)</f>
        <v xml:space="preserve">POLIANA LORRANE DE AMORIM </v>
      </c>
      <c r="I3990" t="s">
        <v>317</v>
      </c>
      <c r="J3990" t="s">
        <v>318</v>
      </c>
      <c r="K3990" t="s">
        <v>319</v>
      </c>
      <c r="L3990">
        <v>10297</v>
      </c>
      <c r="M3990" t="s">
        <v>41</v>
      </c>
      <c r="O3990" t="s">
        <v>11</v>
      </c>
      <c r="P3990">
        <v>6102</v>
      </c>
      <c r="Q3990">
        <v>36</v>
      </c>
      <c r="R3990">
        <v>10.49</v>
      </c>
      <c r="S3990">
        <v>377.64</v>
      </c>
      <c r="T3990">
        <v>330.12</v>
      </c>
      <c r="U3990">
        <v>12.58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313</v>
      </c>
      <c r="B3991" t="s">
        <v>314</v>
      </c>
      <c r="C3991" t="s">
        <v>3532</v>
      </c>
      <c r="D3991" s="1">
        <v>46077</v>
      </c>
      <c r="E3991" t="s">
        <v>3533</v>
      </c>
      <c r="F3991">
        <v>9</v>
      </c>
      <c r="G3991">
        <v>197</v>
      </c>
      <c r="H3991" t="str">
        <f>VLOOKUP(G3991,[1]OPERADORES!$A:$B,2,0)</f>
        <v xml:space="preserve">POLIANA LORRANE DE AMORIM </v>
      </c>
      <c r="I3991" t="s">
        <v>317</v>
      </c>
      <c r="J3991" t="s">
        <v>318</v>
      </c>
      <c r="K3991" t="s">
        <v>319</v>
      </c>
      <c r="L3991">
        <v>84460</v>
      </c>
      <c r="M3991" t="s">
        <v>322</v>
      </c>
      <c r="O3991" t="s">
        <v>11</v>
      </c>
      <c r="P3991">
        <v>6102</v>
      </c>
      <c r="Q3991">
        <v>2</v>
      </c>
      <c r="R3991">
        <v>31.07</v>
      </c>
      <c r="S3991">
        <v>62.14</v>
      </c>
      <c r="T3991">
        <v>47.16</v>
      </c>
      <c r="U3991">
        <v>24.11</v>
      </c>
      <c r="V3991" t="str">
        <f>VLOOKUP(L3991,'[2]tabela de preços'!$A:$D,4,0)</f>
        <v>BRASILUX</v>
      </c>
      <c r="W3991" t="str">
        <f>VLOOKUP(L3991,'[2]tabela de preços'!$A:$F,6,0)</f>
        <v>VEDADORES / SELANTES</v>
      </c>
      <c r="X3991" t="str">
        <f>VLOOKUP(L3991,'[2]tabela de preços'!$A:$G,7,0)</f>
        <v>AUTOMOTIVO</v>
      </c>
    </row>
    <row r="3992" spans="1:24" x14ac:dyDescent="0.3">
      <c r="A3992" t="s">
        <v>354</v>
      </c>
      <c r="C3992" t="s">
        <v>3534</v>
      </c>
      <c r="D3992" s="1">
        <v>46077</v>
      </c>
      <c r="E3992" t="s">
        <v>3535</v>
      </c>
      <c r="F3992">
        <v>9</v>
      </c>
      <c r="G3992">
        <v>231</v>
      </c>
      <c r="H3992" t="str">
        <f>VLOOKUP(G3992,[1]OPERADORES!$A:$B,2,0)</f>
        <v>EDIJANE</v>
      </c>
      <c r="I3992" t="s">
        <v>21</v>
      </c>
      <c r="J3992" t="s">
        <v>357</v>
      </c>
      <c r="K3992" t="s">
        <v>358</v>
      </c>
      <c r="L3992">
        <v>84324</v>
      </c>
      <c r="M3992" t="s">
        <v>359</v>
      </c>
      <c r="O3992" t="s">
        <v>11</v>
      </c>
      <c r="P3992">
        <v>5403</v>
      </c>
      <c r="Q3992">
        <v>40</v>
      </c>
      <c r="R3992">
        <v>91.84</v>
      </c>
      <c r="S3992" s="2">
        <v>3673.6</v>
      </c>
      <c r="T3992" s="2">
        <v>2788.4</v>
      </c>
      <c r="U3992">
        <v>24.1</v>
      </c>
      <c r="V3992" t="str">
        <f>VLOOKUP(L3992,'[2]tabela de preços'!$A:$D,4,0)</f>
        <v>BRASILUX</v>
      </c>
      <c r="W3992" t="str">
        <f>VLOOKUP(L3992,'[2]tabela de preços'!$A:$F,6,0)</f>
        <v>ESMALTES</v>
      </c>
      <c r="X3992" t="str">
        <f>VLOOKUP(L3992,'[2]tabela de preços'!$A:$G,7,0)</f>
        <v>INDUSTRIAL</v>
      </c>
    </row>
    <row r="3993" spans="1:24" x14ac:dyDescent="0.3">
      <c r="A3993" t="s">
        <v>378</v>
      </c>
      <c r="C3993" t="s">
        <v>3536</v>
      </c>
      <c r="D3993" s="1">
        <v>46077</v>
      </c>
      <c r="E3993" t="s">
        <v>3537</v>
      </c>
      <c r="F3993">
        <v>9</v>
      </c>
      <c r="G3993">
        <v>174</v>
      </c>
      <c r="H3993" t="str">
        <f>VLOOKUP(G3993,[1]OPERADORES!$A:$B,2,0)</f>
        <v>MIRIÃ LOBATO RODRIGUES</v>
      </c>
      <c r="I3993" t="s">
        <v>21</v>
      </c>
      <c r="J3993" t="s">
        <v>381</v>
      </c>
      <c r="K3993" t="s">
        <v>382</v>
      </c>
      <c r="L3993">
        <v>9859</v>
      </c>
      <c r="M3993" t="s">
        <v>3538</v>
      </c>
      <c r="O3993" t="s">
        <v>11</v>
      </c>
      <c r="P3993">
        <v>5403</v>
      </c>
      <c r="Q3993">
        <v>1</v>
      </c>
      <c r="R3993">
        <v>55.74</v>
      </c>
      <c r="S3993">
        <v>55.74</v>
      </c>
      <c r="T3993">
        <v>39.950000000000003</v>
      </c>
      <c r="U3993">
        <v>28.33</v>
      </c>
      <c r="V3993" t="str">
        <f>VLOOKUP(L3993,'[2]tabela de preços'!$A:$D,4,0)</f>
        <v>WANDA</v>
      </c>
      <c r="W3993" t="str">
        <f>VLOOKUP(L3993,'[2]tabela de preços'!$A:$F,6,0)</f>
        <v>BASES POLIÉSTER</v>
      </c>
      <c r="X3993" t="str">
        <f>VLOOKUP(L3993,'[2]tabela de preços'!$A:$G,7,0)</f>
        <v>AUTOMOTIVO</v>
      </c>
    </row>
    <row r="3994" spans="1:24" x14ac:dyDescent="0.3">
      <c r="A3994" t="s">
        <v>378</v>
      </c>
      <c r="C3994" t="s">
        <v>3536</v>
      </c>
      <c r="D3994" s="1">
        <v>46077</v>
      </c>
      <c r="E3994" t="s">
        <v>3537</v>
      </c>
      <c r="F3994">
        <v>9</v>
      </c>
      <c r="G3994">
        <v>174</v>
      </c>
      <c r="H3994" t="str">
        <f>VLOOKUP(G3994,[1]OPERADORES!$A:$B,2,0)</f>
        <v>MIRIÃ LOBATO RODRIGUES</v>
      </c>
      <c r="I3994" t="s">
        <v>21</v>
      </c>
      <c r="J3994" t="s">
        <v>381</v>
      </c>
      <c r="K3994" t="s">
        <v>382</v>
      </c>
      <c r="L3994">
        <v>9874</v>
      </c>
      <c r="M3994" t="s">
        <v>3539</v>
      </c>
      <c r="O3994" t="s">
        <v>11</v>
      </c>
      <c r="P3994">
        <v>5403</v>
      </c>
      <c r="Q3994">
        <v>1</v>
      </c>
      <c r="R3994">
        <v>192.15</v>
      </c>
      <c r="S3994">
        <v>192.15</v>
      </c>
      <c r="T3994">
        <v>137.74</v>
      </c>
      <c r="U3994">
        <v>28.32</v>
      </c>
      <c r="V3994" t="str">
        <f>VLOOKUP(L3994,'[2]tabela de preços'!$A:$D,4,0)</f>
        <v>WANDA</v>
      </c>
      <c r="W3994" t="str">
        <f>VLOOKUP(L3994,'[2]tabela de preços'!$A:$F,6,0)</f>
        <v>BASES POLIÉSTER</v>
      </c>
      <c r="X3994" t="str">
        <f>VLOOKUP(L3994,'[2]tabela de preços'!$A:$G,7,0)</f>
        <v>AUTOMOTIVO</v>
      </c>
    </row>
    <row r="3995" spans="1:24" x14ac:dyDescent="0.3">
      <c r="A3995" t="s">
        <v>378</v>
      </c>
      <c r="C3995" t="s">
        <v>3536</v>
      </c>
      <c r="D3995" s="1">
        <v>46077</v>
      </c>
      <c r="E3995" t="s">
        <v>3537</v>
      </c>
      <c r="F3995">
        <v>9</v>
      </c>
      <c r="G3995">
        <v>174</v>
      </c>
      <c r="H3995" t="str">
        <f>VLOOKUP(G3995,[1]OPERADORES!$A:$B,2,0)</f>
        <v>MIRIÃ LOBATO RODRIGUES</v>
      </c>
      <c r="I3995" t="s">
        <v>21</v>
      </c>
      <c r="J3995" t="s">
        <v>381</v>
      </c>
      <c r="K3995" t="s">
        <v>382</v>
      </c>
      <c r="L3995">
        <v>9883</v>
      </c>
      <c r="M3995" t="s">
        <v>391</v>
      </c>
      <c r="O3995" t="s">
        <v>11</v>
      </c>
      <c r="P3995">
        <v>5403</v>
      </c>
      <c r="Q3995">
        <v>1</v>
      </c>
      <c r="R3995">
        <v>92.73</v>
      </c>
      <c r="S3995">
        <v>92.73</v>
      </c>
      <c r="T3995">
        <v>66.47</v>
      </c>
      <c r="U3995">
        <v>28.32</v>
      </c>
      <c r="V3995" t="str">
        <f>VLOOKUP(L3995,'[2]tabela de preços'!$A:$D,4,0)</f>
        <v>WANDA</v>
      </c>
      <c r="W3995" t="str">
        <f>VLOOKUP(L3995,'[2]tabela de preços'!$A:$F,6,0)</f>
        <v>BASES POLIÉSTER</v>
      </c>
      <c r="X3995" t="str">
        <f>VLOOKUP(L3995,'[2]tabela de preços'!$A:$G,7,0)</f>
        <v>AUTOMOTIVO</v>
      </c>
    </row>
    <row r="3996" spans="1:24" x14ac:dyDescent="0.3">
      <c r="A3996" t="s">
        <v>378</v>
      </c>
      <c r="C3996" t="s">
        <v>3536</v>
      </c>
      <c r="D3996" s="1">
        <v>46077</v>
      </c>
      <c r="E3996" t="s">
        <v>3537</v>
      </c>
      <c r="F3996">
        <v>9</v>
      </c>
      <c r="G3996">
        <v>174</v>
      </c>
      <c r="H3996" t="str">
        <f>VLOOKUP(G3996,[1]OPERADORES!$A:$B,2,0)</f>
        <v>MIRIÃ LOBATO RODRIGUES</v>
      </c>
      <c r="I3996" t="s">
        <v>21</v>
      </c>
      <c r="J3996" t="s">
        <v>381</v>
      </c>
      <c r="K3996" t="s">
        <v>382</v>
      </c>
      <c r="L3996">
        <v>9901</v>
      </c>
      <c r="M3996" t="s">
        <v>3540</v>
      </c>
      <c r="O3996" t="s">
        <v>11</v>
      </c>
      <c r="P3996">
        <v>5403</v>
      </c>
      <c r="Q3996">
        <v>1</v>
      </c>
      <c r="R3996">
        <v>204.86</v>
      </c>
      <c r="S3996">
        <v>204.86</v>
      </c>
      <c r="T3996">
        <v>146.85</v>
      </c>
      <c r="U3996">
        <v>28.32</v>
      </c>
      <c r="V3996" t="str">
        <f>VLOOKUP(L3996,'[2]tabela de preços'!$A:$D,4,0)</f>
        <v>WANDA</v>
      </c>
      <c r="W3996" t="str">
        <f>VLOOKUP(L3996,'[2]tabela de preços'!$A:$F,6,0)</f>
        <v>BASES POLIÉSTER</v>
      </c>
      <c r="X3996" t="str">
        <f>VLOOKUP(L3996,'[2]tabela de preços'!$A:$G,7,0)</f>
        <v>AUTOMOTIVO</v>
      </c>
    </row>
    <row r="3997" spans="1:24" x14ac:dyDescent="0.3">
      <c r="A3997" t="s">
        <v>3541</v>
      </c>
      <c r="C3997" t="s">
        <v>3542</v>
      </c>
      <c r="D3997" s="1">
        <v>46078</v>
      </c>
      <c r="E3997" t="s">
        <v>3543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339</v>
      </c>
      <c r="K3997" t="s">
        <v>3544</v>
      </c>
      <c r="L3997">
        <v>84895</v>
      </c>
      <c r="M3997" t="s">
        <v>3545</v>
      </c>
      <c r="O3997" t="s">
        <v>11</v>
      </c>
      <c r="P3997">
        <v>5403</v>
      </c>
      <c r="Q3997">
        <v>1</v>
      </c>
      <c r="R3997">
        <v>175</v>
      </c>
      <c r="S3997">
        <v>175</v>
      </c>
      <c r="T3997">
        <v>121.12</v>
      </c>
      <c r="U3997">
        <v>30.79</v>
      </c>
      <c r="V3997" t="str">
        <f>VLOOKUP(L3997,'[2]tabela de preços'!$A:$D,4,0)</f>
        <v>BRASILUX</v>
      </c>
      <c r="W3997" t="str">
        <f>VLOOKUP(L3997,'[2]tabela de preços'!$A:$F,6,0)</f>
        <v>EPOXI</v>
      </c>
      <c r="X3997" t="str">
        <f>VLOOKUP(L3997,'[2]tabela de preços'!$A:$G,7,0)</f>
        <v>INDUSTRIAL</v>
      </c>
    </row>
    <row r="3998" spans="1:24" x14ac:dyDescent="0.3">
      <c r="A3998" t="s">
        <v>426</v>
      </c>
      <c r="B3998" t="s">
        <v>427</v>
      </c>
      <c r="C3998" t="s">
        <v>3450</v>
      </c>
      <c r="D3998" s="1">
        <v>46076</v>
      </c>
      <c r="E3998" t="s">
        <v>3451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430</v>
      </c>
      <c r="K3998" t="s">
        <v>431</v>
      </c>
      <c r="L3998">
        <v>21755</v>
      </c>
      <c r="M3998" t="s">
        <v>2257</v>
      </c>
      <c r="O3998" t="s">
        <v>11</v>
      </c>
      <c r="P3998">
        <v>5405</v>
      </c>
      <c r="Q3998">
        <v>1</v>
      </c>
      <c r="R3998">
        <v>17.2</v>
      </c>
      <c r="S3998">
        <v>17.2</v>
      </c>
      <c r="T3998">
        <v>12.19</v>
      </c>
      <c r="U3998">
        <v>29.13</v>
      </c>
      <c r="V3998" t="str">
        <f>VLOOKUP(L3998,'[2]tabela de preços'!$A:$D,4,0)</f>
        <v>SHERWIN WILLIAMS</v>
      </c>
      <c r="W3998" t="str">
        <f>VLOOKUP(L3998,'[2]tabela de preços'!$A:$F,6,0)</f>
        <v xml:space="preserve">SPRAYS </v>
      </c>
      <c r="X3998" t="str">
        <f>VLOOKUP(L3998,'[2]tabela de preços'!$A:$G,7,0)</f>
        <v>AUTOMOTIVO</v>
      </c>
    </row>
    <row r="3999" spans="1:24" x14ac:dyDescent="0.3">
      <c r="A3999" t="s">
        <v>426</v>
      </c>
      <c r="B3999" t="s">
        <v>427</v>
      </c>
      <c r="C3999" t="s">
        <v>3450</v>
      </c>
      <c r="D3999" s="1">
        <v>46076</v>
      </c>
      <c r="E3999" t="s">
        <v>3451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430</v>
      </c>
      <c r="K3999" t="s">
        <v>431</v>
      </c>
      <c r="L3999">
        <v>24232</v>
      </c>
      <c r="M3999" t="s">
        <v>3087</v>
      </c>
      <c r="O3999" t="s">
        <v>11</v>
      </c>
      <c r="P3999">
        <v>5102</v>
      </c>
      <c r="Q3999">
        <v>1</v>
      </c>
      <c r="R3999">
        <v>49.59</v>
      </c>
      <c r="S3999">
        <v>49.59</v>
      </c>
      <c r="T3999">
        <v>37.64</v>
      </c>
      <c r="U3999">
        <v>24.1</v>
      </c>
      <c r="V3999" t="str">
        <f>VLOOKUP(L3999,'[2]tabela de preços'!$A:$D,4,0)</f>
        <v>VONIXX</v>
      </c>
      <c r="W3999" t="str">
        <f>VLOOKUP(L3999,'[2]tabela de preços'!$A:$F,6,0)</f>
        <v>LINHA DE HIGENIZAÇÃO E ESTÉTICA  AUTOMOTIVA</v>
      </c>
      <c r="X3999" t="str">
        <f>VLOOKUP(L3999,'[2]tabela de preços'!$A:$G,7,0)</f>
        <v>AUTOMOTIVO</v>
      </c>
    </row>
    <row r="4000" spans="1:24" x14ac:dyDescent="0.3">
      <c r="A4000" t="s">
        <v>426</v>
      </c>
      <c r="B4000" t="s">
        <v>427</v>
      </c>
      <c r="C4000" t="s">
        <v>3546</v>
      </c>
      <c r="D4000" s="1">
        <v>46078</v>
      </c>
      <c r="E4000" t="s">
        <v>3547</v>
      </c>
      <c r="F4000">
        <v>9</v>
      </c>
      <c r="G4000">
        <v>231</v>
      </c>
      <c r="H4000" t="str">
        <f>VLOOKUP(G4000,[1]OPERADORES!$A:$B,2,0)</f>
        <v>EDIJANE</v>
      </c>
      <c r="I4000" t="s">
        <v>21</v>
      </c>
      <c r="J4000" t="s">
        <v>430</v>
      </c>
      <c r="K4000" t="s">
        <v>431</v>
      </c>
      <c r="L4000">
        <v>23364</v>
      </c>
      <c r="M4000" t="s">
        <v>3548</v>
      </c>
      <c r="O4000" t="s">
        <v>11</v>
      </c>
      <c r="P4000">
        <v>5102</v>
      </c>
      <c r="Q4000">
        <v>9</v>
      </c>
      <c r="R4000">
        <v>6.19</v>
      </c>
      <c r="S4000">
        <v>55.71</v>
      </c>
      <c r="T4000">
        <v>44.19</v>
      </c>
      <c r="U4000">
        <v>20.68</v>
      </c>
      <c r="V4000" t="str">
        <f>VLOOKUP(L4000,'[2]tabela de preços'!$A:$D,4,0)</f>
        <v>AUTO AMERICA</v>
      </c>
      <c r="W4000" t="str">
        <f>VLOOKUP(L4000,'[2]tabela de preços'!$A:$F,6,0)</f>
        <v>FLANELAS / PANOS</v>
      </c>
      <c r="X4000" t="str">
        <f>VLOOKUP(L4000,'[2]tabela de preços'!$A:$G,7,0)</f>
        <v>AUTOMOTIVO</v>
      </c>
    </row>
    <row r="4001" spans="1:24" x14ac:dyDescent="0.3">
      <c r="A4001" t="s">
        <v>426</v>
      </c>
      <c r="B4001" t="s">
        <v>427</v>
      </c>
      <c r="C4001" t="s">
        <v>3549</v>
      </c>
      <c r="D4001" s="1">
        <v>46078</v>
      </c>
      <c r="E4001" t="s">
        <v>3550</v>
      </c>
      <c r="F4001">
        <v>9</v>
      </c>
      <c r="G4001">
        <v>145</v>
      </c>
      <c r="H4001" t="str">
        <f>VLOOKUP(G4001,[1]OPERADORES!$A:$B,2,0)</f>
        <v xml:space="preserve">FABRICIA </v>
      </c>
      <c r="I4001" t="s">
        <v>21</v>
      </c>
      <c r="J4001" t="s">
        <v>430</v>
      </c>
      <c r="K4001" t="s">
        <v>431</v>
      </c>
      <c r="L4001">
        <v>84178</v>
      </c>
      <c r="M4001" t="s">
        <v>2255</v>
      </c>
      <c r="O4001" t="s">
        <v>11</v>
      </c>
      <c r="P4001">
        <v>5405</v>
      </c>
      <c r="Q4001">
        <v>1</v>
      </c>
      <c r="R4001">
        <v>31.16</v>
      </c>
      <c r="S4001">
        <v>31.16</v>
      </c>
      <c r="T4001">
        <v>18.79</v>
      </c>
      <c r="U4001">
        <v>39.700000000000003</v>
      </c>
      <c r="V4001" t="str">
        <f>VLOOKUP(L4001,'[2]tabela de preços'!$A:$D,4,0)</f>
        <v>BRASILUX</v>
      </c>
      <c r="W4001" t="str">
        <f>VLOOKUP(L4001,'[2]tabela de preços'!$A:$F,6,0)</f>
        <v>ESMALTES</v>
      </c>
      <c r="X4001" t="str">
        <f>VLOOKUP(L4001,'[2]tabela de preços'!$A:$G,7,0)</f>
        <v>INDUSTRIAL</v>
      </c>
    </row>
    <row r="4002" spans="1:24" x14ac:dyDescent="0.3">
      <c r="A4002" t="s">
        <v>3551</v>
      </c>
      <c r="C4002" t="s">
        <v>3552</v>
      </c>
      <c r="D4002" s="1">
        <v>46078</v>
      </c>
      <c r="E4002" t="s">
        <v>3553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104</v>
      </c>
      <c r="K4002" t="s">
        <v>3554</v>
      </c>
      <c r="L4002">
        <v>85381</v>
      </c>
      <c r="M4002" t="s">
        <v>3555</v>
      </c>
      <c r="O4002" t="s">
        <v>11</v>
      </c>
      <c r="P4002">
        <v>5102</v>
      </c>
      <c r="Q4002">
        <v>1</v>
      </c>
      <c r="R4002">
        <v>739.98</v>
      </c>
      <c r="S4002">
        <v>739.98</v>
      </c>
      <c r="T4002">
        <v>498.3</v>
      </c>
      <c r="U4002">
        <v>32.659999999999997</v>
      </c>
      <c r="V4002" t="str">
        <f>VLOOKUP(L4002,'[2]tabela de preços'!$A:$D,4,0)</f>
        <v>BRASILUX</v>
      </c>
      <c r="W4002" t="str">
        <f>VLOOKUP(L4002,'[2]tabela de preços'!$A:$F,6,0)</f>
        <v>TINTA EM PÓ</v>
      </c>
      <c r="X4002" t="str">
        <f>VLOOKUP(L4002,'[2]tabela de preços'!$A:$G,7,0)</f>
        <v>INDUSTRIAL</v>
      </c>
    </row>
    <row r="4003" spans="1:24" x14ac:dyDescent="0.3">
      <c r="A4003" t="s">
        <v>479</v>
      </c>
      <c r="B4003" t="s">
        <v>480</v>
      </c>
      <c r="C4003" t="s">
        <v>3556</v>
      </c>
      <c r="D4003" s="1">
        <v>46077</v>
      </c>
      <c r="E4003" t="s">
        <v>3557</v>
      </c>
      <c r="F4003">
        <v>9</v>
      </c>
      <c r="G4003">
        <v>230</v>
      </c>
      <c r="H4003" t="str">
        <f>VLOOKUP(G4003,[1]OPERADORES!$A:$B,2,0)</f>
        <v>SÔNIA</v>
      </c>
      <c r="I4003" t="s">
        <v>21</v>
      </c>
      <c r="J4003" t="s">
        <v>483</v>
      </c>
      <c r="K4003" t="s">
        <v>484</v>
      </c>
      <c r="L4003">
        <v>85321</v>
      </c>
      <c r="M4003" t="s">
        <v>1063</v>
      </c>
      <c r="O4003" t="s">
        <v>11</v>
      </c>
      <c r="P4003">
        <v>5102</v>
      </c>
      <c r="Q4003">
        <v>1</v>
      </c>
      <c r="R4003">
        <v>653.23</v>
      </c>
      <c r="S4003">
        <v>653.23</v>
      </c>
      <c r="T4003">
        <v>465.76</v>
      </c>
      <c r="U4003">
        <v>28.7</v>
      </c>
      <c r="V4003" t="str">
        <f>VLOOKUP(L4003,'[2]tabela de preços'!$A:$D,4,0)</f>
        <v>BRASILUX</v>
      </c>
      <c r="W4003" t="str">
        <f>VLOOKUP(L4003,'[2]tabela de preços'!$A:$F,6,0)</f>
        <v>TINTA EM PÓ</v>
      </c>
      <c r="X4003" t="str">
        <f>VLOOKUP(L4003,'[2]tabela de preços'!$A:$G,7,0)</f>
        <v>INDUSTRIAL</v>
      </c>
    </row>
    <row r="4004" spans="1:24" x14ac:dyDescent="0.3">
      <c r="A4004" t="s">
        <v>491</v>
      </c>
      <c r="C4004" t="s">
        <v>3452</v>
      </c>
      <c r="D4004" s="1">
        <v>46076</v>
      </c>
      <c r="E4004" t="s">
        <v>3453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494</v>
      </c>
      <c r="K4004" t="s">
        <v>495</v>
      </c>
      <c r="L4004">
        <v>84691</v>
      </c>
      <c r="M4004" t="s">
        <v>2443</v>
      </c>
      <c r="O4004" t="s">
        <v>11</v>
      </c>
      <c r="P4004">
        <v>5403</v>
      </c>
      <c r="Q4004">
        <v>3</v>
      </c>
      <c r="R4004">
        <v>8.3800000000000008</v>
      </c>
      <c r="S4004">
        <v>25.14</v>
      </c>
      <c r="T4004">
        <v>19.079999999999998</v>
      </c>
      <c r="U4004">
        <v>24.11</v>
      </c>
      <c r="V4004" t="str">
        <f>VLOOKUP(L4004,'[2]tabela de preços'!$A:$D,4,0)</f>
        <v>BRASILUX</v>
      </c>
      <c r="W4004" t="str">
        <f>VLOOKUP(L4004,'[2]tabela de preços'!$A:$F,6,0)</f>
        <v>LINHA MOVELEIRA</v>
      </c>
      <c r="X4004" t="str">
        <f>VLOOKUP(L4004,'[2]tabela de preços'!$A:$G,7,0)</f>
        <v>MOVELEIRA</v>
      </c>
    </row>
    <row r="4005" spans="1:24" x14ac:dyDescent="0.3">
      <c r="A4005" t="s">
        <v>491</v>
      </c>
      <c r="C4005" t="s">
        <v>3452</v>
      </c>
      <c r="D4005" s="1">
        <v>46076</v>
      </c>
      <c r="E4005" t="s">
        <v>3453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494</v>
      </c>
      <c r="K4005" t="s">
        <v>495</v>
      </c>
      <c r="L4005">
        <v>84693</v>
      </c>
      <c r="M4005" t="s">
        <v>3454</v>
      </c>
      <c r="O4005" t="s">
        <v>11</v>
      </c>
      <c r="P4005">
        <v>5403</v>
      </c>
      <c r="Q4005">
        <v>3</v>
      </c>
      <c r="R4005">
        <v>8.14</v>
      </c>
      <c r="S4005">
        <v>24.42</v>
      </c>
      <c r="T4005">
        <v>18.54</v>
      </c>
      <c r="U4005">
        <v>24.08</v>
      </c>
      <c r="V4005" t="str">
        <f>VLOOKUP(L4005,'[2]tabela de preços'!$A:$D,4,0)</f>
        <v>BRASILUX</v>
      </c>
      <c r="W4005" t="str">
        <f>VLOOKUP(L4005,'[2]tabela de preços'!$A:$F,6,0)</f>
        <v>LINHA MOVELEIRA</v>
      </c>
      <c r="X4005" t="str">
        <f>VLOOKUP(L4005,'[2]tabela de preços'!$A:$G,7,0)</f>
        <v>MOVELEIRA</v>
      </c>
    </row>
    <row r="4006" spans="1:24" x14ac:dyDescent="0.3">
      <c r="A4006" t="s">
        <v>491</v>
      </c>
      <c r="C4006" t="s">
        <v>3452</v>
      </c>
      <c r="D4006" s="1">
        <v>46076</v>
      </c>
      <c r="E4006" t="s">
        <v>3453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494</v>
      </c>
      <c r="K4006" t="s">
        <v>495</v>
      </c>
      <c r="L4006">
        <v>84692</v>
      </c>
      <c r="M4006" t="s">
        <v>3333</v>
      </c>
      <c r="O4006" t="s">
        <v>11</v>
      </c>
      <c r="P4006">
        <v>5403</v>
      </c>
      <c r="Q4006">
        <v>3</v>
      </c>
      <c r="R4006">
        <v>8.2100000000000009</v>
      </c>
      <c r="S4006">
        <v>24.63</v>
      </c>
      <c r="T4006">
        <v>18.690000000000001</v>
      </c>
      <c r="U4006">
        <v>24.12</v>
      </c>
      <c r="V4006" t="str">
        <f>VLOOKUP(L4006,'[2]tabela de preços'!$A:$D,4,0)</f>
        <v>BRASILUX</v>
      </c>
      <c r="W4006" t="str">
        <f>VLOOKUP(L4006,'[2]tabela de preços'!$A:$F,6,0)</f>
        <v>LINHA MOVELEIRA</v>
      </c>
      <c r="X4006" t="str">
        <f>VLOOKUP(L4006,'[2]tabela de preços'!$A:$G,7,0)</f>
        <v>MOVELEIRA</v>
      </c>
    </row>
    <row r="4007" spans="1:24" x14ac:dyDescent="0.3">
      <c r="A4007" t="s">
        <v>491</v>
      </c>
      <c r="C4007" t="s">
        <v>3452</v>
      </c>
      <c r="D4007" s="1">
        <v>46076</v>
      </c>
      <c r="E4007" t="s">
        <v>3453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494</v>
      </c>
      <c r="K4007" t="s">
        <v>495</v>
      </c>
      <c r="L4007">
        <v>20817</v>
      </c>
      <c r="M4007" t="s">
        <v>153</v>
      </c>
      <c r="O4007" t="s">
        <v>11</v>
      </c>
      <c r="P4007">
        <v>5102</v>
      </c>
      <c r="Q4007">
        <v>3</v>
      </c>
      <c r="R4007">
        <v>22.89</v>
      </c>
      <c r="S4007">
        <v>68.67</v>
      </c>
      <c r="T4007">
        <v>55.86</v>
      </c>
      <c r="U4007">
        <v>18.649999999999999</v>
      </c>
      <c r="V4007" t="str">
        <f>VLOOKUP(L4007,'[2]tabela de preços'!$A:$D,4,0)</f>
        <v>AUTO AMERICA</v>
      </c>
      <c r="W4007" t="str">
        <f>VLOOKUP(L4007,'[2]tabela de preços'!$A:$F,6,0)</f>
        <v>MASSA DE POLIR</v>
      </c>
      <c r="X4007" t="str">
        <f>VLOOKUP(L4007,'[2]tabela de preços'!$A:$G,7,0)</f>
        <v>AUTOMOTIVO</v>
      </c>
    </row>
    <row r="4008" spans="1:24" x14ac:dyDescent="0.3">
      <c r="A4008" t="s">
        <v>491</v>
      </c>
      <c r="C4008" t="s">
        <v>3452</v>
      </c>
      <c r="D4008" s="1">
        <v>46076</v>
      </c>
      <c r="E4008" t="s">
        <v>3453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494</v>
      </c>
      <c r="K4008" t="s">
        <v>495</v>
      </c>
      <c r="L4008">
        <v>10298</v>
      </c>
      <c r="M4008" t="s">
        <v>85</v>
      </c>
      <c r="O4008" t="s">
        <v>11</v>
      </c>
      <c r="P4008">
        <v>5102</v>
      </c>
      <c r="Q4008">
        <v>20</v>
      </c>
      <c r="R4008">
        <v>54.9</v>
      </c>
      <c r="S4008" s="2">
        <v>1098</v>
      </c>
      <c r="T4008">
        <v>947.6</v>
      </c>
      <c r="U4008">
        <v>13.7</v>
      </c>
      <c r="V4008" t="str">
        <f>VLOOKUP(L4008,'[2]tabela de preços'!$A:$D,4,0)</f>
        <v>ANJO</v>
      </c>
      <c r="W4008" t="str">
        <f>VLOOKUP(L4008,'[2]tabela de preços'!$A:$F,6,0)</f>
        <v>THINNER DE LIMPEZA</v>
      </c>
      <c r="X4008" t="str">
        <f>VLOOKUP(L4008,'[2]tabela de preços'!$A:$G,7,0)</f>
        <v>THINNER</v>
      </c>
    </row>
    <row r="4009" spans="1:24" x14ac:dyDescent="0.3">
      <c r="A4009" t="s">
        <v>501</v>
      </c>
      <c r="C4009" t="s">
        <v>3558</v>
      </c>
      <c r="D4009" s="1">
        <v>46077</v>
      </c>
      <c r="E4009" t="s">
        <v>3559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504</v>
      </c>
      <c r="K4009" t="s">
        <v>505</v>
      </c>
      <c r="L4009">
        <v>85691</v>
      </c>
      <c r="M4009" t="s">
        <v>1231</v>
      </c>
      <c r="O4009" t="s">
        <v>11</v>
      </c>
      <c r="P4009">
        <v>5102</v>
      </c>
      <c r="Q4009">
        <v>36</v>
      </c>
      <c r="R4009">
        <v>15.33</v>
      </c>
      <c r="S4009">
        <v>551.88</v>
      </c>
      <c r="T4009">
        <v>404.64</v>
      </c>
      <c r="U4009">
        <v>26.68</v>
      </c>
      <c r="V4009" t="str">
        <f>VLOOKUP(L4009,'[2]tabela de preços'!$A:$D,4,0)</f>
        <v>UNIPEGA</v>
      </c>
      <c r="W4009" t="str">
        <f>VLOOKUP(L4009,'[2]tabela de preços'!$A:$F,6,0)</f>
        <v>COLA INST./ ADESIVOS COLANTES</v>
      </c>
      <c r="X4009" t="str">
        <f>VLOOKUP(L4009,'[2]tabela de preços'!$A:$G,7,0)</f>
        <v>AUTOMOTIVO</v>
      </c>
    </row>
    <row r="4010" spans="1:24" x14ac:dyDescent="0.3">
      <c r="A4010" t="s">
        <v>528</v>
      </c>
      <c r="C4010" t="s">
        <v>3560</v>
      </c>
      <c r="D4010" s="1">
        <v>46077</v>
      </c>
      <c r="E4010" t="s">
        <v>3561</v>
      </c>
      <c r="F4010">
        <v>9</v>
      </c>
      <c r="G4010">
        <v>231</v>
      </c>
      <c r="H4010" t="str">
        <f>VLOOKUP(G4010,[1]OPERADORES!$A:$B,2,0)</f>
        <v>EDIJANE</v>
      </c>
      <c r="I4010" t="s">
        <v>21</v>
      </c>
      <c r="J4010" t="s">
        <v>531</v>
      </c>
      <c r="K4010" t="s">
        <v>532</v>
      </c>
      <c r="L4010">
        <v>85316</v>
      </c>
      <c r="M4010" t="s">
        <v>365</v>
      </c>
      <c r="O4010" t="s">
        <v>11</v>
      </c>
      <c r="P4010">
        <v>5102</v>
      </c>
      <c r="Q4010">
        <v>1</v>
      </c>
      <c r="R4010">
        <v>668</v>
      </c>
      <c r="S4010">
        <v>668</v>
      </c>
      <c r="T4010">
        <v>478.31</v>
      </c>
      <c r="U4010">
        <v>28.4</v>
      </c>
      <c r="V4010" t="str">
        <f>VLOOKUP(L4010,'[2]tabela de preços'!$A:$D,4,0)</f>
        <v>BRASILUX</v>
      </c>
      <c r="W4010" t="str">
        <f>VLOOKUP(L4010,'[2]tabela de preços'!$A:$F,6,0)</f>
        <v>TINTA EM PÓ</v>
      </c>
      <c r="X4010" t="str">
        <f>VLOOKUP(L4010,'[2]tabela de preços'!$A:$G,7,0)</f>
        <v>INDUSTRIAL</v>
      </c>
    </row>
    <row r="4011" spans="1:24" x14ac:dyDescent="0.3">
      <c r="A4011" t="s">
        <v>547</v>
      </c>
      <c r="C4011" t="s">
        <v>3562</v>
      </c>
      <c r="D4011" s="1">
        <v>46077</v>
      </c>
      <c r="E4011" t="s">
        <v>3563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550</v>
      </c>
      <c r="K4011" t="s">
        <v>551</v>
      </c>
      <c r="L4011">
        <v>84815</v>
      </c>
      <c r="M4011" t="s">
        <v>949</v>
      </c>
      <c r="O4011" t="s">
        <v>11</v>
      </c>
      <c r="P4011">
        <v>5403</v>
      </c>
      <c r="Q4011">
        <v>3</v>
      </c>
      <c r="R4011">
        <v>34.25</v>
      </c>
      <c r="S4011">
        <v>102.75</v>
      </c>
      <c r="T4011">
        <v>73.650000000000006</v>
      </c>
      <c r="U4011">
        <v>28.32</v>
      </c>
      <c r="V4011" t="str">
        <f>VLOOKUP(L4011,'[2]tabela de preços'!$A:$D,4,0)</f>
        <v>BRASILUX</v>
      </c>
      <c r="W4011" t="str">
        <f>VLOOKUP(L4011,'[2]tabela de preços'!$A:$F,6,0)</f>
        <v>KIT BRASCORTEN</v>
      </c>
      <c r="X4011" t="str">
        <f>VLOOKUP(L4011,'[2]tabela de preços'!$A:$G,7,0)</f>
        <v>IMOBILIÁRIO</v>
      </c>
    </row>
    <row r="4012" spans="1:24" x14ac:dyDescent="0.3">
      <c r="A4012" t="s">
        <v>547</v>
      </c>
      <c r="C4012" t="s">
        <v>3562</v>
      </c>
      <c r="D4012" s="1">
        <v>46077</v>
      </c>
      <c r="E4012" t="s">
        <v>3563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550</v>
      </c>
      <c r="K4012" t="s">
        <v>551</v>
      </c>
      <c r="L4012">
        <v>84814</v>
      </c>
      <c r="M4012" t="s">
        <v>950</v>
      </c>
      <c r="O4012" t="s">
        <v>11</v>
      </c>
      <c r="P4012">
        <v>5403</v>
      </c>
      <c r="Q4012">
        <v>3</v>
      </c>
      <c r="R4012">
        <v>125.93</v>
      </c>
      <c r="S4012">
        <v>377.79</v>
      </c>
      <c r="T4012">
        <v>270.81</v>
      </c>
      <c r="U4012">
        <v>28.32</v>
      </c>
      <c r="V4012" t="str">
        <f>VLOOKUP(L4012,'[2]tabela de preços'!$A:$D,4,0)</f>
        <v>BRASILUX</v>
      </c>
      <c r="W4012" t="str">
        <f>VLOOKUP(L4012,'[2]tabela de preços'!$A:$F,6,0)</f>
        <v>KIT BRASCORTEN</v>
      </c>
      <c r="X4012" t="str">
        <f>VLOOKUP(L4012,'[2]tabela de preços'!$A:$G,7,0)</f>
        <v>IMOBILIÁRIO</v>
      </c>
    </row>
    <row r="4013" spans="1:24" x14ac:dyDescent="0.3">
      <c r="A4013" t="s">
        <v>575</v>
      </c>
      <c r="B4013" t="s">
        <v>576</v>
      </c>
      <c r="C4013" t="s">
        <v>3455</v>
      </c>
      <c r="D4013" s="1">
        <v>46076</v>
      </c>
      <c r="F4013">
        <v>9</v>
      </c>
      <c r="G4013">
        <v>231</v>
      </c>
      <c r="H4013" t="str">
        <f>VLOOKUP(G4013,[1]OPERADORES!$A:$B,2,0)</f>
        <v>EDIJANE</v>
      </c>
      <c r="I4013" t="s">
        <v>21</v>
      </c>
      <c r="J4013" t="s">
        <v>66</v>
      </c>
      <c r="K4013" t="s">
        <v>579</v>
      </c>
      <c r="L4013">
        <v>20918</v>
      </c>
      <c r="M4013" t="s">
        <v>3357</v>
      </c>
      <c r="N4013" t="s">
        <v>3456</v>
      </c>
      <c r="O4013" t="s">
        <v>11</v>
      </c>
      <c r="P4013">
        <v>1202</v>
      </c>
      <c r="Q4013">
        <v>-2</v>
      </c>
      <c r="R4013">
        <v>17.3</v>
      </c>
      <c r="S4013">
        <v>-34.6</v>
      </c>
      <c r="T4013">
        <v>-26.26</v>
      </c>
      <c r="U4013">
        <v>24.1</v>
      </c>
      <c r="V4013" t="str">
        <f>VLOOKUP(L4013,'[2]tabela de preços'!$A:$D,4,0)</f>
        <v>WANDA</v>
      </c>
      <c r="W4013" t="str">
        <f>VLOOKUP(L4013,'[2]tabela de preços'!$A:$F,6,0)</f>
        <v>MASSA DE POLIR</v>
      </c>
      <c r="X4013" t="str">
        <f>VLOOKUP(L4013,'[2]tabela de preços'!$A:$G,7,0)</f>
        <v>AUTOMOTIVO</v>
      </c>
    </row>
    <row r="4014" spans="1:24" x14ac:dyDescent="0.3">
      <c r="A4014" t="s">
        <v>626</v>
      </c>
      <c r="B4014" t="s">
        <v>627</v>
      </c>
      <c r="C4014" t="s">
        <v>3457</v>
      </c>
      <c r="D4014" s="1">
        <v>46076</v>
      </c>
      <c r="E4014" t="s">
        <v>3458</v>
      </c>
      <c r="F4014">
        <v>9</v>
      </c>
      <c r="G4014">
        <v>174</v>
      </c>
      <c r="H4014" t="str">
        <f>VLOOKUP(G4014,[1]OPERADORES!$A:$B,2,0)</f>
        <v>MIRIÃ LOBATO RODRIGUES</v>
      </c>
      <c r="I4014" t="s">
        <v>21</v>
      </c>
      <c r="J4014" t="s">
        <v>630</v>
      </c>
      <c r="K4014" t="s">
        <v>631</v>
      </c>
      <c r="L4014">
        <v>10238</v>
      </c>
      <c r="M4014" t="s">
        <v>79</v>
      </c>
      <c r="O4014" t="s">
        <v>11</v>
      </c>
      <c r="P4014">
        <v>5102</v>
      </c>
      <c r="Q4014">
        <v>5</v>
      </c>
      <c r="R4014">
        <v>2.79</v>
      </c>
      <c r="S4014">
        <v>13.95</v>
      </c>
      <c r="T4014">
        <v>11.2</v>
      </c>
      <c r="U4014">
        <v>19.71</v>
      </c>
      <c r="V4014" t="str">
        <f>VLOOKUP(L4014,'[2]tabela de preços'!$A:$D,4,0)</f>
        <v>NORTON</v>
      </c>
      <c r="W4014" t="str">
        <f>VLOOKUP(L4014,'[2]tabela de preços'!$A:$F,6,0)</f>
        <v xml:space="preserve">DISCOS / LIXAS / ABRASIVOS </v>
      </c>
      <c r="X4014" t="str">
        <f>VLOOKUP(L4014,'[2]tabela de preços'!$A:$G,7,0)</f>
        <v>AUTOMOTIVO</v>
      </c>
    </row>
    <row r="4015" spans="1:24" x14ac:dyDescent="0.3">
      <c r="A4015" t="s">
        <v>626</v>
      </c>
      <c r="B4015" t="s">
        <v>627</v>
      </c>
      <c r="C4015" t="s">
        <v>3457</v>
      </c>
      <c r="D4015" s="1">
        <v>46076</v>
      </c>
      <c r="E4015" t="s">
        <v>3458</v>
      </c>
      <c r="F4015">
        <v>9</v>
      </c>
      <c r="G4015">
        <v>174</v>
      </c>
      <c r="H4015" t="str">
        <f>VLOOKUP(G4015,[1]OPERADORES!$A:$B,2,0)</f>
        <v>MIRIÃ LOBATO RODRIGUES</v>
      </c>
      <c r="I4015" t="s">
        <v>21</v>
      </c>
      <c r="J4015" t="s">
        <v>630</v>
      </c>
      <c r="K4015" t="s">
        <v>631</v>
      </c>
      <c r="L4015">
        <v>10242</v>
      </c>
      <c r="M4015" t="s">
        <v>82</v>
      </c>
      <c r="O4015" t="s">
        <v>11</v>
      </c>
      <c r="P4015">
        <v>5102</v>
      </c>
      <c r="Q4015">
        <v>5</v>
      </c>
      <c r="R4015">
        <v>2.79</v>
      </c>
      <c r="S4015">
        <v>13.95</v>
      </c>
      <c r="T4015">
        <v>11.2</v>
      </c>
      <c r="U4015">
        <v>19.71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626</v>
      </c>
      <c r="B4016" t="s">
        <v>627</v>
      </c>
      <c r="C4016" t="s">
        <v>3459</v>
      </c>
      <c r="D4016" s="1">
        <v>46076</v>
      </c>
      <c r="E4016" t="s">
        <v>3460</v>
      </c>
      <c r="F4016">
        <v>9</v>
      </c>
      <c r="G4016">
        <v>174</v>
      </c>
      <c r="H4016" t="str">
        <f>VLOOKUP(G4016,[1]OPERADORES!$A:$B,2,0)</f>
        <v>MIRIÃ LOBATO RODRIGUES</v>
      </c>
      <c r="I4016" t="s">
        <v>21</v>
      </c>
      <c r="J4016" t="s">
        <v>630</v>
      </c>
      <c r="K4016" t="s">
        <v>631</v>
      </c>
      <c r="L4016">
        <v>21067</v>
      </c>
      <c r="M4016" t="s">
        <v>640</v>
      </c>
      <c r="O4016" t="s">
        <v>11</v>
      </c>
      <c r="P4016">
        <v>5102</v>
      </c>
      <c r="Q4016">
        <v>1</v>
      </c>
      <c r="R4016">
        <v>36.07</v>
      </c>
      <c r="S4016">
        <v>36.07</v>
      </c>
      <c r="T4016">
        <v>27.38</v>
      </c>
      <c r="U4016">
        <v>24.09</v>
      </c>
      <c r="V4016" t="str">
        <f>VLOOKUP(L4016,'[2]tabela de preços'!$A:$D,4,0)</f>
        <v>SIKKENS</v>
      </c>
      <c r="W4016" t="str">
        <f>VLOOKUP(L4016,'[2]tabela de preços'!$A:$F,6,0)</f>
        <v>DILUENTE</v>
      </c>
      <c r="X4016" t="str">
        <f>VLOOKUP(L4016,'[2]tabela de preços'!$A:$G,7,0)</f>
        <v>AUTOMOTIVO</v>
      </c>
    </row>
    <row r="4017" spans="1:24" x14ac:dyDescent="0.3">
      <c r="A4017" t="s">
        <v>626</v>
      </c>
      <c r="B4017" t="s">
        <v>627</v>
      </c>
      <c r="C4017" t="s">
        <v>3459</v>
      </c>
      <c r="D4017" s="1">
        <v>46076</v>
      </c>
      <c r="E4017" t="s">
        <v>3460</v>
      </c>
      <c r="F4017">
        <v>9</v>
      </c>
      <c r="G4017">
        <v>174</v>
      </c>
      <c r="H4017" t="str">
        <f>VLOOKUP(G4017,[1]OPERADORES!$A:$B,2,0)</f>
        <v>MIRIÃ LOBATO RODRIGUES</v>
      </c>
      <c r="I4017" t="s">
        <v>21</v>
      </c>
      <c r="J4017" t="s">
        <v>630</v>
      </c>
      <c r="K4017" t="s">
        <v>631</v>
      </c>
      <c r="L4017">
        <v>20212</v>
      </c>
      <c r="M4017" t="s">
        <v>198</v>
      </c>
      <c r="O4017" t="s">
        <v>11</v>
      </c>
      <c r="P4017">
        <v>5403</v>
      </c>
      <c r="Q4017">
        <v>2</v>
      </c>
      <c r="R4017">
        <v>26.95</v>
      </c>
      <c r="S4017">
        <v>53.9</v>
      </c>
      <c r="T4017">
        <v>40.92</v>
      </c>
      <c r="U4017">
        <v>24.08</v>
      </c>
      <c r="V4017" t="str">
        <f>VLOOKUP(L4017,'[2]tabela de preços'!$A:$D,4,0)</f>
        <v>MAXI RUBBER</v>
      </c>
      <c r="W4017" t="str">
        <f>VLOOKUP(L4017,'[2]tabela de preços'!$A:$F,6,0)</f>
        <v>SELADORA P/ PLASTICO</v>
      </c>
      <c r="X4017" t="str">
        <f>VLOOKUP(L4017,'[2]tabela de preços'!$A:$G,7,0)</f>
        <v>AUTOMOTIVO</v>
      </c>
    </row>
    <row r="4018" spans="1:24" x14ac:dyDescent="0.3">
      <c r="A4018" t="s">
        <v>626</v>
      </c>
      <c r="B4018" t="s">
        <v>627</v>
      </c>
      <c r="C4018" t="s">
        <v>3459</v>
      </c>
      <c r="D4018" s="1">
        <v>46076</v>
      </c>
      <c r="E4018" t="s">
        <v>3460</v>
      </c>
      <c r="F4018">
        <v>9</v>
      </c>
      <c r="G4018">
        <v>174</v>
      </c>
      <c r="H4018" t="str">
        <f>VLOOKUP(G4018,[1]OPERADORES!$A:$B,2,0)</f>
        <v>MIRIÃ LOBATO RODRIGUES</v>
      </c>
      <c r="I4018" t="s">
        <v>21</v>
      </c>
      <c r="J4018" t="s">
        <v>630</v>
      </c>
      <c r="K4018" t="s">
        <v>631</v>
      </c>
      <c r="L4018">
        <v>10298</v>
      </c>
      <c r="M4018" t="s">
        <v>85</v>
      </c>
      <c r="O4018" t="s">
        <v>11</v>
      </c>
      <c r="P4018">
        <v>5102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626</v>
      </c>
      <c r="B4019" t="s">
        <v>627</v>
      </c>
      <c r="C4019" t="s">
        <v>3459</v>
      </c>
      <c r="D4019" s="1">
        <v>46076</v>
      </c>
      <c r="E4019" t="s">
        <v>3460</v>
      </c>
      <c r="F4019">
        <v>9</v>
      </c>
      <c r="G4019">
        <v>174</v>
      </c>
      <c r="H4019" t="str">
        <f>VLOOKUP(G4019,[1]OPERADORES!$A:$B,2,0)</f>
        <v>MIRIÃ LOBATO RODRIGUES</v>
      </c>
      <c r="I4019" t="s">
        <v>21</v>
      </c>
      <c r="J4019" t="s">
        <v>630</v>
      </c>
      <c r="K4019" t="s">
        <v>631</v>
      </c>
      <c r="L4019">
        <v>23287</v>
      </c>
      <c r="M4019" t="s">
        <v>273</v>
      </c>
      <c r="O4019" t="s">
        <v>11</v>
      </c>
      <c r="P4019">
        <v>5102</v>
      </c>
      <c r="Q4019">
        <v>1</v>
      </c>
      <c r="R4019">
        <v>39.979999999999997</v>
      </c>
      <c r="S4019">
        <v>39.979999999999997</v>
      </c>
      <c r="T4019">
        <v>30.35</v>
      </c>
      <c r="U4019">
        <v>24.09</v>
      </c>
      <c r="V4019" t="str">
        <f>VLOOKUP(L4019,'[2]tabela de preços'!$A:$D,4,0)</f>
        <v>AUTO AMERICA</v>
      </c>
      <c r="W4019" t="str">
        <f>VLOOKUP(L4019,'[2]tabela de preços'!$A:$F,6,0)</f>
        <v>CERA  / LIMPEZA /  POLIMENTO VEICULAR</v>
      </c>
      <c r="X4019" t="str">
        <f>VLOOKUP(L4019,'[2]tabela de preços'!$A:$G,7,0)</f>
        <v>AUTOMOTIVO</v>
      </c>
    </row>
    <row r="4020" spans="1:24" x14ac:dyDescent="0.3">
      <c r="A4020" t="s">
        <v>626</v>
      </c>
      <c r="B4020" t="s">
        <v>627</v>
      </c>
      <c r="C4020" t="s">
        <v>3459</v>
      </c>
      <c r="D4020" s="1">
        <v>46076</v>
      </c>
      <c r="E4020" t="s">
        <v>3460</v>
      </c>
      <c r="F4020">
        <v>9</v>
      </c>
      <c r="G4020">
        <v>174</v>
      </c>
      <c r="H4020" t="str">
        <f>VLOOKUP(G4020,[1]OPERADORES!$A:$B,2,0)</f>
        <v>MIRIÃ LOBATO RODRIGUES</v>
      </c>
      <c r="I4020" t="s">
        <v>21</v>
      </c>
      <c r="J4020" t="s">
        <v>630</v>
      </c>
      <c r="K4020" t="s">
        <v>631</v>
      </c>
      <c r="L4020">
        <v>84460</v>
      </c>
      <c r="M4020" t="s">
        <v>322</v>
      </c>
      <c r="O4020" t="s">
        <v>11</v>
      </c>
      <c r="P4020">
        <v>5102</v>
      </c>
      <c r="Q4020">
        <v>4</v>
      </c>
      <c r="R4020">
        <v>31.07</v>
      </c>
      <c r="S4020">
        <v>124.28</v>
      </c>
      <c r="T4020">
        <v>94.32</v>
      </c>
      <c r="U4020">
        <v>24.11</v>
      </c>
      <c r="V4020" t="str">
        <f>VLOOKUP(L4020,'[2]tabela de preços'!$A:$D,4,0)</f>
        <v>BRASILUX</v>
      </c>
      <c r="W4020" t="str">
        <f>VLOOKUP(L4020,'[2]tabela de preços'!$A:$F,6,0)</f>
        <v>VEDADORES / SELANTES</v>
      </c>
      <c r="X4020" t="str">
        <f>VLOOKUP(L4020,'[2]tabela de preços'!$A:$G,7,0)</f>
        <v>AUTOMOTIVO</v>
      </c>
    </row>
    <row r="4021" spans="1:24" x14ac:dyDescent="0.3">
      <c r="A4021" t="s">
        <v>626</v>
      </c>
      <c r="B4021" t="s">
        <v>627</v>
      </c>
      <c r="C4021" t="s">
        <v>3564</v>
      </c>
      <c r="D4021" s="1">
        <v>46078</v>
      </c>
      <c r="E4021" t="s">
        <v>3565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20194</v>
      </c>
      <c r="M4021" t="s">
        <v>701</v>
      </c>
      <c r="O4021" t="s">
        <v>11</v>
      </c>
      <c r="P4021">
        <v>5403</v>
      </c>
      <c r="Q4021">
        <v>1</v>
      </c>
      <c r="R4021">
        <v>340.46</v>
      </c>
      <c r="S4021">
        <v>340.46</v>
      </c>
      <c r="T4021">
        <v>222.52</v>
      </c>
      <c r="U4021">
        <v>34.64</v>
      </c>
      <c r="V4021" t="str">
        <f>VLOOKUP(L4021,'[2]tabela de preços'!$A:$D,4,0)</f>
        <v>SIKKENS</v>
      </c>
      <c r="W4021" t="str">
        <f>VLOOKUP(L4021,'[2]tabela de preços'!$A:$F,6,0)</f>
        <v>VERNIZ AUTOMOTIVO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3564</v>
      </c>
      <c r="D4022" s="1">
        <v>46078</v>
      </c>
      <c r="E4022" t="s">
        <v>3565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10067</v>
      </c>
      <c r="M4022" t="s">
        <v>177</v>
      </c>
      <c r="O4022" t="s">
        <v>11</v>
      </c>
      <c r="P4022">
        <v>5102</v>
      </c>
      <c r="Q4022">
        <v>1</v>
      </c>
      <c r="R4022">
        <v>96.94</v>
      </c>
      <c r="S4022">
        <v>96.94</v>
      </c>
      <c r="T4022">
        <v>73.58</v>
      </c>
      <c r="U4022">
        <v>24.1</v>
      </c>
      <c r="V4022" t="str">
        <f>VLOOKUP(L4022,'[2]tabela de preços'!$A:$D,4,0)</f>
        <v>3M</v>
      </c>
      <c r="W4022" t="str">
        <f>VLOOKUP(L4022,'[2]tabela de preços'!$A:$F,6,0)</f>
        <v>BOINAS PARA POLIMENTO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3564</v>
      </c>
      <c r="D4023" s="1">
        <v>46078</v>
      </c>
      <c r="E4023" t="s">
        <v>3565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84564</v>
      </c>
      <c r="M4023" t="s">
        <v>2176</v>
      </c>
      <c r="O4023" t="s">
        <v>11</v>
      </c>
      <c r="P4023">
        <v>5403</v>
      </c>
      <c r="Q4023">
        <v>1</v>
      </c>
      <c r="R4023">
        <v>24.07</v>
      </c>
      <c r="S4023">
        <v>24.07</v>
      </c>
      <c r="T4023">
        <v>18.27</v>
      </c>
      <c r="U4023">
        <v>24.1</v>
      </c>
      <c r="V4023" t="str">
        <f>VLOOKUP(L4023,'[2]tabela de preços'!$A:$D,4,0)</f>
        <v>BRASILUX</v>
      </c>
      <c r="W4023" t="str">
        <f>VLOOKUP(L4023,'[2]tabela de preços'!$A:$F,6,0)</f>
        <v>PRETO FOSCO VINÍLICO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3564</v>
      </c>
      <c r="D4024" s="1">
        <v>46078</v>
      </c>
      <c r="E4024" t="s">
        <v>3565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84565</v>
      </c>
      <c r="M4024" t="s">
        <v>236</v>
      </c>
      <c r="O4024" t="s">
        <v>11</v>
      </c>
      <c r="P4024">
        <v>5102</v>
      </c>
      <c r="Q4024">
        <v>1</v>
      </c>
      <c r="R4024">
        <v>9.24</v>
      </c>
      <c r="S4024">
        <v>9.24</v>
      </c>
      <c r="T4024">
        <v>7.01</v>
      </c>
      <c r="U4024">
        <v>24.13</v>
      </c>
      <c r="V4024" t="str">
        <f>VLOOKUP(L4024,'[2]tabela de preços'!$A:$D,4,0)</f>
        <v>BRASILUX</v>
      </c>
      <c r="W4024" t="str">
        <f>VLOOKUP(L4024,'[2]tabela de preços'!$A:$F,6,0)</f>
        <v>PRETO FOSCO VINÍLICO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3564</v>
      </c>
      <c r="D4025" s="1">
        <v>46078</v>
      </c>
      <c r="E4025" t="s">
        <v>3565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24248</v>
      </c>
      <c r="M4025" t="s">
        <v>107</v>
      </c>
      <c r="O4025" t="s">
        <v>11</v>
      </c>
      <c r="P4025">
        <v>5102</v>
      </c>
      <c r="Q4025">
        <v>12</v>
      </c>
      <c r="R4025">
        <v>8</v>
      </c>
      <c r="S4025">
        <v>96</v>
      </c>
      <c r="T4025">
        <v>78</v>
      </c>
      <c r="U4025">
        <v>18.75</v>
      </c>
      <c r="V4025" t="str">
        <f>VLOOKUP(L4025,'[2]tabela de preços'!$A:$D,4,0)</f>
        <v>SHERWIN WILLIAMS</v>
      </c>
      <c r="W4025" t="str">
        <f>VLOOKUP(L4025,'[2]tabela de preços'!$A:$F,6,0)</f>
        <v>PRIMER AUTOMOTIVO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3564</v>
      </c>
      <c r="D4026" s="1">
        <v>46078</v>
      </c>
      <c r="E4026" t="s">
        <v>3565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20245</v>
      </c>
      <c r="M4026" t="s">
        <v>146</v>
      </c>
      <c r="O4026" t="s">
        <v>11</v>
      </c>
      <c r="P4026">
        <v>5102</v>
      </c>
      <c r="Q4026">
        <v>12</v>
      </c>
      <c r="R4026">
        <v>1.78</v>
      </c>
      <c r="S4026">
        <v>21.36</v>
      </c>
      <c r="T4026">
        <v>16.2</v>
      </c>
      <c r="U4026">
        <v>24.16</v>
      </c>
      <c r="V4026" t="str">
        <f>VLOOKUP(L4026,'[2]tabela de preços'!$A:$D,4,0)</f>
        <v>ATLAS</v>
      </c>
      <c r="W4026" t="str">
        <f>VLOOKUP(L4026,'[2]tabela de preços'!$A:$F,6,0)</f>
        <v>APLICADORES / ADAPTADORES / ENGATES / SUPORTES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3564</v>
      </c>
      <c r="D4027" s="1">
        <v>46078</v>
      </c>
      <c r="E4027" t="s">
        <v>3565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22684</v>
      </c>
      <c r="M4027" t="s">
        <v>73</v>
      </c>
      <c r="O4027" t="s">
        <v>11</v>
      </c>
      <c r="P4027">
        <v>5102</v>
      </c>
      <c r="Q4027">
        <v>160</v>
      </c>
      <c r="R4027">
        <v>3.65</v>
      </c>
      <c r="S4027">
        <v>584</v>
      </c>
      <c r="T4027">
        <v>492.8</v>
      </c>
      <c r="U4027">
        <v>15.62</v>
      </c>
      <c r="V4027" t="str">
        <f>VLOOKUP(L4027,'[2]tabela de preços'!$A:$D,4,0)</f>
        <v>3M</v>
      </c>
      <c r="W4027" t="str">
        <f>VLOOKUP(L4027,'[2]tabela de preços'!$A:$F,6,0)</f>
        <v>FITA AUTOMOTIVA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3564</v>
      </c>
      <c r="D4028" s="1">
        <v>46078</v>
      </c>
      <c r="E4028" t="s">
        <v>3565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22233</v>
      </c>
      <c r="M4028" t="s">
        <v>184</v>
      </c>
      <c r="O4028" t="s">
        <v>11</v>
      </c>
      <c r="P4028">
        <v>5102</v>
      </c>
      <c r="Q4028">
        <v>3</v>
      </c>
      <c r="R4028">
        <v>30.17</v>
      </c>
      <c r="S4028">
        <v>90.51</v>
      </c>
      <c r="T4028">
        <v>68.7</v>
      </c>
      <c r="U4028">
        <v>24.1</v>
      </c>
      <c r="V4028" t="str">
        <f>VLOOKUP(L4028,'[2]tabela de preços'!$A:$D,4,0)</f>
        <v>3M</v>
      </c>
      <c r="W4028" t="str">
        <f>VLOOKUP(L4028,'[2]tabela de preços'!$A:$F,6,0)</f>
        <v>FITA DUPLA FACE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3564</v>
      </c>
      <c r="D4029" s="1">
        <v>46078</v>
      </c>
      <c r="E4029" t="s">
        <v>3565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23364</v>
      </c>
      <c r="M4029" t="s">
        <v>3548</v>
      </c>
      <c r="O4029" t="s">
        <v>11</v>
      </c>
      <c r="P4029">
        <v>5102</v>
      </c>
      <c r="Q4029">
        <v>10</v>
      </c>
      <c r="R4029">
        <v>6.19</v>
      </c>
      <c r="S4029">
        <v>61.9</v>
      </c>
      <c r="T4029">
        <v>49.1</v>
      </c>
      <c r="U4029">
        <v>20.68</v>
      </c>
      <c r="V4029" t="str">
        <f>VLOOKUP(L4029,'[2]tabela de preços'!$A:$D,4,0)</f>
        <v>AUTO AMERICA</v>
      </c>
      <c r="W4029" t="str">
        <f>VLOOKUP(L4029,'[2]tabela de preços'!$A:$F,6,0)</f>
        <v>FLANELAS / PANOS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3564</v>
      </c>
      <c r="D4030" s="1">
        <v>46078</v>
      </c>
      <c r="E4030" t="s">
        <v>3565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9773</v>
      </c>
      <c r="M4030" t="s">
        <v>703</v>
      </c>
      <c r="O4030" t="s">
        <v>11</v>
      </c>
      <c r="P4030">
        <v>5102</v>
      </c>
      <c r="Q4030">
        <v>2</v>
      </c>
      <c r="R4030">
        <v>95.77</v>
      </c>
      <c r="S4030">
        <v>191.54</v>
      </c>
      <c r="T4030">
        <v>145.38</v>
      </c>
      <c r="U4030">
        <v>24.1</v>
      </c>
      <c r="V4030" t="str">
        <f>VLOOKUP(L4030,'[2]tabela de preços'!$A:$D,4,0)</f>
        <v>SIKKENS</v>
      </c>
      <c r="W4030" t="str">
        <f>VLOOKUP(L4030,'[2]tabela de preços'!$A:$F,6,0)</f>
        <v>CATALISADORES INDIVIDUAS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3564</v>
      </c>
      <c r="D4031" s="1">
        <v>46078</v>
      </c>
      <c r="E4031" t="s">
        <v>3565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9775</v>
      </c>
      <c r="M4031" t="s">
        <v>708</v>
      </c>
      <c r="O4031" t="s">
        <v>11</v>
      </c>
      <c r="P4031">
        <v>5102</v>
      </c>
      <c r="Q4031">
        <v>1</v>
      </c>
      <c r="R4031">
        <v>54.57</v>
      </c>
      <c r="S4031">
        <v>54.57</v>
      </c>
      <c r="T4031">
        <v>41.42</v>
      </c>
      <c r="U4031">
        <v>24.1</v>
      </c>
      <c r="V4031" t="str">
        <f>VLOOKUP(L4031,'[2]tabela de preços'!$A:$D,4,0)</f>
        <v>SIKKENS</v>
      </c>
      <c r="W4031" t="str">
        <f>VLOOKUP(L4031,'[2]tabela de preços'!$A:$F,6,0)</f>
        <v>CATALISADORES INDIVIDUAS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3564</v>
      </c>
      <c r="D4032" s="1">
        <v>46078</v>
      </c>
      <c r="E4032" t="s">
        <v>3565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23076</v>
      </c>
      <c r="M4032" t="s">
        <v>97</v>
      </c>
      <c r="O4032" t="s">
        <v>11</v>
      </c>
      <c r="P4032">
        <v>5403</v>
      </c>
      <c r="Q4032">
        <v>6</v>
      </c>
      <c r="R4032">
        <v>34.89</v>
      </c>
      <c r="S4032">
        <v>209.34</v>
      </c>
      <c r="T4032">
        <v>159.18</v>
      </c>
      <c r="U4032">
        <v>23.96</v>
      </c>
      <c r="V4032" t="str">
        <f>VLOOKUP(L4032,'[2]tabela de preços'!$A:$D,4,0)</f>
        <v>WANDA</v>
      </c>
      <c r="W4032" t="str">
        <f>VLOOKUP(L4032,'[2]tabela de preços'!$A:$F,6,0)</f>
        <v>PRIMER AUTOMOTIVO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3564</v>
      </c>
      <c r="D4033" s="1">
        <v>46078</v>
      </c>
      <c r="E4033" t="s">
        <v>3565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23690</v>
      </c>
      <c r="M4033" t="s">
        <v>98</v>
      </c>
      <c r="O4033" t="s">
        <v>11</v>
      </c>
      <c r="P4033">
        <v>5403</v>
      </c>
      <c r="Q4033">
        <v>6</v>
      </c>
      <c r="R4033">
        <v>39.89</v>
      </c>
      <c r="S4033">
        <v>239.34</v>
      </c>
      <c r="T4033">
        <v>189.66</v>
      </c>
      <c r="U4033">
        <v>20.76</v>
      </c>
      <c r="V4033" t="str">
        <f>VLOOKUP(L4033,'[2]tabela de preços'!$A:$D,4,0)</f>
        <v>WANDA</v>
      </c>
      <c r="W4033" t="str">
        <f>VLOOKUP(L4033,'[2]tabela de preços'!$A:$F,6,0)</f>
        <v>VERNIZ AUTOMOTIVO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3564</v>
      </c>
      <c r="D4034" s="1">
        <v>46078</v>
      </c>
      <c r="E4034" t="s">
        <v>3565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20325</v>
      </c>
      <c r="M4034" t="s">
        <v>150</v>
      </c>
      <c r="O4034" t="s">
        <v>11</v>
      </c>
      <c r="P4034">
        <v>5403</v>
      </c>
      <c r="Q4034">
        <v>2</v>
      </c>
      <c r="R4034">
        <v>32.299999999999997</v>
      </c>
      <c r="S4034">
        <v>64.599999999999994</v>
      </c>
      <c r="T4034">
        <v>46.06</v>
      </c>
      <c r="U4034">
        <v>28.7</v>
      </c>
      <c r="V4034" t="str">
        <f>VLOOKUP(L4034,'[2]tabela de preços'!$A:$D,4,0)</f>
        <v>SHERWIN WILLIAMS</v>
      </c>
      <c r="W4034" t="str">
        <f>VLOOKUP(L4034,'[2]tabela de preços'!$A:$F,6,0)</f>
        <v>TINTAS POLIÉSTER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3564</v>
      </c>
      <c r="D4035" s="1">
        <v>46078</v>
      </c>
      <c r="E4035" t="s">
        <v>3565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20383</v>
      </c>
      <c r="M4035" t="s">
        <v>129</v>
      </c>
      <c r="O4035" t="s">
        <v>11</v>
      </c>
      <c r="P4035">
        <v>5403</v>
      </c>
      <c r="Q4035">
        <v>2</v>
      </c>
      <c r="R4035">
        <v>33.79</v>
      </c>
      <c r="S4035">
        <v>67.58</v>
      </c>
      <c r="T4035">
        <v>48.18</v>
      </c>
      <c r="U4035">
        <v>28.71</v>
      </c>
      <c r="V4035" t="str">
        <f>VLOOKUP(L4035,'[2]tabela de preços'!$A:$D,4,0)</f>
        <v>SHERWIN WILLIAMS</v>
      </c>
      <c r="W4035" t="str">
        <f>VLOOKUP(L4035,'[2]tabela de preços'!$A:$F,6,0)</f>
        <v>TINTAS POLIÉSTER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3564</v>
      </c>
      <c r="D4036" s="1">
        <v>46078</v>
      </c>
      <c r="E4036" t="s">
        <v>3565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23101</v>
      </c>
      <c r="M4036" t="s">
        <v>410</v>
      </c>
      <c r="O4036" t="s">
        <v>411</v>
      </c>
      <c r="P4036">
        <v>5102</v>
      </c>
      <c r="Q4036">
        <v>200</v>
      </c>
      <c r="R4036">
        <v>2.35</v>
      </c>
      <c r="S4036">
        <v>470</v>
      </c>
      <c r="T4036">
        <v>338</v>
      </c>
      <c r="U4036">
        <v>28.09</v>
      </c>
      <c r="V4036" t="str">
        <f>VLOOKUP(L4036,'[2]tabela de preços'!$A:$D,4,0)</f>
        <v>3M</v>
      </c>
      <c r="W4036" t="str">
        <f>VLOOKUP(L4036,'[2]tabela de preços'!$A:$F,6,0)</f>
        <v xml:space="preserve">DISCOS / LIXAS / ABRASIVOS 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3564</v>
      </c>
      <c r="D4037" s="1">
        <v>46078</v>
      </c>
      <c r="E4037" t="s">
        <v>3565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23099</v>
      </c>
      <c r="M4037" t="s">
        <v>420</v>
      </c>
      <c r="O4037" t="s">
        <v>411</v>
      </c>
      <c r="P4037">
        <v>5102</v>
      </c>
      <c r="Q4037">
        <v>200</v>
      </c>
      <c r="R4037">
        <v>2.35</v>
      </c>
      <c r="S4037">
        <v>470</v>
      </c>
      <c r="T4037">
        <v>338</v>
      </c>
      <c r="U4037">
        <v>28.09</v>
      </c>
      <c r="V4037" t="str">
        <f>VLOOKUP(L4037,'[2]tabela de preços'!$A:$D,4,0)</f>
        <v>3M</v>
      </c>
      <c r="W4037" t="str">
        <f>VLOOKUP(L4037,'[2]tabela de preços'!$A:$F,6,0)</f>
        <v xml:space="preserve">DISCOS / LIXAS / ABRASIVOS 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3564</v>
      </c>
      <c r="D4038" s="1">
        <v>46078</v>
      </c>
      <c r="E4038" t="s">
        <v>3565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23096</v>
      </c>
      <c r="M4038" t="s">
        <v>656</v>
      </c>
      <c r="O4038" t="s">
        <v>411</v>
      </c>
      <c r="P4038">
        <v>5102</v>
      </c>
      <c r="Q4038">
        <v>200</v>
      </c>
      <c r="R4038">
        <v>2.35</v>
      </c>
      <c r="S4038">
        <v>470</v>
      </c>
      <c r="T4038">
        <v>338</v>
      </c>
      <c r="U4038">
        <v>28.09</v>
      </c>
      <c r="V4038" t="str">
        <f>VLOOKUP(L4038,'[2]tabela de preços'!$A:$D,4,0)</f>
        <v>3M</v>
      </c>
      <c r="W4038" t="str">
        <f>VLOOKUP(L4038,'[2]tabela de preços'!$A:$F,6,0)</f>
        <v xml:space="preserve">DISCOS / LIXAS / ABRASIVOS </v>
      </c>
      <c r="X4038" t="str">
        <f>VLOOKUP(L4038,'[2]tabela de preços'!$A:$G,7,0)</f>
        <v>AUTOMOTIVO</v>
      </c>
    </row>
    <row r="4039" spans="1:24" x14ac:dyDescent="0.3">
      <c r="A4039" t="s">
        <v>626</v>
      </c>
      <c r="B4039" t="s">
        <v>627</v>
      </c>
      <c r="C4039" t="s">
        <v>3564</v>
      </c>
      <c r="D4039" s="1">
        <v>46078</v>
      </c>
      <c r="E4039" t="s">
        <v>3565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21</v>
      </c>
      <c r="J4039" t="s">
        <v>630</v>
      </c>
      <c r="K4039" t="s">
        <v>631</v>
      </c>
      <c r="L4039">
        <v>23097</v>
      </c>
      <c r="M4039" t="s">
        <v>412</v>
      </c>
      <c r="O4039" t="s">
        <v>411</v>
      </c>
      <c r="P4039">
        <v>5102</v>
      </c>
      <c r="Q4039">
        <v>200</v>
      </c>
      <c r="R4039">
        <v>2.35</v>
      </c>
      <c r="S4039">
        <v>470</v>
      </c>
      <c r="T4039">
        <v>272</v>
      </c>
      <c r="U4039">
        <v>42.13</v>
      </c>
      <c r="V4039" t="str">
        <f>VLOOKUP(L4039,'[2]tabela de preços'!$A:$D,4,0)</f>
        <v>3M</v>
      </c>
      <c r="W4039" t="str">
        <f>VLOOKUP(L4039,'[2]tabela de preços'!$A:$F,6,0)</f>
        <v xml:space="preserve">DISCOS / LIXAS / ABRASIVOS </v>
      </c>
      <c r="X4039" t="str">
        <f>VLOOKUP(L4039,'[2]tabela de preços'!$A:$G,7,0)</f>
        <v>AUTOMOTIVO</v>
      </c>
    </row>
    <row r="4040" spans="1:24" x14ac:dyDescent="0.3">
      <c r="A4040" t="s">
        <v>626</v>
      </c>
      <c r="B4040" t="s">
        <v>627</v>
      </c>
      <c r="C4040" t="s">
        <v>3564</v>
      </c>
      <c r="D4040" s="1">
        <v>46078</v>
      </c>
      <c r="E4040" t="s">
        <v>3565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630</v>
      </c>
      <c r="K4040" t="s">
        <v>631</v>
      </c>
      <c r="L4040">
        <v>23102</v>
      </c>
      <c r="M4040" t="s">
        <v>413</v>
      </c>
      <c r="O4040" t="s">
        <v>11</v>
      </c>
      <c r="P4040">
        <v>5102</v>
      </c>
      <c r="Q4040">
        <v>100</v>
      </c>
      <c r="R4040">
        <v>2.35</v>
      </c>
      <c r="S4040">
        <v>235</v>
      </c>
      <c r="T4040">
        <v>129</v>
      </c>
      <c r="U4040">
        <v>45.11</v>
      </c>
      <c r="V4040" t="str">
        <f>VLOOKUP(L4040,'[2]tabela de preços'!$A:$D,4,0)</f>
        <v>3M</v>
      </c>
      <c r="W4040" t="str">
        <f>VLOOKUP(L4040,'[2]tabela de preços'!$A:$F,6,0)</f>
        <v xml:space="preserve">DISCOS / LIXAS / ABRASIVOS </v>
      </c>
      <c r="X4040" t="str">
        <f>VLOOKUP(L4040,'[2]tabela de preços'!$A:$G,7,0)</f>
        <v>AUTOMOTIVO</v>
      </c>
    </row>
    <row r="4041" spans="1:24" x14ac:dyDescent="0.3">
      <c r="A4041" t="s">
        <v>626</v>
      </c>
      <c r="B4041" t="s">
        <v>627</v>
      </c>
      <c r="C4041" t="s">
        <v>3564</v>
      </c>
      <c r="D4041" s="1">
        <v>46078</v>
      </c>
      <c r="E4041" t="s">
        <v>3565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630</v>
      </c>
      <c r="K4041" t="s">
        <v>631</v>
      </c>
      <c r="L4041">
        <v>23103</v>
      </c>
      <c r="M4041" t="s">
        <v>414</v>
      </c>
      <c r="O4041" t="s">
        <v>11</v>
      </c>
      <c r="P4041">
        <v>5102</v>
      </c>
      <c r="Q4041">
        <v>100</v>
      </c>
      <c r="R4041">
        <v>2.35</v>
      </c>
      <c r="S4041">
        <v>235</v>
      </c>
      <c r="T4041">
        <v>169</v>
      </c>
      <c r="U4041">
        <v>28.09</v>
      </c>
      <c r="V4041" t="str">
        <f>VLOOKUP(L4041,'[2]tabela de preços'!$A:$D,4,0)</f>
        <v>3M</v>
      </c>
      <c r="W4041" t="str">
        <f>VLOOKUP(L4041,'[2]tabela de preços'!$A:$F,6,0)</f>
        <v xml:space="preserve">DISCOS / LIXAS / ABRASIVOS </v>
      </c>
      <c r="X4041" t="str">
        <f>VLOOKUP(L4041,'[2]tabela de preços'!$A:$G,7,0)</f>
        <v>AUTOMOTIVO</v>
      </c>
    </row>
    <row r="4042" spans="1:24" x14ac:dyDescent="0.3">
      <c r="A4042" t="s">
        <v>626</v>
      </c>
      <c r="B4042" t="s">
        <v>627</v>
      </c>
      <c r="C4042" t="s">
        <v>3564</v>
      </c>
      <c r="D4042" s="1">
        <v>46078</v>
      </c>
      <c r="E4042" t="s">
        <v>3565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630</v>
      </c>
      <c r="K4042" t="s">
        <v>631</v>
      </c>
      <c r="L4042">
        <v>13</v>
      </c>
      <c r="M4042" t="s">
        <v>152</v>
      </c>
      <c r="O4042" t="s">
        <v>11</v>
      </c>
      <c r="P4042">
        <v>5102</v>
      </c>
      <c r="Q4042">
        <v>50</v>
      </c>
      <c r="R4042">
        <v>5.79</v>
      </c>
      <c r="S4042">
        <v>289.5</v>
      </c>
      <c r="T4042">
        <v>208</v>
      </c>
      <c r="U4042">
        <v>28.15</v>
      </c>
      <c r="V4042" t="str">
        <f>VLOOKUP(L4042,'[2]tabela de preços'!$A:$D,4,0)</f>
        <v>3M</v>
      </c>
      <c r="W4042" t="str">
        <f>VLOOKUP(L4042,'[2]tabela de preços'!$A:$F,6,0)</f>
        <v>LIXA DÁGUA</v>
      </c>
      <c r="X4042" t="str">
        <f>VLOOKUP(L4042,'[2]tabela de preços'!$A:$G,7,0)</f>
        <v>AUTOMOTIVO</v>
      </c>
    </row>
    <row r="4043" spans="1:24" x14ac:dyDescent="0.3">
      <c r="A4043" t="s">
        <v>626</v>
      </c>
      <c r="B4043" t="s">
        <v>627</v>
      </c>
      <c r="C4043" t="s">
        <v>3564</v>
      </c>
      <c r="D4043" s="1">
        <v>46078</v>
      </c>
      <c r="E4043" t="s">
        <v>3565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630</v>
      </c>
      <c r="K4043" t="s">
        <v>631</v>
      </c>
      <c r="L4043">
        <v>15</v>
      </c>
      <c r="M4043" t="s">
        <v>205</v>
      </c>
      <c r="O4043" t="s">
        <v>11</v>
      </c>
      <c r="P4043">
        <v>5102</v>
      </c>
      <c r="Q4043">
        <v>50</v>
      </c>
      <c r="R4043">
        <v>5.79</v>
      </c>
      <c r="S4043">
        <v>289.5</v>
      </c>
      <c r="T4043">
        <v>208</v>
      </c>
      <c r="U4043">
        <v>28.15</v>
      </c>
      <c r="V4043" t="str">
        <f>VLOOKUP(L4043,'[2]tabela de preços'!$A:$D,4,0)</f>
        <v>3M</v>
      </c>
      <c r="W4043" t="str">
        <f>VLOOKUP(L4043,'[2]tabela de preços'!$A:$F,6,0)</f>
        <v>LIXA DÁGUA</v>
      </c>
      <c r="X4043" t="str">
        <f>VLOOKUP(L4043,'[2]tabela de preços'!$A:$G,7,0)</f>
        <v>AUTOMOTIVO</v>
      </c>
    </row>
    <row r="4044" spans="1:24" x14ac:dyDescent="0.3">
      <c r="A4044" t="s">
        <v>626</v>
      </c>
      <c r="B4044" t="s">
        <v>627</v>
      </c>
      <c r="C4044" t="s">
        <v>3564</v>
      </c>
      <c r="D4044" s="1">
        <v>46078</v>
      </c>
      <c r="E4044" t="s">
        <v>3565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630</v>
      </c>
      <c r="K4044" t="s">
        <v>631</v>
      </c>
      <c r="L4044">
        <v>16</v>
      </c>
      <c r="M4044" t="s">
        <v>122</v>
      </c>
      <c r="O4044" t="s">
        <v>11</v>
      </c>
      <c r="P4044">
        <v>5102</v>
      </c>
      <c r="Q4044">
        <v>100</v>
      </c>
      <c r="R4044">
        <v>2.9</v>
      </c>
      <c r="S4044">
        <v>290</v>
      </c>
      <c r="T4044">
        <v>220</v>
      </c>
      <c r="U4044">
        <v>24.14</v>
      </c>
      <c r="V4044" t="str">
        <f>VLOOKUP(L4044,'[2]tabela de preços'!$A:$D,4,0)</f>
        <v>3M</v>
      </c>
      <c r="W4044" t="str">
        <f>VLOOKUP(L4044,'[2]tabela de preços'!$A:$F,6,0)</f>
        <v>LIXA DÁGUA</v>
      </c>
      <c r="X4044" t="str">
        <f>VLOOKUP(L4044,'[2]tabela de preços'!$A:$G,7,0)</f>
        <v>AUTOMOTIVO</v>
      </c>
    </row>
    <row r="4045" spans="1:24" x14ac:dyDescent="0.3">
      <c r="A4045" t="s">
        <v>626</v>
      </c>
      <c r="B4045" t="s">
        <v>627</v>
      </c>
      <c r="C4045" t="s">
        <v>3564</v>
      </c>
      <c r="D4045" s="1">
        <v>46078</v>
      </c>
      <c r="E4045" t="s">
        <v>3565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630</v>
      </c>
      <c r="K4045" t="s">
        <v>631</v>
      </c>
      <c r="L4045">
        <v>20525</v>
      </c>
      <c r="M4045" t="s">
        <v>137</v>
      </c>
      <c r="O4045" t="s">
        <v>11</v>
      </c>
      <c r="P4045">
        <v>5102</v>
      </c>
      <c r="Q4045">
        <v>3</v>
      </c>
      <c r="R4045">
        <v>13.65</v>
      </c>
      <c r="S4045">
        <v>40.950000000000003</v>
      </c>
      <c r="T4045">
        <v>31.08</v>
      </c>
      <c r="U4045">
        <v>24.1</v>
      </c>
      <c r="V4045" t="str">
        <f>VLOOKUP(L4045,'[2]tabela de preços'!$A:$D,4,0)</f>
        <v>SHERWIN WILLIAMS</v>
      </c>
      <c r="W4045" t="str">
        <f>VLOOKUP(L4045,'[2]tabela de preços'!$A:$F,6,0)</f>
        <v>MASSA DE PEQUENOS REPAROS</v>
      </c>
      <c r="X4045" t="str">
        <f>VLOOKUP(L4045,'[2]tabela de preços'!$A:$G,7,0)</f>
        <v>AUTOMOTIVO</v>
      </c>
    </row>
    <row r="4046" spans="1:24" x14ac:dyDescent="0.3">
      <c r="A4046" t="s">
        <v>626</v>
      </c>
      <c r="B4046" t="s">
        <v>627</v>
      </c>
      <c r="C4046" t="s">
        <v>3564</v>
      </c>
      <c r="D4046" s="1">
        <v>46078</v>
      </c>
      <c r="E4046" t="s">
        <v>3565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630</v>
      </c>
      <c r="K4046" t="s">
        <v>631</v>
      </c>
      <c r="L4046">
        <v>21077</v>
      </c>
      <c r="M4046" t="s">
        <v>207</v>
      </c>
      <c r="O4046" t="s">
        <v>11</v>
      </c>
      <c r="P4046">
        <v>5102</v>
      </c>
      <c r="Q4046">
        <v>6</v>
      </c>
      <c r="R4046">
        <v>44.68</v>
      </c>
      <c r="S4046">
        <v>268.08</v>
      </c>
      <c r="T4046">
        <v>203.52</v>
      </c>
      <c r="U4046">
        <v>24.08</v>
      </c>
      <c r="V4046" t="str">
        <f>VLOOKUP(L4046,'[2]tabela de preços'!$A:$D,4,0)</f>
        <v>SHERWIN WILLIAMS</v>
      </c>
      <c r="W4046" t="str">
        <f>VLOOKUP(L4046,'[2]tabela de preços'!$A:$F,6,0)</f>
        <v>MASSA POLIÉSTER</v>
      </c>
      <c r="X4046" t="str">
        <f>VLOOKUP(L4046,'[2]tabela de preços'!$A:$G,7,0)</f>
        <v>AUTOMOTIVO</v>
      </c>
    </row>
    <row r="4047" spans="1:24" x14ac:dyDescent="0.3">
      <c r="A4047" t="s">
        <v>626</v>
      </c>
      <c r="B4047" t="s">
        <v>627</v>
      </c>
      <c r="C4047" t="s">
        <v>3564</v>
      </c>
      <c r="D4047" s="1">
        <v>46078</v>
      </c>
      <c r="E4047" t="s">
        <v>3565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630</v>
      </c>
      <c r="K4047" t="s">
        <v>631</v>
      </c>
      <c r="L4047">
        <v>24247</v>
      </c>
      <c r="M4047" t="s">
        <v>160</v>
      </c>
      <c r="O4047" t="s">
        <v>11</v>
      </c>
      <c r="P4047">
        <v>5403</v>
      </c>
      <c r="Q4047">
        <v>12</v>
      </c>
      <c r="R4047">
        <v>21</v>
      </c>
      <c r="S4047">
        <v>252</v>
      </c>
      <c r="T4047">
        <v>202.44</v>
      </c>
      <c r="U4047">
        <v>19.670000000000002</v>
      </c>
      <c r="V4047" t="str">
        <f>VLOOKUP(L4047,'[2]tabela de preços'!$A:$D,4,0)</f>
        <v>SHERWIN WILLIAMS</v>
      </c>
      <c r="W4047" t="str">
        <f>VLOOKUP(L4047,'[2]tabela de preços'!$A:$F,6,0)</f>
        <v>PRIMER AUTOMOTIVO</v>
      </c>
      <c r="X4047" t="str">
        <f>VLOOKUP(L4047,'[2]tabela de preços'!$A:$G,7,0)</f>
        <v>AUTOMOTIVO</v>
      </c>
    </row>
    <row r="4048" spans="1:24" x14ac:dyDescent="0.3">
      <c r="A4048" t="s">
        <v>626</v>
      </c>
      <c r="B4048" t="s">
        <v>627</v>
      </c>
      <c r="C4048" t="s">
        <v>3564</v>
      </c>
      <c r="D4048" s="1">
        <v>46078</v>
      </c>
      <c r="E4048" t="s">
        <v>3565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630</v>
      </c>
      <c r="K4048" t="s">
        <v>631</v>
      </c>
      <c r="L4048">
        <v>20232</v>
      </c>
      <c r="M4048" t="s">
        <v>3566</v>
      </c>
      <c r="O4048" t="s">
        <v>11</v>
      </c>
      <c r="P4048">
        <v>5102</v>
      </c>
      <c r="Q4048">
        <v>1</v>
      </c>
      <c r="R4048">
        <v>25.96</v>
      </c>
      <c r="S4048">
        <v>25.96</v>
      </c>
      <c r="T4048">
        <v>19.71</v>
      </c>
      <c r="U4048">
        <v>24.08</v>
      </c>
      <c r="V4048" t="str">
        <f>VLOOKUP(L4048,'[2]tabela de preços'!$A:$D,4,0)</f>
        <v>SIKKENS</v>
      </c>
      <c r="W4048" t="str">
        <f>VLOOKUP(L4048,'[2]tabela de preços'!$A:$F,6,0)</f>
        <v>APLICADORES / ADAPTADORES / ENGATES / SUPORTES</v>
      </c>
      <c r="X4048" t="str">
        <f>VLOOKUP(L4048,'[2]tabela de preços'!$A:$G,7,0)</f>
        <v>AUTOMOTIVO</v>
      </c>
    </row>
    <row r="4049" spans="1:24" x14ac:dyDescent="0.3">
      <c r="A4049" t="s">
        <v>626</v>
      </c>
      <c r="B4049" t="s">
        <v>627</v>
      </c>
      <c r="C4049" t="s">
        <v>3564</v>
      </c>
      <c r="D4049" s="1">
        <v>46078</v>
      </c>
      <c r="E4049" t="s">
        <v>3565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630</v>
      </c>
      <c r="K4049" t="s">
        <v>631</v>
      </c>
      <c r="L4049">
        <v>20212</v>
      </c>
      <c r="M4049" t="s">
        <v>198</v>
      </c>
      <c r="O4049" t="s">
        <v>11</v>
      </c>
      <c r="P4049">
        <v>5403</v>
      </c>
      <c r="Q4049">
        <v>2</v>
      </c>
      <c r="R4049">
        <v>27.69</v>
      </c>
      <c r="S4049">
        <v>55.38</v>
      </c>
      <c r="T4049">
        <v>42.04</v>
      </c>
      <c r="U4049">
        <v>24.09</v>
      </c>
      <c r="V4049" t="str">
        <f>VLOOKUP(L4049,'[2]tabela de preços'!$A:$D,4,0)</f>
        <v>MAXI RUBBER</v>
      </c>
      <c r="W4049" t="str">
        <f>VLOOKUP(L4049,'[2]tabela de preços'!$A:$F,6,0)</f>
        <v>SELADORA P/ PLASTICO</v>
      </c>
      <c r="X4049" t="str">
        <f>VLOOKUP(L4049,'[2]tabela de preços'!$A:$G,7,0)</f>
        <v>AUTOMOTIVO</v>
      </c>
    </row>
    <row r="4050" spans="1:24" x14ac:dyDescent="0.3">
      <c r="A4050" t="s">
        <v>626</v>
      </c>
      <c r="B4050" t="s">
        <v>627</v>
      </c>
      <c r="C4050" t="s">
        <v>3564</v>
      </c>
      <c r="D4050" s="1">
        <v>46078</v>
      </c>
      <c r="E4050" t="s">
        <v>3565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630</v>
      </c>
      <c r="K4050" t="s">
        <v>631</v>
      </c>
      <c r="L4050">
        <v>10297</v>
      </c>
      <c r="M4050" t="s">
        <v>41</v>
      </c>
      <c r="O4050" t="s">
        <v>11</v>
      </c>
      <c r="P4050">
        <v>5102</v>
      </c>
      <c r="Q4050">
        <v>12</v>
      </c>
      <c r="R4050">
        <v>10.89</v>
      </c>
      <c r="S4050">
        <v>130.68</v>
      </c>
      <c r="T4050">
        <v>110.04</v>
      </c>
      <c r="U4050">
        <v>15.79</v>
      </c>
      <c r="V4050" t="str">
        <f>VLOOKUP(L4050,'[2]tabela de preços'!$A:$D,4,0)</f>
        <v>ANJO</v>
      </c>
      <c r="W4050" t="str">
        <f>VLOOKUP(L4050,'[2]tabela de preços'!$A:$F,6,0)</f>
        <v>THINNER DE LIMPEZA</v>
      </c>
      <c r="X4050" t="str">
        <f>VLOOKUP(L4050,'[2]tabela de preços'!$A:$G,7,0)</f>
        <v>THINNER</v>
      </c>
    </row>
    <row r="4051" spans="1:24" x14ac:dyDescent="0.3">
      <c r="A4051" t="s">
        <v>626</v>
      </c>
      <c r="B4051" t="s">
        <v>627</v>
      </c>
      <c r="C4051" t="s">
        <v>3564</v>
      </c>
      <c r="D4051" s="1">
        <v>46078</v>
      </c>
      <c r="E4051" t="s">
        <v>3565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630</v>
      </c>
      <c r="K4051" t="s">
        <v>631</v>
      </c>
      <c r="L4051">
        <v>9997</v>
      </c>
      <c r="M4051" t="s">
        <v>2487</v>
      </c>
      <c r="O4051" t="s">
        <v>11</v>
      </c>
      <c r="P4051">
        <v>5102</v>
      </c>
      <c r="Q4051">
        <v>1</v>
      </c>
      <c r="R4051">
        <v>41.04</v>
      </c>
      <c r="S4051">
        <v>41.04</v>
      </c>
      <c r="T4051">
        <v>31.15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626</v>
      </c>
      <c r="B4052" t="s">
        <v>627</v>
      </c>
      <c r="C4052" t="s">
        <v>3564</v>
      </c>
      <c r="D4052" s="1">
        <v>46078</v>
      </c>
      <c r="E4052" t="s">
        <v>3565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630</v>
      </c>
      <c r="K4052" t="s">
        <v>631</v>
      </c>
      <c r="L4052">
        <v>24332</v>
      </c>
      <c r="M4052" t="s">
        <v>1700</v>
      </c>
      <c r="O4052" t="s">
        <v>11</v>
      </c>
      <c r="P4052">
        <v>5102</v>
      </c>
      <c r="Q4052">
        <v>2</v>
      </c>
      <c r="R4052">
        <v>30.55</v>
      </c>
      <c r="S4052">
        <v>61.1</v>
      </c>
      <c r="T4052">
        <v>46.38</v>
      </c>
      <c r="U4052">
        <v>24.09</v>
      </c>
      <c r="V4052" t="str">
        <f>VLOOKUP(L4052,'[2]tabela de preços'!$A:$D,4,0)</f>
        <v>VONIXX</v>
      </c>
      <c r="W4052" t="str">
        <f>VLOOKUP(L4052,'[2]tabela de preços'!$A:$F,6,0)</f>
        <v>LINHA DE HIGENIZAÇÃO E ESTÉTICA  AUTOMOTIVA</v>
      </c>
      <c r="X4052" t="str">
        <f>VLOOKUP(L4052,'[2]tabela de preços'!$A:$G,7,0)</f>
        <v>AUTOMOTIVO</v>
      </c>
    </row>
    <row r="4053" spans="1:24" x14ac:dyDescent="0.3">
      <c r="A4053" t="s">
        <v>626</v>
      </c>
      <c r="B4053" t="s">
        <v>627</v>
      </c>
      <c r="C4053" t="s">
        <v>3564</v>
      </c>
      <c r="D4053" s="1">
        <v>46078</v>
      </c>
      <c r="E4053" t="s">
        <v>3565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630</v>
      </c>
      <c r="K4053" t="s">
        <v>631</v>
      </c>
      <c r="L4053">
        <v>20399</v>
      </c>
      <c r="M4053" t="s">
        <v>465</v>
      </c>
      <c r="O4053" t="s">
        <v>11</v>
      </c>
      <c r="P4053">
        <v>5403</v>
      </c>
      <c r="Q4053">
        <v>4</v>
      </c>
      <c r="R4053">
        <v>35.26</v>
      </c>
      <c r="S4053">
        <v>141.04</v>
      </c>
      <c r="T4053">
        <v>107.12</v>
      </c>
      <c r="U4053">
        <v>24.05</v>
      </c>
      <c r="V4053" t="str">
        <f>VLOOKUP(L4053,'[2]tabela de preços'!$A:$D,4,0)</f>
        <v>SHERWIN WILLIAMS</v>
      </c>
      <c r="W4053" t="str">
        <f>VLOOKUP(L4053,'[2]tabela de preços'!$A:$F,6,0)</f>
        <v>VERNIZ AUTOMOTIVO</v>
      </c>
      <c r="X4053" t="str">
        <f>VLOOKUP(L4053,'[2]tabela de preços'!$A:$G,7,0)</f>
        <v>AUTOMOTIVO</v>
      </c>
    </row>
    <row r="4054" spans="1:24" x14ac:dyDescent="0.3">
      <c r="A4054" t="s">
        <v>840</v>
      </c>
      <c r="C4054" t="s">
        <v>3461</v>
      </c>
      <c r="D4054" s="1">
        <v>46076</v>
      </c>
      <c r="E4054" t="s">
        <v>3462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843</v>
      </c>
      <c r="K4054" t="s">
        <v>844</v>
      </c>
      <c r="L4054">
        <v>10303</v>
      </c>
      <c r="M4054" t="s">
        <v>3463</v>
      </c>
      <c r="O4054" t="s">
        <v>11</v>
      </c>
      <c r="P4054">
        <v>5102</v>
      </c>
      <c r="Q4054">
        <v>6</v>
      </c>
      <c r="R4054">
        <v>211.25</v>
      </c>
      <c r="S4054" s="2">
        <v>1267.5</v>
      </c>
      <c r="T4054">
        <v>962.04</v>
      </c>
      <c r="U4054">
        <v>24.1</v>
      </c>
      <c r="V4054" t="str">
        <f>VLOOKUP(L4054,'[2]tabela de preços'!$A:$D,4,0)</f>
        <v>ANJO</v>
      </c>
      <c r="W4054" t="str">
        <f>VLOOKUP(L4054,'[2]tabela de preços'!$A:$F,6,0)</f>
        <v>THINNER DE LIMPEZA</v>
      </c>
      <c r="X4054" t="str">
        <f>VLOOKUP(L4054,'[2]tabela de preços'!$A:$G,7,0)</f>
        <v>THINNER</v>
      </c>
    </row>
    <row r="4055" spans="1:24" x14ac:dyDescent="0.3">
      <c r="A4055" t="s">
        <v>868</v>
      </c>
      <c r="B4055" t="s">
        <v>869</v>
      </c>
      <c r="C4055" t="s">
        <v>3567</v>
      </c>
      <c r="D4055" s="1">
        <v>46078</v>
      </c>
      <c r="E4055" t="s">
        <v>3568</v>
      </c>
      <c r="F4055">
        <v>9</v>
      </c>
      <c r="G4055">
        <v>197</v>
      </c>
      <c r="H4055" t="str">
        <f>VLOOKUP(G4055,[1]OPERADORES!$A:$B,2,0)</f>
        <v xml:space="preserve">POLIANA LORRANE DE AMORIM </v>
      </c>
      <c r="I4055" t="s">
        <v>21</v>
      </c>
      <c r="J4055" t="s">
        <v>872</v>
      </c>
      <c r="K4055" t="s">
        <v>873</v>
      </c>
      <c r="L4055">
        <v>84351</v>
      </c>
      <c r="M4055" t="s">
        <v>2152</v>
      </c>
      <c r="O4055" t="s">
        <v>11</v>
      </c>
      <c r="P4055">
        <v>5403</v>
      </c>
      <c r="Q4055">
        <v>20</v>
      </c>
      <c r="R4055">
        <v>59.98</v>
      </c>
      <c r="S4055" s="2">
        <v>1199.5999999999999</v>
      </c>
      <c r="T4055" s="2">
        <v>1233</v>
      </c>
      <c r="U4055">
        <v>-2.78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868</v>
      </c>
      <c r="B4056" t="s">
        <v>869</v>
      </c>
      <c r="C4056" t="s">
        <v>3567</v>
      </c>
      <c r="D4056" s="1">
        <v>46078</v>
      </c>
      <c r="E4056" t="s">
        <v>3568</v>
      </c>
      <c r="F4056">
        <v>9</v>
      </c>
      <c r="G4056">
        <v>197</v>
      </c>
      <c r="H4056" t="str">
        <f>VLOOKUP(G4056,[1]OPERADORES!$A:$B,2,0)</f>
        <v xml:space="preserve">POLIANA LORRANE DE AMORIM </v>
      </c>
      <c r="I4056" t="s">
        <v>21</v>
      </c>
      <c r="J4056" t="s">
        <v>872</v>
      </c>
      <c r="K4056" t="s">
        <v>873</v>
      </c>
      <c r="L4056">
        <v>84328</v>
      </c>
      <c r="M4056" t="s">
        <v>496</v>
      </c>
      <c r="O4056" t="s">
        <v>11</v>
      </c>
      <c r="P4056">
        <v>5403</v>
      </c>
      <c r="Q4056">
        <v>5</v>
      </c>
      <c r="R4056">
        <v>59.98</v>
      </c>
      <c r="S4056">
        <v>299.89999999999998</v>
      </c>
      <c r="T4056">
        <v>236.7</v>
      </c>
      <c r="U4056">
        <v>21.07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868</v>
      </c>
      <c r="B4057" t="s">
        <v>869</v>
      </c>
      <c r="C4057" t="s">
        <v>3567</v>
      </c>
      <c r="D4057" s="1">
        <v>46078</v>
      </c>
      <c r="E4057" t="s">
        <v>3568</v>
      </c>
      <c r="F4057">
        <v>9</v>
      </c>
      <c r="G4057">
        <v>197</v>
      </c>
      <c r="H4057" t="str">
        <f>VLOOKUP(G4057,[1]OPERADORES!$A:$B,2,0)</f>
        <v xml:space="preserve">POLIANA LORRANE DE AMORIM </v>
      </c>
      <c r="I4057" t="s">
        <v>21</v>
      </c>
      <c r="J4057" t="s">
        <v>872</v>
      </c>
      <c r="K4057" t="s">
        <v>873</v>
      </c>
      <c r="L4057">
        <v>84359</v>
      </c>
      <c r="M4057" t="s">
        <v>2283</v>
      </c>
      <c r="O4057" t="s">
        <v>11</v>
      </c>
      <c r="P4057">
        <v>5403</v>
      </c>
      <c r="Q4057">
        <v>3</v>
      </c>
      <c r="R4057">
        <v>18.13</v>
      </c>
      <c r="S4057">
        <v>54.39</v>
      </c>
      <c r="T4057">
        <v>41.28</v>
      </c>
      <c r="U4057">
        <v>24.1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868</v>
      </c>
      <c r="B4058" t="s">
        <v>869</v>
      </c>
      <c r="C4058" t="s">
        <v>3567</v>
      </c>
      <c r="D4058" s="1">
        <v>46078</v>
      </c>
      <c r="E4058" t="s">
        <v>3568</v>
      </c>
      <c r="F4058">
        <v>9</v>
      </c>
      <c r="G4058">
        <v>197</v>
      </c>
      <c r="H4058" t="str">
        <f>VLOOKUP(G4058,[1]OPERADORES!$A:$B,2,0)</f>
        <v xml:space="preserve">POLIANA LORRANE DE AMORIM </v>
      </c>
      <c r="I4058" t="s">
        <v>21</v>
      </c>
      <c r="J4058" t="s">
        <v>872</v>
      </c>
      <c r="K4058" t="s">
        <v>873</v>
      </c>
      <c r="L4058">
        <v>84139</v>
      </c>
      <c r="M4058" t="s">
        <v>590</v>
      </c>
      <c r="O4058" t="s">
        <v>11</v>
      </c>
      <c r="P4058">
        <v>5403</v>
      </c>
      <c r="Q4058">
        <v>4</v>
      </c>
      <c r="R4058">
        <v>7.74</v>
      </c>
      <c r="S4058">
        <v>30.96</v>
      </c>
      <c r="T4058">
        <v>23.52</v>
      </c>
      <c r="U4058">
        <v>24.03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868</v>
      </c>
      <c r="B4059" t="s">
        <v>869</v>
      </c>
      <c r="C4059" t="s">
        <v>3567</v>
      </c>
      <c r="D4059" s="1">
        <v>46078</v>
      </c>
      <c r="E4059" t="s">
        <v>3568</v>
      </c>
      <c r="F4059">
        <v>9</v>
      </c>
      <c r="G4059">
        <v>197</v>
      </c>
      <c r="H4059" t="str">
        <f>VLOOKUP(G4059,[1]OPERADORES!$A:$B,2,0)</f>
        <v xml:space="preserve">POLIANA LORRANE DE AMORIM </v>
      </c>
      <c r="I4059" t="s">
        <v>21</v>
      </c>
      <c r="J4059" t="s">
        <v>872</v>
      </c>
      <c r="K4059" t="s">
        <v>873</v>
      </c>
      <c r="L4059">
        <v>84032</v>
      </c>
      <c r="M4059" t="s">
        <v>1573</v>
      </c>
      <c r="O4059" t="s">
        <v>11</v>
      </c>
      <c r="P4059">
        <v>5102</v>
      </c>
      <c r="Q4059">
        <v>1</v>
      </c>
      <c r="R4059">
        <v>102.89</v>
      </c>
      <c r="S4059">
        <v>102.89</v>
      </c>
      <c r="T4059">
        <v>75.430000000000007</v>
      </c>
      <c r="U4059">
        <v>26.69</v>
      </c>
      <c r="V4059" t="str">
        <f>VLOOKUP(L4059,'[2]tabela de preços'!$A:$D,4,0)</f>
        <v>BRASILUX</v>
      </c>
      <c r="W4059" t="str">
        <f>VLOOKUP(L4059,'[2]tabela de preços'!$A:$F,6,0)</f>
        <v>MASSA CORRIDA / ACRÍLICA</v>
      </c>
      <c r="X4059" t="str">
        <f>VLOOKUP(L4059,'[2]tabela de preços'!$A:$G,7,0)</f>
        <v>IMOBILIÁRIO</v>
      </c>
    </row>
    <row r="4060" spans="1:24" x14ac:dyDescent="0.3">
      <c r="A4060" t="s">
        <v>868</v>
      </c>
      <c r="B4060" t="s">
        <v>869</v>
      </c>
      <c r="C4060" t="s">
        <v>3567</v>
      </c>
      <c r="D4060" s="1">
        <v>46078</v>
      </c>
      <c r="E4060" t="s">
        <v>3568</v>
      </c>
      <c r="F4060">
        <v>9</v>
      </c>
      <c r="G4060">
        <v>197</v>
      </c>
      <c r="H4060" t="str">
        <f>VLOOKUP(G4060,[1]OPERADORES!$A:$B,2,0)</f>
        <v xml:space="preserve">POLIANA LORRANE DE AMORIM </v>
      </c>
      <c r="I4060" t="s">
        <v>21</v>
      </c>
      <c r="J4060" t="s">
        <v>872</v>
      </c>
      <c r="K4060" t="s">
        <v>873</v>
      </c>
      <c r="L4060">
        <v>10298</v>
      </c>
      <c r="M4060" t="s">
        <v>85</v>
      </c>
      <c r="O4060" t="s">
        <v>11</v>
      </c>
      <c r="P4060">
        <v>5102</v>
      </c>
      <c r="Q4060">
        <v>40</v>
      </c>
      <c r="R4060">
        <v>54.9</v>
      </c>
      <c r="S4060" s="2">
        <v>2196</v>
      </c>
      <c r="T4060" s="2">
        <v>1895.2</v>
      </c>
      <c r="U4060">
        <v>13.7</v>
      </c>
      <c r="V4060" t="str">
        <f>VLOOKUP(L4060,'[2]tabela de preços'!$A:$D,4,0)</f>
        <v>ANJO</v>
      </c>
      <c r="W4060" t="str">
        <f>VLOOKUP(L4060,'[2]tabela de preços'!$A:$F,6,0)</f>
        <v>THINNER DE LIMPEZA</v>
      </c>
      <c r="X4060" t="str">
        <f>VLOOKUP(L4060,'[2]tabela de preços'!$A:$G,7,0)</f>
        <v>THINNER</v>
      </c>
    </row>
    <row r="4061" spans="1:24" x14ac:dyDescent="0.3">
      <c r="A4061" t="s">
        <v>868</v>
      </c>
      <c r="B4061" t="s">
        <v>869</v>
      </c>
      <c r="C4061" t="s">
        <v>3567</v>
      </c>
      <c r="D4061" s="1">
        <v>46078</v>
      </c>
      <c r="E4061" t="s">
        <v>3568</v>
      </c>
      <c r="F4061">
        <v>9</v>
      </c>
      <c r="G4061">
        <v>197</v>
      </c>
      <c r="H4061" t="str">
        <f>VLOOKUP(G4061,[1]OPERADORES!$A:$B,2,0)</f>
        <v xml:space="preserve">POLIANA LORRANE DE AMORIM </v>
      </c>
      <c r="I4061" t="s">
        <v>21</v>
      </c>
      <c r="J4061" t="s">
        <v>872</v>
      </c>
      <c r="K4061" t="s">
        <v>873</v>
      </c>
      <c r="L4061">
        <v>84560</v>
      </c>
      <c r="M4061" t="s">
        <v>118</v>
      </c>
      <c r="O4061" t="s">
        <v>11</v>
      </c>
      <c r="P4061">
        <v>5102</v>
      </c>
      <c r="Q4061">
        <v>4</v>
      </c>
      <c r="R4061">
        <v>47.89</v>
      </c>
      <c r="S4061">
        <v>191.56</v>
      </c>
      <c r="T4061">
        <v>160.56</v>
      </c>
      <c r="U4061">
        <v>16.18</v>
      </c>
      <c r="V4061" t="str">
        <f>VLOOKUP(L4061,'[2]tabela de preços'!$A:$D,4,0)</f>
        <v>BRASILUX</v>
      </c>
      <c r="W4061" t="str">
        <f>VLOOKUP(L4061,'[2]tabela de preços'!$A:$F,6,0)</f>
        <v>THINNER DE LIMPEZA</v>
      </c>
      <c r="X4061" t="str">
        <f>VLOOKUP(L4061,'[2]tabela de preços'!$A:$G,7,0)</f>
        <v>THINNER</v>
      </c>
    </row>
    <row r="4062" spans="1:24" x14ac:dyDescent="0.3">
      <c r="A4062" t="s">
        <v>3464</v>
      </c>
      <c r="C4062" t="s">
        <v>3465</v>
      </c>
      <c r="D4062" s="1">
        <v>46076</v>
      </c>
      <c r="E4062" t="s">
        <v>3466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21</v>
      </c>
      <c r="J4062" t="s">
        <v>104</v>
      </c>
      <c r="K4062" t="s">
        <v>3467</v>
      </c>
      <c r="L4062">
        <v>10298</v>
      </c>
      <c r="M4062" t="s">
        <v>85</v>
      </c>
      <c r="O4062" t="s">
        <v>11</v>
      </c>
      <c r="P4062">
        <v>5102</v>
      </c>
      <c r="Q4062">
        <v>28</v>
      </c>
      <c r="R4062">
        <v>54.9</v>
      </c>
      <c r="S4062" s="2">
        <v>1537.2</v>
      </c>
      <c r="T4062" s="2">
        <v>1326.64</v>
      </c>
      <c r="U4062">
        <v>13.7</v>
      </c>
      <c r="V4062" t="str">
        <f>VLOOKUP(L4062,'[2]tabela de preços'!$A:$D,4,0)</f>
        <v>ANJO</v>
      </c>
      <c r="W4062" t="str">
        <f>VLOOKUP(L4062,'[2]tabela de preços'!$A:$F,6,0)</f>
        <v>THINNER DE LIMPEZA</v>
      </c>
      <c r="X4062" t="str">
        <f>VLOOKUP(L4062,'[2]tabela de preços'!$A:$G,7,0)</f>
        <v>THINNER</v>
      </c>
    </row>
    <row r="4063" spans="1:24" x14ac:dyDescent="0.3">
      <c r="A4063" t="s">
        <v>923</v>
      </c>
      <c r="C4063" t="s">
        <v>3569</v>
      </c>
      <c r="D4063" s="1">
        <v>46077</v>
      </c>
      <c r="E4063" t="s">
        <v>3570</v>
      </c>
      <c r="F4063">
        <v>9</v>
      </c>
      <c r="G4063">
        <v>236</v>
      </c>
      <c r="H4063" t="str">
        <f>VLOOKUP(G4063,[1]OPERADORES!$A:$B,2,0)</f>
        <v>DANIEL</v>
      </c>
      <c r="I4063" t="s">
        <v>21</v>
      </c>
      <c r="J4063" t="s">
        <v>211</v>
      </c>
      <c r="K4063" t="s">
        <v>926</v>
      </c>
      <c r="L4063">
        <v>23110</v>
      </c>
      <c r="M4063" t="s">
        <v>409</v>
      </c>
      <c r="O4063" t="s">
        <v>11</v>
      </c>
      <c r="P4063">
        <v>5102</v>
      </c>
      <c r="Q4063">
        <v>30</v>
      </c>
      <c r="R4063">
        <v>2.35</v>
      </c>
      <c r="S4063">
        <v>70.5</v>
      </c>
      <c r="T4063">
        <v>55.5</v>
      </c>
      <c r="U4063">
        <v>21.28</v>
      </c>
      <c r="V4063" t="str">
        <f>VLOOKUP(L4063,'[2]tabela de preços'!$A:$D,4,0)</f>
        <v>3M</v>
      </c>
      <c r="W4063" t="str">
        <f>VLOOKUP(L4063,'[2]tabela de preços'!$A:$F,6,0)</f>
        <v xml:space="preserve">DISCOS / LIXAS / ABRASIVOS </v>
      </c>
      <c r="X4063" t="str">
        <f>VLOOKUP(L4063,'[2]tabela de preços'!$A:$G,7,0)</f>
        <v>AUTOMOTIVO</v>
      </c>
    </row>
    <row r="4064" spans="1:24" x14ac:dyDescent="0.3">
      <c r="A4064" t="s">
        <v>923</v>
      </c>
      <c r="C4064" t="s">
        <v>3569</v>
      </c>
      <c r="D4064" s="1">
        <v>46077</v>
      </c>
      <c r="E4064" t="s">
        <v>3570</v>
      </c>
      <c r="F4064">
        <v>9</v>
      </c>
      <c r="G4064">
        <v>236</v>
      </c>
      <c r="H4064" t="str">
        <f>VLOOKUP(G4064,[1]OPERADORES!$A:$B,2,0)</f>
        <v>DANIEL</v>
      </c>
      <c r="I4064" t="s">
        <v>21</v>
      </c>
      <c r="J4064" t="s">
        <v>211</v>
      </c>
      <c r="K4064" t="s">
        <v>926</v>
      </c>
      <c r="L4064">
        <v>24248</v>
      </c>
      <c r="M4064" t="s">
        <v>107</v>
      </c>
      <c r="O4064" t="s">
        <v>11</v>
      </c>
      <c r="P4064">
        <v>5102</v>
      </c>
      <c r="Q4064">
        <v>12</v>
      </c>
      <c r="R4064">
        <v>8</v>
      </c>
      <c r="S4064">
        <v>96</v>
      </c>
      <c r="T4064">
        <v>78</v>
      </c>
      <c r="U4064">
        <v>18.75</v>
      </c>
      <c r="V4064" t="str">
        <f>VLOOKUP(L4064,'[2]tabela de preços'!$A:$D,4,0)</f>
        <v>SHERWIN WILLIAMS</v>
      </c>
      <c r="W4064" t="str">
        <f>VLOOKUP(L4064,'[2]tabela de preços'!$A:$F,6,0)</f>
        <v>PRIMER AUTOMOTIVO</v>
      </c>
      <c r="X4064" t="str">
        <f>VLOOKUP(L4064,'[2]tabela de preços'!$A:$G,7,0)</f>
        <v>AUTOMOTIVO</v>
      </c>
    </row>
    <row r="4065" spans="1:24" x14ac:dyDescent="0.3">
      <c r="A4065" t="s">
        <v>923</v>
      </c>
      <c r="C4065" t="s">
        <v>3569</v>
      </c>
      <c r="D4065" s="1">
        <v>46077</v>
      </c>
      <c r="E4065" t="s">
        <v>3570</v>
      </c>
      <c r="F4065">
        <v>9</v>
      </c>
      <c r="G4065">
        <v>236</v>
      </c>
      <c r="H4065" t="str">
        <f>VLOOKUP(G4065,[1]OPERADORES!$A:$B,2,0)</f>
        <v>DANIEL</v>
      </c>
      <c r="I4065" t="s">
        <v>21</v>
      </c>
      <c r="J4065" t="s">
        <v>211</v>
      </c>
      <c r="K4065" t="s">
        <v>926</v>
      </c>
      <c r="L4065">
        <v>21078</v>
      </c>
      <c r="M4065" t="s">
        <v>141</v>
      </c>
      <c r="O4065" t="s">
        <v>11</v>
      </c>
      <c r="P4065">
        <v>5102</v>
      </c>
      <c r="Q4065">
        <v>12</v>
      </c>
      <c r="R4065">
        <v>22.89</v>
      </c>
      <c r="S4065">
        <v>274.68</v>
      </c>
      <c r="T4065">
        <v>223.92</v>
      </c>
      <c r="U4065">
        <v>18.48</v>
      </c>
      <c r="V4065" t="str">
        <f>VLOOKUP(L4065,'[2]tabela de preços'!$A:$D,4,0)</f>
        <v>SHERWIN WILLIAMS</v>
      </c>
      <c r="W4065" t="str">
        <f>VLOOKUP(L4065,'[2]tabela de preços'!$A:$F,6,0)</f>
        <v>MASSA POLIÉSTER</v>
      </c>
      <c r="X4065" t="str">
        <f>VLOOKUP(L4065,'[2]tabela de preços'!$A:$G,7,0)</f>
        <v>AUTOMOTIVO</v>
      </c>
    </row>
    <row r="4066" spans="1:24" x14ac:dyDescent="0.3">
      <c r="A4066" t="s">
        <v>923</v>
      </c>
      <c r="C4066" t="s">
        <v>3569</v>
      </c>
      <c r="D4066" s="1">
        <v>46077</v>
      </c>
      <c r="E4066" t="s">
        <v>3570</v>
      </c>
      <c r="F4066">
        <v>9</v>
      </c>
      <c r="G4066">
        <v>236</v>
      </c>
      <c r="H4066" t="str">
        <f>VLOOKUP(G4066,[1]OPERADORES!$A:$B,2,0)</f>
        <v>DANIEL</v>
      </c>
      <c r="I4066" t="s">
        <v>21</v>
      </c>
      <c r="J4066" t="s">
        <v>211</v>
      </c>
      <c r="K4066" t="s">
        <v>926</v>
      </c>
      <c r="L4066">
        <v>24247</v>
      </c>
      <c r="M4066" t="s">
        <v>160</v>
      </c>
      <c r="O4066" t="s">
        <v>11</v>
      </c>
      <c r="P4066">
        <v>5403</v>
      </c>
      <c r="Q4066">
        <v>12</v>
      </c>
      <c r="R4066">
        <v>21</v>
      </c>
      <c r="S4066">
        <v>252</v>
      </c>
      <c r="T4066">
        <v>202.44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923</v>
      </c>
      <c r="C4067" t="s">
        <v>3569</v>
      </c>
      <c r="D4067" s="1">
        <v>46077</v>
      </c>
      <c r="E4067" t="s">
        <v>3570</v>
      </c>
      <c r="F4067">
        <v>9</v>
      </c>
      <c r="G4067">
        <v>236</v>
      </c>
      <c r="H4067" t="str">
        <f>VLOOKUP(G4067,[1]OPERADORES!$A:$B,2,0)</f>
        <v>DANIEL</v>
      </c>
      <c r="I4067" t="s">
        <v>21</v>
      </c>
      <c r="J4067" t="s">
        <v>211</v>
      </c>
      <c r="K4067" t="s">
        <v>926</v>
      </c>
      <c r="L4067">
        <v>20414</v>
      </c>
      <c r="M4067" t="s">
        <v>112</v>
      </c>
      <c r="O4067" t="s">
        <v>11</v>
      </c>
      <c r="P4067">
        <v>5102</v>
      </c>
      <c r="Q4067">
        <v>2</v>
      </c>
      <c r="R4067">
        <v>21.89</v>
      </c>
      <c r="S4067">
        <v>43.78</v>
      </c>
      <c r="T4067">
        <v>36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923</v>
      </c>
      <c r="C4068" t="s">
        <v>3571</v>
      </c>
      <c r="D4068" s="1">
        <v>46078</v>
      </c>
      <c r="E4068" t="s">
        <v>3572</v>
      </c>
      <c r="F4068">
        <v>9</v>
      </c>
      <c r="G4068">
        <v>236</v>
      </c>
      <c r="H4068" t="str">
        <f>VLOOKUP(G4068,[1]OPERADORES!$A:$B,2,0)</f>
        <v>DANIEL</v>
      </c>
      <c r="I4068" t="s">
        <v>21</v>
      </c>
      <c r="J4068" t="s">
        <v>211</v>
      </c>
      <c r="K4068" t="s">
        <v>926</v>
      </c>
      <c r="L4068">
        <v>10379</v>
      </c>
      <c r="M4068" t="s">
        <v>3573</v>
      </c>
      <c r="O4068" t="s">
        <v>11</v>
      </c>
      <c r="P4068">
        <v>5102</v>
      </c>
      <c r="Q4068">
        <v>1</v>
      </c>
      <c r="R4068">
        <v>110.73</v>
      </c>
      <c r="S4068">
        <v>110.73</v>
      </c>
      <c r="T4068">
        <v>81.180000000000007</v>
      </c>
      <c r="U4068">
        <v>26.69</v>
      </c>
      <c r="V4068" t="str">
        <f>VLOOKUP(L4068,'[2]tabela de preços'!$A:$D,4,0)</f>
        <v>ROBERLO</v>
      </c>
      <c r="W4068" t="str">
        <f>VLOOKUP(L4068,'[2]tabela de preços'!$A:$F,6,0)</f>
        <v>MASSA POLIÉSTER</v>
      </c>
      <c r="X4068" t="str">
        <f>VLOOKUP(L4068,'[2]tabela de preços'!$A:$G,7,0)</f>
        <v>AUTOMOTIVO</v>
      </c>
    </row>
    <row r="4069" spans="1:24" x14ac:dyDescent="0.3">
      <c r="A4069" t="s">
        <v>963</v>
      </c>
      <c r="B4069" t="s">
        <v>964</v>
      </c>
      <c r="C4069" t="s">
        <v>3574</v>
      </c>
      <c r="D4069" s="1">
        <v>46077</v>
      </c>
      <c r="E4069" t="s">
        <v>3575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244</v>
      </c>
      <c r="J4069" t="s">
        <v>967</v>
      </c>
      <c r="K4069" t="s">
        <v>968</v>
      </c>
      <c r="L4069">
        <v>10277</v>
      </c>
      <c r="M4069" t="s">
        <v>135</v>
      </c>
      <c r="O4069" t="s">
        <v>11</v>
      </c>
      <c r="P4069">
        <v>6102</v>
      </c>
      <c r="Q4069">
        <v>12</v>
      </c>
      <c r="R4069">
        <v>15.89</v>
      </c>
      <c r="S4069">
        <v>190.68</v>
      </c>
      <c r="T4069">
        <v>154.56</v>
      </c>
      <c r="U4069">
        <v>18.940000000000001</v>
      </c>
      <c r="V4069" t="str">
        <f>VLOOKUP(L4069,'[2]tabela de preços'!$A:$D,4,0)</f>
        <v>RETOQUE</v>
      </c>
      <c r="W4069" t="str">
        <f>VLOOKUP(L4069,'[2]tabela de preços'!$A:$F,6,0)</f>
        <v xml:space="preserve">COLA  PLÁSTICA </v>
      </c>
      <c r="X4069" t="str">
        <f>VLOOKUP(L4069,'[2]tabela de preços'!$A:$G,7,0)</f>
        <v>AUTOMOTIVO</v>
      </c>
    </row>
    <row r="4070" spans="1:24" x14ac:dyDescent="0.3">
      <c r="A4070" t="s">
        <v>963</v>
      </c>
      <c r="B4070" t="s">
        <v>964</v>
      </c>
      <c r="C4070" t="s">
        <v>3574</v>
      </c>
      <c r="D4070" s="1">
        <v>46077</v>
      </c>
      <c r="E4070" t="s">
        <v>3575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244</v>
      </c>
      <c r="J4070" t="s">
        <v>967</v>
      </c>
      <c r="K4070" t="s">
        <v>968</v>
      </c>
      <c r="L4070">
        <v>13</v>
      </c>
      <c r="M4070" t="s">
        <v>152</v>
      </c>
      <c r="O4070" t="s">
        <v>11</v>
      </c>
      <c r="P4070">
        <v>6102</v>
      </c>
      <c r="Q4070">
        <v>50</v>
      </c>
      <c r="R4070">
        <v>5.79</v>
      </c>
      <c r="S4070">
        <v>289.5</v>
      </c>
      <c r="T4070">
        <v>208</v>
      </c>
      <c r="U4070">
        <v>28.15</v>
      </c>
      <c r="V4070" t="str">
        <f>VLOOKUP(L4070,'[2]tabela de preços'!$A:$D,4,0)</f>
        <v>3M</v>
      </c>
      <c r="W4070" t="str">
        <f>VLOOKUP(L4070,'[2]tabela de preços'!$A:$F,6,0)</f>
        <v>LIXA DÁGUA</v>
      </c>
      <c r="X4070" t="str">
        <f>VLOOKUP(L4070,'[2]tabela de preços'!$A:$G,7,0)</f>
        <v>AUTOMOTIVO</v>
      </c>
    </row>
    <row r="4071" spans="1:24" x14ac:dyDescent="0.3">
      <c r="A4071" t="s">
        <v>963</v>
      </c>
      <c r="B4071" t="s">
        <v>964</v>
      </c>
      <c r="C4071" t="s">
        <v>3574</v>
      </c>
      <c r="D4071" s="1">
        <v>46077</v>
      </c>
      <c r="E4071" t="s">
        <v>3575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244</v>
      </c>
      <c r="J4071" t="s">
        <v>967</v>
      </c>
      <c r="K4071" t="s">
        <v>968</v>
      </c>
      <c r="L4071">
        <v>15</v>
      </c>
      <c r="M4071" t="s">
        <v>205</v>
      </c>
      <c r="O4071" t="s">
        <v>11</v>
      </c>
      <c r="P4071">
        <v>6102</v>
      </c>
      <c r="Q4071">
        <v>100</v>
      </c>
      <c r="R4071">
        <v>5.79</v>
      </c>
      <c r="S4071">
        <v>579</v>
      </c>
      <c r="T4071">
        <v>416</v>
      </c>
      <c r="U4071">
        <v>28.15</v>
      </c>
      <c r="V4071" t="str">
        <f>VLOOKUP(L4071,'[2]tabela de preços'!$A:$D,4,0)</f>
        <v>3M</v>
      </c>
      <c r="W4071" t="str">
        <f>VLOOKUP(L4071,'[2]tabela de preços'!$A:$F,6,0)</f>
        <v>LIXA DÁGUA</v>
      </c>
      <c r="X4071" t="str">
        <f>VLOOKUP(L4071,'[2]tabela de preços'!$A:$G,7,0)</f>
        <v>AUTOMOTIVO</v>
      </c>
    </row>
    <row r="4072" spans="1:24" x14ac:dyDescent="0.3">
      <c r="A4072" t="s">
        <v>963</v>
      </c>
      <c r="B4072" t="s">
        <v>964</v>
      </c>
      <c r="C4072" t="s">
        <v>3574</v>
      </c>
      <c r="D4072" s="1">
        <v>46077</v>
      </c>
      <c r="E4072" t="s">
        <v>3575</v>
      </c>
      <c r="F4072">
        <v>9</v>
      </c>
      <c r="G4072">
        <v>197</v>
      </c>
      <c r="H4072" t="str">
        <f>VLOOKUP(G4072,[1]OPERADORES!$A:$B,2,0)</f>
        <v xml:space="preserve">POLIANA LORRANE DE AMORIM </v>
      </c>
      <c r="I4072" t="s">
        <v>244</v>
      </c>
      <c r="J4072" t="s">
        <v>967</v>
      </c>
      <c r="K4072" t="s">
        <v>968</v>
      </c>
      <c r="L4072">
        <v>20577</v>
      </c>
      <c r="M4072" t="s">
        <v>1889</v>
      </c>
      <c r="O4072" t="s">
        <v>11</v>
      </c>
      <c r="P4072">
        <v>6102</v>
      </c>
      <c r="Q4072">
        <v>100</v>
      </c>
      <c r="R4072">
        <v>2.88</v>
      </c>
      <c r="S4072">
        <v>288</v>
      </c>
      <c r="T4072">
        <v>219</v>
      </c>
      <c r="U4072">
        <v>23.96</v>
      </c>
      <c r="V4072" t="str">
        <f>VLOOKUP(L4072,'[2]tabela de preços'!$A:$D,4,0)</f>
        <v>3M</v>
      </c>
      <c r="W4072" t="str">
        <f>VLOOKUP(L4072,'[2]tabela de preços'!$A:$F,6,0)</f>
        <v>LIXA FERRO</v>
      </c>
      <c r="X4072" t="str">
        <f>VLOOKUP(L4072,'[2]tabela de preços'!$A:$G,7,0)</f>
        <v>IMOBILIÁRIO</v>
      </c>
    </row>
    <row r="4073" spans="1:24" x14ac:dyDescent="0.3">
      <c r="A4073" t="s">
        <v>963</v>
      </c>
      <c r="B4073" t="s">
        <v>964</v>
      </c>
      <c r="C4073" t="s">
        <v>3574</v>
      </c>
      <c r="D4073" s="1">
        <v>46077</v>
      </c>
      <c r="E4073" t="s">
        <v>3575</v>
      </c>
      <c r="F4073">
        <v>9</v>
      </c>
      <c r="G4073">
        <v>197</v>
      </c>
      <c r="H4073" t="str">
        <f>VLOOKUP(G4073,[1]OPERADORES!$A:$B,2,0)</f>
        <v xml:space="preserve">POLIANA LORRANE DE AMORIM </v>
      </c>
      <c r="I4073" t="s">
        <v>244</v>
      </c>
      <c r="J4073" t="s">
        <v>967</v>
      </c>
      <c r="K4073" t="s">
        <v>968</v>
      </c>
      <c r="L4073">
        <v>87043</v>
      </c>
      <c r="M4073" t="s">
        <v>217</v>
      </c>
      <c r="O4073" t="s">
        <v>11</v>
      </c>
      <c r="P4073">
        <v>6102</v>
      </c>
      <c r="Q4073">
        <v>40</v>
      </c>
      <c r="R4073">
        <v>21.95</v>
      </c>
      <c r="S4073">
        <v>878</v>
      </c>
      <c r="T4073">
        <v>720.8</v>
      </c>
      <c r="U4073">
        <v>17.899999999999999</v>
      </c>
      <c r="V4073" t="str">
        <f>VLOOKUP(L4073,'[2]tabela de preços'!$A:$D,4,0)</f>
        <v>ROBERLO</v>
      </c>
      <c r="W4073" t="str">
        <f>VLOOKUP(L4073,'[2]tabela de preços'!$A:$F,6,0)</f>
        <v>MASSA POLIÉSTER</v>
      </c>
      <c r="X4073" t="str">
        <f>VLOOKUP(L4073,'[2]tabela de preços'!$A:$G,7,0)</f>
        <v>AUTOMOTIVO</v>
      </c>
    </row>
    <row r="4074" spans="1:24" x14ac:dyDescent="0.3">
      <c r="A4074" t="s">
        <v>963</v>
      </c>
      <c r="B4074" t="s">
        <v>964</v>
      </c>
      <c r="C4074" t="s">
        <v>3574</v>
      </c>
      <c r="D4074" s="1">
        <v>46077</v>
      </c>
      <c r="E4074" t="s">
        <v>3575</v>
      </c>
      <c r="F4074">
        <v>9</v>
      </c>
      <c r="G4074">
        <v>197</v>
      </c>
      <c r="H4074" t="str">
        <f>VLOOKUP(G4074,[1]OPERADORES!$A:$B,2,0)</f>
        <v xml:space="preserve">POLIANA LORRANE DE AMORIM </v>
      </c>
      <c r="I4074" t="s">
        <v>244</v>
      </c>
      <c r="J4074" t="s">
        <v>967</v>
      </c>
      <c r="K4074" t="s">
        <v>968</v>
      </c>
      <c r="L4074">
        <v>10298</v>
      </c>
      <c r="M4074" t="s">
        <v>85</v>
      </c>
      <c r="O4074" t="s">
        <v>11</v>
      </c>
      <c r="P4074">
        <v>6102</v>
      </c>
      <c r="Q4074">
        <v>20</v>
      </c>
      <c r="R4074">
        <v>54.9</v>
      </c>
      <c r="S4074" s="2">
        <v>1098</v>
      </c>
      <c r="T4074">
        <v>947.6</v>
      </c>
      <c r="U4074">
        <v>13.7</v>
      </c>
      <c r="V4074" t="str">
        <f>VLOOKUP(L4074,'[2]tabela de preços'!$A:$D,4,0)</f>
        <v>ANJO</v>
      </c>
      <c r="W4074" t="str">
        <f>VLOOKUP(L4074,'[2]tabela de preços'!$A:$F,6,0)</f>
        <v>THINNER DE LIMPEZA</v>
      </c>
      <c r="X4074" t="str">
        <f>VLOOKUP(L4074,'[2]tabela de preços'!$A:$G,7,0)</f>
        <v>THINNER</v>
      </c>
    </row>
    <row r="4075" spans="1:24" x14ac:dyDescent="0.3">
      <c r="A4075" t="s">
        <v>963</v>
      </c>
      <c r="B4075" t="s">
        <v>964</v>
      </c>
      <c r="C4075" t="s">
        <v>3574</v>
      </c>
      <c r="D4075" s="1">
        <v>46077</v>
      </c>
      <c r="E4075" t="s">
        <v>3575</v>
      </c>
      <c r="F4075">
        <v>9</v>
      </c>
      <c r="G4075">
        <v>197</v>
      </c>
      <c r="H4075" t="str">
        <f>VLOOKUP(G4075,[1]OPERADORES!$A:$B,2,0)</f>
        <v xml:space="preserve">POLIANA LORRANE DE AMORIM </v>
      </c>
      <c r="I4075" t="s">
        <v>244</v>
      </c>
      <c r="J4075" t="s">
        <v>967</v>
      </c>
      <c r="K4075" t="s">
        <v>968</v>
      </c>
      <c r="L4075">
        <v>10297</v>
      </c>
      <c r="M4075" t="s">
        <v>41</v>
      </c>
      <c r="O4075" t="s">
        <v>11</v>
      </c>
      <c r="P4075">
        <v>6102</v>
      </c>
      <c r="Q4075">
        <v>48</v>
      </c>
      <c r="R4075">
        <v>10.49</v>
      </c>
      <c r="S4075">
        <v>503.52</v>
      </c>
      <c r="T4075">
        <v>440.16</v>
      </c>
      <c r="U4075">
        <v>12.58</v>
      </c>
      <c r="V4075" t="str">
        <f>VLOOKUP(L4075,'[2]tabela de preços'!$A:$D,4,0)</f>
        <v>ANJO</v>
      </c>
      <c r="W4075" t="str">
        <f>VLOOKUP(L4075,'[2]tabela de preços'!$A:$F,6,0)</f>
        <v>THINNER DE LIMPEZA</v>
      </c>
      <c r="X4075" t="str">
        <f>VLOOKUP(L4075,'[2]tabela de preços'!$A:$G,7,0)</f>
        <v>THINNER</v>
      </c>
    </row>
    <row r="4076" spans="1:24" x14ac:dyDescent="0.3">
      <c r="A4076" t="s">
        <v>974</v>
      </c>
      <c r="C4076" t="s">
        <v>3576</v>
      </c>
      <c r="D4076" s="1">
        <v>46077</v>
      </c>
      <c r="E4076" t="s">
        <v>3577</v>
      </c>
      <c r="F4076">
        <v>9</v>
      </c>
      <c r="G4076">
        <v>197</v>
      </c>
      <c r="H4076" t="str">
        <f>VLOOKUP(G4076,[1]OPERADORES!$A:$B,2,0)</f>
        <v xml:space="preserve">POLIANA LORRANE DE AMORIM </v>
      </c>
      <c r="I4076" t="s">
        <v>21</v>
      </c>
      <c r="J4076" t="s">
        <v>397</v>
      </c>
      <c r="K4076" t="s">
        <v>977</v>
      </c>
      <c r="L4076">
        <v>84113</v>
      </c>
      <c r="M4076" t="s">
        <v>737</v>
      </c>
      <c r="O4076" t="s">
        <v>11</v>
      </c>
      <c r="P4076">
        <v>5403</v>
      </c>
      <c r="Q4076">
        <v>3</v>
      </c>
      <c r="R4076">
        <v>159.41999999999999</v>
      </c>
      <c r="S4076">
        <v>478.26</v>
      </c>
      <c r="T4076">
        <v>350.64</v>
      </c>
      <c r="U4076">
        <v>26.68</v>
      </c>
      <c r="V4076" t="str">
        <f>VLOOKUP(L4076,'[2]tabela de preços'!$A:$D,4,0)</f>
        <v>BRASILUX</v>
      </c>
      <c r="W4076" t="str">
        <f>VLOOKUP(L4076,'[2]tabela de preços'!$A:$F,6,0)</f>
        <v>EPOXI</v>
      </c>
      <c r="X4076" t="str">
        <f>VLOOKUP(L4076,'[2]tabela de preços'!$A:$G,7,0)</f>
        <v>INDUSTRIAL</v>
      </c>
    </row>
    <row r="4077" spans="1:24" x14ac:dyDescent="0.3">
      <c r="A4077" t="s">
        <v>3383</v>
      </c>
      <c r="C4077" t="s">
        <v>3468</v>
      </c>
      <c r="D4077" s="1">
        <v>46076</v>
      </c>
      <c r="E4077" t="s">
        <v>3469</v>
      </c>
      <c r="F4077">
        <v>9</v>
      </c>
      <c r="G4077">
        <v>197</v>
      </c>
      <c r="H4077" t="str">
        <f>VLOOKUP(G4077,[1]OPERADORES!$A:$B,2,0)</f>
        <v xml:space="preserve">POLIANA LORRANE DE AMORIM </v>
      </c>
      <c r="I4077" t="s">
        <v>21</v>
      </c>
      <c r="J4077" t="s">
        <v>750</v>
      </c>
      <c r="K4077" t="s">
        <v>3386</v>
      </c>
      <c r="L4077">
        <v>84697</v>
      </c>
      <c r="M4077" t="s">
        <v>3388</v>
      </c>
      <c r="O4077" t="s">
        <v>11</v>
      </c>
      <c r="P4077">
        <v>5403</v>
      </c>
      <c r="Q4077">
        <v>1</v>
      </c>
      <c r="R4077">
        <v>127.12</v>
      </c>
      <c r="S4077">
        <v>127.12</v>
      </c>
      <c r="T4077">
        <v>100.02</v>
      </c>
      <c r="U4077">
        <v>21.32</v>
      </c>
      <c r="V4077" t="str">
        <f>VLOOKUP(L4077,'[2]tabela de preços'!$A:$D,4,0)</f>
        <v>BRASILUX</v>
      </c>
      <c r="W4077" t="str">
        <f>VLOOKUP(L4077,'[2]tabela de preços'!$A:$F,6,0)</f>
        <v>EPOXI</v>
      </c>
      <c r="X4077" t="str">
        <f>VLOOKUP(L4077,'[2]tabela de preços'!$A:$G,7,0)</f>
        <v>INDUSTRIAL</v>
      </c>
    </row>
    <row r="4078" spans="1:24" x14ac:dyDescent="0.3">
      <c r="A4078" t="s">
        <v>3383</v>
      </c>
      <c r="C4078" t="s">
        <v>3470</v>
      </c>
      <c r="D4078" s="1">
        <v>46076</v>
      </c>
      <c r="E4078" t="s">
        <v>3471</v>
      </c>
      <c r="F4078">
        <v>9</v>
      </c>
      <c r="G4078">
        <v>197</v>
      </c>
      <c r="H4078" t="str">
        <f>VLOOKUP(G4078,[1]OPERADORES!$A:$B,2,0)</f>
        <v xml:space="preserve">POLIANA LORRANE DE AMORIM </v>
      </c>
      <c r="I4078" t="s">
        <v>21</v>
      </c>
      <c r="J4078" t="s">
        <v>750</v>
      </c>
      <c r="K4078" t="s">
        <v>3386</v>
      </c>
      <c r="L4078">
        <v>84697</v>
      </c>
      <c r="M4078" t="s">
        <v>3388</v>
      </c>
      <c r="O4078" t="s">
        <v>11</v>
      </c>
      <c r="P4078">
        <v>5403</v>
      </c>
      <c r="Q4078">
        <v>6</v>
      </c>
      <c r="R4078">
        <v>127.12</v>
      </c>
      <c r="S4078">
        <v>762.72</v>
      </c>
      <c r="T4078">
        <v>600.12</v>
      </c>
      <c r="U4078">
        <v>21.32</v>
      </c>
      <c r="V4078" t="str">
        <f>VLOOKUP(L4078,'[2]tabela de preços'!$A:$D,4,0)</f>
        <v>BRASILUX</v>
      </c>
      <c r="W4078" t="str">
        <f>VLOOKUP(L4078,'[2]tabela de preços'!$A:$F,6,0)</f>
        <v>EPOXI</v>
      </c>
      <c r="X4078" t="str">
        <f>VLOOKUP(L4078,'[2]tabela de preços'!$A:$G,7,0)</f>
        <v>INDUSTRIAL</v>
      </c>
    </row>
    <row r="4079" spans="1:24" x14ac:dyDescent="0.3">
      <c r="A4079" t="s">
        <v>1051</v>
      </c>
      <c r="C4079" t="s">
        <v>3578</v>
      </c>
      <c r="D4079" s="1">
        <v>46077</v>
      </c>
      <c r="E4079" t="s">
        <v>3579</v>
      </c>
      <c r="F4079">
        <v>9</v>
      </c>
      <c r="G4079">
        <v>174</v>
      </c>
      <c r="H4079" t="str">
        <f>VLOOKUP(G4079,[1]OPERADORES!$A:$B,2,0)</f>
        <v>MIRIÃ LOBATO RODRIGUES</v>
      </c>
      <c r="I4079" t="s">
        <v>602</v>
      </c>
      <c r="J4079" t="s">
        <v>1054</v>
      </c>
      <c r="K4079" t="s">
        <v>1055</v>
      </c>
      <c r="L4079">
        <v>23267</v>
      </c>
      <c r="M4079" t="s">
        <v>164</v>
      </c>
      <c r="O4079" t="s">
        <v>11</v>
      </c>
      <c r="P4079">
        <v>6102</v>
      </c>
      <c r="Q4079">
        <v>12</v>
      </c>
      <c r="R4079">
        <v>22.89</v>
      </c>
      <c r="S4079">
        <v>274.68</v>
      </c>
      <c r="T4079">
        <v>223.44</v>
      </c>
      <c r="U4079">
        <v>18.649999999999999</v>
      </c>
      <c r="V4079" t="str">
        <f>VLOOKUP(L4079,'[2]tabela de preços'!$A:$D,4,0)</f>
        <v>ANJO</v>
      </c>
      <c r="W4079" t="str">
        <f>VLOOKUP(L4079,'[2]tabela de preços'!$A:$F,6,0)</f>
        <v>MASSA POLIÉSTER</v>
      </c>
      <c r="X4079" t="str">
        <f>VLOOKUP(L4079,'[2]tabela de preços'!$A:$G,7,0)</f>
        <v>AUTOMOTIVO</v>
      </c>
    </row>
    <row r="4080" spans="1:24" x14ac:dyDescent="0.3">
      <c r="A4080" t="s">
        <v>1051</v>
      </c>
      <c r="C4080" t="s">
        <v>3578</v>
      </c>
      <c r="D4080" s="1">
        <v>46077</v>
      </c>
      <c r="E4080" t="s">
        <v>3579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602</v>
      </c>
      <c r="J4080" t="s">
        <v>1054</v>
      </c>
      <c r="K4080" t="s">
        <v>1055</v>
      </c>
      <c r="L4080">
        <v>84560</v>
      </c>
      <c r="M4080" t="s">
        <v>118</v>
      </c>
      <c r="O4080" t="s">
        <v>11</v>
      </c>
      <c r="P4080">
        <v>6102</v>
      </c>
      <c r="Q4080">
        <v>20</v>
      </c>
      <c r="R4080">
        <v>47.89</v>
      </c>
      <c r="S4080">
        <v>957.8</v>
      </c>
      <c r="T4080">
        <v>802.8</v>
      </c>
      <c r="U4080">
        <v>16.18</v>
      </c>
      <c r="V4080" t="str">
        <f>VLOOKUP(L4080,'[2]tabela de preços'!$A:$D,4,0)</f>
        <v>BRASILUX</v>
      </c>
      <c r="W4080" t="str">
        <f>VLOOKUP(L4080,'[2]tabela de preços'!$A:$F,6,0)</f>
        <v>THINNER DE LIMPEZA</v>
      </c>
      <c r="X4080" t="str">
        <f>VLOOKUP(L4080,'[2]tabela de preços'!$A:$G,7,0)</f>
        <v>THINNER</v>
      </c>
    </row>
    <row r="4081" spans="1:24" x14ac:dyDescent="0.3">
      <c r="A4081" t="s">
        <v>1064</v>
      </c>
      <c r="C4081" t="s">
        <v>3580</v>
      </c>
      <c r="D4081" s="1">
        <v>46077</v>
      </c>
      <c r="E4081" t="s">
        <v>3581</v>
      </c>
      <c r="F4081">
        <v>9</v>
      </c>
      <c r="G4081">
        <v>231</v>
      </c>
      <c r="H4081" t="str">
        <f>VLOOKUP(G4081,[1]OPERADORES!$A:$B,2,0)</f>
        <v>EDIJANE</v>
      </c>
      <c r="I4081" t="s">
        <v>21</v>
      </c>
      <c r="J4081" t="s">
        <v>66</v>
      </c>
      <c r="K4081" t="s">
        <v>1067</v>
      </c>
      <c r="L4081">
        <v>83870</v>
      </c>
      <c r="M4081" t="s">
        <v>191</v>
      </c>
      <c r="O4081" t="s">
        <v>11</v>
      </c>
      <c r="P4081">
        <v>5102</v>
      </c>
      <c r="Q4081">
        <v>3</v>
      </c>
      <c r="R4081">
        <v>41.3</v>
      </c>
      <c r="S4081">
        <v>123.9</v>
      </c>
      <c r="T4081">
        <v>94.05</v>
      </c>
      <c r="U4081">
        <v>24.09</v>
      </c>
      <c r="V4081" t="str">
        <f>VLOOKUP(L4081,'[2]tabela de preços'!$A:$D,4,0)</f>
        <v>VONIXX</v>
      </c>
      <c r="W4081" t="str">
        <f>VLOOKUP(L4081,'[2]tabela de preços'!$A:$F,6,0)</f>
        <v>LINHA DE HIGENIZAÇÃO E ESTÉTICA  AUTOMOTIVA</v>
      </c>
      <c r="X4081" t="str">
        <f>VLOOKUP(L4081,'[2]tabela de preços'!$A:$G,7,0)</f>
        <v>AUTOMOTIVO</v>
      </c>
    </row>
    <row r="4082" spans="1:24" x14ac:dyDescent="0.3">
      <c r="A4082" t="s">
        <v>1064</v>
      </c>
      <c r="C4082" t="s">
        <v>3580</v>
      </c>
      <c r="D4082" s="1">
        <v>46077</v>
      </c>
      <c r="E4082" t="s">
        <v>3581</v>
      </c>
      <c r="F4082">
        <v>9</v>
      </c>
      <c r="G4082">
        <v>231</v>
      </c>
      <c r="H4082" t="str">
        <f>VLOOKUP(G4082,[1]OPERADORES!$A:$B,2,0)</f>
        <v>EDIJANE</v>
      </c>
      <c r="I4082" t="s">
        <v>21</v>
      </c>
      <c r="J4082" t="s">
        <v>66</v>
      </c>
      <c r="K4082" t="s">
        <v>1067</v>
      </c>
      <c r="L4082">
        <v>24292</v>
      </c>
      <c r="M4082" t="s">
        <v>1068</v>
      </c>
      <c r="O4082" t="s">
        <v>11</v>
      </c>
      <c r="P4082">
        <v>5102</v>
      </c>
      <c r="Q4082">
        <v>3</v>
      </c>
      <c r="R4082">
        <v>41.3</v>
      </c>
      <c r="S4082">
        <v>123.9</v>
      </c>
      <c r="T4082">
        <v>94.05</v>
      </c>
      <c r="U4082">
        <v>24.09</v>
      </c>
      <c r="V4082" t="str">
        <f>VLOOKUP(L4082,'[2]tabela de preços'!$A:$D,4,0)</f>
        <v>VONIXX</v>
      </c>
      <c r="W4082" t="str">
        <f>VLOOKUP(L4082,'[2]tabela de preços'!$A:$F,6,0)</f>
        <v>LINHA DE HIGENIZAÇÃO E ESTÉTICA  AUTOMOTIVA</v>
      </c>
      <c r="X4082" t="str">
        <f>VLOOKUP(L4082,'[2]tabela de preços'!$A:$G,7,0)</f>
        <v>AUTOMOTIVO</v>
      </c>
    </row>
    <row r="4083" spans="1:24" x14ac:dyDescent="0.3">
      <c r="A4083" t="s">
        <v>1064</v>
      </c>
      <c r="C4083" t="s">
        <v>3580</v>
      </c>
      <c r="D4083" s="1">
        <v>46077</v>
      </c>
      <c r="E4083" t="s">
        <v>3581</v>
      </c>
      <c r="F4083">
        <v>9</v>
      </c>
      <c r="G4083">
        <v>231</v>
      </c>
      <c r="H4083" t="str">
        <f>VLOOKUP(G4083,[1]OPERADORES!$A:$B,2,0)</f>
        <v>EDIJANE</v>
      </c>
      <c r="I4083" t="s">
        <v>21</v>
      </c>
      <c r="J4083" t="s">
        <v>66</v>
      </c>
      <c r="K4083" t="s">
        <v>1067</v>
      </c>
      <c r="L4083">
        <v>84394</v>
      </c>
      <c r="M4083" t="s">
        <v>1358</v>
      </c>
      <c r="O4083" t="s">
        <v>11</v>
      </c>
      <c r="P4083">
        <v>5102</v>
      </c>
      <c r="Q4083">
        <v>1</v>
      </c>
      <c r="R4083">
        <v>24.74</v>
      </c>
      <c r="S4083">
        <v>24.74</v>
      </c>
      <c r="T4083">
        <v>18.78</v>
      </c>
      <c r="U4083">
        <v>24.09</v>
      </c>
      <c r="V4083" t="str">
        <f>VLOOKUP(L4083,'[2]tabela de preços'!$A:$D,4,0)</f>
        <v>VONIXX</v>
      </c>
      <c r="W4083" t="str">
        <f>VLOOKUP(L4083,'[2]tabela de preços'!$A:$F,6,0)</f>
        <v>LINHA DE HIGENIZAÇÃO E ESTÉTICA  AUTOMOTIVA</v>
      </c>
      <c r="X4083" t="str">
        <f>VLOOKUP(L4083,'[2]tabela de preços'!$A:$G,7,0)</f>
        <v>AUTOMOTIVO</v>
      </c>
    </row>
    <row r="4084" spans="1:24" x14ac:dyDescent="0.3">
      <c r="A4084" t="s">
        <v>1064</v>
      </c>
      <c r="C4084" t="s">
        <v>3580</v>
      </c>
      <c r="D4084" s="1">
        <v>46077</v>
      </c>
      <c r="E4084" t="s">
        <v>3581</v>
      </c>
      <c r="F4084">
        <v>9</v>
      </c>
      <c r="G4084">
        <v>231</v>
      </c>
      <c r="H4084" t="str">
        <f>VLOOKUP(G4084,[1]OPERADORES!$A:$B,2,0)</f>
        <v>EDIJANE</v>
      </c>
      <c r="I4084" t="s">
        <v>21</v>
      </c>
      <c r="J4084" t="s">
        <v>66</v>
      </c>
      <c r="K4084" t="s">
        <v>1067</v>
      </c>
      <c r="L4084">
        <v>24229</v>
      </c>
      <c r="M4084" t="s">
        <v>3582</v>
      </c>
      <c r="O4084" t="s">
        <v>11</v>
      </c>
      <c r="P4084">
        <v>5102</v>
      </c>
      <c r="Q4084">
        <v>3</v>
      </c>
      <c r="R4084">
        <v>29.72</v>
      </c>
      <c r="S4084">
        <v>89.16</v>
      </c>
      <c r="T4084">
        <v>67.680000000000007</v>
      </c>
      <c r="U4084">
        <v>24.09</v>
      </c>
      <c r="V4084" t="str">
        <f>VLOOKUP(L4084,'[2]tabela de preços'!$A:$D,4,0)</f>
        <v>VONIXX</v>
      </c>
      <c r="W4084" t="str">
        <f>VLOOKUP(L4084,'[2]tabela de preços'!$A:$F,6,0)</f>
        <v>LINHA DE HIGENIZAÇÃO E ESTÉTICA  AUTOMOTIVA</v>
      </c>
      <c r="X4084" t="str">
        <f>VLOOKUP(L4084,'[2]tabela de preços'!$A:$G,7,0)</f>
        <v>AUTOMOTIVO</v>
      </c>
    </row>
    <row r="4085" spans="1:24" x14ac:dyDescent="0.3">
      <c r="A4085" t="s">
        <v>1064</v>
      </c>
      <c r="C4085" t="s">
        <v>3580</v>
      </c>
      <c r="D4085" s="1">
        <v>46077</v>
      </c>
      <c r="E4085" t="s">
        <v>3581</v>
      </c>
      <c r="F4085">
        <v>9</v>
      </c>
      <c r="G4085">
        <v>231</v>
      </c>
      <c r="H4085" t="str">
        <f>VLOOKUP(G4085,[1]OPERADORES!$A:$B,2,0)</f>
        <v>EDIJANE</v>
      </c>
      <c r="I4085" t="s">
        <v>21</v>
      </c>
      <c r="J4085" t="s">
        <v>66</v>
      </c>
      <c r="K4085" t="s">
        <v>1067</v>
      </c>
      <c r="L4085">
        <v>24230</v>
      </c>
      <c r="M4085" t="s">
        <v>3583</v>
      </c>
      <c r="O4085" t="s">
        <v>11</v>
      </c>
      <c r="P4085">
        <v>5102</v>
      </c>
      <c r="Q4085">
        <v>1</v>
      </c>
      <c r="R4085">
        <v>30.54</v>
      </c>
      <c r="S4085">
        <v>30.54</v>
      </c>
      <c r="T4085">
        <v>23.18</v>
      </c>
      <c r="U4085">
        <v>24.1</v>
      </c>
      <c r="V4085" t="str">
        <f>VLOOKUP(L4085,'[2]tabela de preços'!$A:$D,4,0)</f>
        <v>VONIXX</v>
      </c>
      <c r="W4085" t="str">
        <f>VLOOKUP(L4085,'[2]tabela de preços'!$A:$F,6,0)</f>
        <v>LINHA DE HIGENIZAÇÃO E ESTÉTICA  AUTOMOTIVA</v>
      </c>
      <c r="X4085" t="str">
        <f>VLOOKUP(L4085,'[2]tabela de preços'!$A:$G,7,0)</f>
        <v>AUTOMOTIVO</v>
      </c>
    </row>
    <row r="4086" spans="1:24" x14ac:dyDescent="0.3">
      <c r="A4086" t="s">
        <v>1064</v>
      </c>
      <c r="C4086" t="s">
        <v>3580</v>
      </c>
      <c r="D4086" s="1">
        <v>46077</v>
      </c>
      <c r="E4086" t="s">
        <v>3581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66</v>
      </c>
      <c r="K4086" t="s">
        <v>1067</v>
      </c>
      <c r="L4086">
        <v>245</v>
      </c>
      <c r="M4086" t="s">
        <v>3584</v>
      </c>
      <c r="O4086" t="s">
        <v>11</v>
      </c>
      <c r="P4086">
        <v>5102</v>
      </c>
      <c r="Q4086">
        <v>1</v>
      </c>
      <c r="R4086">
        <v>56.22</v>
      </c>
      <c r="S4086">
        <v>56.22</v>
      </c>
      <c r="T4086">
        <v>42.67</v>
      </c>
      <c r="U4086">
        <v>24.1</v>
      </c>
      <c r="V4086" t="str">
        <f>VLOOKUP(L4086,'[2]tabela de preços'!$A:$D,4,0)</f>
        <v>VONIXX</v>
      </c>
      <c r="W4086" t="str">
        <f>VLOOKUP(L4086,'[2]tabela de preços'!$A:$F,6,0)</f>
        <v>LINHA DE HIGENIZAÇÃO E ESTÉTICA  AUTOMOTIVA</v>
      </c>
      <c r="X4086" t="str">
        <f>VLOOKUP(L4086,'[2]tabela de preços'!$A:$G,7,0)</f>
        <v>AUTOMOTIVO</v>
      </c>
    </row>
    <row r="4087" spans="1:24" x14ac:dyDescent="0.3">
      <c r="A4087" t="s">
        <v>1064</v>
      </c>
      <c r="C4087" t="s">
        <v>3580</v>
      </c>
      <c r="D4087" s="1">
        <v>46077</v>
      </c>
      <c r="E4087" t="s">
        <v>3581</v>
      </c>
      <c r="F4087">
        <v>9</v>
      </c>
      <c r="G4087">
        <v>231</v>
      </c>
      <c r="H4087" t="str">
        <f>VLOOKUP(G4087,[1]OPERADORES!$A:$B,2,0)</f>
        <v>EDIJANE</v>
      </c>
      <c r="I4087" t="s">
        <v>21</v>
      </c>
      <c r="J4087" t="s">
        <v>66</v>
      </c>
      <c r="K4087" t="s">
        <v>1067</v>
      </c>
      <c r="L4087">
        <v>24265</v>
      </c>
      <c r="M4087" t="s">
        <v>3026</v>
      </c>
      <c r="O4087" t="s">
        <v>11</v>
      </c>
      <c r="P4087">
        <v>5102</v>
      </c>
      <c r="Q4087">
        <v>1</v>
      </c>
      <c r="R4087">
        <v>28.07</v>
      </c>
      <c r="S4087">
        <v>28.07</v>
      </c>
      <c r="T4087">
        <v>21.3</v>
      </c>
      <c r="U4087">
        <v>24.12</v>
      </c>
      <c r="V4087" t="str">
        <f>VLOOKUP(L4087,'[2]tabela de preços'!$A:$D,4,0)</f>
        <v>VONIXX</v>
      </c>
      <c r="W4087" t="str">
        <f>VLOOKUP(L4087,'[2]tabela de preços'!$A:$F,6,0)</f>
        <v>LINHA DE HIGENIZAÇÃO E ESTÉTICA  AUTOMOTIVA</v>
      </c>
      <c r="X4087" t="str">
        <f>VLOOKUP(L4087,'[2]tabela de preços'!$A:$G,7,0)</f>
        <v>AUTOMOTIVO</v>
      </c>
    </row>
    <row r="4088" spans="1:24" x14ac:dyDescent="0.3">
      <c r="A4088" t="s">
        <v>1064</v>
      </c>
      <c r="C4088" t="s">
        <v>3580</v>
      </c>
      <c r="D4088" s="1">
        <v>46077</v>
      </c>
      <c r="E4088" t="s">
        <v>3581</v>
      </c>
      <c r="F4088">
        <v>9</v>
      </c>
      <c r="G4088">
        <v>231</v>
      </c>
      <c r="H4088" t="str">
        <f>VLOOKUP(G4088,[1]OPERADORES!$A:$B,2,0)</f>
        <v>EDIJANE</v>
      </c>
      <c r="I4088" t="s">
        <v>21</v>
      </c>
      <c r="J4088" t="s">
        <v>66</v>
      </c>
      <c r="K4088" t="s">
        <v>1067</v>
      </c>
      <c r="L4088">
        <v>83872</v>
      </c>
      <c r="M4088" t="s">
        <v>1076</v>
      </c>
      <c r="O4088" t="s">
        <v>11</v>
      </c>
      <c r="P4088">
        <v>5102</v>
      </c>
      <c r="Q4088">
        <v>6</v>
      </c>
      <c r="R4088">
        <v>22.26</v>
      </c>
      <c r="S4088">
        <v>133.56</v>
      </c>
      <c r="T4088">
        <v>101.4</v>
      </c>
      <c r="U4088">
        <v>24.08</v>
      </c>
      <c r="V4088" t="str">
        <f>VLOOKUP(L4088,'[2]tabela de preços'!$A:$D,4,0)</f>
        <v>VONIXX</v>
      </c>
      <c r="W4088" t="str">
        <f>VLOOKUP(L4088,'[2]tabela de preços'!$A:$F,6,0)</f>
        <v>LINHA DE HIGENIZAÇÃO E ESTÉTICA  AUTOMOTIVA</v>
      </c>
      <c r="X4088" t="str">
        <f>VLOOKUP(L4088,'[2]tabela de preços'!$A:$G,7,0)</f>
        <v>AUTOMOTIVO</v>
      </c>
    </row>
    <row r="4089" spans="1:24" x14ac:dyDescent="0.3">
      <c r="A4089" t="s">
        <v>1064</v>
      </c>
      <c r="C4089" t="s">
        <v>3580</v>
      </c>
      <c r="D4089" s="1">
        <v>46077</v>
      </c>
      <c r="E4089" t="s">
        <v>3581</v>
      </c>
      <c r="F4089">
        <v>9</v>
      </c>
      <c r="G4089">
        <v>231</v>
      </c>
      <c r="H4089" t="str">
        <f>VLOOKUP(G4089,[1]OPERADORES!$A:$B,2,0)</f>
        <v>EDIJANE</v>
      </c>
      <c r="I4089" t="s">
        <v>21</v>
      </c>
      <c r="J4089" t="s">
        <v>66</v>
      </c>
      <c r="K4089" t="s">
        <v>1067</v>
      </c>
      <c r="L4089">
        <v>24267</v>
      </c>
      <c r="M4089" t="s">
        <v>442</v>
      </c>
      <c r="O4089" t="s">
        <v>11</v>
      </c>
      <c r="P4089">
        <v>5102</v>
      </c>
      <c r="Q4089">
        <v>4</v>
      </c>
      <c r="R4089">
        <v>30.54</v>
      </c>
      <c r="S4089">
        <v>122.16</v>
      </c>
      <c r="T4089">
        <v>92.72</v>
      </c>
      <c r="U4089">
        <v>24.1</v>
      </c>
      <c r="V4089" t="str">
        <f>VLOOKUP(L4089,'[2]tabela de preços'!$A:$D,4,0)</f>
        <v>VONIXX</v>
      </c>
      <c r="W4089" t="str">
        <f>VLOOKUP(L4089,'[2]tabela de preços'!$A:$F,6,0)</f>
        <v>LINHA DE HIGENIZAÇÃO E ESTÉTICA  AUTOMOTIVA</v>
      </c>
      <c r="X4089" t="str">
        <f>VLOOKUP(L4089,'[2]tabela de preços'!$A:$G,7,0)</f>
        <v>AUTOMOTIVO</v>
      </c>
    </row>
    <row r="4090" spans="1:24" x14ac:dyDescent="0.3">
      <c r="A4090" t="s">
        <v>1064</v>
      </c>
      <c r="C4090" t="s">
        <v>3580</v>
      </c>
      <c r="D4090" s="1">
        <v>46077</v>
      </c>
      <c r="E4090" t="s">
        <v>3581</v>
      </c>
      <c r="F4090">
        <v>9</v>
      </c>
      <c r="G4090">
        <v>231</v>
      </c>
      <c r="H4090" t="str">
        <f>VLOOKUP(G4090,[1]OPERADORES!$A:$B,2,0)</f>
        <v>EDIJANE</v>
      </c>
      <c r="I4090" t="s">
        <v>21</v>
      </c>
      <c r="J4090" t="s">
        <v>66</v>
      </c>
      <c r="K4090" t="s">
        <v>1067</v>
      </c>
      <c r="L4090">
        <v>84401</v>
      </c>
      <c r="M4090" t="s">
        <v>1318</v>
      </c>
      <c r="O4090" t="s">
        <v>11</v>
      </c>
      <c r="P4090">
        <v>5102</v>
      </c>
      <c r="Q4090">
        <v>2</v>
      </c>
      <c r="R4090">
        <v>66.14</v>
      </c>
      <c r="S4090">
        <v>132.28</v>
      </c>
      <c r="T4090">
        <v>100.4</v>
      </c>
      <c r="U4090">
        <v>24.1</v>
      </c>
      <c r="V4090" t="str">
        <f>VLOOKUP(L4090,'[2]tabela de preços'!$A:$D,4,0)</f>
        <v>VONIXX</v>
      </c>
      <c r="W4090" t="str">
        <f>VLOOKUP(L4090,'[2]tabela de preços'!$A:$F,6,0)</f>
        <v>LINHA DE HIGENIZAÇÃO E ESTÉTICA  AUTOMOTIVA</v>
      </c>
      <c r="X4090" t="str">
        <f>VLOOKUP(L4090,'[2]tabela de preços'!$A:$G,7,0)</f>
        <v>AUTOMOTIVO</v>
      </c>
    </row>
    <row r="4091" spans="1:24" x14ac:dyDescent="0.3">
      <c r="A4091" t="s">
        <v>1064</v>
      </c>
      <c r="C4091" t="s">
        <v>3580</v>
      </c>
      <c r="D4091" s="1">
        <v>46077</v>
      </c>
      <c r="E4091" t="s">
        <v>3581</v>
      </c>
      <c r="F4091">
        <v>9</v>
      </c>
      <c r="G4091">
        <v>231</v>
      </c>
      <c r="H4091" t="str">
        <f>VLOOKUP(G4091,[1]OPERADORES!$A:$B,2,0)</f>
        <v>EDIJANE</v>
      </c>
      <c r="I4091" t="s">
        <v>21</v>
      </c>
      <c r="J4091" t="s">
        <v>66</v>
      </c>
      <c r="K4091" t="s">
        <v>1067</v>
      </c>
      <c r="L4091">
        <v>23446</v>
      </c>
      <c r="M4091" t="s">
        <v>3585</v>
      </c>
      <c r="O4091" t="s">
        <v>11</v>
      </c>
      <c r="P4091">
        <v>5102</v>
      </c>
      <c r="Q4091">
        <v>2</v>
      </c>
      <c r="R4091">
        <v>49.59</v>
      </c>
      <c r="S4091">
        <v>99.18</v>
      </c>
      <c r="T4091">
        <v>75.28</v>
      </c>
      <c r="U4091">
        <v>24.1</v>
      </c>
      <c r="V4091" t="str">
        <f>VLOOKUP(L4091,'[2]tabela de preços'!$A:$D,4,0)</f>
        <v>VONIXX</v>
      </c>
      <c r="W4091" t="str">
        <f>VLOOKUP(L4091,'[2]tabela de preços'!$A:$F,6,0)</f>
        <v>LINHA DE HIGENIZAÇÃO E ESTÉTICA  AUTOMOTIVA</v>
      </c>
      <c r="X4091" t="str">
        <f>VLOOKUP(L4091,'[2]tabela de preços'!$A:$G,7,0)</f>
        <v>AUTOMOTIVO</v>
      </c>
    </row>
    <row r="4092" spans="1:24" x14ac:dyDescent="0.3">
      <c r="A4092" t="s">
        <v>1080</v>
      </c>
      <c r="C4092" t="s">
        <v>3586</v>
      </c>
      <c r="D4092" s="1">
        <v>46078</v>
      </c>
      <c r="E4092" t="s">
        <v>3587</v>
      </c>
      <c r="F4092">
        <v>9</v>
      </c>
      <c r="G4092">
        <v>230</v>
      </c>
      <c r="H4092" t="str">
        <f>VLOOKUP(G4092,[1]OPERADORES!$A:$B,2,0)</f>
        <v>SÔNIA</v>
      </c>
      <c r="I4092" t="s">
        <v>715</v>
      </c>
      <c r="J4092" t="s">
        <v>1083</v>
      </c>
      <c r="K4092" t="s">
        <v>1084</v>
      </c>
      <c r="L4092">
        <v>23365</v>
      </c>
      <c r="M4092" t="s">
        <v>3007</v>
      </c>
      <c r="O4092" t="s">
        <v>11</v>
      </c>
      <c r="P4092">
        <v>6102</v>
      </c>
      <c r="Q4092">
        <v>3</v>
      </c>
      <c r="R4092">
        <v>60.66</v>
      </c>
      <c r="S4092">
        <v>181.98</v>
      </c>
      <c r="T4092">
        <v>138.12</v>
      </c>
      <c r="U4092">
        <v>24.1</v>
      </c>
      <c r="V4092" t="str">
        <f>VLOOKUP(L4092,'[2]tabela de preços'!$A:$D,4,0)</f>
        <v>SHERWIN WILLIAMS</v>
      </c>
      <c r="W4092" t="str">
        <f>VLOOKUP(L4092,'[2]tabela de preços'!$A:$F,6,0)</f>
        <v>CATALISADORES INDIVIDUAS</v>
      </c>
      <c r="X4092" t="str">
        <f>VLOOKUP(L4092,'[2]tabela de preços'!$A:$G,7,0)</f>
        <v>AUTOMOTIVO</v>
      </c>
    </row>
    <row r="4093" spans="1:24" x14ac:dyDescent="0.3">
      <c r="A4093" t="s">
        <v>1080</v>
      </c>
      <c r="C4093" t="s">
        <v>3586</v>
      </c>
      <c r="D4093" s="1">
        <v>46078</v>
      </c>
      <c r="E4093" t="s">
        <v>3587</v>
      </c>
      <c r="F4093">
        <v>9</v>
      </c>
      <c r="G4093">
        <v>230</v>
      </c>
      <c r="H4093" t="str">
        <f>VLOOKUP(G4093,[1]OPERADORES!$A:$B,2,0)</f>
        <v>SÔNIA</v>
      </c>
      <c r="I4093" t="s">
        <v>715</v>
      </c>
      <c r="J4093" t="s">
        <v>1083</v>
      </c>
      <c r="K4093" t="s">
        <v>1084</v>
      </c>
      <c r="L4093">
        <v>24240</v>
      </c>
      <c r="M4093" t="s">
        <v>240</v>
      </c>
      <c r="O4093" t="s">
        <v>11</v>
      </c>
      <c r="P4093">
        <v>6102</v>
      </c>
      <c r="Q4093">
        <v>100</v>
      </c>
      <c r="R4093">
        <v>3.81</v>
      </c>
      <c r="S4093">
        <v>381</v>
      </c>
      <c r="T4093">
        <v>328</v>
      </c>
      <c r="U4093">
        <v>13.91</v>
      </c>
      <c r="V4093" t="str">
        <f>VLOOKUP(L4093,'[2]tabela de preços'!$A:$D,4,0)</f>
        <v>ADERE</v>
      </c>
      <c r="W4093" t="str">
        <f>VLOOKUP(L4093,'[2]tabela de preços'!$A:$F,6,0)</f>
        <v>FITA AUTOMOTIVA</v>
      </c>
      <c r="X4093" t="str">
        <f>VLOOKUP(L4093,'[2]tabela de preços'!$A:$G,7,0)</f>
        <v>AUTOMOTIVO</v>
      </c>
    </row>
    <row r="4094" spans="1:24" x14ac:dyDescent="0.3">
      <c r="A4094" t="s">
        <v>1080</v>
      </c>
      <c r="C4094" t="s">
        <v>3586</v>
      </c>
      <c r="D4094" s="1">
        <v>46078</v>
      </c>
      <c r="E4094" t="s">
        <v>3587</v>
      </c>
      <c r="F4094">
        <v>9</v>
      </c>
      <c r="G4094">
        <v>230</v>
      </c>
      <c r="H4094" t="str">
        <f>VLOOKUP(G4094,[1]OPERADORES!$A:$B,2,0)</f>
        <v>SÔNIA</v>
      </c>
      <c r="I4094" t="s">
        <v>715</v>
      </c>
      <c r="J4094" t="s">
        <v>1083</v>
      </c>
      <c r="K4094" t="s">
        <v>1084</v>
      </c>
      <c r="L4094">
        <v>22180</v>
      </c>
      <c r="M4094" t="s">
        <v>404</v>
      </c>
      <c r="O4094" t="s">
        <v>11</v>
      </c>
      <c r="P4094">
        <v>6102</v>
      </c>
      <c r="Q4094">
        <v>5</v>
      </c>
      <c r="R4094">
        <v>19.29</v>
      </c>
      <c r="S4094">
        <v>96.45</v>
      </c>
      <c r="T4094">
        <v>73.2</v>
      </c>
      <c r="U4094">
        <v>24.11</v>
      </c>
      <c r="V4094" t="str">
        <f>VLOOKUP(L4094,'[2]tabela de preços'!$A:$D,4,0)</f>
        <v>MADRUGA</v>
      </c>
      <c r="W4094" t="str">
        <f>VLOOKUP(L4094,'[2]tabela de preços'!$A:$F,6,0)</f>
        <v>PAPEL DE MASCARAMENTO</v>
      </c>
      <c r="X4094" t="str">
        <f>VLOOKUP(L4094,'[2]tabela de preços'!$A:$G,7,0)</f>
        <v>AUTOMOTIVO</v>
      </c>
    </row>
    <row r="4095" spans="1:24" x14ac:dyDescent="0.3">
      <c r="A4095" t="s">
        <v>1080</v>
      </c>
      <c r="C4095" t="s">
        <v>3586</v>
      </c>
      <c r="D4095" s="1">
        <v>46078</v>
      </c>
      <c r="E4095" t="s">
        <v>3587</v>
      </c>
      <c r="F4095">
        <v>9</v>
      </c>
      <c r="G4095">
        <v>230</v>
      </c>
      <c r="H4095" t="str">
        <f>VLOOKUP(G4095,[1]OPERADORES!$A:$B,2,0)</f>
        <v>SÔNIA</v>
      </c>
      <c r="I4095" t="s">
        <v>715</v>
      </c>
      <c r="J4095" t="s">
        <v>1083</v>
      </c>
      <c r="K4095" t="s">
        <v>1084</v>
      </c>
      <c r="L4095">
        <v>10298</v>
      </c>
      <c r="M4095" t="s">
        <v>85</v>
      </c>
      <c r="O4095" t="s">
        <v>11</v>
      </c>
      <c r="P4095">
        <v>6102</v>
      </c>
      <c r="Q4095">
        <v>4</v>
      </c>
      <c r="R4095">
        <v>56.89</v>
      </c>
      <c r="S4095">
        <v>227.56</v>
      </c>
      <c r="T4095">
        <v>189.52</v>
      </c>
      <c r="U4095">
        <v>16.72</v>
      </c>
      <c r="V4095" t="str">
        <f>VLOOKUP(L4095,'[2]tabela de preços'!$A:$D,4,0)</f>
        <v>ANJO</v>
      </c>
      <c r="W4095" t="str">
        <f>VLOOKUP(L4095,'[2]tabela de preços'!$A:$F,6,0)</f>
        <v>THINNER DE LIMPEZA</v>
      </c>
      <c r="X4095" t="str">
        <f>VLOOKUP(L4095,'[2]tabela de preços'!$A:$G,7,0)</f>
        <v>THINNER</v>
      </c>
    </row>
    <row r="4096" spans="1:24" x14ac:dyDescent="0.3">
      <c r="A4096" t="s">
        <v>1080</v>
      </c>
      <c r="C4096" t="s">
        <v>3586</v>
      </c>
      <c r="D4096" s="1">
        <v>46078</v>
      </c>
      <c r="E4096" t="s">
        <v>3587</v>
      </c>
      <c r="F4096">
        <v>9</v>
      </c>
      <c r="G4096">
        <v>230</v>
      </c>
      <c r="H4096" t="str">
        <f>VLOOKUP(G4096,[1]OPERADORES!$A:$B,2,0)</f>
        <v>SÔNIA</v>
      </c>
      <c r="I4096" t="s">
        <v>715</v>
      </c>
      <c r="J4096" t="s">
        <v>1083</v>
      </c>
      <c r="K4096" t="s">
        <v>1084</v>
      </c>
      <c r="L4096">
        <v>20454</v>
      </c>
      <c r="M4096" t="s">
        <v>1086</v>
      </c>
      <c r="O4096" t="s">
        <v>11</v>
      </c>
      <c r="P4096">
        <v>6403</v>
      </c>
      <c r="Q4096">
        <v>1</v>
      </c>
      <c r="R4096">
        <v>184.14</v>
      </c>
      <c r="S4096">
        <v>184.14</v>
      </c>
      <c r="T4096">
        <v>139.77000000000001</v>
      </c>
      <c r="U4096">
        <v>24.1</v>
      </c>
      <c r="V4096" t="str">
        <f>VLOOKUP(L4096,'[2]tabela de preços'!$A:$D,4,0)</f>
        <v>SHERWIN WILLIAMS</v>
      </c>
      <c r="W4096" t="str">
        <f>VLOOKUP(L4096,'[2]tabela de preços'!$A:$F,6,0)</f>
        <v>VERNIZ AUTOMOTIVO</v>
      </c>
      <c r="X4096" t="str">
        <f>VLOOKUP(L4096,'[2]tabela de preços'!$A:$G,7,0)</f>
        <v>AUTOMOTIVO</v>
      </c>
    </row>
    <row r="4097" spans="1:24" x14ac:dyDescent="0.3">
      <c r="A4097" t="s">
        <v>3389</v>
      </c>
      <c r="C4097" t="s">
        <v>3588</v>
      </c>
      <c r="D4097" s="1">
        <v>46078</v>
      </c>
      <c r="E4097" t="s">
        <v>3589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1868</v>
      </c>
      <c r="K4097" t="s">
        <v>3392</v>
      </c>
      <c r="L4097">
        <v>84347</v>
      </c>
      <c r="M4097" t="s">
        <v>1150</v>
      </c>
      <c r="O4097" t="s">
        <v>11</v>
      </c>
      <c r="P4097">
        <v>5102</v>
      </c>
      <c r="Q4097">
        <v>1</v>
      </c>
      <c r="R4097">
        <v>64.180000000000007</v>
      </c>
      <c r="S4097">
        <v>64.180000000000007</v>
      </c>
      <c r="T4097">
        <v>52</v>
      </c>
      <c r="U4097">
        <v>18.98</v>
      </c>
      <c r="V4097" t="str">
        <f>VLOOKUP(L4097,'[2]tabela de preços'!$A:$D,4,0)</f>
        <v>BRASILUX</v>
      </c>
      <c r="W4097" t="str">
        <f>VLOOKUP(L4097,'[2]tabela de preços'!$A:$F,6,0)</f>
        <v>ESMALTES</v>
      </c>
      <c r="X4097" t="str">
        <f>VLOOKUP(L4097,'[2]tabela de preços'!$A:$G,7,0)</f>
        <v>INDUSTRIAL</v>
      </c>
    </row>
    <row r="4098" spans="1:24" x14ac:dyDescent="0.3">
      <c r="A4098" t="s">
        <v>3389</v>
      </c>
      <c r="C4098" t="s">
        <v>3588</v>
      </c>
      <c r="D4098" s="1">
        <v>46078</v>
      </c>
      <c r="E4098" t="s">
        <v>3589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1868</v>
      </c>
      <c r="K4098" t="s">
        <v>3392</v>
      </c>
      <c r="L4098">
        <v>86197</v>
      </c>
      <c r="M4098" t="s">
        <v>3590</v>
      </c>
      <c r="O4098" t="s">
        <v>11</v>
      </c>
      <c r="P4098">
        <v>5102</v>
      </c>
      <c r="Q4098">
        <v>1</v>
      </c>
      <c r="R4098">
        <v>538.32000000000005</v>
      </c>
      <c r="S4098">
        <v>538.32000000000005</v>
      </c>
      <c r="T4098">
        <v>383.83</v>
      </c>
      <c r="U4098">
        <v>28.7</v>
      </c>
      <c r="V4098" t="str">
        <f>VLOOKUP(L4098,'[2]tabela de preços'!$A:$D,4,0)</f>
        <v>CORAL</v>
      </c>
      <c r="W4098" t="str">
        <f>VLOOKUP(L4098,'[2]tabela de preços'!$A:$F,6,0)</f>
        <v>TINTA PAREDE</v>
      </c>
      <c r="X4098" t="str">
        <f>VLOOKUP(L4098,'[2]tabela de preços'!$A:$G,7,0)</f>
        <v>IMOBILIÁRIO</v>
      </c>
    </row>
    <row r="4099" spans="1:24" x14ac:dyDescent="0.3">
      <c r="A4099" t="s">
        <v>3389</v>
      </c>
      <c r="C4099" t="s">
        <v>3588</v>
      </c>
      <c r="D4099" s="1">
        <v>46078</v>
      </c>
      <c r="E4099" t="s">
        <v>3589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1868</v>
      </c>
      <c r="K4099" t="s">
        <v>3392</v>
      </c>
      <c r="L4099">
        <v>86711</v>
      </c>
      <c r="M4099" t="s">
        <v>34</v>
      </c>
      <c r="O4099" t="s">
        <v>11</v>
      </c>
      <c r="P4099">
        <v>5102</v>
      </c>
      <c r="Q4099">
        <v>1</v>
      </c>
      <c r="R4099">
        <v>27.67</v>
      </c>
      <c r="S4099">
        <v>27.67</v>
      </c>
      <c r="T4099">
        <v>19.73</v>
      </c>
      <c r="U4099">
        <v>28.7</v>
      </c>
      <c r="V4099" t="str">
        <f>VLOOKUP(L4099,'[2]tabela de preços'!$A:$D,4,0)</f>
        <v>CORAL</v>
      </c>
      <c r="W4099" t="str">
        <f>VLOOKUP(L4099,'[2]tabela de preços'!$A:$F,6,0)</f>
        <v>MASSA CORRIDA / ACRÍLICA</v>
      </c>
      <c r="X4099" t="str">
        <f>VLOOKUP(L4099,'[2]tabela de preços'!$A:$G,7,0)</f>
        <v>IMOBILIÁRIO</v>
      </c>
    </row>
    <row r="4100" spans="1:24" x14ac:dyDescent="0.3">
      <c r="A4100" t="s">
        <v>3389</v>
      </c>
      <c r="C4100" t="s">
        <v>3588</v>
      </c>
      <c r="D4100" s="1">
        <v>46078</v>
      </c>
      <c r="E4100" t="s">
        <v>3589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1868</v>
      </c>
      <c r="K4100" t="s">
        <v>3392</v>
      </c>
      <c r="L4100">
        <v>5</v>
      </c>
      <c r="M4100" t="s">
        <v>147</v>
      </c>
      <c r="O4100" t="s">
        <v>11</v>
      </c>
      <c r="P4100">
        <v>5102</v>
      </c>
      <c r="Q4100">
        <v>2</v>
      </c>
      <c r="R4100">
        <v>5.15</v>
      </c>
      <c r="S4100">
        <v>10.3</v>
      </c>
      <c r="T4100">
        <v>7.82</v>
      </c>
      <c r="U4100">
        <v>24.08</v>
      </c>
      <c r="V4100" t="str">
        <f>VLOOKUP(L4100,'[2]tabela de preços'!$A:$D,4,0)</f>
        <v>BRILHO ESTOPA</v>
      </c>
      <c r="W4100" t="str">
        <f>VLOOKUP(L4100,'[2]tabela de preços'!$A:$F,6,0)</f>
        <v>ESTOPAS</v>
      </c>
      <c r="X4100" t="str">
        <f>VLOOKUP(L4100,'[2]tabela de preços'!$A:$G,7,0)</f>
        <v>AUTOMOTIVO</v>
      </c>
    </row>
    <row r="4101" spans="1:24" x14ac:dyDescent="0.3">
      <c r="A4101" t="s">
        <v>3389</v>
      </c>
      <c r="C4101" t="s">
        <v>3588</v>
      </c>
      <c r="D4101" s="1">
        <v>46078</v>
      </c>
      <c r="E4101" t="s">
        <v>3589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1868</v>
      </c>
      <c r="K4101" t="s">
        <v>3392</v>
      </c>
      <c r="L4101">
        <v>84928</v>
      </c>
      <c r="M4101" t="s">
        <v>36</v>
      </c>
      <c r="O4101" t="s">
        <v>11</v>
      </c>
      <c r="P4101">
        <v>5102</v>
      </c>
      <c r="Q4101">
        <v>5</v>
      </c>
      <c r="R4101">
        <v>9.39</v>
      </c>
      <c r="S4101">
        <v>46.95</v>
      </c>
      <c r="T4101">
        <v>35.65</v>
      </c>
      <c r="U4101">
        <v>24.07</v>
      </c>
      <c r="V4101" t="str">
        <f>VLOOKUP(L4101,'[2]tabela de preços'!$A:$D,4,0)</f>
        <v>ADERE</v>
      </c>
      <c r="W4101" t="str">
        <f>VLOOKUP(L4101,'[2]tabela de preços'!$A:$F,6,0)</f>
        <v xml:space="preserve">FITA DE USO GERAL </v>
      </c>
      <c r="X4101" t="str">
        <f>VLOOKUP(L4101,'[2]tabela de preços'!$A:$G,7,0)</f>
        <v>IMOBILIÁRIO</v>
      </c>
    </row>
    <row r="4102" spans="1:24" x14ac:dyDescent="0.3">
      <c r="A4102" t="s">
        <v>3389</v>
      </c>
      <c r="C4102" t="s">
        <v>3588</v>
      </c>
      <c r="D4102" s="1">
        <v>46078</v>
      </c>
      <c r="E4102" t="s">
        <v>3589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1868</v>
      </c>
      <c r="K4102" t="s">
        <v>3392</v>
      </c>
      <c r="L4102">
        <v>84560</v>
      </c>
      <c r="M4102" t="s">
        <v>118</v>
      </c>
      <c r="O4102" t="s">
        <v>11</v>
      </c>
      <c r="P4102">
        <v>5102</v>
      </c>
      <c r="Q4102">
        <v>1</v>
      </c>
      <c r="R4102">
        <v>47.89</v>
      </c>
      <c r="S4102">
        <v>47.89</v>
      </c>
      <c r="T4102">
        <v>40.14</v>
      </c>
      <c r="U4102">
        <v>16.18</v>
      </c>
      <c r="V4102" t="str">
        <f>VLOOKUP(L4102,'[2]tabela de preços'!$A:$D,4,0)</f>
        <v>BRASILUX</v>
      </c>
      <c r="W4102" t="str">
        <f>VLOOKUP(L4102,'[2]tabela de preços'!$A:$F,6,0)</f>
        <v>THINNER DE LIMPEZA</v>
      </c>
      <c r="X4102" t="str">
        <f>VLOOKUP(L4102,'[2]tabela de preços'!$A:$G,7,0)</f>
        <v>THINNER</v>
      </c>
    </row>
    <row r="4103" spans="1:24" x14ac:dyDescent="0.3">
      <c r="A4103" t="s">
        <v>3389</v>
      </c>
      <c r="C4103" t="s">
        <v>3588</v>
      </c>
      <c r="D4103" s="1">
        <v>46078</v>
      </c>
      <c r="E4103" t="s">
        <v>3589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1868</v>
      </c>
      <c r="K4103" t="s">
        <v>3392</v>
      </c>
      <c r="L4103">
        <v>10117</v>
      </c>
      <c r="M4103" t="s">
        <v>1043</v>
      </c>
      <c r="O4103" t="s">
        <v>11</v>
      </c>
      <c r="P4103">
        <v>5102</v>
      </c>
      <c r="Q4103">
        <v>2</v>
      </c>
      <c r="R4103">
        <v>6.52</v>
      </c>
      <c r="S4103">
        <v>13.04</v>
      </c>
      <c r="T4103">
        <v>9.9</v>
      </c>
      <c r="U4103">
        <v>24.08</v>
      </c>
      <c r="V4103" t="str">
        <f>VLOOKUP(L4103,'[2]tabela de preços'!$A:$D,4,0)</f>
        <v>ATLAS</v>
      </c>
      <c r="W4103" t="str">
        <f>VLOOKUP(L4103,'[2]tabela de preços'!$A:$F,6,0)</f>
        <v>ROLOS / TRINCHAS / PINCÉIS / ESPÁTULAS</v>
      </c>
      <c r="X4103" t="str">
        <f>VLOOKUP(L4103,'[2]tabela de preços'!$A:$G,7,0)</f>
        <v>IMOBILIÁRIO</v>
      </c>
    </row>
    <row r="4104" spans="1:24" x14ac:dyDescent="0.3">
      <c r="A4104" t="s">
        <v>1112</v>
      </c>
      <c r="C4104" t="s">
        <v>3472</v>
      </c>
      <c r="D4104" s="1">
        <v>46076</v>
      </c>
      <c r="E4104" t="s">
        <v>3473</v>
      </c>
      <c r="F4104">
        <v>9</v>
      </c>
      <c r="G4104">
        <v>236</v>
      </c>
      <c r="H4104" t="str">
        <f>VLOOKUP(G4104,[1]OPERADORES!$A:$B,2,0)</f>
        <v>DANIEL</v>
      </c>
      <c r="I4104" t="s">
        <v>21</v>
      </c>
      <c r="J4104" t="s">
        <v>211</v>
      </c>
      <c r="K4104" t="s">
        <v>1115</v>
      </c>
      <c r="L4104">
        <v>23267</v>
      </c>
      <c r="M4104" t="s">
        <v>164</v>
      </c>
      <c r="O4104" t="s">
        <v>11</v>
      </c>
      <c r="P4104">
        <v>5102</v>
      </c>
      <c r="Q4104">
        <v>6</v>
      </c>
      <c r="R4104">
        <v>22.89</v>
      </c>
      <c r="S4104">
        <v>137.34</v>
      </c>
      <c r="T4104">
        <v>111.72</v>
      </c>
      <c r="U4104">
        <v>18.649999999999999</v>
      </c>
      <c r="V4104" t="str">
        <f>VLOOKUP(L4104,'[2]tabela de preços'!$A:$D,4,0)</f>
        <v>ANJO</v>
      </c>
      <c r="W4104" t="str">
        <f>VLOOKUP(L4104,'[2]tabela de preços'!$A:$F,6,0)</f>
        <v>MASSA POLIÉSTER</v>
      </c>
      <c r="X4104" t="str">
        <f>VLOOKUP(L4104,'[2]tabela de preços'!$A:$G,7,0)</f>
        <v>AUTOMOTIVO</v>
      </c>
    </row>
    <row r="4105" spans="1:24" x14ac:dyDescent="0.3">
      <c r="A4105" t="s">
        <v>1112</v>
      </c>
      <c r="C4105" t="s">
        <v>3472</v>
      </c>
      <c r="D4105" s="1">
        <v>46076</v>
      </c>
      <c r="E4105" t="s">
        <v>3473</v>
      </c>
      <c r="F4105">
        <v>9</v>
      </c>
      <c r="G4105">
        <v>236</v>
      </c>
      <c r="H4105" t="str">
        <f>VLOOKUP(G4105,[1]OPERADORES!$A:$B,2,0)</f>
        <v>DANIEL</v>
      </c>
      <c r="I4105" t="s">
        <v>21</v>
      </c>
      <c r="J4105" t="s">
        <v>211</v>
      </c>
      <c r="K4105" t="s">
        <v>1115</v>
      </c>
      <c r="L4105">
        <v>10298</v>
      </c>
      <c r="M4105" t="s">
        <v>85</v>
      </c>
      <c r="O4105" t="s">
        <v>11</v>
      </c>
      <c r="P4105">
        <v>5102</v>
      </c>
      <c r="Q4105">
        <v>4</v>
      </c>
      <c r="R4105">
        <v>56.89</v>
      </c>
      <c r="S4105">
        <v>227.56</v>
      </c>
      <c r="T4105">
        <v>189.52</v>
      </c>
      <c r="U4105">
        <v>16.72</v>
      </c>
      <c r="V4105" t="str">
        <f>VLOOKUP(L4105,'[2]tabela de preços'!$A:$D,4,0)</f>
        <v>ANJO</v>
      </c>
      <c r="W4105" t="str">
        <f>VLOOKUP(L4105,'[2]tabela de preços'!$A:$F,6,0)</f>
        <v>THINNER DE LIMPEZA</v>
      </c>
      <c r="X4105" t="str">
        <f>VLOOKUP(L4105,'[2]tabela de preços'!$A:$G,7,0)</f>
        <v>THINNER</v>
      </c>
    </row>
    <row r="4106" spans="1:24" x14ac:dyDescent="0.3">
      <c r="A4106" t="s">
        <v>1112</v>
      </c>
      <c r="C4106" t="s">
        <v>3591</v>
      </c>
      <c r="D4106" s="1">
        <v>46077</v>
      </c>
      <c r="E4106" t="s">
        <v>3592</v>
      </c>
      <c r="F4106">
        <v>9</v>
      </c>
      <c r="G4106">
        <v>236</v>
      </c>
      <c r="H4106" t="str">
        <f>VLOOKUP(G4106,[1]OPERADORES!$A:$B,2,0)</f>
        <v>DANIEL</v>
      </c>
      <c r="I4106" t="s">
        <v>21</v>
      </c>
      <c r="J4106" t="s">
        <v>211</v>
      </c>
      <c r="K4106" t="s">
        <v>1115</v>
      </c>
      <c r="L4106">
        <v>10277</v>
      </c>
      <c r="M4106" t="s">
        <v>135</v>
      </c>
      <c r="O4106" t="s">
        <v>11</v>
      </c>
      <c r="P4106">
        <v>5102</v>
      </c>
      <c r="Q4106">
        <v>6</v>
      </c>
      <c r="R4106">
        <v>15.89</v>
      </c>
      <c r="S4106">
        <v>95.34</v>
      </c>
      <c r="T4106">
        <v>77.28</v>
      </c>
      <c r="U4106">
        <v>18.940000000000001</v>
      </c>
      <c r="V4106" t="str">
        <f>VLOOKUP(L4106,'[2]tabela de preços'!$A:$D,4,0)</f>
        <v>RETOQUE</v>
      </c>
      <c r="W4106" t="str">
        <f>VLOOKUP(L4106,'[2]tabela de preços'!$A:$F,6,0)</f>
        <v xml:space="preserve">COLA  PLÁSTICA </v>
      </c>
      <c r="X4106" t="str">
        <f>VLOOKUP(L4106,'[2]tabela de preços'!$A:$G,7,0)</f>
        <v>AUTOMOTIVO</v>
      </c>
    </row>
    <row r="4107" spans="1:24" x14ac:dyDescent="0.3">
      <c r="A4107" t="s">
        <v>1112</v>
      </c>
      <c r="C4107" t="s">
        <v>3593</v>
      </c>
      <c r="D4107" s="1">
        <v>46078</v>
      </c>
      <c r="E4107" t="s">
        <v>3594</v>
      </c>
      <c r="F4107">
        <v>9</v>
      </c>
      <c r="G4107">
        <v>236</v>
      </c>
      <c r="H4107" t="str">
        <f>VLOOKUP(G4107,[1]OPERADORES!$A:$B,2,0)</f>
        <v>DANIEL</v>
      </c>
      <c r="I4107" t="s">
        <v>21</v>
      </c>
      <c r="J4107" t="s">
        <v>211</v>
      </c>
      <c r="K4107" t="s">
        <v>1115</v>
      </c>
      <c r="L4107">
        <v>22180</v>
      </c>
      <c r="M4107" t="s">
        <v>404</v>
      </c>
      <c r="O4107" t="s">
        <v>11</v>
      </c>
      <c r="P4107">
        <v>5102</v>
      </c>
      <c r="Q4107">
        <v>3</v>
      </c>
      <c r="R4107">
        <v>19.97</v>
      </c>
      <c r="S4107">
        <v>59.91</v>
      </c>
      <c r="T4107">
        <v>43.92</v>
      </c>
      <c r="U4107">
        <v>26.69</v>
      </c>
      <c r="V4107" t="str">
        <f>VLOOKUP(L4107,'[2]tabela de preços'!$A:$D,4,0)</f>
        <v>MADRUGA</v>
      </c>
      <c r="W4107" t="str">
        <f>VLOOKUP(L4107,'[2]tabela de preços'!$A:$F,6,0)</f>
        <v>PAPEL DE MASCARAMENTO</v>
      </c>
      <c r="X4107" t="str">
        <f>VLOOKUP(L4107,'[2]tabela de preços'!$A:$G,7,0)</f>
        <v>AUTOMOTIVO</v>
      </c>
    </row>
    <row r="4108" spans="1:24" x14ac:dyDescent="0.3">
      <c r="A4108" t="s">
        <v>3595</v>
      </c>
      <c r="C4108" t="s">
        <v>3596</v>
      </c>
      <c r="D4108" s="1">
        <v>46077</v>
      </c>
      <c r="E4108" t="s">
        <v>3597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550</v>
      </c>
      <c r="K4108" t="s">
        <v>3598</v>
      </c>
      <c r="L4108">
        <v>86995</v>
      </c>
      <c r="M4108" t="s">
        <v>2817</v>
      </c>
      <c r="O4108" t="s">
        <v>11</v>
      </c>
      <c r="P4108">
        <v>5102</v>
      </c>
      <c r="Q4108">
        <v>100</v>
      </c>
      <c r="R4108">
        <v>7.29</v>
      </c>
      <c r="S4108">
        <v>729</v>
      </c>
      <c r="T4108">
        <v>583</v>
      </c>
      <c r="U4108">
        <v>20.03</v>
      </c>
      <c r="V4108" t="str">
        <f>VLOOKUP(L4108,'[2]tabela de preços'!$A:$D,4,0)</f>
        <v>AUTOAMERICA</v>
      </c>
      <c r="W4108" t="str">
        <f>VLOOKUP(L4108,'[2]tabela de preços'!$A:$F,6,0)</f>
        <v>FLANELAS / PANOS</v>
      </c>
      <c r="X4108" t="str">
        <f>VLOOKUP(L4108,'[2]tabela de preços'!$A:$G,7,0)</f>
        <v>AUTOMOTIVO</v>
      </c>
    </row>
    <row r="4109" spans="1:24" x14ac:dyDescent="0.3">
      <c r="A4109" t="s">
        <v>3595</v>
      </c>
      <c r="C4109" t="s">
        <v>3596</v>
      </c>
      <c r="D4109" s="1">
        <v>46077</v>
      </c>
      <c r="E4109" t="s">
        <v>3597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550</v>
      </c>
      <c r="K4109" t="s">
        <v>3598</v>
      </c>
      <c r="L4109">
        <v>23399</v>
      </c>
      <c r="M4109" t="s">
        <v>462</v>
      </c>
      <c r="O4109" t="s">
        <v>11</v>
      </c>
      <c r="P4109">
        <v>5102</v>
      </c>
      <c r="Q4109">
        <v>2</v>
      </c>
      <c r="R4109">
        <v>231.14</v>
      </c>
      <c r="S4109">
        <v>462.28</v>
      </c>
      <c r="T4109">
        <v>350.88</v>
      </c>
      <c r="U4109">
        <v>24.1</v>
      </c>
      <c r="V4109" t="str">
        <f>VLOOKUP(L4109,'[2]tabela de preços'!$A:$D,4,0)</f>
        <v>3M</v>
      </c>
      <c r="W4109" t="str">
        <f>VLOOKUP(L4109,'[2]tabela de preços'!$A:$F,6,0)</f>
        <v>EPI´S</v>
      </c>
      <c r="X4109" t="str">
        <f>VLOOKUP(L4109,'[2]tabela de preços'!$A:$G,7,0)</f>
        <v>AUTOMOTIVO</v>
      </c>
    </row>
    <row r="4110" spans="1:24" x14ac:dyDescent="0.3">
      <c r="A4110" t="s">
        <v>3595</v>
      </c>
      <c r="C4110" t="s">
        <v>3596</v>
      </c>
      <c r="D4110" s="1">
        <v>46077</v>
      </c>
      <c r="E4110" t="s">
        <v>3597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550</v>
      </c>
      <c r="K4110" t="s">
        <v>3598</v>
      </c>
      <c r="L4110">
        <v>21321</v>
      </c>
      <c r="M4110" t="s">
        <v>272</v>
      </c>
      <c r="O4110" t="s">
        <v>11</v>
      </c>
      <c r="P4110">
        <v>5102</v>
      </c>
      <c r="Q4110">
        <v>6</v>
      </c>
      <c r="R4110">
        <v>20.239999999999998</v>
      </c>
      <c r="S4110">
        <v>121.44</v>
      </c>
      <c r="T4110">
        <v>92.16</v>
      </c>
      <c r="U4110">
        <v>24.11</v>
      </c>
      <c r="V4110" t="str">
        <f>VLOOKUP(L4110,'[2]tabela de preços'!$A:$D,4,0)</f>
        <v>AUTO AMERICA</v>
      </c>
      <c r="W4110" t="str">
        <f>VLOOKUP(L4110,'[2]tabela de preços'!$A:$F,6,0)</f>
        <v>CERA  / LIMPEZA /  POLIMENTO VEICULAR</v>
      </c>
      <c r="X4110" t="str">
        <f>VLOOKUP(L4110,'[2]tabela de preços'!$A:$G,7,0)</f>
        <v>AUTOMOTIVO</v>
      </c>
    </row>
    <row r="4111" spans="1:24" x14ac:dyDescent="0.3">
      <c r="A4111" t="s">
        <v>1163</v>
      </c>
      <c r="B4111" t="s">
        <v>1164</v>
      </c>
      <c r="C4111" t="s">
        <v>3599</v>
      </c>
      <c r="D4111" s="1">
        <v>46078</v>
      </c>
      <c r="E4111" t="s">
        <v>3600</v>
      </c>
      <c r="F4111">
        <v>9</v>
      </c>
      <c r="G4111">
        <v>230</v>
      </c>
      <c r="H4111" t="str">
        <f>VLOOKUP(G4111,[1]OPERADORES!$A:$B,2,0)</f>
        <v>SÔNIA</v>
      </c>
      <c r="I4111" t="s">
        <v>21</v>
      </c>
      <c r="J4111" t="s">
        <v>211</v>
      </c>
      <c r="K4111" t="s">
        <v>1167</v>
      </c>
      <c r="L4111">
        <v>20817</v>
      </c>
      <c r="M4111" t="s">
        <v>153</v>
      </c>
      <c r="O4111" t="s">
        <v>11</v>
      </c>
      <c r="P4111">
        <v>5102</v>
      </c>
      <c r="Q4111">
        <v>4</v>
      </c>
      <c r="R4111">
        <v>22.89</v>
      </c>
      <c r="S4111">
        <v>91.56</v>
      </c>
      <c r="T4111">
        <v>74.48</v>
      </c>
      <c r="U4111">
        <v>18.649999999999999</v>
      </c>
      <c r="V4111" t="str">
        <f>VLOOKUP(L4111,'[2]tabela de preços'!$A:$D,4,0)</f>
        <v>AUTO AMERICA</v>
      </c>
      <c r="W4111" t="str">
        <f>VLOOKUP(L4111,'[2]tabela de preços'!$A:$F,6,0)</f>
        <v>MASSA DE POLIR</v>
      </c>
      <c r="X4111" t="str">
        <f>VLOOKUP(L4111,'[2]tabela de preços'!$A:$G,7,0)</f>
        <v>AUTOMOTIVO</v>
      </c>
    </row>
    <row r="4112" spans="1:24" x14ac:dyDescent="0.3">
      <c r="A4112" t="s">
        <v>1163</v>
      </c>
      <c r="B4112" t="s">
        <v>1164</v>
      </c>
      <c r="C4112" t="s">
        <v>3599</v>
      </c>
      <c r="D4112" s="1">
        <v>46078</v>
      </c>
      <c r="E4112" t="s">
        <v>3600</v>
      </c>
      <c r="F4112">
        <v>9</v>
      </c>
      <c r="G4112">
        <v>230</v>
      </c>
      <c r="H4112" t="str">
        <f>VLOOKUP(G4112,[1]OPERADORES!$A:$B,2,0)</f>
        <v>SÔNIA</v>
      </c>
      <c r="I4112" t="s">
        <v>21</v>
      </c>
      <c r="J4112" t="s">
        <v>211</v>
      </c>
      <c r="K4112" t="s">
        <v>1167</v>
      </c>
      <c r="L4112">
        <v>23267</v>
      </c>
      <c r="M4112" t="s">
        <v>164</v>
      </c>
      <c r="O4112" t="s">
        <v>11</v>
      </c>
      <c r="P4112">
        <v>5102</v>
      </c>
      <c r="Q4112">
        <v>5</v>
      </c>
      <c r="R4112">
        <v>22.89</v>
      </c>
      <c r="S4112">
        <v>114.45</v>
      </c>
      <c r="T4112">
        <v>93.1</v>
      </c>
      <c r="U4112">
        <v>18.649999999999999</v>
      </c>
      <c r="V4112" t="str">
        <f>VLOOKUP(L4112,'[2]tabela de preços'!$A:$D,4,0)</f>
        <v>ANJO</v>
      </c>
      <c r="W4112" t="str">
        <f>VLOOKUP(L4112,'[2]tabela de preços'!$A:$F,6,0)</f>
        <v>MASSA POLIÉSTER</v>
      </c>
      <c r="X4112" t="str">
        <f>VLOOKUP(L4112,'[2]tabela de preços'!$A:$G,7,0)</f>
        <v>AUTOMOTIVO</v>
      </c>
    </row>
    <row r="4113" spans="1:24" x14ac:dyDescent="0.3">
      <c r="A4113" t="s">
        <v>1199</v>
      </c>
      <c r="C4113" t="s">
        <v>3474</v>
      </c>
      <c r="D4113" s="1">
        <v>46076</v>
      </c>
      <c r="E4113" t="s">
        <v>3475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1128</v>
      </c>
      <c r="K4113" t="s">
        <v>1202</v>
      </c>
      <c r="L4113">
        <v>84936</v>
      </c>
      <c r="M4113" t="s">
        <v>3476</v>
      </c>
      <c r="O4113" t="s">
        <v>11</v>
      </c>
      <c r="P4113">
        <v>5102</v>
      </c>
      <c r="Q4113">
        <v>4</v>
      </c>
      <c r="R4113">
        <v>25.5</v>
      </c>
      <c r="S4113">
        <v>102</v>
      </c>
      <c r="T4113">
        <v>73.12</v>
      </c>
      <c r="U4113">
        <v>28.31</v>
      </c>
      <c r="V4113" t="str">
        <f>VLOOKUP(L4113,'[2]tabela de preços'!$A:$D,4,0)</f>
        <v>MAXI RUBBER</v>
      </c>
      <c r="W4113" t="str">
        <f>VLOOKUP(L4113,'[2]tabela de preços'!$A:$F,6,0)</f>
        <v>COLA INST./ ADESIVOS COLANTES</v>
      </c>
      <c r="X4113" t="str">
        <f>VLOOKUP(L4113,'[2]tabela de preços'!$A:$G,7,0)</f>
        <v>AUTOMOTIVO</v>
      </c>
    </row>
    <row r="4114" spans="1:24" x14ac:dyDescent="0.3">
      <c r="A4114" t="s">
        <v>1199</v>
      </c>
      <c r="C4114" t="s">
        <v>3474</v>
      </c>
      <c r="D4114" s="1">
        <v>46076</v>
      </c>
      <c r="E4114" t="s">
        <v>3475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1128</v>
      </c>
      <c r="K4114" t="s">
        <v>1202</v>
      </c>
      <c r="L4114">
        <v>10236</v>
      </c>
      <c r="M4114" t="s">
        <v>133</v>
      </c>
      <c r="O4114" t="s">
        <v>11</v>
      </c>
      <c r="P4114">
        <v>5102</v>
      </c>
      <c r="Q4114">
        <v>102</v>
      </c>
      <c r="R4114">
        <v>2.79</v>
      </c>
      <c r="S4114">
        <v>284.58</v>
      </c>
      <c r="T4114">
        <v>236.64</v>
      </c>
      <c r="U4114">
        <v>16.850000000000001</v>
      </c>
      <c r="V4114" t="str">
        <f>VLOOKUP(L4114,'[2]tabela de preços'!$A:$D,4,0)</f>
        <v>NORTON</v>
      </c>
      <c r="W4114" t="str">
        <f>VLOOKUP(L4114,'[2]tabela de preços'!$A:$F,6,0)</f>
        <v xml:space="preserve">DISCOS / LIXAS / ABRASIVOS </v>
      </c>
      <c r="X4114" t="str">
        <f>VLOOKUP(L4114,'[2]tabela de preços'!$A:$G,7,0)</f>
        <v>AUTOMOTIVO</v>
      </c>
    </row>
    <row r="4115" spans="1:24" x14ac:dyDescent="0.3">
      <c r="A4115" t="s">
        <v>1199</v>
      </c>
      <c r="C4115" t="s">
        <v>3474</v>
      </c>
      <c r="D4115" s="1">
        <v>46076</v>
      </c>
      <c r="E4115" t="s">
        <v>3475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1128</v>
      </c>
      <c r="K4115" t="s">
        <v>1202</v>
      </c>
      <c r="L4115">
        <v>24256</v>
      </c>
      <c r="M4115" t="s">
        <v>3403</v>
      </c>
      <c r="O4115" t="s">
        <v>11</v>
      </c>
      <c r="P4115">
        <v>5102</v>
      </c>
      <c r="Q4115">
        <v>1</v>
      </c>
      <c r="R4115">
        <v>99.04</v>
      </c>
      <c r="S4115">
        <v>99.04</v>
      </c>
      <c r="T4115">
        <v>69.45</v>
      </c>
      <c r="U4115">
        <v>29.88</v>
      </c>
      <c r="V4115" t="str">
        <f>VLOOKUP(L4115,'[2]tabela de preços'!$A:$D,4,0)</f>
        <v>3M</v>
      </c>
      <c r="W4115" t="str">
        <f>VLOOKUP(L4115,'[2]tabela de preços'!$A:$F,6,0)</f>
        <v xml:space="preserve">LÍQUIDOS P/ POLIMENTO </v>
      </c>
      <c r="X4115" t="str">
        <f>VLOOKUP(L4115,'[2]tabela de preços'!$A:$G,7,0)</f>
        <v>AUTOMOTIVO</v>
      </c>
    </row>
    <row r="4116" spans="1:24" x14ac:dyDescent="0.3">
      <c r="A4116" t="s">
        <v>1199</v>
      </c>
      <c r="C4116" t="s">
        <v>3474</v>
      </c>
      <c r="D4116" s="1">
        <v>46076</v>
      </c>
      <c r="E4116" t="s">
        <v>3475</v>
      </c>
      <c r="F4116">
        <v>9</v>
      </c>
      <c r="G4116">
        <v>174</v>
      </c>
      <c r="H4116" t="str">
        <f>VLOOKUP(G4116,[1]OPERADORES!$A:$B,2,0)</f>
        <v>MIRIÃ LOBATO RODRIGUES</v>
      </c>
      <c r="I4116" t="s">
        <v>21</v>
      </c>
      <c r="J4116" t="s">
        <v>1128</v>
      </c>
      <c r="K4116" t="s">
        <v>1202</v>
      </c>
      <c r="L4116">
        <v>20817</v>
      </c>
      <c r="M4116" t="s">
        <v>153</v>
      </c>
      <c r="O4116" t="s">
        <v>11</v>
      </c>
      <c r="P4116">
        <v>5102</v>
      </c>
      <c r="Q4116">
        <v>6</v>
      </c>
      <c r="R4116">
        <v>22.89</v>
      </c>
      <c r="S4116">
        <v>137.34</v>
      </c>
      <c r="T4116">
        <v>111.72</v>
      </c>
      <c r="U4116">
        <v>18.649999999999999</v>
      </c>
      <c r="V4116" t="str">
        <f>VLOOKUP(L4116,'[2]tabela de preços'!$A:$D,4,0)</f>
        <v>AUTO AMERICA</v>
      </c>
      <c r="W4116" t="str">
        <f>VLOOKUP(L4116,'[2]tabela de preços'!$A:$F,6,0)</f>
        <v>MASSA DE POLIR</v>
      </c>
      <c r="X4116" t="str">
        <f>VLOOKUP(L4116,'[2]tabela de preços'!$A:$G,7,0)</f>
        <v>AUTOMOTIVO</v>
      </c>
    </row>
    <row r="4117" spans="1:24" x14ac:dyDescent="0.3">
      <c r="A4117" t="s">
        <v>1199</v>
      </c>
      <c r="C4117" t="s">
        <v>3477</v>
      </c>
      <c r="D4117" s="1">
        <v>46076</v>
      </c>
      <c r="F4117">
        <v>9</v>
      </c>
      <c r="G4117">
        <v>174</v>
      </c>
      <c r="H4117" t="str">
        <f>VLOOKUP(G4117,[1]OPERADORES!$A:$B,2,0)</f>
        <v>MIRIÃ LOBATO RODRIGUES</v>
      </c>
      <c r="I4117" t="s">
        <v>21</v>
      </c>
      <c r="J4117" t="s">
        <v>1128</v>
      </c>
      <c r="K4117" t="s">
        <v>1202</v>
      </c>
      <c r="L4117">
        <v>24256</v>
      </c>
      <c r="M4117" t="s">
        <v>3403</v>
      </c>
      <c r="N4117" t="s">
        <v>3478</v>
      </c>
      <c r="O4117" t="s">
        <v>11</v>
      </c>
      <c r="P4117">
        <v>1202</v>
      </c>
      <c r="Q4117">
        <v>-1</v>
      </c>
      <c r="R4117">
        <v>99.04</v>
      </c>
      <c r="S4117">
        <v>-99.04</v>
      </c>
      <c r="T4117">
        <v>-69.45</v>
      </c>
      <c r="U4117">
        <v>29.88</v>
      </c>
      <c r="V4117" t="str">
        <f>VLOOKUP(L4117,'[2]tabela de preços'!$A:$D,4,0)</f>
        <v>3M</v>
      </c>
      <c r="W4117" t="str">
        <f>VLOOKUP(L4117,'[2]tabela de preços'!$A:$F,6,0)</f>
        <v xml:space="preserve">LÍQUIDOS P/ POLIMENTO </v>
      </c>
      <c r="X4117" t="str">
        <f>VLOOKUP(L4117,'[2]tabela de preços'!$A:$G,7,0)</f>
        <v>AUTOMOTIVO</v>
      </c>
    </row>
    <row r="4118" spans="1:24" x14ac:dyDescent="0.3">
      <c r="A4118" t="s">
        <v>1199</v>
      </c>
      <c r="C4118" t="s">
        <v>3477</v>
      </c>
      <c r="D4118" s="1">
        <v>46076</v>
      </c>
      <c r="F4118">
        <v>9</v>
      </c>
      <c r="G4118">
        <v>174</v>
      </c>
      <c r="H4118" t="str">
        <f>VLOOKUP(G4118,[1]OPERADORES!$A:$B,2,0)</f>
        <v>MIRIÃ LOBATO RODRIGUES</v>
      </c>
      <c r="I4118" t="s">
        <v>21</v>
      </c>
      <c r="J4118" t="s">
        <v>1128</v>
      </c>
      <c r="K4118" t="s">
        <v>1202</v>
      </c>
      <c r="L4118">
        <v>20817</v>
      </c>
      <c r="M4118" t="s">
        <v>153</v>
      </c>
      <c r="N4118" t="s">
        <v>3478</v>
      </c>
      <c r="O4118" t="s">
        <v>11</v>
      </c>
      <c r="P4118">
        <v>1202</v>
      </c>
      <c r="Q4118">
        <v>-6</v>
      </c>
      <c r="R4118">
        <v>22.89</v>
      </c>
      <c r="S4118">
        <v>-137.34</v>
      </c>
      <c r="T4118">
        <v>-111.72</v>
      </c>
      <c r="U4118">
        <v>18.649999999999999</v>
      </c>
      <c r="V4118" t="str">
        <f>VLOOKUP(L4118,'[2]tabela de preços'!$A:$D,4,0)</f>
        <v>AUTO AMERICA</v>
      </c>
      <c r="W4118" t="str">
        <f>VLOOKUP(L4118,'[2]tabela de preços'!$A:$F,6,0)</f>
        <v>MASSA DE POLIR</v>
      </c>
      <c r="X4118" t="str">
        <f>VLOOKUP(L4118,'[2]tabela de preços'!$A:$G,7,0)</f>
        <v>AUTOMOTIVO</v>
      </c>
    </row>
    <row r="4119" spans="1:24" x14ac:dyDescent="0.3">
      <c r="A4119" t="s">
        <v>1199</v>
      </c>
      <c r="C4119" t="s">
        <v>3601</v>
      </c>
      <c r="D4119" s="1">
        <v>46077</v>
      </c>
      <c r="E4119" t="s">
        <v>3602</v>
      </c>
      <c r="F4119">
        <v>9</v>
      </c>
      <c r="G4119">
        <v>174</v>
      </c>
      <c r="H4119" t="str">
        <f>VLOOKUP(G4119,[1]OPERADORES!$A:$B,2,0)</f>
        <v>MIRIÃ LOBATO RODRIGUES</v>
      </c>
      <c r="I4119" t="s">
        <v>21</v>
      </c>
      <c r="J4119" t="s">
        <v>1128</v>
      </c>
      <c r="K4119" t="s">
        <v>1202</v>
      </c>
      <c r="L4119">
        <v>10022</v>
      </c>
      <c r="M4119" t="s">
        <v>1211</v>
      </c>
      <c r="O4119" t="s">
        <v>11</v>
      </c>
      <c r="P4119">
        <v>5102</v>
      </c>
      <c r="Q4119">
        <v>100</v>
      </c>
      <c r="R4119">
        <v>1.98</v>
      </c>
      <c r="S4119">
        <v>198</v>
      </c>
      <c r="T4119">
        <v>128</v>
      </c>
      <c r="U4119">
        <v>35.35</v>
      </c>
      <c r="V4119" t="str">
        <f>VLOOKUP(L4119,'[2]tabela de preços'!$A:$D,4,0)</f>
        <v>3M</v>
      </c>
      <c r="W4119" t="str">
        <f>VLOOKUP(L4119,'[2]tabela de preços'!$A:$F,6,0)</f>
        <v xml:space="preserve">DISCOS / LIXAS / ABRASIVOS </v>
      </c>
      <c r="X4119" t="str">
        <f>VLOOKUP(L4119,'[2]tabela de preços'!$A:$G,7,0)</f>
        <v>AUTOMOTIVO</v>
      </c>
    </row>
    <row r="4120" spans="1:24" x14ac:dyDescent="0.3">
      <c r="A4120" t="s">
        <v>1199</v>
      </c>
      <c r="C4120" t="s">
        <v>3601</v>
      </c>
      <c r="D4120" s="1">
        <v>46077</v>
      </c>
      <c r="E4120" t="s">
        <v>3602</v>
      </c>
      <c r="F4120">
        <v>9</v>
      </c>
      <c r="G4120">
        <v>174</v>
      </c>
      <c r="H4120" t="str">
        <f>VLOOKUP(G4120,[1]OPERADORES!$A:$B,2,0)</f>
        <v>MIRIÃ LOBATO RODRIGUES</v>
      </c>
      <c r="I4120" t="s">
        <v>21</v>
      </c>
      <c r="J4120" t="s">
        <v>1128</v>
      </c>
      <c r="K4120" t="s">
        <v>1202</v>
      </c>
      <c r="L4120">
        <v>10026</v>
      </c>
      <c r="M4120" t="s">
        <v>1212</v>
      </c>
      <c r="O4120" t="s">
        <v>11</v>
      </c>
      <c r="P4120">
        <v>5102</v>
      </c>
      <c r="Q4120">
        <v>50</v>
      </c>
      <c r="R4120">
        <v>1.98</v>
      </c>
      <c r="S4120">
        <v>99</v>
      </c>
      <c r="T4120">
        <v>64</v>
      </c>
      <c r="U4120">
        <v>35.35</v>
      </c>
      <c r="V4120" t="str">
        <f>VLOOKUP(L4120,'[2]tabela de preços'!$A:$D,4,0)</f>
        <v>3M</v>
      </c>
      <c r="W4120" t="str">
        <f>VLOOKUP(L4120,'[2]tabela de preços'!$A:$F,6,0)</f>
        <v xml:space="preserve">DISCOS / LIXAS / ABRASIVOS </v>
      </c>
      <c r="X4120" t="str">
        <f>VLOOKUP(L4120,'[2]tabela de preços'!$A:$G,7,0)</f>
        <v>AUTOMOTIVO</v>
      </c>
    </row>
    <row r="4121" spans="1:24" x14ac:dyDescent="0.3">
      <c r="A4121" t="s">
        <v>1199</v>
      </c>
      <c r="C4121" t="s">
        <v>3601</v>
      </c>
      <c r="D4121" s="1">
        <v>46077</v>
      </c>
      <c r="E4121" t="s">
        <v>3602</v>
      </c>
      <c r="F4121">
        <v>9</v>
      </c>
      <c r="G4121">
        <v>174</v>
      </c>
      <c r="H4121" t="str">
        <f>VLOOKUP(G4121,[1]OPERADORES!$A:$B,2,0)</f>
        <v>MIRIÃ LOBATO RODRIGUES</v>
      </c>
      <c r="I4121" t="s">
        <v>21</v>
      </c>
      <c r="J4121" t="s">
        <v>1128</v>
      </c>
      <c r="K4121" t="s">
        <v>1202</v>
      </c>
      <c r="L4121">
        <v>10027</v>
      </c>
      <c r="M4121" t="s">
        <v>1213</v>
      </c>
      <c r="O4121" t="s">
        <v>11</v>
      </c>
      <c r="P4121">
        <v>5102</v>
      </c>
      <c r="Q4121">
        <v>50</v>
      </c>
      <c r="R4121">
        <v>2.0499999999999998</v>
      </c>
      <c r="S4121">
        <v>102.5</v>
      </c>
      <c r="T4121">
        <v>66</v>
      </c>
      <c r="U4121">
        <v>35.61</v>
      </c>
      <c r="V4121" t="str">
        <f>VLOOKUP(L4121,'[2]tabela de preços'!$A:$D,4,0)</f>
        <v>3M</v>
      </c>
      <c r="W4121" t="str">
        <f>VLOOKUP(L4121,'[2]tabela de preços'!$A:$F,6,0)</f>
        <v xml:space="preserve">DISCOS / LIXAS / ABRASIVOS </v>
      </c>
      <c r="X4121" t="str">
        <f>VLOOKUP(L4121,'[2]tabela de preços'!$A:$G,7,0)</f>
        <v>AUTOMOTIVO</v>
      </c>
    </row>
    <row r="4122" spans="1:24" x14ac:dyDescent="0.3">
      <c r="A4122" t="s">
        <v>1199</v>
      </c>
      <c r="C4122" t="s">
        <v>3601</v>
      </c>
      <c r="D4122" s="1">
        <v>46077</v>
      </c>
      <c r="E4122" t="s">
        <v>3602</v>
      </c>
      <c r="F4122">
        <v>9</v>
      </c>
      <c r="G4122">
        <v>174</v>
      </c>
      <c r="H4122" t="str">
        <f>VLOOKUP(G4122,[1]OPERADORES!$A:$B,2,0)</f>
        <v>MIRIÃ LOBATO RODRIGUES</v>
      </c>
      <c r="I4122" t="s">
        <v>21</v>
      </c>
      <c r="J4122" t="s">
        <v>1128</v>
      </c>
      <c r="K4122" t="s">
        <v>1202</v>
      </c>
      <c r="L4122">
        <v>10028</v>
      </c>
      <c r="M4122" t="s">
        <v>1214</v>
      </c>
      <c r="O4122" t="s">
        <v>11</v>
      </c>
      <c r="P4122">
        <v>5102</v>
      </c>
      <c r="Q4122">
        <v>50</v>
      </c>
      <c r="R4122">
        <v>1.6</v>
      </c>
      <c r="S4122">
        <v>80</v>
      </c>
      <c r="T4122">
        <v>51.5</v>
      </c>
      <c r="U4122">
        <v>35.630000000000003</v>
      </c>
      <c r="V4122" t="str">
        <f>VLOOKUP(L4122,'[2]tabela de preços'!$A:$D,4,0)</f>
        <v>3M</v>
      </c>
      <c r="W4122" t="str">
        <f>VLOOKUP(L4122,'[2]tabela de preços'!$A:$F,6,0)</f>
        <v xml:space="preserve">DISCOS / LIXAS / ABRASIVOS </v>
      </c>
      <c r="X4122" t="str">
        <f>VLOOKUP(L4122,'[2]tabela de preços'!$A:$G,7,0)</f>
        <v>AUTOMOTIVO</v>
      </c>
    </row>
    <row r="4123" spans="1:24" x14ac:dyDescent="0.3">
      <c r="A4123" t="s">
        <v>2825</v>
      </c>
      <c r="C4123" t="s">
        <v>3603</v>
      </c>
      <c r="D4123" s="1">
        <v>46078</v>
      </c>
      <c r="E4123" t="s">
        <v>3604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730</v>
      </c>
      <c r="K4123" t="s">
        <v>2828</v>
      </c>
      <c r="L4123">
        <v>84267</v>
      </c>
      <c r="M4123" t="s">
        <v>3192</v>
      </c>
      <c r="O4123" t="s">
        <v>11</v>
      </c>
      <c r="P4123">
        <v>5403</v>
      </c>
      <c r="Q4123">
        <v>3</v>
      </c>
      <c r="R4123">
        <v>193.92</v>
      </c>
      <c r="S4123">
        <v>581.76</v>
      </c>
      <c r="T4123">
        <v>441.57</v>
      </c>
      <c r="U4123">
        <v>24.1</v>
      </c>
      <c r="V4123" t="str">
        <f>VLOOKUP(L4123,'[2]tabela de preços'!$A:$D,4,0)</f>
        <v>BRASILUX</v>
      </c>
      <c r="W4123" t="str">
        <f>VLOOKUP(L4123,'[2]tabela de preços'!$A:$F,6,0)</f>
        <v>TINTA PAREDE</v>
      </c>
      <c r="X4123" t="str">
        <f>VLOOKUP(L4123,'[2]tabela de preços'!$A:$G,7,0)</f>
        <v>IMOBILIÁRIO</v>
      </c>
    </row>
    <row r="4124" spans="1:24" x14ac:dyDescent="0.3">
      <c r="A4124" t="s">
        <v>2825</v>
      </c>
      <c r="C4124" t="s">
        <v>3603</v>
      </c>
      <c r="D4124" s="1">
        <v>46078</v>
      </c>
      <c r="E4124" t="s">
        <v>3604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730</v>
      </c>
      <c r="K4124" t="s">
        <v>2828</v>
      </c>
      <c r="L4124">
        <v>84268</v>
      </c>
      <c r="M4124" t="s">
        <v>1566</v>
      </c>
      <c r="O4124" t="s">
        <v>11</v>
      </c>
      <c r="P4124">
        <v>5403</v>
      </c>
      <c r="Q4124">
        <v>3</v>
      </c>
      <c r="R4124">
        <v>193.92</v>
      </c>
      <c r="S4124">
        <v>581.76</v>
      </c>
      <c r="T4124">
        <v>441.57</v>
      </c>
      <c r="U4124">
        <v>24.1</v>
      </c>
      <c r="V4124" t="str">
        <f>VLOOKUP(L4124,'[2]tabela de preços'!$A:$D,4,0)</f>
        <v>BRASILUX</v>
      </c>
      <c r="W4124" t="str">
        <f>VLOOKUP(L4124,'[2]tabela de preços'!$A:$F,6,0)</f>
        <v>TINTA PAREDE</v>
      </c>
      <c r="X4124" t="str">
        <f>VLOOKUP(L4124,'[2]tabela de preços'!$A:$G,7,0)</f>
        <v>IMOBILIÁRIO</v>
      </c>
    </row>
    <row r="4125" spans="1:24" x14ac:dyDescent="0.3">
      <c r="A4125" t="s">
        <v>2825</v>
      </c>
      <c r="C4125" t="s">
        <v>3603</v>
      </c>
      <c r="D4125" s="1">
        <v>46078</v>
      </c>
      <c r="E4125" t="s">
        <v>3604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730</v>
      </c>
      <c r="K4125" t="s">
        <v>2828</v>
      </c>
      <c r="L4125">
        <v>84036</v>
      </c>
      <c r="M4125" t="s">
        <v>289</v>
      </c>
      <c r="O4125" t="s">
        <v>11</v>
      </c>
      <c r="P4125">
        <v>5102</v>
      </c>
      <c r="Q4125">
        <v>1</v>
      </c>
      <c r="R4125">
        <v>47.9</v>
      </c>
      <c r="S4125">
        <v>47.9</v>
      </c>
      <c r="T4125">
        <v>41.63</v>
      </c>
      <c r="U4125">
        <v>13.09</v>
      </c>
      <c r="V4125" t="str">
        <f>VLOOKUP(L4125,'[2]tabela de preços'!$A:$D,4,0)</f>
        <v>BRASILUX</v>
      </c>
      <c r="W4125" t="str">
        <f>VLOOKUP(L4125,'[2]tabela de preços'!$A:$F,6,0)</f>
        <v>MASSA CORRIDA / ACRÍLICA</v>
      </c>
      <c r="X4125" t="str">
        <f>VLOOKUP(L4125,'[2]tabela de preços'!$A:$G,7,0)</f>
        <v>IMOBILIÁRIO</v>
      </c>
    </row>
    <row r="4126" spans="1:24" x14ac:dyDescent="0.3">
      <c r="A4126" t="s">
        <v>1232</v>
      </c>
      <c r="C4126" t="s">
        <v>3605</v>
      </c>
      <c r="D4126" s="1">
        <v>46077</v>
      </c>
      <c r="E4126" t="s">
        <v>3606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1235</v>
      </c>
      <c r="K4126" t="s">
        <v>1236</v>
      </c>
      <c r="L4126">
        <v>84564</v>
      </c>
      <c r="M4126" t="s">
        <v>2176</v>
      </c>
      <c r="O4126" t="s">
        <v>11</v>
      </c>
      <c r="P4126">
        <v>5403</v>
      </c>
      <c r="Q4126">
        <v>3</v>
      </c>
      <c r="R4126">
        <v>28.32</v>
      </c>
      <c r="S4126">
        <v>84.96</v>
      </c>
      <c r="T4126">
        <v>54.81</v>
      </c>
      <c r="U4126">
        <v>35.49</v>
      </c>
      <c r="V4126" t="str">
        <f>VLOOKUP(L4126,'[2]tabela de preços'!$A:$D,4,0)</f>
        <v>BRASILUX</v>
      </c>
      <c r="W4126" t="str">
        <f>VLOOKUP(L4126,'[2]tabela de preços'!$A:$F,6,0)</f>
        <v>PRETO FOSCO VINÍLICO</v>
      </c>
      <c r="X4126" t="str">
        <f>VLOOKUP(L4126,'[2]tabela de preços'!$A:$G,7,0)</f>
        <v>AUTOMOTIVO</v>
      </c>
    </row>
    <row r="4127" spans="1:24" x14ac:dyDescent="0.3">
      <c r="A4127" t="s">
        <v>1232</v>
      </c>
      <c r="C4127" t="s">
        <v>3605</v>
      </c>
      <c r="D4127" s="1">
        <v>46077</v>
      </c>
      <c r="E4127" t="s">
        <v>3606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1235</v>
      </c>
      <c r="K4127" t="s">
        <v>1236</v>
      </c>
      <c r="L4127">
        <v>84565</v>
      </c>
      <c r="M4127" t="s">
        <v>236</v>
      </c>
      <c r="O4127" t="s">
        <v>11</v>
      </c>
      <c r="P4127">
        <v>5102</v>
      </c>
      <c r="Q4127">
        <v>3</v>
      </c>
      <c r="R4127">
        <v>10.87</v>
      </c>
      <c r="S4127">
        <v>32.61</v>
      </c>
      <c r="T4127">
        <v>21.03</v>
      </c>
      <c r="U4127">
        <v>35.51</v>
      </c>
      <c r="V4127" t="str">
        <f>VLOOKUP(L4127,'[2]tabela de preços'!$A:$D,4,0)</f>
        <v>BRASILUX</v>
      </c>
      <c r="W4127" t="str">
        <f>VLOOKUP(L4127,'[2]tabela de preços'!$A:$F,6,0)</f>
        <v>PRETO FOSCO VINÍLICO</v>
      </c>
      <c r="X4127" t="str">
        <f>VLOOKUP(L4127,'[2]tabela de preços'!$A:$G,7,0)</f>
        <v>AUTOMOTIVO</v>
      </c>
    </row>
    <row r="4128" spans="1:24" x14ac:dyDescent="0.3">
      <c r="A4128" t="s">
        <v>1232</v>
      </c>
      <c r="C4128" t="s">
        <v>3605</v>
      </c>
      <c r="D4128" s="1">
        <v>46077</v>
      </c>
      <c r="E4128" t="s">
        <v>3606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1235</v>
      </c>
      <c r="K4128" t="s">
        <v>1236</v>
      </c>
      <c r="L4128">
        <v>85874</v>
      </c>
      <c r="M4128" t="s">
        <v>3607</v>
      </c>
      <c r="O4128" t="s">
        <v>11</v>
      </c>
      <c r="P4128">
        <v>5102</v>
      </c>
      <c r="Q4128">
        <v>6</v>
      </c>
      <c r="R4128">
        <v>23.3</v>
      </c>
      <c r="S4128">
        <v>139.80000000000001</v>
      </c>
      <c r="T4128">
        <v>100.2</v>
      </c>
      <c r="U4128">
        <v>28.33</v>
      </c>
      <c r="V4128" t="str">
        <f>VLOOKUP(L4128,'[2]tabela de preços'!$A:$D,4,0)</f>
        <v>CORAL</v>
      </c>
      <c r="W4128" t="str">
        <f>VLOOKUP(L4128,'[2]tabela de preços'!$A:$F,6,0)</f>
        <v>MASSA CORRIDA / ACRÍLICA</v>
      </c>
      <c r="X4128" t="str">
        <f>VLOOKUP(L4128,'[2]tabela de preços'!$A:$G,7,0)</f>
        <v>IMOBILIÁRIO</v>
      </c>
    </row>
    <row r="4129" spans="1:24" x14ac:dyDescent="0.3">
      <c r="A4129" t="s">
        <v>1232</v>
      </c>
      <c r="C4129" t="s">
        <v>3605</v>
      </c>
      <c r="D4129" s="1">
        <v>46077</v>
      </c>
      <c r="E4129" t="s">
        <v>3606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1235</v>
      </c>
      <c r="K4129" t="s">
        <v>1236</v>
      </c>
      <c r="L4129">
        <v>10238</v>
      </c>
      <c r="M4129" t="s">
        <v>79</v>
      </c>
      <c r="O4129" t="s">
        <v>11</v>
      </c>
      <c r="P4129">
        <v>5102</v>
      </c>
      <c r="Q4129">
        <v>50</v>
      </c>
      <c r="R4129">
        <v>2.79</v>
      </c>
      <c r="S4129">
        <v>139.5</v>
      </c>
      <c r="T4129">
        <v>112</v>
      </c>
      <c r="U4129">
        <v>19.71</v>
      </c>
      <c r="V4129" t="str">
        <f>VLOOKUP(L4129,'[2]tabela de preços'!$A:$D,4,0)</f>
        <v>NORTON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10240</v>
      </c>
      <c r="M4130" t="s">
        <v>81</v>
      </c>
      <c r="O4130" t="s">
        <v>11</v>
      </c>
      <c r="P4130">
        <v>5102</v>
      </c>
      <c r="Q4130">
        <v>50</v>
      </c>
      <c r="R4130">
        <v>2.79</v>
      </c>
      <c r="S4130">
        <v>139.5</v>
      </c>
      <c r="T4130">
        <v>112</v>
      </c>
      <c r="U4130">
        <v>19.71</v>
      </c>
      <c r="V4130" t="str">
        <f>VLOOKUP(L4130,'[2]tabela de preços'!$A:$D,4,0)</f>
        <v>NORTON</v>
      </c>
      <c r="W4130" t="str">
        <f>VLOOKUP(L4130,'[2]tabela de preços'!$A:$F,6,0)</f>
        <v xml:space="preserve">DISCOS / LIXAS / ABRASIVOS 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10244</v>
      </c>
      <c r="M4131" t="s">
        <v>84</v>
      </c>
      <c r="O4131" t="s">
        <v>11</v>
      </c>
      <c r="P4131">
        <v>5102</v>
      </c>
      <c r="Q4131">
        <v>50</v>
      </c>
      <c r="R4131">
        <v>2.79</v>
      </c>
      <c r="S4131">
        <v>139.5</v>
      </c>
      <c r="T4131">
        <v>96.5</v>
      </c>
      <c r="U4131">
        <v>30.82</v>
      </c>
      <c r="V4131" t="str">
        <f>VLOOKUP(L4131,'[2]tabela de preços'!$A:$D,4,0)</f>
        <v>NORTON</v>
      </c>
      <c r="W4131" t="str">
        <f>VLOOKUP(L4131,'[2]tabela de preços'!$A:$F,6,0)</f>
        <v xml:space="preserve">DISCOS / LIXAS / ABRASIVOS 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20067</v>
      </c>
      <c r="M4132" t="s">
        <v>3608</v>
      </c>
      <c r="O4132" t="s">
        <v>11</v>
      </c>
      <c r="P4132">
        <v>5102</v>
      </c>
      <c r="Q4132">
        <v>3</v>
      </c>
      <c r="R4132">
        <v>17.41</v>
      </c>
      <c r="S4132">
        <v>52.23</v>
      </c>
      <c r="T4132">
        <v>38.729999999999997</v>
      </c>
      <c r="U4132">
        <v>25.85</v>
      </c>
      <c r="V4132" t="str">
        <f>VLOOKUP(L4132,'[2]tabela de preços'!$A:$D,4,0)</f>
        <v>MAXI RUBBER</v>
      </c>
      <c r="W4132" t="str">
        <f>VLOOKUP(L4132,'[2]tabela de preços'!$A:$F,6,0)</f>
        <v>MASSA POLIÉSTER</v>
      </c>
      <c r="X4132" t="str">
        <f>VLOOKUP(L4132,'[2]tabela de preços'!$A:$G,7,0)</f>
        <v>AUTOMOTIVO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20817</v>
      </c>
      <c r="M4133" t="s">
        <v>153</v>
      </c>
      <c r="O4133" t="s">
        <v>11</v>
      </c>
      <c r="P4133">
        <v>5102</v>
      </c>
      <c r="Q4133">
        <v>12</v>
      </c>
      <c r="R4133">
        <v>22.89</v>
      </c>
      <c r="S4133">
        <v>274.68</v>
      </c>
      <c r="T4133">
        <v>223.44</v>
      </c>
      <c r="U4133">
        <v>18.649999999999999</v>
      </c>
      <c r="V4133" t="str">
        <f>VLOOKUP(L4133,'[2]tabela de preços'!$A:$D,4,0)</f>
        <v>AUTO AMERICA</v>
      </c>
      <c r="W4133" t="str">
        <f>VLOOKUP(L4133,'[2]tabela de preços'!$A:$F,6,0)</f>
        <v>MASSA DE POLIR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10404</v>
      </c>
      <c r="M4134" t="s">
        <v>130</v>
      </c>
      <c r="O4134" t="s">
        <v>11</v>
      </c>
      <c r="P4134">
        <v>5102</v>
      </c>
      <c r="Q4134">
        <v>12</v>
      </c>
      <c r="R4134">
        <v>16.29</v>
      </c>
      <c r="S4134">
        <v>195.48</v>
      </c>
      <c r="T4134">
        <v>165</v>
      </c>
      <c r="U4134">
        <v>15.59</v>
      </c>
      <c r="V4134" t="str">
        <f>VLOOKUP(L4134,'[2]tabela de preços'!$A:$D,4,0)</f>
        <v>MAXI RUBBER</v>
      </c>
      <c r="W4134" t="str">
        <f>VLOOKUP(L4134,'[2]tabela de preços'!$A:$F,6,0)</f>
        <v>VEDADORES / SELANTES</v>
      </c>
      <c r="X4134" t="str">
        <f>VLOOKUP(L4134,'[2]tabela de preços'!$A:$G,7,0)</f>
        <v>AUTOMOTIVO</v>
      </c>
    </row>
    <row r="4135" spans="1:24" x14ac:dyDescent="0.3">
      <c r="A4135" t="s">
        <v>3609</v>
      </c>
      <c r="C4135" t="s">
        <v>3610</v>
      </c>
      <c r="D4135" s="1">
        <v>46078</v>
      </c>
      <c r="E4135" t="s">
        <v>3611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397</v>
      </c>
      <c r="K4135" t="s">
        <v>3612</v>
      </c>
      <c r="L4135">
        <v>84334</v>
      </c>
      <c r="M4135" t="s">
        <v>895</v>
      </c>
      <c r="O4135" t="s">
        <v>11</v>
      </c>
      <c r="P4135">
        <v>5403</v>
      </c>
      <c r="Q4135">
        <v>1</v>
      </c>
      <c r="R4135">
        <v>59.98</v>
      </c>
      <c r="S4135">
        <v>59.98</v>
      </c>
      <c r="T4135">
        <v>48.86</v>
      </c>
      <c r="U4135">
        <v>18.54</v>
      </c>
      <c r="V4135" t="str">
        <f>VLOOKUP(L4135,'[2]tabela de preços'!$A:$D,4,0)</f>
        <v>BRASILUX</v>
      </c>
      <c r="W4135" t="str">
        <f>VLOOKUP(L4135,'[2]tabela de preços'!$A:$F,6,0)</f>
        <v>ESMALTES</v>
      </c>
      <c r="X4135" t="str">
        <f>VLOOKUP(L4135,'[2]tabela de preços'!$A:$G,7,0)</f>
        <v>INDUSTRIAL</v>
      </c>
    </row>
    <row r="4136" spans="1:24" x14ac:dyDescent="0.3">
      <c r="A4136" t="s">
        <v>3609</v>
      </c>
      <c r="C4136" t="s">
        <v>3610</v>
      </c>
      <c r="D4136" s="1">
        <v>46078</v>
      </c>
      <c r="E4136" t="s">
        <v>3611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397</v>
      </c>
      <c r="K4136" t="s">
        <v>3612</v>
      </c>
      <c r="L4136">
        <v>5</v>
      </c>
      <c r="M4136" t="s">
        <v>147</v>
      </c>
      <c r="O4136" t="s">
        <v>11</v>
      </c>
      <c r="P4136">
        <v>5102</v>
      </c>
      <c r="Q4136">
        <v>1</v>
      </c>
      <c r="R4136">
        <v>5.45</v>
      </c>
      <c r="S4136">
        <v>5.45</v>
      </c>
      <c r="T4136">
        <v>3.91</v>
      </c>
      <c r="U4136">
        <v>28.26</v>
      </c>
      <c r="V4136" t="str">
        <f>VLOOKUP(L4136,'[2]tabela de preços'!$A:$D,4,0)</f>
        <v>BRILHO ESTOPA</v>
      </c>
      <c r="W4136" t="str">
        <f>VLOOKUP(L4136,'[2]tabela de preços'!$A:$F,6,0)</f>
        <v>ESTOPAS</v>
      </c>
      <c r="X4136" t="str">
        <f>VLOOKUP(L4136,'[2]tabela de preços'!$A:$G,7,0)</f>
        <v>AUTOMOTIVO</v>
      </c>
    </row>
    <row r="4137" spans="1:24" x14ac:dyDescent="0.3">
      <c r="A4137" t="s">
        <v>3609</v>
      </c>
      <c r="C4137" t="s">
        <v>3610</v>
      </c>
      <c r="D4137" s="1">
        <v>46078</v>
      </c>
      <c r="E4137" t="s">
        <v>3611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397</v>
      </c>
      <c r="K4137" t="s">
        <v>3612</v>
      </c>
      <c r="L4137">
        <v>85037</v>
      </c>
      <c r="M4137" t="s">
        <v>60</v>
      </c>
      <c r="O4137" t="s">
        <v>11</v>
      </c>
      <c r="P4137">
        <v>5102</v>
      </c>
      <c r="Q4137">
        <v>2</v>
      </c>
      <c r="R4137">
        <v>7.41</v>
      </c>
      <c r="S4137">
        <v>14.82</v>
      </c>
      <c r="T4137">
        <v>9.56</v>
      </c>
      <c r="U4137">
        <v>35.49</v>
      </c>
      <c r="V4137" t="str">
        <f>VLOOKUP(L4137,'[2]tabela de preços'!$A:$D,4,0)</f>
        <v>ATLAS</v>
      </c>
      <c r="W4137" t="str">
        <f>VLOOKUP(L4137,'[2]tabela de preços'!$A:$F,6,0)</f>
        <v>ROLOS / TRINCHAS / PINCÉIS / ESPÁTULAS</v>
      </c>
      <c r="X4137" t="str">
        <f>VLOOKUP(L4137,'[2]tabela de preços'!$A:$G,7,0)</f>
        <v>IMOBILIÁRIO</v>
      </c>
    </row>
    <row r="4138" spans="1:24" x14ac:dyDescent="0.3">
      <c r="A4138" t="s">
        <v>1267</v>
      </c>
      <c r="C4138" t="s">
        <v>3613</v>
      </c>
      <c r="D4138" s="1">
        <v>46077</v>
      </c>
      <c r="E4138" t="s">
        <v>3614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372</v>
      </c>
      <c r="K4138" t="s">
        <v>1270</v>
      </c>
      <c r="L4138">
        <v>23076</v>
      </c>
      <c r="M4138" t="s">
        <v>97</v>
      </c>
      <c r="O4138" t="s">
        <v>11</v>
      </c>
      <c r="P4138">
        <v>5403</v>
      </c>
      <c r="Q4138">
        <v>8</v>
      </c>
      <c r="R4138">
        <v>39.94</v>
      </c>
      <c r="S4138">
        <v>319.52</v>
      </c>
      <c r="T4138">
        <v>212.24</v>
      </c>
      <c r="U4138">
        <v>33.58</v>
      </c>
      <c r="V4138" t="str">
        <f>VLOOKUP(L4138,'[2]tabela de preços'!$A:$D,4,0)</f>
        <v>WANDA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23267</v>
      </c>
      <c r="M4139" t="s">
        <v>164</v>
      </c>
      <c r="O4139" t="s">
        <v>11</v>
      </c>
      <c r="P4139">
        <v>5102</v>
      </c>
      <c r="Q4139">
        <v>12</v>
      </c>
      <c r="R4139">
        <v>22.89</v>
      </c>
      <c r="S4139">
        <v>274.68</v>
      </c>
      <c r="T4139">
        <v>223.44</v>
      </c>
      <c r="U4139">
        <v>18.649999999999999</v>
      </c>
      <c r="V4139" t="str">
        <f>VLOOKUP(L4139,'[2]tabela de preços'!$A:$D,4,0)</f>
        <v>ANJO</v>
      </c>
      <c r="W4139" t="str">
        <f>VLOOKUP(L4139,'[2]tabela de preços'!$A:$F,6,0)</f>
        <v>MASSA POLIÉSTER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3615</v>
      </c>
      <c r="D4140" s="1">
        <v>46077</v>
      </c>
      <c r="E4140" t="s">
        <v>3616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20318</v>
      </c>
      <c r="M4140" t="s">
        <v>136</v>
      </c>
      <c r="O4140" t="s">
        <v>11</v>
      </c>
      <c r="P4140">
        <v>5403</v>
      </c>
      <c r="Q4140">
        <v>1</v>
      </c>
      <c r="R4140">
        <v>41</v>
      </c>
      <c r="S4140">
        <v>41</v>
      </c>
      <c r="T4140">
        <v>24.2</v>
      </c>
      <c r="U4140">
        <v>40.98</v>
      </c>
      <c r="V4140" t="str">
        <f>VLOOKUP(L4140,'[2]tabela de preços'!$A:$D,4,0)</f>
        <v>SHERWIN WILLIAMS</v>
      </c>
      <c r="W4140" t="str">
        <f>VLOOKUP(L4140,'[2]tabela de preços'!$A:$F,6,0)</f>
        <v>TINTAS POLIÉSTER</v>
      </c>
      <c r="X4140" t="str">
        <f>VLOOKUP(L4140,'[2]tabela de preços'!$A:$G,7,0)</f>
        <v>AUTOMOTIVO</v>
      </c>
    </row>
    <row r="4141" spans="1:24" x14ac:dyDescent="0.3">
      <c r="A4141" t="s">
        <v>1275</v>
      </c>
      <c r="C4141" t="s">
        <v>3617</v>
      </c>
      <c r="D4141" s="1">
        <v>46078</v>
      </c>
      <c r="E4141" t="s">
        <v>3618</v>
      </c>
      <c r="F4141">
        <v>9</v>
      </c>
      <c r="G4141">
        <v>197</v>
      </c>
      <c r="H4141" t="str">
        <f>VLOOKUP(G4141,[1]OPERADORES!$A:$B,2,0)</f>
        <v xml:space="preserve">POLIANA LORRANE DE AMORIM </v>
      </c>
      <c r="I4141" t="s">
        <v>21</v>
      </c>
      <c r="J4141" t="s">
        <v>1278</v>
      </c>
      <c r="K4141" t="s">
        <v>1279</v>
      </c>
      <c r="L4141">
        <v>84343</v>
      </c>
      <c r="M4141" t="s">
        <v>3619</v>
      </c>
      <c r="O4141" t="s">
        <v>11</v>
      </c>
      <c r="P4141">
        <v>5403</v>
      </c>
      <c r="Q4141">
        <v>8</v>
      </c>
      <c r="R4141">
        <v>59.98</v>
      </c>
      <c r="S4141">
        <v>479.84</v>
      </c>
      <c r="T4141">
        <v>351.44</v>
      </c>
      <c r="U4141">
        <v>26.76</v>
      </c>
      <c r="V4141" t="str">
        <f>VLOOKUP(L4141,'[2]tabela de preços'!$A:$D,4,0)</f>
        <v>BRASILUX</v>
      </c>
      <c r="W4141" t="str">
        <f>VLOOKUP(L4141,'[2]tabela de preços'!$A:$F,6,0)</f>
        <v>ESMALTES</v>
      </c>
      <c r="X4141" t="str">
        <f>VLOOKUP(L4141,'[2]tabela de preços'!$A:$G,7,0)</f>
        <v>INDUSTRIAL</v>
      </c>
    </row>
    <row r="4142" spans="1:24" x14ac:dyDescent="0.3">
      <c r="A4142" t="s">
        <v>3620</v>
      </c>
      <c r="C4142" t="s">
        <v>3621</v>
      </c>
      <c r="D4142" s="1">
        <v>46078</v>
      </c>
      <c r="E4142" t="s">
        <v>3622</v>
      </c>
      <c r="F4142">
        <v>9</v>
      </c>
      <c r="G4142">
        <v>145</v>
      </c>
      <c r="H4142" t="str">
        <f>VLOOKUP(G4142,[1]OPERADORES!$A:$B,2,0)</f>
        <v xml:space="preserve">FABRICIA </v>
      </c>
      <c r="I4142" t="s">
        <v>21</v>
      </c>
      <c r="J4142" t="s">
        <v>2756</v>
      </c>
      <c r="K4142" t="s">
        <v>3623</v>
      </c>
      <c r="L4142">
        <v>85320</v>
      </c>
      <c r="M4142" t="s">
        <v>2758</v>
      </c>
      <c r="O4142" t="s">
        <v>11</v>
      </c>
      <c r="P4142">
        <v>5102</v>
      </c>
      <c r="Q4142">
        <v>4</v>
      </c>
      <c r="R4142">
        <v>540.32000000000005</v>
      </c>
      <c r="S4142" s="2">
        <v>2161.2800000000002</v>
      </c>
      <c r="T4142" s="2">
        <v>1701.12</v>
      </c>
      <c r="U4142">
        <v>21.29</v>
      </c>
      <c r="V4142" t="str">
        <f>VLOOKUP(L4142,'[2]tabela de preços'!$A:$D,4,0)</f>
        <v>BRASILUX</v>
      </c>
      <c r="W4142" t="str">
        <f>VLOOKUP(L4142,'[2]tabela de preços'!$A:$F,6,0)</f>
        <v>TINTA EM PÓ</v>
      </c>
      <c r="X4142" t="str">
        <f>VLOOKUP(L4142,'[2]tabela de preços'!$A:$G,7,0)</f>
        <v>INDUSTRIAL</v>
      </c>
    </row>
    <row r="4143" spans="1:24" x14ac:dyDescent="0.3">
      <c r="A4143" t="s">
        <v>3620</v>
      </c>
      <c r="C4143" t="s">
        <v>3624</v>
      </c>
      <c r="D4143" s="1">
        <v>46078</v>
      </c>
      <c r="E4143" t="s">
        <v>3625</v>
      </c>
      <c r="F4143">
        <v>9</v>
      </c>
      <c r="G4143">
        <v>145</v>
      </c>
      <c r="H4143" t="str">
        <f>VLOOKUP(G4143,[1]OPERADORES!$A:$B,2,0)</f>
        <v xml:space="preserve">FABRICIA </v>
      </c>
      <c r="I4143" t="s">
        <v>21</v>
      </c>
      <c r="J4143" t="s">
        <v>2756</v>
      </c>
      <c r="K4143" t="s">
        <v>3623</v>
      </c>
      <c r="L4143">
        <v>85462</v>
      </c>
      <c r="M4143" t="s">
        <v>1823</v>
      </c>
      <c r="O4143" t="s">
        <v>11</v>
      </c>
      <c r="P4143">
        <v>5102</v>
      </c>
      <c r="Q4143">
        <v>2</v>
      </c>
      <c r="R4143">
        <v>7.54</v>
      </c>
      <c r="S4143">
        <v>15.08</v>
      </c>
      <c r="T4143">
        <v>11.44</v>
      </c>
      <c r="U4143">
        <v>24.14</v>
      </c>
      <c r="V4143" t="str">
        <f>VLOOKUP(L4143,'[2]tabela de preços'!$A:$D,4,0)</f>
        <v>TEK BOND</v>
      </c>
      <c r="W4143" t="str">
        <f>VLOOKUP(L4143,'[2]tabela de preços'!$A:$F,6,0)</f>
        <v>COLA INST./ ADESIVOS COLANTES</v>
      </c>
      <c r="X4143" t="str">
        <f>VLOOKUP(L4143,'[2]tabela de preços'!$A:$G,7,0)</f>
        <v>AUTOMOTIVO</v>
      </c>
    </row>
    <row r="4144" spans="1:24" x14ac:dyDescent="0.3">
      <c r="A4144" t="s">
        <v>3620</v>
      </c>
      <c r="C4144" t="s">
        <v>3624</v>
      </c>
      <c r="D4144" s="1">
        <v>46078</v>
      </c>
      <c r="E4144" t="s">
        <v>3625</v>
      </c>
      <c r="F4144">
        <v>9</v>
      </c>
      <c r="G4144">
        <v>145</v>
      </c>
      <c r="H4144" t="str">
        <f>VLOOKUP(G4144,[1]OPERADORES!$A:$B,2,0)</f>
        <v xml:space="preserve">FABRICIA </v>
      </c>
      <c r="I4144" t="s">
        <v>21</v>
      </c>
      <c r="J4144" t="s">
        <v>2756</v>
      </c>
      <c r="K4144" t="s">
        <v>3623</v>
      </c>
      <c r="L4144">
        <v>23425</v>
      </c>
      <c r="M4144" t="s">
        <v>2544</v>
      </c>
      <c r="O4144" t="s">
        <v>11</v>
      </c>
      <c r="P4144">
        <v>5102</v>
      </c>
      <c r="Q4144">
        <v>1</v>
      </c>
      <c r="R4144">
        <v>17.850000000000001</v>
      </c>
      <c r="S4144">
        <v>17.850000000000001</v>
      </c>
      <c r="T4144">
        <v>13.55</v>
      </c>
      <c r="U4144">
        <v>24.09</v>
      </c>
      <c r="V4144" t="str">
        <f>VLOOKUP(L4144,'[2]tabela de preços'!$A:$D,4,0)</f>
        <v>NORTON</v>
      </c>
      <c r="W4144" t="str">
        <f>VLOOKUP(L4144,'[2]tabela de preços'!$A:$F,6,0)</f>
        <v xml:space="preserve">OUTROS DISCOS </v>
      </c>
      <c r="X4144" t="str">
        <f>VLOOKUP(L4144,'[2]tabela de preços'!$A:$G,7,0)</f>
        <v>AUTOMOTIVO</v>
      </c>
    </row>
    <row r="4145" spans="1:24" x14ac:dyDescent="0.3">
      <c r="A4145" t="s">
        <v>1381</v>
      </c>
      <c r="C4145" t="s">
        <v>3626</v>
      </c>
      <c r="D4145" s="1">
        <v>46078</v>
      </c>
      <c r="E4145" t="s">
        <v>3627</v>
      </c>
      <c r="F4145">
        <v>9</v>
      </c>
      <c r="G4145">
        <v>231</v>
      </c>
      <c r="H4145" t="str">
        <f>VLOOKUP(G4145,[1]OPERADORES!$A:$B,2,0)</f>
        <v>EDIJANE</v>
      </c>
      <c r="I4145" t="s">
        <v>168</v>
      </c>
      <c r="J4145" t="s">
        <v>1384</v>
      </c>
      <c r="K4145" t="s">
        <v>1385</v>
      </c>
      <c r="L4145">
        <v>85402</v>
      </c>
      <c r="M4145" t="s">
        <v>1182</v>
      </c>
      <c r="O4145" t="s">
        <v>11</v>
      </c>
      <c r="P4145">
        <v>6102</v>
      </c>
      <c r="Q4145">
        <v>1</v>
      </c>
      <c r="R4145">
        <v>551.88</v>
      </c>
      <c r="S4145">
        <v>551.88</v>
      </c>
      <c r="T4145">
        <v>393.5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1424</v>
      </c>
      <c r="C4146" t="s">
        <v>3628</v>
      </c>
      <c r="D4146" s="1">
        <v>46077</v>
      </c>
      <c r="E4146" t="s">
        <v>3629</v>
      </c>
      <c r="F4146">
        <v>9</v>
      </c>
      <c r="G4146">
        <v>231</v>
      </c>
      <c r="H4146" t="str">
        <f>VLOOKUP(G4146,[1]OPERADORES!$A:$B,2,0)</f>
        <v>EDIJANE</v>
      </c>
      <c r="I4146" t="s">
        <v>21</v>
      </c>
      <c r="J4146" t="s">
        <v>1427</v>
      </c>
      <c r="K4146" t="s">
        <v>1428</v>
      </c>
      <c r="L4146">
        <v>84686</v>
      </c>
      <c r="M4146" t="s">
        <v>3630</v>
      </c>
      <c r="O4146" t="s">
        <v>11</v>
      </c>
      <c r="P4146">
        <v>5102</v>
      </c>
      <c r="Q4146">
        <v>1</v>
      </c>
      <c r="R4146">
        <v>16.22</v>
      </c>
      <c r="S4146">
        <v>16.22</v>
      </c>
      <c r="T4146">
        <v>12.31</v>
      </c>
      <c r="U4146">
        <v>24.11</v>
      </c>
      <c r="V4146" t="str">
        <f>VLOOKUP(L4146,'[2]tabela de preços'!$A:$D,4,0)</f>
        <v>MAXI RUBBER</v>
      </c>
      <c r="W4146" t="str">
        <f>VLOOKUP(L4146,'[2]tabela de preços'!$A:$F,6,0)</f>
        <v xml:space="preserve">COLA  PLÁSTICA </v>
      </c>
      <c r="X4146" t="str">
        <f>VLOOKUP(L4146,'[2]tabela de preços'!$A:$G,7,0)</f>
        <v>AUTOMOTIVO</v>
      </c>
    </row>
    <row r="4147" spans="1:24" x14ac:dyDescent="0.3">
      <c r="A4147" t="s">
        <v>1424</v>
      </c>
      <c r="C4147" t="s">
        <v>3628</v>
      </c>
      <c r="D4147" s="1">
        <v>46077</v>
      </c>
      <c r="E4147" t="s">
        <v>3629</v>
      </c>
      <c r="F4147">
        <v>9</v>
      </c>
      <c r="G4147">
        <v>231</v>
      </c>
      <c r="H4147" t="str">
        <f>VLOOKUP(G4147,[1]OPERADORES!$A:$B,2,0)</f>
        <v>EDIJANE</v>
      </c>
      <c r="I4147" t="s">
        <v>21</v>
      </c>
      <c r="J4147" t="s">
        <v>1427</v>
      </c>
      <c r="K4147" t="s">
        <v>1428</v>
      </c>
      <c r="L4147">
        <v>84072</v>
      </c>
      <c r="M4147" t="s">
        <v>3631</v>
      </c>
      <c r="O4147" t="s">
        <v>11</v>
      </c>
      <c r="P4147">
        <v>5403</v>
      </c>
      <c r="Q4147">
        <v>1</v>
      </c>
      <c r="R4147">
        <v>91.77</v>
      </c>
      <c r="S4147">
        <v>91.77</v>
      </c>
      <c r="T4147">
        <v>69.66</v>
      </c>
      <c r="U4147">
        <v>24.09</v>
      </c>
      <c r="V4147" t="str">
        <f>VLOOKUP(L4147,'[2]tabela de preços'!$A:$D,4,0)</f>
        <v>BRASILUX</v>
      </c>
      <c r="W4147" t="str">
        <f>VLOOKUP(L4147,'[2]tabela de preços'!$A:$F,6,0)</f>
        <v>ESMALTES</v>
      </c>
      <c r="X4147" t="str">
        <f>VLOOKUP(L4147,'[2]tabela de preços'!$A:$G,7,0)</f>
        <v>INDUSTRIAL</v>
      </c>
    </row>
    <row r="4148" spans="1:24" x14ac:dyDescent="0.3">
      <c r="A4148" t="s">
        <v>1430</v>
      </c>
      <c r="C4148" t="s">
        <v>3632</v>
      </c>
      <c r="D4148" s="1">
        <v>46077</v>
      </c>
      <c r="E4148" t="s">
        <v>3633</v>
      </c>
      <c r="F4148">
        <v>9</v>
      </c>
      <c r="G4148">
        <v>197</v>
      </c>
      <c r="H4148" t="str">
        <f>VLOOKUP(G4148,[1]OPERADORES!$A:$B,2,0)</f>
        <v xml:space="preserve">POLIANA LORRANE DE AMORIM </v>
      </c>
      <c r="I4148" t="s">
        <v>21</v>
      </c>
      <c r="J4148" t="s">
        <v>363</v>
      </c>
      <c r="K4148" t="s">
        <v>1433</v>
      </c>
      <c r="L4148">
        <v>23399</v>
      </c>
      <c r="M4148" t="s">
        <v>462</v>
      </c>
      <c r="O4148" t="s">
        <v>11</v>
      </c>
      <c r="P4148">
        <v>5102</v>
      </c>
      <c r="Q4148">
        <v>1</v>
      </c>
      <c r="R4148">
        <v>239.3</v>
      </c>
      <c r="S4148">
        <v>239.3</v>
      </c>
      <c r="T4148">
        <v>175.44</v>
      </c>
      <c r="U4148">
        <v>26.69</v>
      </c>
      <c r="V4148" t="str">
        <f>VLOOKUP(L4148,'[2]tabela de preços'!$A:$D,4,0)</f>
        <v>3M</v>
      </c>
      <c r="W4148" t="str">
        <f>VLOOKUP(L4148,'[2]tabela de preços'!$A:$F,6,0)</f>
        <v>EPI´S</v>
      </c>
      <c r="X4148" t="str">
        <f>VLOOKUP(L4148,'[2]tabela de preços'!$A:$G,7,0)</f>
        <v>AUTOMOTIVO</v>
      </c>
    </row>
    <row r="4149" spans="1:24" x14ac:dyDescent="0.3">
      <c r="A4149" t="s">
        <v>1430</v>
      </c>
      <c r="C4149" t="s">
        <v>3634</v>
      </c>
      <c r="D4149" s="1">
        <v>46077</v>
      </c>
      <c r="E4149" t="s">
        <v>3635</v>
      </c>
      <c r="F4149">
        <v>9</v>
      </c>
      <c r="G4149">
        <v>197</v>
      </c>
      <c r="H4149" t="str">
        <f>VLOOKUP(G4149,[1]OPERADORES!$A:$B,2,0)</f>
        <v xml:space="preserve">POLIANA LORRANE DE AMORIM </v>
      </c>
      <c r="I4149" t="s">
        <v>21</v>
      </c>
      <c r="J4149" t="s">
        <v>363</v>
      </c>
      <c r="K4149" t="s">
        <v>1433</v>
      </c>
      <c r="L4149">
        <v>85318</v>
      </c>
      <c r="M4149" t="s">
        <v>258</v>
      </c>
      <c r="O4149" t="s">
        <v>11</v>
      </c>
      <c r="P4149">
        <v>5102</v>
      </c>
      <c r="Q4149">
        <v>1</v>
      </c>
      <c r="R4149">
        <v>819</v>
      </c>
      <c r="S4149">
        <v>819</v>
      </c>
      <c r="T4149">
        <v>583.96</v>
      </c>
      <c r="U4149">
        <v>28.7</v>
      </c>
      <c r="V4149" t="str">
        <f>VLOOKUP(L4149,'[2]tabela de preços'!$A:$D,4,0)</f>
        <v>BRASILUX</v>
      </c>
      <c r="W4149" t="str">
        <f>VLOOKUP(L4149,'[2]tabela de preços'!$A:$F,6,0)</f>
        <v>TINTA EM PÓ</v>
      </c>
      <c r="X4149" t="str">
        <f>VLOOKUP(L4149,'[2]tabela de preços'!$A:$G,7,0)</f>
        <v>INDUSTRIAL</v>
      </c>
    </row>
    <row r="4150" spans="1:24" x14ac:dyDescent="0.3">
      <c r="A4150" t="s">
        <v>1430</v>
      </c>
      <c r="C4150" t="s">
        <v>3634</v>
      </c>
      <c r="D4150" s="1">
        <v>46077</v>
      </c>
      <c r="E4150" t="s">
        <v>3635</v>
      </c>
      <c r="F4150">
        <v>9</v>
      </c>
      <c r="G4150">
        <v>197</v>
      </c>
      <c r="H4150" t="str">
        <f>VLOOKUP(G4150,[1]OPERADORES!$A:$B,2,0)</f>
        <v xml:space="preserve">POLIANA LORRANE DE AMORIM </v>
      </c>
      <c r="I4150" t="s">
        <v>21</v>
      </c>
      <c r="J4150" t="s">
        <v>363</v>
      </c>
      <c r="K4150" t="s">
        <v>1433</v>
      </c>
      <c r="L4150">
        <v>85401</v>
      </c>
      <c r="M4150" t="s">
        <v>261</v>
      </c>
      <c r="O4150" t="s">
        <v>11</v>
      </c>
      <c r="P4150">
        <v>5102</v>
      </c>
      <c r="Q4150">
        <v>1</v>
      </c>
      <c r="R4150">
        <v>655.78</v>
      </c>
      <c r="S4150">
        <v>655.78</v>
      </c>
      <c r="T4150">
        <v>451.64</v>
      </c>
      <c r="U4150">
        <v>31.13</v>
      </c>
      <c r="V4150" t="str">
        <f>VLOOKUP(L4150,'[2]tabela de preços'!$A:$D,4,0)</f>
        <v>BRASILUX</v>
      </c>
      <c r="W4150" t="str">
        <f>VLOOKUP(L4150,'[2]tabela de preços'!$A:$F,6,0)</f>
        <v>TINTA EM PÓ</v>
      </c>
      <c r="X4150" t="str">
        <f>VLOOKUP(L4150,'[2]tabela de preços'!$A:$G,7,0)</f>
        <v>INDUSTRIAL</v>
      </c>
    </row>
    <row r="4151" spans="1:24" x14ac:dyDescent="0.3">
      <c r="A4151" t="s">
        <v>1430</v>
      </c>
      <c r="C4151" t="s">
        <v>3634</v>
      </c>
      <c r="D4151" s="1">
        <v>46077</v>
      </c>
      <c r="E4151" t="s">
        <v>3635</v>
      </c>
      <c r="F4151">
        <v>9</v>
      </c>
      <c r="G4151">
        <v>197</v>
      </c>
      <c r="H4151" t="str">
        <f>VLOOKUP(G4151,[1]OPERADORES!$A:$B,2,0)</f>
        <v xml:space="preserve">POLIANA LORRANE DE AMORIM </v>
      </c>
      <c r="I4151" t="s">
        <v>21</v>
      </c>
      <c r="J4151" t="s">
        <v>363</v>
      </c>
      <c r="K4151" t="s">
        <v>1433</v>
      </c>
      <c r="L4151">
        <v>85424</v>
      </c>
      <c r="M4151" t="s">
        <v>2644</v>
      </c>
      <c r="O4151" t="s">
        <v>11</v>
      </c>
      <c r="P4151">
        <v>5102</v>
      </c>
      <c r="Q4151">
        <v>1</v>
      </c>
      <c r="R4151">
        <v>550</v>
      </c>
      <c r="S4151">
        <v>550</v>
      </c>
      <c r="T4151">
        <v>378.26</v>
      </c>
      <c r="U4151">
        <v>31.23</v>
      </c>
      <c r="V4151" t="str">
        <f>VLOOKUP(L4151,'[2]tabela de preços'!$A:$D,4,0)</f>
        <v>BRASILUX</v>
      </c>
      <c r="W4151" t="str">
        <f>VLOOKUP(L4151,'[2]tabela de preços'!$A:$F,6,0)</f>
        <v>TINTA EM PÓ</v>
      </c>
      <c r="X4151" t="str">
        <f>VLOOKUP(L4151,'[2]tabela de preços'!$A:$G,7,0)</f>
        <v>INDUSTRIAL</v>
      </c>
    </row>
    <row r="4152" spans="1:24" x14ac:dyDescent="0.3">
      <c r="A4152" t="s">
        <v>1649</v>
      </c>
      <c r="B4152" t="s">
        <v>1650</v>
      </c>
      <c r="C4152" t="s">
        <v>3636</v>
      </c>
      <c r="D4152" s="1">
        <v>46078</v>
      </c>
      <c r="E4152" t="s">
        <v>3637</v>
      </c>
      <c r="F4152">
        <v>9</v>
      </c>
      <c r="G4152">
        <v>236</v>
      </c>
      <c r="H4152" t="str">
        <f>VLOOKUP(G4152,[1]OPERADORES!$A:$B,2,0)</f>
        <v>DANIEL</v>
      </c>
      <c r="I4152" t="s">
        <v>21</v>
      </c>
      <c r="J4152" t="s">
        <v>1653</v>
      </c>
      <c r="K4152" t="s">
        <v>1654</v>
      </c>
      <c r="L4152">
        <v>10232</v>
      </c>
      <c r="M4152" t="s">
        <v>134</v>
      </c>
      <c r="O4152" t="s">
        <v>11</v>
      </c>
      <c r="P4152">
        <v>5102</v>
      </c>
      <c r="Q4152">
        <v>102</v>
      </c>
      <c r="R4152">
        <v>2.79</v>
      </c>
      <c r="S4152">
        <v>284.58</v>
      </c>
      <c r="T4152">
        <v>229.5</v>
      </c>
      <c r="U4152">
        <v>19.350000000000001</v>
      </c>
      <c r="V4152" t="str">
        <f>VLOOKUP(L4152,'[2]tabela de preços'!$A:$D,4,0)</f>
        <v>NORTON</v>
      </c>
      <c r="W4152" t="str">
        <f>VLOOKUP(L4152,'[2]tabela de preços'!$A:$F,6,0)</f>
        <v xml:space="preserve">DISCOS / LIXAS / ABRASIVOS </v>
      </c>
      <c r="X4152" t="str">
        <f>VLOOKUP(L4152,'[2]tabela de preços'!$A:$G,7,0)</f>
        <v>AUTOMOTIVO</v>
      </c>
    </row>
    <row r="4153" spans="1:24" x14ac:dyDescent="0.3">
      <c r="A4153" t="s">
        <v>1649</v>
      </c>
      <c r="B4153" t="s">
        <v>1650</v>
      </c>
      <c r="C4153" t="s">
        <v>3636</v>
      </c>
      <c r="D4153" s="1">
        <v>46078</v>
      </c>
      <c r="E4153" t="s">
        <v>3637</v>
      </c>
      <c r="F4153">
        <v>9</v>
      </c>
      <c r="G4153">
        <v>236</v>
      </c>
      <c r="H4153" t="str">
        <f>VLOOKUP(G4153,[1]OPERADORES!$A:$B,2,0)</f>
        <v>DANIEL</v>
      </c>
      <c r="I4153" t="s">
        <v>21</v>
      </c>
      <c r="J4153" t="s">
        <v>1653</v>
      </c>
      <c r="K4153" t="s">
        <v>1654</v>
      </c>
      <c r="L4153">
        <v>24248</v>
      </c>
      <c r="M4153" t="s">
        <v>107</v>
      </c>
      <c r="O4153" t="s">
        <v>11</v>
      </c>
      <c r="P4153">
        <v>5102</v>
      </c>
      <c r="Q4153">
        <v>36</v>
      </c>
      <c r="R4153">
        <v>8</v>
      </c>
      <c r="S4153">
        <v>288</v>
      </c>
      <c r="T4153">
        <v>234</v>
      </c>
      <c r="U4153">
        <v>18.75</v>
      </c>
      <c r="V4153" t="str">
        <f>VLOOKUP(L4153,'[2]tabela de preços'!$A:$D,4,0)</f>
        <v>SHERWIN WILLIAMS</v>
      </c>
      <c r="W4153" t="str">
        <f>VLOOKUP(L4153,'[2]tabela de preços'!$A:$F,6,0)</f>
        <v>PRIMER AUTOMOTIVO</v>
      </c>
      <c r="X4153" t="str">
        <f>VLOOKUP(L4153,'[2]tabela de preços'!$A:$G,7,0)</f>
        <v>AUTOMOTIVO</v>
      </c>
    </row>
    <row r="4154" spans="1:24" x14ac:dyDescent="0.3">
      <c r="A4154" t="s">
        <v>1649</v>
      </c>
      <c r="B4154" t="s">
        <v>1650</v>
      </c>
      <c r="C4154" t="s">
        <v>3636</v>
      </c>
      <c r="D4154" s="1">
        <v>46078</v>
      </c>
      <c r="E4154" t="s">
        <v>3637</v>
      </c>
      <c r="F4154">
        <v>9</v>
      </c>
      <c r="G4154">
        <v>236</v>
      </c>
      <c r="H4154" t="str">
        <f>VLOOKUP(G4154,[1]OPERADORES!$A:$B,2,0)</f>
        <v>DANIEL</v>
      </c>
      <c r="I4154" t="s">
        <v>21</v>
      </c>
      <c r="J4154" t="s">
        <v>1653</v>
      </c>
      <c r="K4154" t="s">
        <v>1654</v>
      </c>
      <c r="L4154">
        <v>24247</v>
      </c>
      <c r="M4154" t="s">
        <v>160</v>
      </c>
      <c r="O4154" t="s">
        <v>11</v>
      </c>
      <c r="P4154">
        <v>5403</v>
      </c>
      <c r="Q4154">
        <v>36</v>
      </c>
      <c r="R4154">
        <v>21</v>
      </c>
      <c r="S4154">
        <v>756</v>
      </c>
      <c r="T4154">
        <v>607.32000000000005</v>
      </c>
      <c r="U4154">
        <v>19.670000000000002</v>
      </c>
      <c r="V4154" t="str">
        <f>VLOOKUP(L4154,'[2]tabela de preços'!$A:$D,4,0)</f>
        <v>SHERWIN WILLIAMS</v>
      </c>
      <c r="W4154" t="str">
        <f>VLOOKUP(L4154,'[2]tabela de preços'!$A:$F,6,0)</f>
        <v>PRIMER AUTOMOTIVO</v>
      </c>
      <c r="X4154" t="str">
        <f>VLOOKUP(L4154,'[2]tabela de preços'!$A:$G,7,0)</f>
        <v>AUTOMOTIVO</v>
      </c>
    </row>
    <row r="4155" spans="1:24" x14ac:dyDescent="0.3">
      <c r="A4155" t="s">
        <v>1701</v>
      </c>
      <c r="C4155" t="s">
        <v>3479</v>
      </c>
      <c r="D4155" s="1">
        <v>46076</v>
      </c>
      <c r="E4155" t="s">
        <v>3480</v>
      </c>
      <c r="F4155">
        <v>9</v>
      </c>
      <c r="G4155">
        <v>197</v>
      </c>
      <c r="H4155" t="str">
        <f>VLOOKUP(G4155,[1]OPERADORES!$A:$B,2,0)</f>
        <v xml:space="preserve">POLIANA LORRANE DE AMORIM </v>
      </c>
      <c r="I4155" t="s">
        <v>21</v>
      </c>
      <c r="J4155" t="s">
        <v>265</v>
      </c>
      <c r="K4155" t="s">
        <v>1704</v>
      </c>
      <c r="L4155">
        <v>84354</v>
      </c>
      <c r="M4155" t="s">
        <v>2782</v>
      </c>
      <c r="O4155" t="s">
        <v>11</v>
      </c>
      <c r="P4155">
        <v>5403</v>
      </c>
      <c r="Q4155">
        <v>1</v>
      </c>
      <c r="R4155">
        <v>17.100000000000001</v>
      </c>
      <c r="S4155">
        <v>17.100000000000001</v>
      </c>
      <c r="T4155">
        <v>12.98</v>
      </c>
      <c r="U4155">
        <v>24.09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1701</v>
      </c>
      <c r="C4156" t="s">
        <v>3479</v>
      </c>
      <c r="D4156" s="1">
        <v>46076</v>
      </c>
      <c r="E4156" t="s">
        <v>3480</v>
      </c>
      <c r="F4156">
        <v>9</v>
      </c>
      <c r="G4156">
        <v>197</v>
      </c>
      <c r="H4156" t="str">
        <f>VLOOKUP(G4156,[1]OPERADORES!$A:$B,2,0)</f>
        <v xml:space="preserve">POLIANA LORRANE DE AMORIM </v>
      </c>
      <c r="I4156" t="s">
        <v>21</v>
      </c>
      <c r="J4156" t="s">
        <v>265</v>
      </c>
      <c r="K4156" t="s">
        <v>1704</v>
      </c>
      <c r="L4156">
        <v>84331</v>
      </c>
      <c r="M4156" t="s">
        <v>497</v>
      </c>
      <c r="O4156" t="s">
        <v>11</v>
      </c>
      <c r="P4156">
        <v>5403</v>
      </c>
      <c r="Q4156">
        <v>4</v>
      </c>
      <c r="R4156">
        <v>59.98</v>
      </c>
      <c r="S4156">
        <v>239.92</v>
      </c>
      <c r="T4156">
        <v>208</v>
      </c>
      <c r="U4156">
        <v>13.3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1701</v>
      </c>
      <c r="C4157" t="s">
        <v>3479</v>
      </c>
      <c r="D4157" s="1">
        <v>46076</v>
      </c>
      <c r="E4157" t="s">
        <v>3480</v>
      </c>
      <c r="F4157">
        <v>9</v>
      </c>
      <c r="G4157">
        <v>197</v>
      </c>
      <c r="H4157" t="str">
        <f>VLOOKUP(G4157,[1]OPERADORES!$A:$B,2,0)</f>
        <v xml:space="preserve">POLIANA LORRANE DE AMORIM </v>
      </c>
      <c r="I4157" t="s">
        <v>21</v>
      </c>
      <c r="J4157" t="s">
        <v>265</v>
      </c>
      <c r="K4157" t="s">
        <v>1704</v>
      </c>
      <c r="L4157">
        <v>84357</v>
      </c>
      <c r="M4157" t="s">
        <v>580</v>
      </c>
      <c r="O4157" t="s">
        <v>11</v>
      </c>
      <c r="P4157">
        <v>5403</v>
      </c>
      <c r="Q4157">
        <v>6</v>
      </c>
      <c r="R4157">
        <v>21.7</v>
      </c>
      <c r="S4157">
        <v>130.19999999999999</v>
      </c>
      <c r="T4157">
        <v>98.82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ESMALTES</v>
      </c>
      <c r="X4157" t="str">
        <f>VLOOKUP(L4157,'[2]tabela de preços'!$A:$G,7,0)</f>
        <v>INDUSTRIAL</v>
      </c>
    </row>
    <row r="4158" spans="1:24" x14ac:dyDescent="0.3">
      <c r="A4158" t="s">
        <v>1701</v>
      </c>
      <c r="C4158" t="s">
        <v>3479</v>
      </c>
      <c r="D4158" s="1">
        <v>46076</v>
      </c>
      <c r="E4158" t="s">
        <v>3480</v>
      </c>
      <c r="F4158">
        <v>9</v>
      </c>
      <c r="G4158">
        <v>197</v>
      </c>
      <c r="H4158" t="str">
        <f>VLOOKUP(G4158,[1]OPERADORES!$A:$B,2,0)</f>
        <v xml:space="preserve">POLIANA LORRANE DE AMORIM </v>
      </c>
      <c r="I4158" t="s">
        <v>21</v>
      </c>
      <c r="J4158" t="s">
        <v>265</v>
      </c>
      <c r="K4158" t="s">
        <v>1704</v>
      </c>
      <c r="L4158">
        <v>84146</v>
      </c>
      <c r="M4158" t="s">
        <v>1707</v>
      </c>
      <c r="O4158" t="s">
        <v>11</v>
      </c>
      <c r="P4158">
        <v>5403</v>
      </c>
      <c r="Q4158">
        <v>1</v>
      </c>
      <c r="R4158">
        <v>21.56</v>
      </c>
      <c r="S4158">
        <v>21.56</v>
      </c>
      <c r="T4158">
        <v>16.37</v>
      </c>
      <c r="U4158">
        <v>24.07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1701</v>
      </c>
      <c r="C4159" t="s">
        <v>3479</v>
      </c>
      <c r="D4159" s="1">
        <v>46076</v>
      </c>
      <c r="E4159" t="s">
        <v>3480</v>
      </c>
      <c r="F4159">
        <v>9</v>
      </c>
      <c r="G4159">
        <v>197</v>
      </c>
      <c r="H4159" t="str">
        <f>VLOOKUP(G4159,[1]OPERADORES!$A:$B,2,0)</f>
        <v xml:space="preserve">POLIANA LORRANE DE AMORIM </v>
      </c>
      <c r="I4159" t="s">
        <v>21</v>
      </c>
      <c r="J4159" t="s">
        <v>265</v>
      </c>
      <c r="K4159" t="s">
        <v>1704</v>
      </c>
      <c r="L4159">
        <v>84333</v>
      </c>
      <c r="M4159" t="s">
        <v>1025</v>
      </c>
      <c r="O4159" t="s">
        <v>11</v>
      </c>
      <c r="P4159">
        <v>5403</v>
      </c>
      <c r="Q4159">
        <v>3</v>
      </c>
      <c r="R4159">
        <v>59.98</v>
      </c>
      <c r="S4159">
        <v>179.94</v>
      </c>
      <c r="T4159">
        <v>141.12</v>
      </c>
      <c r="U4159">
        <v>21.57</v>
      </c>
      <c r="V4159" t="str">
        <f>VLOOKUP(L4159,'[2]tabela de preços'!$A:$D,4,0)</f>
        <v>BRASILUX</v>
      </c>
      <c r="W4159" t="str">
        <f>VLOOKUP(L4159,'[2]tabela de preços'!$A:$F,6,0)</f>
        <v>ESMALTES</v>
      </c>
      <c r="X4159" t="str">
        <f>VLOOKUP(L4159,'[2]tabela de preços'!$A:$G,7,0)</f>
        <v>INDUSTRIAL</v>
      </c>
    </row>
    <row r="4160" spans="1:24" x14ac:dyDescent="0.3">
      <c r="A4160" t="s">
        <v>1701</v>
      </c>
      <c r="C4160" t="s">
        <v>3479</v>
      </c>
      <c r="D4160" s="1">
        <v>46076</v>
      </c>
      <c r="E4160" t="s">
        <v>3480</v>
      </c>
      <c r="F4160">
        <v>9</v>
      </c>
      <c r="G4160">
        <v>197</v>
      </c>
      <c r="H4160" t="str">
        <f>VLOOKUP(G4160,[1]OPERADORES!$A:$B,2,0)</f>
        <v xml:space="preserve">POLIANA LORRANE DE AMORIM </v>
      </c>
      <c r="I4160" t="s">
        <v>21</v>
      </c>
      <c r="J4160" t="s">
        <v>265</v>
      </c>
      <c r="K4160" t="s">
        <v>1704</v>
      </c>
      <c r="L4160">
        <v>84338</v>
      </c>
      <c r="M4160" t="s">
        <v>752</v>
      </c>
      <c r="O4160" t="s">
        <v>11</v>
      </c>
      <c r="P4160">
        <v>5403</v>
      </c>
      <c r="Q4160">
        <v>1</v>
      </c>
      <c r="R4160">
        <v>59.98</v>
      </c>
      <c r="S4160">
        <v>59.98</v>
      </c>
      <c r="T4160">
        <v>52</v>
      </c>
      <c r="U4160">
        <v>13.3</v>
      </c>
      <c r="V4160" t="str">
        <f>VLOOKUP(L4160,'[2]tabela de preços'!$A:$D,4,0)</f>
        <v>BRASILUX</v>
      </c>
      <c r="W4160" t="str">
        <f>VLOOKUP(L4160,'[2]tabela de preços'!$A:$F,6,0)</f>
        <v>ESMALTES</v>
      </c>
      <c r="X4160" t="str">
        <f>VLOOKUP(L4160,'[2]tabela de preços'!$A:$G,7,0)</f>
        <v>INDUSTRIAL</v>
      </c>
    </row>
    <row r="4161" spans="1:24" x14ac:dyDescent="0.3">
      <c r="A4161" t="s">
        <v>1701</v>
      </c>
      <c r="C4161" t="s">
        <v>3479</v>
      </c>
      <c r="D4161" s="1">
        <v>46076</v>
      </c>
      <c r="E4161" t="s">
        <v>3480</v>
      </c>
      <c r="F4161">
        <v>9</v>
      </c>
      <c r="G4161">
        <v>197</v>
      </c>
      <c r="H4161" t="str">
        <f>VLOOKUP(G4161,[1]OPERADORES!$A:$B,2,0)</f>
        <v xml:space="preserve">POLIANA LORRANE DE AMORIM </v>
      </c>
      <c r="I4161" t="s">
        <v>21</v>
      </c>
      <c r="J4161" t="s">
        <v>265</v>
      </c>
      <c r="K4161" t="s">
        <v>1704</v>
      </c>
      <c r="L4161">
        <v>84122</v>
      </c>
      <c r="M4161" t="s">
        <v>287</v>
      </c>
      <c r="O4161" t="s">
        <v>11</v>
      </c>
      <c r="P4161">
        <v>5403</v>
      </c>
      <c r="Q4161">
        <v>1</v>
      </c>
      <c r="R4161">
        <v>18.38</v>
      </c>
      <c r="S4161">
        <v>18.38</v>
      </c>
      <c r="T4161">
        <v>13.95</v>
      </c>
      <c r="U4161">
        <v>24.1</v>
      </c>
      <c r="V4161" t="str">
        <f>VLOOKUP(L4161,'[2]tabela de preços'!$A:$D,4,0)</f>
        <v>BRASILUX</v>
      </c>
      <c r="W4161" t="str">
        <f>VLOOKUP(L4161,'[2]tabela de preços'!$A:$F,6,0)</f>
        <v>ESMALTES</v>
      </c>
      <c r="X4161" t="str">
        <f>VLOOKUP(L4161,'[2]tabela de preços'!$A:$G,7,0)</f>
        <v>INDUSTRIAL</v>
      </c>
    </row>
    <row r="4162" spans="1:24" x14ac:dyDescent="0.3">
      <c r="A4162" t="s">
        <v>1701</v>
      </c>
      <c r="C4162" t="s">
        <v>3479</v>
      </c>
      <c r="D4162" s="1">
        <v>46076</v>
      </c>
      <c r="E4162" t="s">
        <v>3480</v>
      </c>
      <c r="F4162">
        <v>9</v>
      </c>
      <c r="G4162">
        <v>197</v>
      </c>
      <c r="H4162" t="str">
        <f>VLOOKUP(G4162,[1]OPERADORES!$A:$B,2,0)</f>
        <v xml:space="preserve">POLIANA LORRANE DE AMORIM </v>
      </c>
      <c r="I4162" t="s">
        <v>21</v>
      </c>
      <c r="J4162" t="s">
        <v>265</v>
      </c>
      <c r="K4162" t="s">
        <v>1704</v>
      </c>
      <c r="L4162">
        <v>84147</v>
      </c>
      <c r="M4162" t="s">
        <v>1717</v>
      </c>
      <c r="O4162" t="s">
        <v>11</v>
      </c>
      <c r="P4162">
        <v>5403</v>
      </c>
      <c r="Q4162">
        <v>4</v>
      </c>
      <c r="R4162">
        <v>19.41</v>
      </c>
      <c r="S4162">
        <v>77.64</v>
      </c>
      <c r="T4162">
        <v>58.92</v>
      </c>
      <c r="U4162">
        <v>24.11</v>
      </c>
      <c r="V4162" t="str">
        <f>VLOOKUP(L4162,'[2]tabela de preços'!$A:$D,4,0)</f>
        <v>BRASILUX</v>
      </c>
      <c r="W4162" t="str">
        <f>VLOOKUP(L4162,'[2]tabela de preços'!$A:$F,6,0)</f>
        <v>ESMALTES</v>
      </c>
      <c r="X4162" t="str">
        <f>VLOOKUP(L4162,'[2]tabela de preços'!$A:$G,7,0)</f>
        <v>INDUSTRIAL</v>
      </c>
    </row>
    <row r="4163" spans="1:24" x14ac:dyDescent="0.3">
      <c r="A4163" t="s">
        <v>1701</v>
      </c>
      <c r="C4163" t="s">
        <v>3479</v>
      </c>
      <c r="D4163" s="1">
        <v>46076</v>
      </c>
      <c r="E4163" t="s">
        <v>3480</v>
      </c>
      <c r="F4163">
        <v>9</v>
      </c>
      <c r="G4163">
        <v>197</v>
      </c>
      <c r="H4163" t="str">
        <f>VLOOKUP(G4163,[1]OPERADORES!$A:$B,2,0)</f>
        <v xml:space="preserve">POLIANA LORRANE DE AMORIM </v>
      </c>
      <c r="I4163" t="s">
        <v>21</v>
      </c>
      <c r="J4163" t="s">
        <v>265</v>
      </c>
      <c r="K4163" t="s">
        <v>1704</v>
      </c>
      <c r="L4163">
        <v>84346</v>
      </c>
      <c r="M4163" t="s">
        <v>1909</v>
      </c>
      <c r="O4163" t="s">
        <v>11</v>
      </c>
      <c r="P4163">
        <v>5403</v>
      </c>
      <c r="Q4163">
        <v>1</v>
      </c>
      <c r="R4163">
        <v>59.98</v>
      </c>
      <c r="S4163">
        <v>59.98</v>
      </c>
      <c r="T4163">
        <v>46.42</v>
      </c>
      <c r="U4163">
        <v>22.61</v>
      </c>
      <c r="V4163" t="str">
        <f>VLOOKUP(L4163,'[2]tabela de preços'!$A:$D,4,0)</f>
        <v>BRASILUX</v>
      </c>
      <c r="W4163" t="str">
        <f>VLOOKUP(L4163,'[2]tabela de preços'!$A:$F,6,0)</f>
        <v>ESMALTES</v>
      </c>
      <c r="X4163" t="str">
        <f>VLOOKUP(L4163,'[2]tabela de preços'!$A:$G,7,0)</f>
        <v>INDUSTRIAL</v>
      </c>
    </row>
    <row r="4164" spans="1:24" x14ac:dyDescent="0.3">
      <c r="A4164" t="s">
        <v>1701</v>
      </c>
      <c r="C4164" t="s">
        <v>3479</v>
      </c>
      <c r="D4164" s="1">
        <v>46076</v>
      </c>
      <c r="E4164" t="s">
        <v>3480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265</v>
      </c>
      <c r="K4164" t="s">
        <v>1704</v>
      </c>
      <c r="L4164">
        <v>84347</v>
      </c>
      <c r="M4164" t="s">
        <v>1150</v>
      </c>
      <c r="O4164" t="s">
        <v>11</v>
      </c>
      <c r="P4164">
        <v>5403</v>
      </c>
      <c r="Q4164">
        <v>1</v>
      </c>
      <c r="R4164">
        <v>59.98</v>
      </c>
      <c r="S4164">
        <v>59.98</v>
      </c>
      <c r="T4164">
        <v>52</v>
      </c>
      <c r="U4164">
        <v>13.3</v>
      </c>
      <c r="V4164" t="str">
        <f>VLOOKUP(L4164,'[2]tabela de preços'!$A:$D,4,0)</f>
        <v>BRASILUX</v>
      </c>
      <c r="W4164" t="str">
        <f>VLOOKUP(L4164,'[2]tabela de preços'!$A:$F,6,0)</f>
        <v>ESMALTES</v>
      </c>
      <c r="X4164" t="str">
        <f>VLOOKUP(L4164,'[2]tabela de preços'!$A:$G,7,0)</f>
        <v>INDUSTRIAL</v>
      </c>
    </row>
    <row r="4165" spans="1:24" x14ac:dyDescent="0.3">
      <c r="A4165" t="s">
        <v>1727</v>
      </c>
      <c r="C4165" t="s">
        <v>3638</v>
      </c>
      <c r="D4165" s="1">
        <v>46078</v>
      </c>
      <c r="E4165" t="s">
        <v>3639</v>
      </c>
      <c r="F4165">
        <v>9</v>
      </c>
      <c r="G4165">
        <v>174</v>
      </c>
      <c r="H4165" t="str">
        <f>VLOOKUP(G4165,[1]OPERADORES!$A:$B,2,0)</f>
        <v>MIRIÃ LOBATO RODRIGUES</v>
      </c>
      <c r="I4165" t="s">
        <v>21</v>
      </c>
      <c r="J4165" t="s">
        <v>1173</v>
      </c>
      <c r="K4165" t="s">
        <v>1730</v>
      </c>
      <c r="L4165">
        <v>85182</v>
      </c>
      <c r="M4165" t="s">
        <v>3120</v>
      </c>
      <c r="O4165" t="s">
        <v>11</v>
      </c>
      <c r="P4165">
        <v>5403</v>
      </c>
      <c r="Q4165">
        <v>4</v>
      </c>
      <c r="R4165">
        <v>76.91</v>
      </c>
      <c r="S4165">
        <v>307.64</v>
      </c>
      <c r="T4165">
        <v>233.52</v>
      </c>
      <c r="U4165">
        <v>24.09</v>
      </c>
      <c r="V4165" t="str">
        <f>VLOOKUP(L4165,'[2]tabela de preços'!$A:$D,4,0)</f>
        <v>BRASILUX</v>
      </c>
      <c r="W4165" t="str">
        <f>VLOOKUP(L4165,'[2]tabela de preços'!$A:$F,6,0)</f>
        <v>ESMALTES</v>
      </c>
      <c r="X4165" t="str">
        <f>VLOOKUP(L4165,'[2]tabela de preços'!$A:$G,7,0)</f>
        <v>INDUSTRIAL</v>
      </c>
    </row>
    <row r="4166" spans="1:24" x14ac:dyDescent="0.3">
      <c r="A4166" t="s">
        <v>1727</v>
      </c>
      <c r="C4166" t="s">
        <v>3638</v>
      </c>
      <c r="D4166" s="1">
        <v>46078</v>
      </c>
      <c r="E4166" t="s">
        <v>3639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21</v>
      </c>
      <c r="J4166" t="s">
        <v>1173</v>
      </c>
      <c r="K4166" t="s">
        <v>1730</v>
      </c>
      <c r="L4166">
        <v>20212</v>
      </c>
      <c r="M4166" t="s">
        <v>198</v>
      </c>
      <c r="O4166" t="s">
        <v>11</v>
      </c>
      <c r="P4166">
        <v>5403</v>
      </c>
      <c r="Q4166">
        <v>6</v>
      </c>
      <c r="R4166">
        <v>27.69</v>
      </c>
      <c r="S4166">
        <v>166.14</v>
      </c>
      <c r="T4166">
        <v>126.12</v>
      </c>
      <c r="U4166">
        <v>24.09</v>
      </c>
      <c r="V4166" t="str">
        <f>VLOOKUP(L4166,'[2]tabela de preços'!$A:$D,4,0)</f>
        <v>MAXI RUBBER</v>
      </c>
      <c r="W4166" t="str">
        <f>VLOOKUP(L4166,'[2]tabela de preços'!$A:$F,6,0)</f>
        <v>SELADORA P/ PLASTICO</v>
      </c>
      <c r="X4166" t="str">
        <f>VLOOKUP(L4166,'[2]tabela de preços'!$A:$G,7,0)</f>
        <v>AUTOMOTIVO</v>
      </c>
    </row>
    <row r="4167" spans="1:24" x14ac:dyDescent="0.3">
      <c r="A4167" t="s">
        <v>3640</v>
      </c>
      <c r="B4167" t="s">
        <v>3641</v>
      </c>
      <c r="C4167" t="s">
        <v>3642</v>
      </c>
      <c r="D4167" s="1">
        <v>46077</v>
      </c>
      <c r="E4167" t="s">
        <v>3643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1868</v>
      </c>
      <c r="K4167" t="s">
        <v>3644</v>
      </c>
      <c r="L4167">
        <v>23433</v>
      </c>
      <c r="M4167" t="s">
        <v>2029</v>
      </c>
      <c r="O4167" t="s">
        <v>11</v>
      </c>
      <c r="P4167">
        <v>5102</v>
      </c>
      <c r="Q4167">
        <v>2</v>
      </c>
      <c r="R4167">
        <v>153.11000000000001</v>
      </c>
      <c r="S4167">
        <v>306.22000000000003</v>
      </c>
      <c r="T4167">
        <v>232.42</v>
      </c>
      <c r="U4167">
        <v>24.1</v>
      </c>
      <c r="V4167" t="str">
        <f>VLOOKUP(L4167,'[2]tabela de preços'!$A:$D,4,0)</f>
        <v>3M</v>
      </c>
      <c r="W4167" t="str">
        <f>VLOOKUP(L4167,'[2]tabela de preços'!$A:$F,6,0)</f>
        <v xml:space="preserve">MASCARAMENTO </v>
      </c>
      <c r="X4167" t="str">
        <f>VLOOKUP(L4167,'[2]tabela de preços'!$A:$G,7,0)</f>
        <v>AUTOMOTIVO</v>
      </c>
    </row>
    <row r="4168" spans="1:24" x14ac:dyDescent="0.3">
      <c r="A4168" t="s">
        <v>3640</v>
      </c>
      <c r="B4168" t="s">
        <v>3641</v>
      </c>
      <c r="C4168" t="s">
        <v>3642</v>
      </c>
      <c r="D4168" s="1">
        <v>46077</v>
      </c>
      <c r="E4168" t="s">
        <v>3643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1868</v>
      </c>
      <c r="K4168" t="s">
        <v>3644</v>
      </c>
      <c r="L4168">
        <v>10342</v>
      </c>
      <c r="M4168" t="s">
        <v>3645</v>
      </c>
      <c r="O4168" t="s">
        <v>11</v>
      </c>
      <c r="P4168">
        <v>5102</v>
      </c>
      <c r="Q4168">
        <v>2</v>
      </c>
      <c r="R4168">
        <v>161.19</v>
      </c>
      <c r="S4168">
        <v>322.38</v>
      </c>
      <c r="T4168">
        <v>244.7</v>
      </c>
      <c r="U4168">
        <v>24.1</v>
      </c>
      <c r="V4168" t="str">
        <f>VLOOKUP(L4168,'[2]tabela de preços'!$A:$D,4,0)</f>
        <v>SHERWIN WILLIAMS</v>
      </c>
      <c r="W4168" t="str">
        <f>VLOOKUP(L4168,'[2]tabela de preços'!$A:$F,6,0)</f>
        <v xml:space="preserve">MASCARAMENTO </v>
      </c>
      <c r="X4168" t="str">
        <f>VLOOKUP(L4168,'[2]tabela de preços'!$A:$G,7,0)</f>
        <v>AUTOMOTIVO</v>
      </c>
    </row>
    <row r="4169" spans="1:24" x14ac:dyDescent="0.3">
      <c r="A4169" t="s">
        <v>1757</v>
      </c>
      <c r="B4169" t="s">
        <v>1758</v>
      </c>
      <c r="C4169" t="s">
        <v>3481</v>
      </c>
      <c r="D4169" s="1">
        <v>46076</v>
      </c>
      <c r="E4169" t="s">
        <v>3482</v>
      </c>
      <c r="F4169">
        <v>9</v>
      </c>
      <c r="G4169">
        <v>236</v>
      </c>
      <c r="H4169" t="str">
        <f>VLOOKUP(G4169,[1]OPERADORES!$A:$B,2,0)</f>
        <v>DANIEL</v>
      </c>
      <c r="I4169" t="s">
        <v>1761</v>
      </c>
      <c r="J4169" t="s">
        <v>1762</v>
      </c>
      <c r="K4169" t="s">
        <v>1763</v>
      </c>
      <c r="L4169">
        <v>10246</v>
      </c>
      <c r="M4169" t="s">
        <v>206</v>
      </c>
      <c r="O4169" t="s">
        <v>11</v>
      </c>
      <c r="P4169">
        <v>6102</v>
      </c>
      <c r="Q4169">
        <v>100</v>
      </c>
      <c r="R4169">
        <v>2.79</v>
      </c>
      <c r="S4169">
        <v>279</v>
      </c>
      <c r="T4169">
        <v>193</v>
      </c>
      <c r="U4169">
        <v>30.82</v>
      </c>
      <c r="V4169" t="str">
        <f>VLOOKUP(L4169,'[2]tabela de preços'!$A:$D,4,0)</f>
        <v>NORTON</v>
      </c>
      <c r="W4169" t="str">
        <f>VLOOKUP(L4169,'[2]tabela de preços'!$A:$F,6,0)</f>
        <v xml:space="preserve">DISCOS / LIXAS / ABRASIVOS </v>
      </c>
      <c r="X4169" t="str">
        <f>VLOOKUP(L4169,'[2]tabela de preços'!$A:$G,7,0)</f>
        <v>AUTOMOTIVO</v>
      </c>
    </row>
    <row r="4170" spans="1:24" x14ac:dyDescent="0.3">
      <c r="A4170" t="s">
        <v>1757</v>
      </c>
      <c r="B4170" t="s">
        <v>1758</v>
      </c>
      <c r="C4170" t="s">
        <v>3481</v>
      </c>
      <c r="D4170" s="1">
        <v>46076</v>
      </c>
      <c r="E4170" t="s">
        <v>3482</v>
      </c>
      <c r="F4170">
        <v>9</v>
      </c>
      <c r="G4170">
        <v>236</v>
      </c>
      <c r="H4170" t="str">
        <f>VLOOKUP(G4170,[1]OPERADORES!$A:$B,2,0)</f>
        <v>DANIEL</v>
      </c>
      <c r="I4170" t="s">
        <v>1761</v>
      </c>
      <c r="J4170" t="s">
        <v>1762</v>
      </c>
      <c r="K4170" t="s">
        <v>1763</v>
      </c>
      <c r="L4170">
        <v>23267</v>
      </c>
      <c r="M4170" t="s">
        <v>164</v>
      </c>
      <c r="O4170" t="s">
        <v>11</v>
      </c>
      <c r="P4170">
        <v>6102</v>
      </c>
      <c r="Q4170">
        <v>36</v>
      </c>
      <c r="R4170">
        <v>22.89</v>
      </c>
      <c r="S4170">
        <v>824.04</v>
      </c>
      <c r="T4170">
        <v>670.32</v>
      </c>
      <c r="U4170">
        <v>18.649999999999999</v>
      </c>
      <c r="V4170" t="str">
        <f>VLOOKUP(L4170,'[2]tabela de preços'!$A:$D,4,0)</f>
        <v>ANJO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1757</v>
      </c>
      <c r="B4171" t="s">
        <v>1758</v>
      </c>
      <c r="C4171" t="s">
        <v>3481</v>
      </c>
      <c r="D4171" s="1">
        <v>46076</v>
      </c>
      <c r="E4171" t="s">
        <v>3482</v>
      </c>
      <c r="F4171">
        <v>9</v>
      </c>
      <c r="G4171">
        <v>236</v>
      </c>
      <c r="H4171" t="str">
        <f>VLOOKUP(G4171,[1]OPERADORES!$A:$B,2,0)</f>
        <v>DANIEL</v>
      </c>
      <c r="I4171" t="s">
        <v>1761</v>
      </c>
      <c r="J4171" t="s">
        <v>1762</v>
      </c>
      <c r="K4171" t="s">
        <v>1763</v>
      </c>
      <c r="L4171">
        <v>22760</v>
      </c>
      <c r="M4171" t="s">
        <v>3483</v>
      </c>
      <c r="O4171" t="s">
        <v>11</v>
      </c>
      <c r="P4171">
        <v>6403</v>
      </c>
      <c r="Q4171">
        <v>1</v>
      </c>
      <c r="R4171">
        <v>186.36</v>
      </c>
      <c r="S4171">
        <v>186.36</v>
      </c>
      <c r="T4171">
        <v>144.80000000000001</v>
      </c>
      <c r="U4171">
        <v>22.3</v>
      </c>
      <c r="V4171" t="str">
        <f>VLOOKUP(L4171,'[2]tabela de preços'!$A:$D,4,0)</f>
        <v>SKY</v>
      </c>
      <c r="W4171" t="str">
        <f>VLOOKUP(L4171,'[2]tabela de preços'!$A:$F,6,0)</f>
        <v>BASES PU</v>
      </c>
      <c r="X4171" t="str">
        <f>VLOOKUP(L4171,'[2]tabela de preços'!$A:$G,7,0)</f>
        <v>AUTOMOTIVO</v>
      </c>
    </row>
    <row r="4172" spans="1:24" x14ac:dyDescent="0.3">
      <c r="A4172" t="s">
        <v>1757</v>
      </c>
      <c r="B4172" t="s">
        <v>1758</v>
      </c>
      <c r="C4172" t="s">
        <v>3481</v>
      </c>
      <c r="D4172" s="1">
        <v>46076</v>
      </c>
      <c r="E4172" t="s">
        <v>3482</v>
      </c>
      <c r="F4172">
        <v>9</v>
      </c>
      <c r="G4172">
        <v>236</v>
      </c>
      <c r="H4172" t="str">
        <f>VLOOKUP(G4172,[1]OPERADORES!$A:$B,2,0)</f>
        <v>DANIEL</v>
      </c>
      <c r="I4172" t="s">
        <v>1761</v>
      </c>
      <c r="J4172" t="s">
        <v>1762</v>
      </c>
      <c r="K4172" t="s">
        <v>1763</v>
      </c>
      <c r="L4172">
        <v>10298</v>
      </c>
      <c r="M4172" t="s">
        <v>85</v>
      </c>
      <c r="O4172" t="s">
        <v>11</v>
      </c>
      <c r="P4172">
        <v>6102</v>
      </c>
      <c r="Q4172">
        <v>20</v>
      </c>
      <c r="R4172">
        <v>54.9</v>
      </c>
      <c r="S4172" s="2">
        <v>1098</v>
      </c>
      <c r="T4172">
        <v>947.6</v>
      </c>
      <c r="U4172">
        <v>13.7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1757</v>
      </c>
      <c r="B4173" t="s">
        <v>1758</v>
      </c>
      <c r="C4173" t="s">
        <v>3646</v>
      </c>
      <c r="D4173" s="1">
        <v>46077</v>
      </c>
      <c r="E4173" t="s">
        <v>3647</v>
      </c>
      <c r="F4173">
        <v>9</v>
      </c>
      <c r="G4173">
        <v>236</v>
      </c>
      <c r="H4173" t="str">
        <f>VLOOKUP(G4173,[1]OPERADORES!$A:$B,2,0)</f>
        <v>DANIEL</v>
      </c>
      <c r="I4173" t="s">
        <v>1761</v>
      </c>
      <c r="J4173" t="s">
        <v>1762</v>
      </c>
      <c r="K4173" t="s">
        <v>1763</v>
      </c>
      <c r="L4173">
        <v>23624</v>
      </c>
      <c r="M4173" t="s">
        <v>1312</v>
      </c>
      <c r="O4173" t="s">
        <v>11</v>
      </c>
      <c r="P4173">
        <v>6102</v>
      </c>
      <c r="Q4173">
        <v>6</v>
      </c>
      <c r="R4173">
        <v>46.09</v>
      </c>
      <c r="S4173">
        <v>276.54000000000002</v>
      </c>
      <c r="T4173">
        <v>209.88</v>
      </c>
      <c r="U4173">
        <v>24.11</v>
      </c>
      <c r="V4173" t="str">
        <f>VLOOKUP(L4173,'[2]tabela de preços'!$A:$D,4,0)</f>
        <v>MAXI RUBBER</v>
      </c>
      <c r="W4173" t="str">
        <f>VLOOKUP(L4173,'[2]tabela de preços'!$A:$F,6,0)</f>
        <v>VEDADORES / SELANTES</v>
      </c>
      <c r="X4173" t="str">
        <f>VLOOKUP(L4173,'[2]tabela de preços'!$A:$G,7,0)</f>
        <v>AUTOMOTIVO</v>
      </c>
    </row>
    <row r="4174" spans="1:24" x14ac:dyDescent="0.3">
      <c r="A4174" t="s">
        <v>1757</v>
      </c>
      <c r="B4174" t="s">
        <v>1758</v>
      </c>
      <c r="C4174" t="s">
        <v>3646</v>
      </c>
      <c r="D4174" s="1">
        <v>46077</v>
      </c>
      <c r="E4174" t="s">
        <v>3647</v>
      </c>
      <c r="F4174">
        <v>9</v>
      </c>
      <c r="G4174">
        <v>236</v>
      </c>
      <c r="H4174" t="str">
        <f>VLOOKUP(G4174,[1]OPERADORES!$A:$B,2,0)</f>
        <v>DANIEL</v>
      </c>
      <c r="I4174" t="s">
        <v>1761</v>
      </c>
      <c r="J4174" t="s">
        <v>1762</v>
      </c>
      <c r="K4174" t="s">
        <v>1763</v>
      </c>
      <c r="L4174">
        <v>10403</v>
      </c>
      <c r="M4174" t="s">
        <v>1764</v>
      </c>
      <c r="O4174" t="s">
        <v>11</v>
      </c>
      <c r="P4174">
        <v>6102</v>
      </c>
      <c r="Q4174">
        <v>6</v>
      </c>
      <c r="R4174">
        <v>78.569999999999993</v>
      </c>
      <c r="S4174">
        <v>471.42</v>
      </c>
      <c r="T4174">
        <v>370.92</v>
      </c>
      <c r="U4174">
        <v>21.32</v>
      </c>
      <c r="V4174" t="str">
        <f>VLOOKUP(L4174,'[2]tabela de preços'!$A:$D,4,0)</f>
        <v>MAXI RUBBER</v>
      </c>
      <c r="W4174" t="str">
        <f>VLOOKUP(L4174,'[2]tabela de preços'!$A:$F,6,0)</f>
        <v>VEDADORES / SELANTES</v>
      </c>
      <c r="X4174" t="str">
        <f>VLOOKUP(L4174,'[2]tabela de preços'!$A:$G,7,0)</f>
        <v>AUTOMOTIVO</v>
      </c>
    </row>
    <row r="4175" spans="1:24" x14ac:dyDescent="0.3">
      <c r="A4175" t="s">
        <v>1757</v>
      </c>
      <c r="B4175" t="s">
        <v>1758</v>
      </c>
      <c r="C4175" t="s">
        <v>3648</v>
      </c>
      <c r="D4175" s="1">
        <v>46077</v>
      </c>
      <c r="E4175" t="s">
        <v>3649</v>
      </c>
      <c r="F4175">
        <v>9</v>
      </c>
      <c r="G4175">
        <v>236</v>
      </c>
      <c r="H4175" t="str">
        <f>VLOOKUP(G4175,[1]OPERADORES!$A:$B,2,0)</f>
        <v>DANIEL</v>
      </c>
      <c r="I4175" t="s">
        <v>1761</v>
      </c>
      <c r="J4175" t="s">
        <v>1762</v>
      </c>
      <c r="K4175" t="s">
        <v>1763</v>
      </c>
      <c r="L4175">
        <v>85674</v>
      </c>
      <c r="M4175" t="s">
        <v>911</v>
      </c>
      <c r="O4175" t="s">
        <v>11</v>
      </c>
      <c r="P4175">
        <v>6102</v>
      </c>
      <c r="Q4175">
        <v>6</v>
      </c>
      <c r="R4175">
        <v>14.32</v>
      </c>
      <c r="S4175">
        <v>85.92</v>
      </c>
      <c r="T4175">
        <v>65.22</v>
      </c>
      <c r="U4175">
        <v>24.09</v>
      </c>
      <c r="V4175" t="str">
        <f>VLOOKUP(L4175,'[2]tabela de preços'!$A:$D,4,0)</f>
        <v>UNIPEGA</v>
      </c>
      <c r="W4175" t="str">
        <f>VLOOKUP(L4175,'[2]tabela de preços'!$A:$F,6,0)</f>
        <v>ESPUMA EXPANSIVA</v>
      </c>
      <c r="X4175" t="str">
        <f>VLOOKUP(L4175,'[2]tabela de preços'!$A:$G,7,0)</f>
        <v>IMOBILIÁRIO</v>
      </c>
    </row>
    <row r="4176" spans="1:24" x14ac:dyDescent="0.3">
      <c r="A4176" t="s">
        <v>1790</v>
      </c>
      <c r="C4176" t="s">
        <v>3484</v>
      </c>
      <c r="D4176" s="1">
        <v>46076</v>
      </c>
      <c r="E4176" t="s">
        <v>3485</v>
      </c>
      <c r="F4176">
        <v>9</v>
      </c>
      <c r="G4176">
        <v>197</v>
      </c>
      <c r="H4176" t="str">
        <f>VLOOKUP(G4176,[1]OPERADORES!$A:$B,2,0)</f>
        <v xml:space="preserve">POLIANA LORRANE DE AMORIM </v>
      </c>
      <c r="I4176" t="s">
        <v>1761</v>
      </c>
      <c r="J4176" t="s">
        <v>1793</v>
      </c>
      <c r="K4176" t="s">
        <v>1794</v>
      </c>
      <c r="L4176">
        <v>86885</v>
      </c>
      <c r="M4176" t="s">
        <v>1352</v>
      </c>
      <c r="O4176" t="s">
        <v>11</v>
      </c>
      <c r="P4176">
        <v>6102</v>
      </c>
      <c r="Q4176">
        <v>3</v>
      </c>
      <c r="R4176">
        <v>94.9</v>
      </c>
      <c r="S4176">
        <v>284.7</v>
      </c>
      <c r="T4176">
        <v>232.8</v>
      </c>
      <c r="U4176">
        <v>18.23</v>
      </c>
      <c r="V4176" t="str">
        <f>VLOOKUP(L4176,'[2]tabela de preços'!$A:$D,4,0)</f>
        <v>VEDACIT</v>
      </c>
      <c r="W4176" t="str">
        <f>VLOOKUP(L4176,'[2]tabela de preços'!$A:$F,6,0)</f>
        <v>IMPERMEABILIZANTES</v>
      </c>
      <c r="X4176" t="str">
        <f>VLOOKUP(L4176,'[2]tabela de preços'!$A:$G,7,0)</f>
        <v>IMOBILIÁRIO</v>
      </c>
    </row>
    <row r="4177" spans="1:24" x14ac:dyDescent="0.3">
      <c r="A4177" t="s">
        <v>1790</v>
      </c>
      <c r="C4177" t="s">
        <v>3484</v>
      </c>
      <c r="D4177" s="1">
        <v>46076</v>
      </c>
      <c r="E4177" t="s">
        <v>3485</v>
      </c>
      <c r="F4177">
        <v>9</v>
      </c>
      <c r="G4177">
        <v>197</v>
      </c>
      <c r="H4177" t="str">
        <f>VLOOKUP(G4177,[1]OPERADORES!$A:$B,2,0)</f>
        <v xml:space="preserve">POLIANA LORRANE DE AMORIM </v>
      </c>
      <c r="I4177" t="s">
        <v>1761</v>
      </c>
      <c r="J4177" t="s">
        <v>1793</v>
      </c>
      <c r="K4177" t="s">
        <v>1794</v>
      </c>
      <c r="L4177">
        <v>21968</v>
      </c>
      <c r="M4177" t="s">
        <v>2256</v>
      </c>
      <c r="O4177" t="s">
        <v>11</v>
      </c>
      <c r="P4177">
        <v>6403</v>
      </c>
      <c r="Q4177">
        <v>5</v>
      </c>
      <c r="R4177">
        <v>16.29</v>
      </c>
      <c r="S4177">
        <v>81.45</v>
      </c>
      <c r="T4177">
        <v>61.8</v>
      </c>
      <c r="U4177">
        <v>24.13</v>
      </c>
      <c r="V4177" t="str">
        <f>VLOOKUP(L4177,'[2]tabela de preços'!$A:$D,4,0)</f>
        <v>SHERWIN WILLIAMS</v>
      </c>
      <c r="W4177" t="str">
        <f>VLOOKUP(L4177,'[2]tabela de preços'!$A:$F,6,0)</f>
        <v xml:space="preserve">SPRAYS </v>
      </c>
      <c r="X4177" t="str">
        <f>VLOOKUP(L4177,'[2]tabela de preços'!$A:$G,7,0)</f>
        <v>AUTOMOTIVO</v>
      </c>
    </row>
    <row r="4178" spans="1:24" x14ac:dyDescent="0.3">
      <c r="A4178" t="s">
        <v>1790</v>
      </c>
      <c r="C4178" t="s">
        <v>3484</v>
      </c>
      <c r="D4178" s="1">
        <v>46076</v>
      </c>
      <c r="E4178" t="s">
        <v>3485</v>
      </c>
      <c r="F4178">
        <v>9</v>
      </c>
      <c r="G4178">
        <v>197</v>
      </c>
      <c r="H4178" t="str">
        <f>VLOOKUP(G4178,[1]OPERADORES!$A:$B,2,0)</f>
        <v xml:space="preserve">POLIANA LORRANE DE AMORIM </v>
      </c>
      <c r="I4178" t="s">
        <v>1761</v>
      </c>
      <c r="J4178" t="s">
        <v>1793</v>
      </c>
      <c r="K4178" t="s">
        <v>1794</v>
      </c>
      <c r="L4178">
        <v>21754</v>
      </c>
      <c r="M4178" t="s">
        <v>3486</v>
      </c>
      <c r="O4178" t="s">
        <v>11</v>
      </c>
      <c r="P4178">
        <v>6403</v>
      </c>
      <c r="Q4178">
        <v>6</v>
      </c>
      <c r="R4178">
        <v>18.850000000000001</v>
      </c>
      <c r="S4178">
        <v>113.1</v>
      </c>
      <c r="T4178">
        <v>85.86</v>
      </c>
      <c r="U4178">
        <v>24.08</v>
      </c>
      <c r="V4178" t="str">
        <f>VLOOKUP(L4178,'[2]tabela de preços'!$A:$D,4,0)</f>
        <v>SHERWIN WILLIAMS</v>
      </c>
      <c r="W4178" t="str">
        <f>VLOOKUP(L4178,'[2]tabela de preços'!$A:$F,6,0)</f>
        <v xml:space="preserve">SPRAYS </v>
      </c>
      <c r="X4178" t="str">
        <f>VLOOKUP(L4178,'[2]tabela de preços'!$A:$G,7,0)</f>
        <v>AUTOMOTIVO</v>
      </c>
    </row>
    <row r="4179" spans="1:24" x14ac:dyDescent="0.3">
      <c r="A4179" t="s">
        <v>1790</v>
      </c>
      <c r="C4179" t="s">
        <v>3484</v>
      </c>
      <c r="D4179" s="1">
        <v>46076</v>
      </c>
      <c r="E4179" t="s">
        <v>3485</v>
      </c>
      <c r="F4179">
        <v>9</v>
      </c>
      <c r="G4179">
        <v>197</v>
      </c>
      <c r="H4179" t="str">
        <f>VLOOKUP(G4179,[1]OPERADORES!$A:$B,2,0)</f>
        <v xml:space="preserve">POLIANA LORRANE DE AMORIM </v>
      </c>
      <c r="I4179" t="s">
        <v>1761</v>
      </c>
      <c r="J4179" t="s">
        <v>1793</v>
      </c>
      <c r="K4179" t="s">
        <v>1794</v>
      </c>
      <c r="L4179">
        <v>10297</v>
      </c>
      <c r="M4179" t="s">
        <v>41</v>
      </c>
      <c r="O4179" t="s">
        <v>11</v>
      </c>
      <c r="P4179">
        <v>6102</v>
      </c>
      <c r="Q4179">
        <v>12</v>
      </c>
      <c r="R4179">
        <v>10.89</v>
      </c>
      <c r="S4179">
        <v>130.68</v>
      </c>
      <c r="T4179">
        <v>110.04</v>
      </c>
      <c r="U4179">
        <v>15.79</v>
      </c>
      <c r="V4179" t="str">
        <f>VLOOKUP(L4179,'[2]tabela de preços'!$A:$D,4,0)</f>
        <v>ANJO</v>
      </c>
      <c r="W4179" t="str">
        <f>VLOOKUP(L4179,'[2]tabela de preços'!$A:$F,6,0)</f>
        <v>THINNER DE LIMPEZA</v>
      </c>
      <c r="X4179" t="str">
        <f>VLOOKUP(L4179,'[2]tabela de preços'!$A:$G,7,0)</f>
        <v>THINNER</v>
      </c>
    </row>
    <row r="4180" spans="1:24" x14ac:dyDescent="0.3">
      <c r="A4180" t="s">
        <v>2699</v>
      </c>
      <c r="C4180" t="s">
        <v>3487</v>
      </c>
      <c r="D4180" s="1">
        <v>46076</v>
      </c>
      <c r="E4180" t="s">
        <v>3488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587</v>
      </c>
      <c r="K4180" t="s">
        <v>2477</v>
      </c>
      <c r="L4180">
        <v>10236</v>
      </c>
      <c r="M4180" t="s">
        <v>133</v>
      </c>
      <c r="O4180" t="s">
        <v>11</v>
      </c>
      <c r="P4180">
        <v>5102</v>
      </c>
      <c r="Q4180">
        <v>204</v>
      </c>
      <c r="R4180">
        <v>2.79</v>
      </c>
      <c r="S4180">
        <v>569.16</v>
      </c>
      <c r="T4180">
        <v>473.28</v>
      </c>
      <c r="U4180">
        <v>16.850000000000001</v>
      </c>
      <c r="V4180" t="str">
        <f>VLOOKUP(L4180,'[2]tabela de preços'!$A:$D,4,0)</f>
        <v>NORTON</v>
      </c>
      <c r="W4180" t="str">
        <f>VLOOKUP(L4180,'[2]tabela de preços'!$A:$F,6,0)</f>
        <v xml:space="preserve">DISCOS / LIXAS / ABRASIVOS </v>
      </c>
      <c r="X4180" t="str">
        <f>VLOOKUP(L4180,'[2]tabela de preços'!$A:$G,7,0)</f>
        <v>AUTOMOTIVO</v>
      </c>
    </row>
    <row r="4181" spans="1:24" x14ac:dyDescent="0.3">
      <c r="A4181" t="s">
        <v>2699</v>
      </c>
      <c r="C4181" t="s">
        <v>3487</v>
      </c>
      <c r="D4181" s="1">
        <v>46076</v>
      </c>
      <c r="E4181" t="s">
        <v>3488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587</v>
      </c>
      <c r="K4181" t="s">
        <v>2477</v>
      </c>
      <c r="L4181">
        <v>10230</v>
      </c>
      <c r="M4181" t="s">
        <v>193</v>
      </c>
      <c r="O4181" t="s">
        <v>11</v>
      </c>
      <c r="P4181">
        <v>5102</v>
      </c>
      <c r="Q4181">
        <v>102</v>
      </c>
      <c r="R4181">
        <v>2.79</v>
      </c>
      <c r="S4181">
        <v>284.58</v>
      </c>
      <c r="T4181">
        <v>236.64</v>
      </c>
      <c r="U4181">
        <v>16.850000000000001</v>
      </c>
      <c r="V4181" t="str">
        <f>VLOOKUP(L4181,'[2]tabela de preços'!$A:$D,4,0)</f>
        <v>NORTON</v>
      </c>
      <c r="W4181" t="str">
        <f>VLOOKUP(L4181,'[2]tabela de preços'!$A:$F,6,0)</f>
        <v xml:space="preserve">DISCOS / LIXAS / ABRASIVOS </v>
      </c>
      <c r="X4181" t="str">
        <f>VLOOKUP(L4181,'[2]tabela de preços'!$A:$G,7,0)</f>
        <v>AUTOMOTIVO</v>
      </c>
    </row>
    <row r="4182" spans="1:24" x14ac:dyDescent="0.3">
      <c r="A4182" t="s">
        <v>2699</v>
      </c>
      <c r="C4182" t="s">
        <v>3487</v>
      </c>
      <c r="D4182" s="1">
        <v>46076</v>
      </c>
      <c r="E4182" t="s">
        <v>3488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587</v>
      </c>
      <c r="K4182" t="s">
        <v>2477</v>
      </c>
      <c r="L4182">
        <v>22684</v>
      </c>
      <c r="M4182" t="s">
        <v>73</v>
      </c>
      <c r="O4182" t="s">
        <v>11</v>
      </c>
      <c r="P4182">
        <v>5102</v>
      </c>
      <c r="Q4182">
        <v>160</v>
      </c>
      <c r="R4182">
        <v>3.65</v>
      </c>
      <c r="S4182">
        <v>584</v>
      </c>
      <c r="T4182">
        <v>492.8</v>
      </c>
      <c r="U4182">
        <v>15.62</v>
      </c>
      <c r="V4182" t="str">
        <f>VLOOKUP(L4182,'[2]tabela de preços'!$A:$D,4,0)</f>
        <v>3M</v>
      </c>
      <c r="W4182" t="str">
        <f>VLOOKUP(L4182,'[2]tabela de preços'!$A:$F,6,0)</f>
        <v>FITA AUTOMOTIVA</v>
      </c>
      <c r="X4182" t="str">
        <f>VLOOKUP(L4182,'[2]tabela de preços'!$A:$G,7,0)</f>
        <v>AUTOMOTIVO</v>
      </c>
    </row>
    <row r="4183" spans="1:24" x14ac:dyDescent="0.3">
      <c r="A4183" t="s">
        <v>2699</v>
      </c>
      <c r="C4183" t="s">
        <v>3487</v>
      </c>
      <c r="D4183" s="1">
        <v>46076</v>
      </c>
      <c r="E4183" t="s">
        <v>3488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587</v>
      </c>
      <c r="K4183" t="s">
        <v>2477</v>
      </c>
      <c r="L4183">
        <v>13</v>
      </c>
      <c r="M4183" t="s">
        <v>152</v>
      </c>
      <c r="O4183" t="s">
        <v>11</v>
      </c>
      <c r="P4183">
        <v>5102</v>
      </c>
      <c r="Q4183">
        <v>50</v>
      </c>
      <c r="R4183">
        <v>5.79</v>
      </c>
      <c r="S4183">
        <v>289.5</v>
      </c>
      <c r="T4183">
        <v>208</v>
      </c>
      <c r="U4183">
        <v>28.15</v>
      </c>
      <c r="V4183" t="str">
        <f>VLOOKUP(L4183,'[2]tabela de preços'!$A:$D,4,0)</f>
        <v>3M</v>
      </c>
      <c r="W4183" t="str">
        <f>VLOOKUP(L4183,'[2]tabela de preços'!$A:$F,6,0)</f>
        <v>LIXA DÁGUA</v>
      </c>
      <c r="X4183" t="str">
        <f>VLOOKUP(L4183,'[2]tabela de preços'!$A:$G,7,0)</f>
        <v>AUTOMOTIVO</v>
      </c>
    </row>
    <row r="4184" spans="1:24" x14ac:dyDescent="0.3">
      <c r="A4184" t="s">
        <v>2699</v>
      </c>
      <c r="C4184" t="s">
        <v>3487</v>
      </c>
      <c r="D4184" s="1">
        <v>46076</v>
      </c>
      <c r="E4184" t="s">
        <v>3488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587</v>
      </c>
      <c r="K4184" t="s">
        <v>2477</v>
      </c>
      <c r="L4184">
        <v>10238</v>
      </c>
      <c r="M4184" t="s">
        <v>79</v>
      </c>
      <c r="O4184" t="s">
        <v>11</v>
      </c>
      <c r="P4184">
        <v>5102</v>
      </c>
      <c r="Q4184">
        <v>50</v>
      </c>
      <c r="R4184">
        <v>2.79</v>
      </c>
      <c r="S4184">
        <v>139.5</v>
      </c>
      <c r="T4184">
        <v>112</v>
      </c>
      <c r="U4184">
        <v>19.71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2699</v>
      </c>
      <c r="C4185" t="s">
        <v>3487</v>
      </c>
      <c r="D4185" s="1">
        <v>46076</v>
      </c>
      <c r="E4185" t="s">
        <v>3488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587</v>
      </c>
      <c r="K4185" t="s">
        <v>2477</v>
      </c>
      <c r="L4185">
        <v>10242</v>
      </c>
      <c r="M4185" t="s">
        <v>82</v>
      </c>
      <c r="O4185" t="s">
        <v>11</v>
      </c>
      <c r="P4185">
        <v>5102</v>
      </c>
      <c r="Q4185">
        <v>50</v>
      </c>
      <c r="R4185">
        <v>2.79</v>
      </c>
      <c r="S4185">
        <v>139.5</v>
      </c>
      <c r="T4185">
        <v>112</v>
      </c>
      <c r="U4185">
        <v>19.71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2699</v>
      </c>
      <c r="C4186" t="s">
        <v>3487</v>
      </c>
      <c r="D4186" s="1">
        <v>46076</v>
      </c>
      <c r="E4186" t="s">
        <v>3488</v>
      </c>
      <c r="F4186">
        <v>9</v>
      </c>
      <c r="G4186">
        <v>174</v>
      </c>
      <c r="H4186" t="str">
        <f>VLOOKUP(G4186,[1]OPERADORES!$A:$B,2,0)</f>
        <v>MIRIÃ LOBATO RODRIGUES</v>
      </c>
      <c r="I4186" t="s">
        <v>21</v>
      </c>
      <c r="J4186" t="s">
        <v>587</v>
      </c>
      <c r="K4186" t="s">
        <v>2477</v>
      </c>
      <c r="L4186">
        <v>10243</v>
      </c>
      <c r="M4186" t="s">
        <v>83</v>
      </c>
      <c r="O4186" t="s">
        <v>11</v>
      </c>
      <c r="P4186">
        <v>5102</v>
      </c>
      <c r="Q4186">
        <v>50</v>
      </c>
      <c r="R4186">
        <v>2.79</v>
      </c>
      <c r="S4186">
        <v>139.5</v>
      </c>
      <c r="T4186">
        <v>96.5</v>
      </c>
      <c r="U4186">
        <v>30.82</v>
      </c>
      <c r="V4186" t="str">
        <f>VLOOKUP(L4186,'[2]tabela de preços'!$A:$D,4,0)</f>
        <v>NORTON</v>
      </c>
      <c r="W4186" t="str">
        <f>VLOOKUP(L4186,'[2]tabela de preços'!$A:$F,6,0)</f>
        <v xml:space="preserve">DISCOS / LIXAS / ABRASIVOS </v>
      </c>
      <c r="X4186" t="str">
        <f>VLOOKUP(L4186,'[2]tabela de preços'!$A:$G,7,0)</f>
        <v>AUTOMOTIVO</v>
      </c>
    </row>
    <row r="4187" spans="1:24" x14ac:dyDescent="0.3">
      <c r="A4187" t="s">
        <v>2699</v>
      </c>
      <c r="C4187" t="s">
        <v>3487</v>
      </c>
      <c r="D4187" s="1">
        <v>46076</v>
      </c>
      <c r="E4187" t="s">
        <v>3488</v>
      </c>
      <c r="F4187">
        <v>9</v>
      </c>
      <c r="G4187">
        <v>174</v>
      </c>
      <c r="H4187" t="str">
        <f>VLOOKUP(G4187,[1]OPERADORES!$A:$B,2,0)</f>
        <v>MIRIÃ LOBATO RODRIGUES</v>
      </c>
      <c r="I4187" t="s">
        <v>21</v>
      </c>
      <c r="J4187" t="s">
        <v>587</v>
      </c>
      <c r="K4187" t="s">
        <v>2477</v>
      </c>
      <c r="L4187">
        <v>10244</v>
      </c>
      <c r="M4187" t="s">
        <v>84</v>
      </c>
      <c r="O4187" t="s">
        <v>11</v>
      </c>
      <c r="P4187">
        <v>5102</v>
      </c>
      <c r="Q4187">
        <v>50</v>
      </c>
      <c r="R4187">
        <v>2.79</v>
      </c>
      <c r="S4187">
        <v>139.5</v>
      </c>
      <c r="T4187">
        <v>96.5</v>
      </c>
      <c r="U4187">
        <v>30.82</v>
      </c>
      <c r="V4187" t="str">
        <f>VLOOKUP(L4187,'[2]tabela de preços'!$A:$D,4,0)</f>
        <v>NORTON</v>
      </c>
      <c r="W4187" t="str">
        <f>VLOOKUP(L4187,'[2]tabela de preços'!$A:$F,6,0)</f>
        <v xml:space="preserve">DISCOS / LIXAS / ABRASIVOS </v>
      </c>
      <c r="X4187" t="str">
        <f>VLOOKUP(L4187,'[2]tabela de preços'!$A:$G,7,0)</f>
        <v>AUTOMOTIVO</v>
      </c>
    </row>
    <row r="4188" spans="1:24" x14ac:dyDescent="0.3">
      <c r="A4188" t="s">
        <v>2699</v>
      </c>
      <c r="C4188" t="s">
        <v>3487</v>
      </c>
      <c r="D4188" s="1">
        <v>46076</v>
      </c>
      <c r="E4188" t="s">
        <v>3488</v>
      </c>
      <c r="F4188">
        <v>9</v>
      </c>
      <c r="G4188">
        <v>174</v>
      </c>
      <c r="H4188" t="str">
        <f>VLOOKUP(G4188,[1]OPERADORES!$A:$B,2,0)</f>
        <v>MIRIÃ LOBATO RODRIGUES</v>
      </c>
      <c r="I4188" t="s">
        <v>21</v>
      </c>
      <c r="J4188" t="s">
        <v>587</v>
      </c>
      <c r="K4188" t="s">
        <v>2477</v>
      </c>
      <c r="L4188">
        <v>21077</v>
      </c>
      <c r="M4188" t="s">
        <v>207</v>
      </c>
      <c r="O4188" t="s">
        <v>11</v>
      </c>
      <c r="P4188">
        <v>5102</v>
      </c>
      <c r="Q4188">
        <v>12</v>
      </c>
      <c r="R4188">
        <v>44.68</v>
      </c>
      <c r="S4188">
        <v>536.16</v>
      </c>
      <c r="T4188">
        <v>407.04</v>
      </c>
      <c r="U4188">
        <v>24.08</v>
      </c>
      <c r="V4188" t="str">
        <f>VLOOKUP(L4188,'[2]tabela de preços'!$A:$D,4,0)</f>
        <v>SHERWIN WILLIAMS</v>
      </c>
      <c r="W4188" t="str">
        <f>VLOOKUP(L4188,'[2]tabela de preços'!$A:$F,6,0)</f>
        <v>MASSA POLIÉSTER</v>
      </c>
      <c r="X4188" t="str">
        <f>VLOOKUP(L4188,'[2]tabela de preços'!$A:$G,7,0)</f>
        <v>AUTOMOTIVO</v>
      </c>
    </row>
    <row r="4189" spans="1:24" x14ac:dyDescent="0.3">
      <c r="A4189" t="s">
        <v>2699</v>
      </c>
      <c r="C4189" t="s">
        <v>3487</v>
      </c>
      <c r="D4189" s="1">
        <v>46076</v>
      </c>
      <c r="E4189" t="s">
        <v>3488</v>
      </c>
      <c r="F4189">
        <v>9</v>
      </c>
      <c r="G4189">
        <v>174</v>
      </c>
      <c r="H4189" t="str">
        <f>VLOOKUP(G4189,[1]OPERADORES!$A:$B,2,0)</f>
        <v>MIRIÃ LOBATO RODRIGUES</v>
      </c>
      <c r="I4189" t="s">
        <v>21</v>
      </c>
      <c r="J4189" t="s">
        <v>587</v>
      </c>
      <c r="K4189" t="s">
        <v>2477</v>
      </c>
      <c r="L4189">
        <v>87043</v>
      </c>
      <c r="M4189" t="s">
        <v>217</v>
      </c>
      <c r="O4189" t="s">
        <v>11</v>
      </c>
      <c r="P4189">
        <v>5102</v>
      </c>
      <c r="Q4189">
        <v>16</v>
      </c>
      <c r="R4189">
        <v>21.95</v>
      </c>
      <c r="S4189">
        <v>351.2</v>
      </c>
      <c r="T4189">
        <v>288.32</v>
      </c>
      <c r="U4189">
        <v>17.899999999999999</v>
      </c>
      <c r="V4189" t="str">
        <f>VLOOKUP(L4189,'[2]tabela de preços'!$A:$D,4,0)</f>
        <v>ROBERLO</v>
      </c>
      <c r="W4189" t="str">
        <f>VLOOKUP(L4189,'[2]tabela de preços'!$A:$F,6,0)</f>
        <v>MASSA POLIÉSTER</v>
      </c>
      <c r="X4189" t="str">
        <f>VLOOKUP(L4189,'[2]tabela de preços'!$A:$G,7,0)</f>
        <v>AUTOMOTIVO</v>
      </c>
    </row>
    <row r="4190" spans="1:24" x14ac:dyDescent="0.3">
      <c r="A4190" t="s">
        <v>2699</v>
      </c>
      <c r="C4190" t="s">
        <v>3650</v>
      </c>
      <c r="D4190" s="1">
        <v>46077</v>
      </c>
      <c r="E4190" t="s">
        <v>3651</v>
      </c>
      <c r="F4190">
        <v>9</v>
      </c>
      <c r="G4190">
        <v>174</v>
      </c>
      <c r="H4190" t="str">
        <f>VLOOKUP(G4190,[1]OPERADORES!$A:$B,2,0)</f>
        <v>MIRIÃ LOBATO RODRIGUES</v>
      </c>
      <c r="I4190" t="s">
        <v>21</v>
      </c>
      <c r="J4190" t="s">
        <v>587</v>
      </c>
      <c r="K4190" t="s">
        <v>2477</v>
      </c>
      <c r="L4190">
        <v>20817</v>
      </c>
      <c r="M4190" t="s">
        <v>153</v>
      </c>
      <c r="O4190" t="s">
        <v>11</v>
      </c>
      <c r="P4190">
        <v>5102</v>
      </c>
      <c r="Q4190">
        <v>12</v>
      </c>
      <c r="R4190">
        <v>22.89</v>
      </c>
      <c r="S4190">
        <v>274.68</v>
      </c>
      <c r="T4190">
        <v>223.44</v>
      </c>
      <c r="U4190">
        <v>18.649999999999999</v>
      </c>
      <c r="V4190" t="str">
        <f>VLOOKUP(L4190,'[2]tabela de preços'!$A:$D,4,0)</f>
        <v>AUTO AMERICA</v>
      </c>
      <c r="W4190" t="str">
        <f>VLOOKUP(L4190,'[2]tabela de preços'!$A:$F,6,0)</f>
        <v>MASSA DE POLIR</v>
      </c>
      <c r="X4190" t="str">
        <f>VLOOKUP(L4190,'[2]tabela de preços'!$A:$G,7,0)</f>
        <v>AUTOMOTIVO</v>
      </c>
    </row>
    <row r="4191" spans="1:24" x14ac:dyDescent="0.3">
      <c r="A4191" t="s">
        <v>2699</v>
      </c>
      <c r="C4191" t="s">
        <v>3650</v>
      </c>
      <c r="D4191" s="1">
        <v>46077</v>
      </c>
      <c r="E4191" t="s">
        <v>3651</v>
      </c>
      <c r="F4191">
        <v>9</v>
      </c>
      <c r="G4191">
        <v>174</v>
      </c>
      <c r="H4191" t="str">
        <f>VLOOKUP(G4191,[1]OPERADORES!$A:$B,2,0)</f>
        <v>MIRIÃ LOBATO RODRIGUES</v>
      </c>
      <c r="I4191" t="s">
        <v>21</v>
      </c>
      <c r="J4191" t="s">
        <v>587</v>
      </c>
      <c r="K4191" t="s">
        <v>2477</v>
      </c>
      <c r="L4191">
        <v>20525</v>
      </c>
      <c r="M4191" t="s">
        <v>137</v>
      </c>
      <c r="O4191" t="s">
        <v>11</v>
      </c>
      <c r="P4191">
        <v>5102</v>
      </c>
      <c r="Q4191">
        <v>12</v>
      </c>
      <c r="R4191">
        <v>13.65</v>
      </c>
      <c r="S4191">
        <v>163.80000000000001</v>
      </c>
      <c r="T4191">
        <v>124.32</v>
      </c>
      <c r="U4191">
        <v>24.1</v>
      </c>
      <c r="V4191" t="str">
        <f>VLOOKUP(L4191,'[2]tabela de preços'!$A:$D,4,0)</f>
        <v>SHERWIN WILLIAMS</v>
      </c>
      <c r="W4191" t="str">
        <f>VLOOKUP(L4191,'[2]tabela de preços'!$A:$F,6,0)</f>
        <v>MASSA DE PEQUENOS REPAROS</v>
      </c>
      <c r="X4191" t="str">
        <f>VLOOKUP(L4191,'[2]tabela de preços'!$A:$G,7,0)</f>
        <v>AUTOMOTIVO</v>
      </c>
    </row>
    <row r="4192" spans="1:24" x14ac:dyDescent="0.3">
      <c r="A4192" t="s">
        <v>2699</v>
      </c>
      <c r="C4192" t="s">
        <v>3650</v>
      </c>
      <c r="D4192" s="1">
        <v>46077</v>
      </c>
      <c r="E4192" t="s">
        <v>3651</v>
      </c>
      <c r="F4192">
        <v>9</v>
      </c>
      <c r="G4192">
        <v>174</v>
      </c>
      <c r="H4192" t="str">
        <f>VLOOKUP(G4192,[1]OPERADORES!$A:$B,2,0)</f>
        <v>MIRIÃ LOBATO RODRIGUES</v>
      </c>
      <c r="I4192" t="s">
        <v>21</v>
      </c>
      <c r="J4192" t="s">
        <v>587</v>
      </c>
      <c r="K4192" t="s">
        <v>2477</v>
      </c>
      <c r="L4192">
        <v>20414</v>
      </c>
      <c r="M4192" t="s">
        <v>112</v>
      </c>
      <c r="O4192" t="s">
        <v>11</v>
      </c>
      <c r="P4192">
        <v>5102</v>
      </c>
      <c r="Q4192">
        <v>40</v>
      </c>
      <c r="R4192">
        <v>21.89</v>
      </c>
      <c r="S4192">
        <v>875.6</v>
      </c>
      <c r="T4192">
        <v>720</v>
      </c>
      <c r="U4192">
        <v>17.77</v>
      </c>
      <c r="V4192" t="str">
        <f>VLOOKUP(L4192,'[2]tabela de preços'!$A:$D,4,0)</f>
        <v>SHERWIN WILLIAMS</v>
      </c>
      <c r="W4192" t="str">
        <f>VLOOKUP(L4192,'[2]tabela de preços'!$A:$F,6,0)</f>
        <v>DILUENTE</v>
      </c>
      <c r="X4192" t="str">
        <f>VLOOKUP(L4192,'[2]tabela de preços'!$A:$G,7,0)</f>
        <v>AUTOMOTIVO</v>
      </c>
    </row>
    <row r="4193" spans="1:24" x14ac:dyDescent="0.3">
      <c r="A4193" t="s">
        <v>1836</v>
      </c>
      <c r="C4193" t="s">
        <v>3489</v>
      </c>
      <c r="D4193" s="1">
        <v>46076</v>
      </c>
      <c r="E4193" t="s">
        <v>3490</v>
      </c>
      <c r="F4193">
        <v>9</v>
      </c>
      <c r="G4193">
        <v>174</v>
      </c>
      <c r="H4193" t="str">
        <f>VLOOKUP(G4193,[1]OPERADORES!$A:$B,2,0)</f>
        <v>MIRIÃ LOBATO RODRIGUES</v>
      </c>
      <c r="I4193" t="s">
        <v>21</v>
      </c>
      <c r="J4193" t="s">
        <v>363</v>
      </c>
      <c r="K4193" t="s">
        <v>1839</v>
      </c>
      <c r="L4193">
        <v>84497</v>
      </c>
      <c r="M4193" t="s">
        <v>1159</v>
      </c>
      <c r="O4193" t="s">
        <v>11</v>
      </c>
      <c r="P4193">
        <v>5102</v>
      </c>
      <c r="Q4193">
        <v>3</v>
      </c>
      <c r="R4193">
        <v>9.99</v>
      </c>
      <c r="S4193">
        <v>29.97</v>
      </c>
      <c r="T4193">
        <v>24.42</v>
      </c>
      <c r="U4193">
        <v>18.52</v>
      </c>
      <c r="V4193" t="str">
        <f>VLOOKUP(L4193,'[2]tabela de preços'!$A:$D,4,0)</f>
        <v>BRASILUX</v>
      </c>
      <c r="W4193" t="str">
        <f>VLOOKUP(L4193,'[2]tabela de preços'!$A:$F,6,0)</f>
        <v>THINNER DE LIMPEZA</v>
      </c>
      <c r="X4193" t="str">
        <f>VLOOKUP(L4193,'[2]tabela de preços'!$A:$G,7,0)</f>
        <v>THINNER</v>
      </c>
    </row>
    <row r="4194" spans="1:24" x14ac:dyDescent="0.3">
      <c r="A4194" t="s">
        <v>1836</v>
      </c>
      <c r="C4194" t="s">
        <v>3489</v>
      </c>
      <c r="D4194" s="1">
        <v>46076</v>
      </c>
      <c r="E4194" t="s">
        <v>3490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363</v>
      </c>
      <c r="K4194" t="s">
        <v>1839</v>
      </c>
      <c r="L4194">
        <v>85424</v>
      </c>
      <c r="M4194" t="s">
        <v>2644</v>
      </c>
      <c r="O4194" t="s">
        <v>11</v>
      </c>
      <c r="P4194">
        <v>5102</v>
      </c>
      <c r="Q4194">
        <v>1</v>
      </c>
      <c r="R4194">
        <v>530.51</v>
      </c>
      <c r="S4194">
        <v>530.51</v>
      </c>
      <c r="T4194">
        <v>378.26</v>
      </c>
      <c r="U4194">
        <v>28.7</v>
      </c>
      <c r="V4194" t="str">
        <f>VLOOKUP(L4194,'[2]tabela de preços'!$A:$D,4,0)</f>
        <v>BRASILUX</v>
      </c>
      <c r="W4194" t="str">
        <f>VLOOKUP(L4194,'[2]tabela de preços'!$A:$F,6,0)</f>
        <v>TINTA EM PÓ</v>
      </c>
      <c r="X4194" t="str">
        <f>VLOOKUP(L4194,'[2]tabela de preços'!$A:$G,7,0)</f>
        <v>INDUSTRIAL</v>
      </c>
    </row>
    <row r="4195" spans="1:24" x14ac:dyDescent="0.3">
      <c r="A4195" t="s">
        <v>1865</v>
      </c>
      <c r="C4195" t="s">
        <v>3652</v>
      </c>
      <c r="D4195" s="1">
        <v>46078</v>
      </c>
      <c r="E4195" t="s">
        <v>3653</v>
      </c>
      <c r="F4195">
        <v>9</v>
      </c>
      <c r="G4195">
        <v>231</v>
      </c>
      <c r="H4195" t="str">
        <f>VLOOKUP(G4195,[1]OPERADORES!$A:$B,2,0)</f>
        <v>EDIJANE</v>
      </c>
      <c r="I4195" t="s">
        <v>21</v>
      </c>
      <c r="J4195" t="s">
        <v>1868</v>
      </c>
      <c r="K4195" t="s">
        <v>1869</v>
      </c>
      <c r="L4195">
        <v>23474</v>
      </c>
      <c r="M4195" t="s">
        <v>3061</v>
      </c>
      <c r="O4195" t="s">
        <v>11</v>
      </c>
      <c r="P4195">
        <v>5102</v>
      </c>
      <c r="Q4195">
        <v>4</v>
      </c>
      <c r="R4195">
        <v>16.48</v>
      </c>
      <c r="S4195">
        <v>65.92</v>
      </c>
      <c r="T4195">
        <v>50.04</v>
      </c>
      <c r="U4195">
        <v>24.09</v>
      </c>
      <c r="V4195" t="str">
        <f>VLOOKUP(L4195,'[2]tabela de preços'!$A:$D,4,0)</f>
        <v>VONIXX</v>
      </c>
      <c r="W4195" t="str">
        <f>VLOOKUP(L4195,'[2]tabela de preços'!$A:$F,6,0)</f>
        <v>LINHA DE HIGENIZAÇÃO E ESTÉTICA  AUTOMOTIVA</v>
      </c>
      <c r="X4195" t="str">
        <f>VLOOKUP(L4195,'[2]tabela de preços'!$A:$G,7,0)</f>
        <v>AUTOMOTIVO</v>
      </c>
    </row>
    <row r="4196" spans="1:24" x14ac:dyDescent="0.3">
      <c r="A4196" t="s">
        <v>1865</v>
      </c>
      <c r="C4196" t="s">
        <v>3652</v>
      </c>
      <c r="D4196" s="1">
        <v>46078</v>
      </c>
      <c r="E4196" t="s">
        <v>3653</v>
      </c>
      <c r="F4196">
        <v>9</v>
      </c>
      <c r="G4196">
        <v>231</v>
      </c>
      <c r="H4196" t="str">
        <f>VLOOKUP(G4196,[1]OPERADORES!$A:$B,2,0)</f>
        <v>EDIJANE</v>
      </c>
      <c r="I4196" t="s">
        <v>21</v>
      </c>
      <c r="J4196" t="s">
        <v>1868</v>
      </c>
      <c r="K4196" t="s">
        <v>1869</v>
      </c>
      <c r="L4196">
        <v>84174</v>
      </c>
      <c r="M4196" t="s">
        <v>1532</v>
      </c>
      <c r="O4196" t="s">
        <v>11</v>
      </c>
      <c r="P4196">
        <v>5403</v>
      </c>
      <c r="Q4196">
        <v>2</v>
      </c>
      <c r="R4196">
        <v>92.33</v>
      </c>
      <c r="S4196">
        <v>184.66</v>
      </c>
      <c r="T4196">
        <v>140.16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ESMALTES</v>
      </c>
      <c r="X4196" t="str">
        <f>VLOOKUP(L4196,'[2]tabela de preços'!$A:$G,7,0)</f>
        <v>INDUSTRIAL</v>
      </c>
    </row>
    <row r="4197" spans="1:24" x14ac:dyDescent="0.3">
      <c r="A4197" t="s">
        <v>1865</v>
      </c>
      <c r="C4197" t="s">
        <v>3652</v>
      </c>
      <c r="D4197" s="1">
        <v>46078</v>
      </c>
      <c r="E4197" t="s">
        <v>3653</v>
      </c>
      <c r="F4197">
        <v>9</v>
      </c>
      <c r="G4197">
        <v>231</v>
      </c>
      <c r="H4197" t="str">
        <f>VLOOKUP(G4197,[1]OPERADORES!$A:$B,2,0)</f>
        <v>EDIJANE</v>
      </c>
      <c r="I4197" t="s">
        <v>21</v>
      </c>
      <c r="J4197" t="s">
        <v>1868</v>
      </c>
      <c r="K4197" t="s">
        <v>1869</v>
      </c>
      <c r="L4197">
        <v>24240</v>
      </c>
      <c r="M4197" t="s">
        <v>240</v>
      </c>
      <c r="O4197" t="s">
        <v>11</v>
      </c>
      <c r="P4197">
        <v>5102</v>
      </c>
      <c r="Q4197">
        <v>5</v>
      </c>
      <c r="R4197">
        <v>3.81</v>
      </c>
      <c r="S4197">
        <v>19.05</v>
      </c>
      <c r="T4197">
        <v>16.399999999999999</v>
      </c>
      <c r="U4197">
        <v>13.91</v>
      </c>
      <c r="V4197" t="str">
        <f>VLOOKUP(L4197,'[2]tabela de preços'!$A:$D,4,0)</f>
        <v>ADERE</v>
      </c>
      <c r="W4197" t="str">
        <f>VLOOKUP(L4197,'[2]tabela de preços'!$A:$F,6,0)</f>
        <v>FITA AUTOMOTIVA</v>
      </c>
      <c r="X4197" t="str">
        <f>VLOOKUP(L4197,'[2]tabela de preços'!$A:$G,7,0)</f>
        <v>AUTOMOTIVO</v>
      </c>
    </row>
    <row r="4198" spans="1:24" x14ac:dyDescent="0.3">
      <c r="A4198" t="s">
        <v>1865</v>
      </c>
      <c r="C4198" t="s">
        <v>3652</v>
      </c>
      <c r="D4198" s="1">
        <v>46078</v>
      </c>
      <c r="E4198" t="s">
        <v>3653</v>
      </c>
      <c r="F4198">
        <v>9</v>
      </c>
      <c r="G4198">
        <v>231</v>
      </c>
      <c r="H4198" t="str">
        <f>VLOOKUP(G4198,[1]OPERADORES!$A:$B,2,0)</f>
        <v>EDIJANE</v>
      </c>
      <c r="I4198" t="s">
        <v>21</v>
      </c>
      <c r="J4198" t="s">
        <v>1868</v>
      </c>
      <c r="K4198" t="s">
        <v>1869</v>
      </c>
      <c r="L4198">
        <v>23364</v>
      </c>
      <c r="M4198" t="s">
        <v>3548</v>
      </c>
      <c r="O4198" t="s">
        <v>11</v>
      </c>
      <c r="P4198">
        <v>5102</v>
      </c>
      <c r="Q4198">
        <v>12</v>
      </c>
      <c r="R4198">
        <v>6.19</v>
      </c>
      <c r="S4198">
        <v>74.28</v>
      </c>
      <c r="T4198">
        <v>58.92</v>
      </c>
      <c r="U4198">
        <v>20.68</v>
      </c>
      <c r="V4198" t="str">
        <f>VLOOKUP(L4198,'[2]tabela de preços'!$A:$D,4,0)</f>
        <v>AUTO AMERICA</v>
      </c>
      <c r="W4198" t="str">
        <f>VLOOKUP(L4198,'[2]tabela de preços'!$A:$F,6,0)</f>
        <v>FLANELAS / PANOS</v>
      </c>
      <c r="X4198" t="str">
        <f>VLOOKUP(L4198,'[2]tabela de preços'!$A:$G,7,0)</f>
        <v>AUTOMOTIVO</v>
      </c>
    </row>
    <row r="4199" spans="1:24" x14ac:dyDescent="0.3">
      <c r="A4199" t="s">
        <v>1865</v>
      </c>
      <c r="C4199" t="s">
        <v>3652</v>
      </c>
      <c r="D4199" s="1">
        <v>46078</v>
      </c>
      <c r="E4199" t="s">
        <v>3653</v>
      </c>
      <c r="F4199">
        <v>9</v>
      </c>
      <c r="G4199">
        <v>231</v>
      </c>
      <c r="H4199" t="str">
        <f>VLOOKUP(G4199,[1]OPERADORES!$A:$B,2,0)</f>
        <v>EDIJANE</v>
      </c>
      <c r="I4199" t="s">
        <v>21</v>
      </c>
      <c r="J4199" t="s">
        <v>1868</v>
      </c>
      <c r="K4199" t="s">
        <v>1869</v>
      </c>
      <c r="L4199">
        <v>85164</v>
      </c>
      <c r="M4199" t="s">
        <v>278</v>
      </c>
      <c r="O4199" t="s">
        <v>11</v>
      </c>
      <c r="P4199">
        <v>5102</v>
      </c>
      <c r="Q4199">
        <v>12</v>
      </c>
      <c r="R4199">
        <v>13.29</v>
      </c>
      <c r="S4199">
        <v>159.47999999999999</v>
      </c>
      <c r="T4199">
        <v>121.08</v>
      </c>
      <c r="U4199">
        <v>24.08</v>
      </c>
      <c r="V4199" t="str">
        <f>VLOOKUP(L4199,'[2]tabela de preços'!$A:$D,4,0)</f>
        <v>BRASILUX</v>
      </c>
      <c r="W4199" t="str">
        <f>VLOOKUP(L4199,'[2]tabela de preços'!$A:$F,6,0)</f>
        <v>QUEROSENE</v>
      </c>
      <c r="X4199" t="str">
        <f>VLOOKUP(L4199,'[2]tabela de preços'!$A:$G,7,0)</f>
        <v>AUTOMOTIVO</v>
      </c>
    </row>
    <row r="4200" spans="1:24" x14ac:dyDescent="0.3">
      <c r="A4200" t="s">
        <v>1865</v>
      </c>
      <c r="C4200" t="s">
        <v>3652</v>
      </c>
      <c r="D4200" s="1">
        <v>46078</v>
      </c>
      <c r="E4200" t="s">
        <v>3653</v>
      </c>
      <c r="F4200">
        <v>9</v>
      </c>
      <c r="G4200">
        <v>231</v>
      </c>
      <c r="H4200" t="str">
        <f>VLOOKUP(G4200,[1]OPERADORES!$A:$B,2,0)</f>
        <v>EDIJANE</v>
      </c>
      <c r="I4200" t="s">
        <v>21</v>
      </c>
      <c r="J4200" t="s">
        <v>1868</v>
      </c>
      <c r="K4200" t="s">
        <v>1869</v>
      </c>
      <c r="L4200">
        <v>84321</v>
      </c>
      <c r="M4200" t="s">
        <v>3654</v>
      </c>
      <c r="O4200" t="s">
        <v>11</v>
      </c>
      <c r="P4200">
        <v>5403</v>
      </c>
      <c r="Q4200">
        <v>2</v>
      </c>
      <c r="R4200">
        <v>45.82</v>
      </c>
      <c r="S4200">
        <v>91.64</v>
      </c>
      <c r="T4200">
        <v>69.56</v>
      </c>
      <c r="U4200">
        <v>24.09</v>
      </c>
      <c r="V4200" t="str">
        <f>VLOOKUP(L4200,'[2]tabela de preços'!$A:$D,4,0)</f>
        <v>BRASILUX</v>
      </c>
      <c r="W4200" t="str">
        <f>VLOOKUP(L4200,'[2]tabela de preços'!$A:$F,6,0)</f>
        <v>IMPERMEABILIZANTES</v>
      </c>
      <c r="X4200" t="str">
        <f>VLOOKUP(L4200,'[2]tabela de preços'!$A:$G,7,0)</f>
        <v>IMOBILIÁRIO</v>
      </c>
    </row>
    <row r="4201" spans="1:24" x14ac:dyDescent="0.3">
      <c r="A4201" t="s">
        <v>1865</v>
      </c>
      <c r="C4201" t="s">
        <v>3652</v>
      </c>
      <c r="D4201" s="1">
        <v>46078</v>
      </c>
      <c r="E4201" t="s">
        <v>3653</v>
      </c>
      <c r="F4201">
        <v>9</v>
      </c>
      <c r="G4201">
        <v>231</v>
      </c>
      <c r="H4201" t="str">
        <f>VLOOKUP(G4201,[1]OPERADORES!$A:$B,2,0)</f>
        <v>EDIJANE</v>
      </c>
      <c r="I4201" t="s">
        <v>21</v>
      </c>
      <c r="J4201" t="s">
        <v>1868</v>
      </c>
      <c r="K4201" t="s">
        <v>1869</v>
      </c>
      <c r="L4201">
        <v>85211</v>
      </c>
      <c r="M4201" t="s">
        <v>1079</v>
      </c>
      <c r="O4201" t="s">
        <v>11</v>
      </c>
      <c r="P4201">
        <v>5102</v>
      </c>
      <c r="Q4201">
        <v>2</v>
      </c>
      <c r="R4201">
        <v>23.09</v>
      </c>
      <c r="S4201">
        <v>46.18</v>
      </c>
      <c r="T4201">
        <v>35.06</v>
      </c>
      <c r="U4201">
        <v>24.08</v>
      </c>
      <c r="V4201" t="str">
        <f>VLOOKUP(L4201,'[2]tabela de preços'!$A:$D,4,0)</f>
        <v>VONIXX</v>
      </c>
      <c r="W4201" t="str">
        <f>VLOOKUP(L4201,'[2]tabela de preços'!$A:$F,6,0)</f>
        <v>LINHA DE HIGENIZAÇÃO E ESTÉTICA  AUTOMOTIVA</v>
      </c>
      <c r="X4201" t="str">
        <f>VLOOKUP(L4201,'[2]tabela de preços'!$A:$G,7,0)</f>
        <v>AUTOMOTIVO</v>
      </c>
    </row>
    <row r="4202" spans="1:24" x14ac:dyDescent="0.3">
      <c r="A4202" t="s">
        <v>3491</v>
      </c>
      <c r="B4202" t="s">
        <v>3492</v>
      </c>
      <c r="C4202" t="s">
        <v>3493</v>
      </c>
      <c r="D4202" s="1">
        <v>46076</v>
      </c>
      <c r="E4202" t="s">
        <v>3494</v>
      </c>
      <c r="F4202">
        <v>9</v>
      </c>
      <c r="G4202">
        <v>231</v>
      </c>
      <c r="H4202" t="str">
        <f>VLOOKUP(G4202,[1]OPERADORES!$A:$B,2,0)</f>
        <v>EDIJANE</v>
      </c>
      <c r="I4202" t="s">
        <v>21</v>
      </c>
      <c r="J4202" t="s">
        <v>1340</v>
      </c>
      <c r="K4202" t="s">
        <v>3495</v>
      </c>
      <c r="L4202">
        <v>85188</v>
      </c>
      <c r="M4202" t="s">
        <v>1662</v>
      </c>
      <c r="O4202" t="s">
        <v>11</v>
      </c>
      <c r="P4202">
        <v>5102</v>
      </c>
      <c r="Q4202">
        <v>1</v>
      </c>
      <c r="R4202">
        <v>164.06</v>
      </c>
      <c r="S4202">
        <v>164.06</v>
      </c>
      <c r="T4202">
        <v>124.52</v>
      </c>
      <c r="U4202">
        <v>24.1</v>
      </c>
      <c r="V4202" t="str">
        <f>VLOOKUP(L4202,'[2]tabela de preços'!$A:$D,4,0)</f>
        <v>BRASILUX</v>
      </c>
      <c r="W4202" t="str">
        <f>VLOOKUP(L4202,'[2]tabela de preços'!$A:$F,6,0)</f>
        <v>EPOXI</v>
      </c>
      <c r="X4202" t="str">
        <f>VLOOKUP(L4202,'[2]tabela de preços'!$A:$G,7,0)</f>
        <v>INDUSTRIAL</v>
      </c>
    </row>
    <row r="4203" spans="1:24" x14ac:dyDescent="0.3">
      <c r="A4203" t="s">
        <v>3491</v>
      </c>
      <c r="B4203" t="s">
        <v>3492</v>
      </c>
      <c r="C4203" t="s">
        <v>3493</v>
      </c>
      <c r="D4203" s="1">
        <v>46076</v>
      </c>
      <c r="E4203" t="s">
        <v>3494</v>
      </c>
      <c r="F4203">
        <v>9</v>
      </c>
      <c r="G4203">
        <v>231</v>
      </c>
      <c r="H4203" t="str">
        <f>VLOOKUP(G4203,[1]OPERADORES!$A:$B,2,0)</f>
        <v>EDIJANE</v>
      </c>
      <c r="I4203" t="s">
        <v>21</v>
      </c>
      <c r="J4203" t="s">
        <v>1340</v>
      </c>
      <c r="K4203" t="s">
        <v>3495</v>
      </c>
      <c r="L4203">
        <v>84898</v>
      </c>
      <c r="M4203" t="s">
        <v>853</v>
      </c>
      <c r="O4203" t="s">
        <v>11</v>
      </c>
      <c r="P4203">
        <v>5403</v>
      </c>
      <c r="Q4203">
        <v>1</v>
      </c>
      <c r="R4203">
        <v>169.39</v>
      </c>
      <c r="S4203">
        <v>169.39</v>
      </c>
      <c r="T4203">
        <v>128.57</v>
      </c>
      <c r="U4203">
        <v>24.1</v>
      </c>
      <c r="V4203" t="str">
        <f>VLOOKUP(L4203,'[2]tabela de preços'!$A:$D,4,0)</f>
        <v>BRASILUX</v>
      </c>
      <c r="W4203" t="str">
        <f>VLOOKUP(L4203,'[2]tabela de preços'!$A:$F,6,0)</f>
        <v>EPOXI</v>
      </c>
      <c r="X4203" t="str">
        <f>VLOOKUP(L4203,'[2]tabela de preços'!$A:$G,7,0)</f>
        <v>INDUSTRIAL</v>
      </c>
    </row>
    <row r="4204" spans="1:24" x14ac:dyDescent="0.3">
      <c r="A4204" t="s">
        <v>3491</v>
      </c>
      <c r="B4204" t="s">
        <v>3492</v>
      </c>
      <c r="C4204" t="s">
        <v>3655</v>
      </c>
      <c r="D4204" s="1">
        <v>46078</v>
      </c>
      <c r="E4204" t="s">
        <v>3656</v>
      </c>
      <c r="F4204">
        <v>9</v>
      </c>
      <c r="G4204">
        <v>231</v>
      </c>
      <c r="H4204" t="str">
        <f>VLOOKUP(G4204,[1]OPERADORES!$A:$B,2,0)</f>
        <v>EDIJANE</v>
      </c>
      <c r="I4204" t="s">
        <v>21</v>
      </c>
      <c r="J4204" t="s">
        <v>1340</v>
      </c>
      <c r="K4204" t="s">
        <v>3495</v>
      </c>
      <c r="L4204">
        <v>84950</v>
      </c>
      <c r="M4204" t="s">
        <v>581</v>
      </c>
      <c r="O4204" t="s">
        <v>11</v>
      </c>
      <c r="P4204">
        <v>5102</v>
      </c>
      <c r="Q4204">
        <v>2</v>
      </c>
      <c r="R4204">
        <v>47.8</v>
      </c>
      <c r="S4204">
        <v>95.6</v>
      </c>
      <c r="T4204">
        <v>72.56</v>
      </c>
      <c r="U4204">
        <v>24.1</v>
      </c>
      <c r="V4204" t="str">
        <f>VLOOKUP(L4204,'[2]tabela de preços'!$A:$D,4,0)</f>
        <v>BRASILUX</v>
      </c>
      <c r="W4204" t="str">
        <f>VLOOKUP(L4204,'[2]tabela de preços'!$A:$F,6,0)</f>
        <v>EPOXI</v>
      </c>
      <c r="X4204" t="str">
        <f>VLOOKUP(L4204,'[2]tabela de preços'!$A:$G,7,0)</f>
        <v>INDUSTRIAL</v>
      </c>
    </row>
    <row r="4205" spans="1:24" x14ac:dyDescent="0.3">
      <c r="A4205" t="s">
        <v>3491</v>
      </c>
      <c r="B4205" t="s">
        <v>3492</v>
      </c>
      <c r="C4205" t="s">
        <v>3655</v>
      </c>
      <c r="D4205" s="1">
        <v>46078</v>
      </c>
      <c r="E4205" t="s">
        <v>3656</v>
      </c>
      <c r="F4205">
        <v>9</v>
      </c>
      <c r="G4205">
        <v>231</v>
      </c>
      <c r="H4205" t="str">
        <f>VLOOKUP(G4205,[1]OPERADORES!$A:$B,2,0)</f>
        <v>EDIJANE</v>
      </c>
      <c r="I4205" t="s">
        <v>21</v>
      </c>
      <c r="J4205" t="s">
        <v>1340</v>
      </c>
      <c r="K4205" t="s">
        <v>3495</v>
      </c>
      <c r="L4205">
        <v>84502</v>
      </c>
      <c r="M4205" t="s">
        <v>583</v>
      </c>
      <c r="O4205" t="s">
        <v>11</v>
      </c>
      <c r="P4205">
        <v>5403</v>
      </c>
      <c r="Q4205">
        <v>2</v>
      </c>
      <c r="R4205">
        <v>144.66</v>
      </c>
      <c r="S4205">
        <v>289.32</v>
      </c>
      <c r="T4205">
        <v>219.6</v>
      </c>
      <c r="U4205">
        <v>24.1</v>
      </c>
      <c r="V4205" t="str">
        <f>VLOOKUP(L4205,'[2]tabela de preços'!$A:$D,4,0)</f>
        <v>BRASILUX</v>
      </c>
      <c r="W4205" t="str">
        <f>VLOOKUP(L4205,'[2]tabela de preços'!$A:$F,6,0)</f>
        <v>EPOXI</v>
      </c>
      <c r="X4205" t="str">
        <f>VLOOKUP(L4205,'[2]tabela de preços'!$A:$G,7,0)</f>
        <v>INDUSTRIAL</v>
      </c>
    </row>
    <row r="4206" spans="1:24" x14ac:dyDescent="0.3">
      <c r="A4206" t="s">
        <v>3491</v>
      </c>
      <c r="B4206" t="s">
        <v>3492</v>
      </c>
      <c r="C4206" t="s">
        <v>3657</v>
      </c>
      <c r="D4206" s="1">
        <v>46078</v>
      </c>
      <c r="E4206" t="s">
        <v>3658</v>
      </c>
      <c r="F4206">
        <v>9</v>
      </c>
      <c r="G4206">
        <v>231</v>
      </c>
      <c r="H4206" t="str">
        <f>VLOOKUP(G4206,[1]OPERADORES!$A:$B,2,0)</f>
        <v>EDIJANE</v>
      </c>
      <c r="I4206" t="s">
        <v>21</v>
      </c>
      <c r="J4206" t="s">
        <v>1340</v>
      </c>
      <c r="K4206" t="s">
        <v>3495</v>
      </c>
      <c r="L4206">
        <v>84950</v>
      </c>
      <c r="M4206" t="s">
        <v>581</v>
      </c>
      <c r="O4206" t="s">
        <v>11</v>
      </c>
      <c r="P4206">
        <v>5102</v>
      </c>
      <c r="Q4206">
        <v>3</v>
      </c>
      <c r="R4206">
        <v>47.8</v>
      </c>
      <c r="S4206">
        <v>143.4</v>
      </c>
      <c r="T4206">
        <v>108.84</v>
      </c>
      <c r="U4206">
        <v>24.1</v>
      </c>
      <c r="V4206" t="str">
        <f>VLOOKUP(L4206,'[2]tabela de preços'!$A:$D,4,0)</f>
        <v>BRASILUX</v>
      </c>
      <c r="W4206" t="str">
        <f>VLOOKUP(L4206,'[2]tabela de preços'!$A:$F,6,0)</f>
        <v>EPOXI</v>
      </c>
      <c r="X4206" t="str">
        <f>VLOOKUP(L4206,'[2]tabela de preços'!$A:$G,7,0)</f>
        <v>INDUSTRIAL</v>
      </c>
    </row>
    <row r="4207" spans="1:24" x14ac:dyDescent="0.3">
      <c r="A4207" t="s">
        <v>3491</v>
      </c>
      <c r="B4207" t="s">
        <v>3492</v>
      </c>
      <c r="C4207" t="s">
        <v>3657</v>
      </c>
      <c r="D4207" s="1">
        <v>46078</v>
      </c>
      <c r="E4207" t="s">
        <v>3658</v>
      </c>
      <c r="F4207">
        <v>9</v>
      </c>
      <c r="G4207">
        <v>231</v>
      </c>
      <c r="H4207" t="str">
        <f>VLOOKUP(G4207,[1]OPERADORES!$A:$B,2,0)</f>
        <v>EDIJANE</v>
      </c>
      <c r="I4207" t="s">
        <v>21</v>
      </c>
      <c r="J4207" t="s">
        <v>1340</v>
      </c>
      <c r="K4207" t="s">
        <v>3495</v>
      </c>
      <c r="L4207">
        <v>85279</v>
      </c>
      <c r="M4207" t="s">
        <v>3659</v>
      </c>
      <c r="O4207" t="s">
        <v>11</v>
      </c>
      <c r="P4207">
        <v>5102</v>
      </c>
      <c r="Q4207">
        <v>3</v>
      </c>
      <c r="R4207">
        <v>36.18</v>
      </c>
      <c r="S4207">
        <v>108.54</v>
      </c>
      <c r="T4207">
        <v>82.38</v>
      </c>
      <c r="U4207">
        <v>24.1</v>
      </c>
      <c r="V4207" t="str">
        <f>VLOOKUP(L4207,'[2]tabela de preços'!$A:$D,4,0)</f>
        <v>BRASILUX</v>
      </c>
      <c r="W4207" t="str">
        <f>VLOOKUP(L4207,'[2]tabela de preços'!$A:$F,6,0)</f>
        <v>EPOXI</v>
      </c>
      <c r="X4207" t="str">
        <f>VLOOKUP(L4207,'[2]tabela de preços'!$A:$G,7,0)</f>
        <v>INDUSTRIAL</v>
      </c>
    </row>
    <row r="4208" spans="1:24" x14ac:dyDescent="0.3">
      <c r="A4208" t="s">
        <v>3491</v>
      </c>
      <c r="B4208" t="s">
        <v>3492</v>
      </c>
      <c r="C4208" t="s">
        <v>3657</v>
      </c>
      <c r="D4208" s="1">
        <v>46078</v>
      </c>
      <c r="E4208" t="s">
        <v>3658</v>
      </c>
      <c r="F4208">
        <v>9</v>
      </c>
      <c r="G4208">
        <v>231</v>
      </c>
      <c r="H4208" t="str">
        <f>VLOOKUP(G4208,[1]OPERADORES!$A:$B,2,0)</f>
        <v>EDIJANE</v>
      </c>
      <c r="I4208" t="s">
        <v>21</v>
      </c>
      <c r="J4208" t="s">
        <v>1340</v>
      </c>
      <c r="K4208" t="s">
        <v>3495</v>
      </c>
      <c r="L4208">
        <v>86230</v>
      </c>
      <c r="M4208" t="s">
        <v>375</v>
      </c>
      <c r="O4208" t="s">
        <v>11</v>
      </c>
      <c r="P4208">
        <v>5403</v>
      </c>
      <c r="Q4208">
        <v>1</v>
      </c>
      <c r="R4208">
        <v>290.88</v>
      </c>
      <c r="S4208">
        <v>290.88</v>
      </c>
      <c r="T4208">
        <v>220.78</v>
      </c>
      <c r="U4208">
        <v>24.1</v>
      </c>
      <c r="V4208" t="str">
        <f>VLOOKUP(L4208,'[2]tabela de preços'!$A:$D,4,0)</f>
        <v>CORAL</v>
      </c>
      <c r="W4208" t="str">
        <f>VLOOKUP(L4208,'[2]tabela de preços'!$A:$F,6,0)</f>
        <v>TINTA PAREDE</v>
      </c>
      <c r="X4208" t="str">
        <f>VLOOKUP(L4208,'[2]tabela de preços'!$A:$G,7,0)</f>
        <v>IMOBILIÁRIO</v>
      </c>
    </row>
    <row r="4209" spans="1:24" x14ac:dyDescent="0.3">
      <c r="A4209" t="s">
        <v>3491</v>
      </c>
      <c r="B4209" t="s">
        <v>3492</v>
      </c>
      <c r="C4209" t="s">
        <v>3657</v>
      </c>
      <c r="D4209" s="1">
        <v>46078</v>
      </c>
      <c r="E4209" t="s">
        <v>3658</v>
      </c>
      <c r="F4209">
        <v>9</v>
      </c>
      <c r="G4209">
        <v>231</v>
      </c>
      <c r="H4209" t="str">
        <f>VLOOKUP(G4209,[1]OPERADORES!$A:$B,2,0)</f>
        <v>EDIJANE</v>
      </c>
      <c r="I4209" t="s">
        <v>21</v>
      </c>
      <c r="J4209" t="s">
        <v>1340</v>
      </c>
      <c r="K4209" t="s">
        <v>3495</v>
      </c>
      <c r="L4209">
        <v>85772</v>
      </c>
      <c r="M4209" t="s">
        <v>54</v>
      </c>
      <c r="O4209" t="s">
        <v>11</v>
      </c>
      <c r="P4209">
        <v>5403</v>
      </c>
      <c r="Q4209">
        <v>4</v>
      </c>
      <c r="R4209">
        <v>78.11</v>
      </c>
      <c r="S4209">
        <v>312.44</v>
      </c>
      <c r="T4209">
        <v>237.12</v>
      </c>
      <c r="U4209">
        <v>24.11</v>
      </c>
      <c r="V4209" t="str">
        <f>VLOOKUP(L4209,'[2]tabela de preços'!$A:$D,4,0)</f>
        <v>CORAL</v>
      </c>
      <c r="W4209" t="str">
        <f>VLOOKUP(L4209,'[2]tabela de preços'!$A:$F,6,0)</f>
        <v>TINTA PAREDE</v>
      </c>
      <c r="X4209" t="str">
        <f>VLOOKUP(L4209,'[2]tabela de preços'!$A:$G,7,0)</f>
        <v>IMOBILIÁRIO</v>
      </c>
    </row>
    <row r="4210" spans="1:24" x14ac:dyDescent="0.3">
      <c r="A4210" t="s">
        <v>3491</v>
      </c>
      <c r="B4210" t="s">
        <v>3492</v>
      </c>
      <c r="C4210" t="s">
        <v>3657</v>
      </c>
      <c r="D4210" s="1">
        <v>46078</v>
      </c>
      <c r="E4210" t="s">
        <v>3658</v>
      </c>
      <c r="F4210">
        <v>9</v>
      </c>
      <c r="G4210">
        <v>231</v>
      </c>
      <c r="H4210" t="str">
        <f>VLOOKUP(G4210,[1]OPERADORES!$A:$B,2,0)</f>
        <v>EDIJANE</v>
      </c>
      <c r="I4210" t="s">
        <v>21</v>
      </c>
      <c r="J4210" t="s">
        <v>1340</v>
      </c>
      <c r="K4210" t="s">
        <v>3495</v>
      </c>
      <c r="L4210">
        <v>84735</v>
      </c>
      <c r="M4210" t="s">
        <v>3660</v>
      </c>
      <c r="O4210" t="s">
        <v>11</v>
      </c>
      <c r="P4210">
        <v>5403</v>
      </c>
      <c r="Q4210">
        <v>1</v>
      </c>
      <c r="R4210">
        <v>148.6</v>
      </c>
      <c r="S4210">
        <v>148.6</v>
      </c>
      <c r="T4210">
        <v>112.79</v>
      </c>
      <c r="U4210">
        <v>24.1</v>
      </c>
      <c r="V4210" t="str">
        <f>VLOOKUP(L4210,'[2]tabela de preços'!$A:$D,4,0)</f>
        <v>BRASILUX</v>
      </c>
      <c r="W4210" t="str">
        <f>VLOOKUP(L4210,'[2]tabela de preços'!$A:$F,6,0)</f>
        <v>EPOXI</v>
      </c>
      <c r="X4210" t="str">
        <f>VLOOKUP(L4210,'[2]tabela de preços'!$A:$G,7,0)</f>
        <v>INDUSTRIAL</v>
      </c>
    </row>
    <row r="4211" spans="1:24" x14ac:dyDescent="0.3">
      <c r="A4211" t="s">
        <v>3491</v>
      </c>
      <c r="B4211" t="s">
        <v>3492</v>
      </c>
      <c r="C4211" t="s">
        <v>3657</v>
      </c>
      <c r="D4211" s="1">
        <v>46078</v>
      </c>
      <c r="E4211" t="s">
        <v>3658</v>
      </c>
      <c r="F4211">
        <v>9</v>
      </c>
      <c r="G4211">
        <v>231</v>
      </c>
      <c r="H4211" t="str">
        <f>VLOOKUP(G4211,[1]OPERADORES!$A:$B,2,0)</f>
        <v>EDIJANE</v>
      </c>
      <c r="I4211" t="s">
        <v>21</v>
      </c>
      <c r="J4211" t="s">
        <v>1340</v>
      </c>
      <c r="K4211" t="s">
        <v>3495</v>
      </c>
      <c r="L4211">
        <v>84502</v>
      </c>
      <c r="M4211" t="s">
        <v>583</v>
      </c>
      <c r="O4211" t="s">
        <v>11</v>
      </c>
      <c r="P4211">
        <v>5403</v>
      </c>
      <c r="Q4211">
        <v>2</v>
      </c>
      <c r="R4211">
        <v>144.66</v>
      </c>
      <c r="S4211">
        <v>289.32</v>
      </c>
      <c r="T4211">
        <v>219.6</v>
      </c>
      <c r="U4211">
        <v>24.1</v>
      </c>
      <c r="V4211" t="str">
        <f>VLOOKUP(L4211,'[2]tabela de preços'!$A:$D,4,0)</f>
        <v>BRASILUX</v>
      </c>
      <c r="W4211" t="str">
        <f>VLOOKUP(L4211,'[2]tabela de preços'!$A:$F,6,0)</f>
        <v>EPOXI</v>
      </c>
      <c r="X4211" t="str">
        <f>VLOOKUP(L4211,'[2]tabela de preços'!$A:$G,7,0)</f>
        <v>INDUSTRIAL</v>
      </c>
    </row>
    <row r="4212" spans="1:24" x14ac:dyDescent="0.3">
      <c r="A4212" t="s">
        <v>3491</v>
      </c>
      <c r="B4212" t="s">
        <v>3492</v>
      </c>
      <c r="C4212" t="s">
        <v>3657</v>
      </c>
      <c r="D4212" s="1">
        <v>46078</v>
      </c>
      <c r="E4212" t="s">
        <v>3658</v>
      </c>
      <c r="F4212">
        <v>9</v>
      </c>
      <c r="G4212">
        <v>231</v>
      </c>
      <c r="H4212" t="str">
        <f>VLOOKUP(G4212,[1]OPERADORES!$A:$B,2,0)</f>
        <v>EDIJANE</v>
      </c>
      <c r="I4212" t="s">
        <v>21</v>
      </c>
      <c r="J4212" t="s">
        <v>1340</v>
      </c>
      <c r="K4212" t="s">
        <v>3495</v>
      </c>
      <c r="L4212">
        <v>84225</v>
      </c>
      <c r="M4212" t="s">
        <v>3661</v>
      </c>
      <c r="O4212" t="s">
        <v>11</v>
      </c>
      <c r="P4212">
        <v>5403</v>
      </c>
      <c r="Q4212">
        <v>2</v>
      </c>
      <c r="R4212">
        <v>78.72</v>
      </c>
      <c r="S4212">
        <v>157.44</v>
      </c>
      <c r="T4212">
        <v>119.5</v>
      </c>
      <c r="U4212">
        <v>24.1</v>
      </c>
      <c r="V4212" t="str">
        <f>VLOOKUP(L4212,'[2]tabela de preços'!$A:$D,4,0)</f>
        <v>BRASILUX</v>
      </c>
      <c r="W4212" t="str">
        <f>VLOOKUP(L4212,'[2]tabela de preços'!$A:$F,6,0)</f>
        <v>LINHA MOVELEIRA</v>
      </c>
      <c r="X4212" t="str">
        <f>VLOOKUP(L4212,'[2]tabela de preços'!$A:$G,7,0)</f>
        <v>MOVELEIRA</v>
      </c>
    </row>
    <row r="4213" spans="1:24" x14ac:dyDescent="0.3">
      <c r="A4213" t="s">
        <v>3491</v>
      </c>
      <c r="B4213" t="s">
        <v>3492</v>
      </c>
      <c r="C4213" t="s">
        <v>3657</v>
      </c>
      <c r="D4213" s="1">
        <v>46078</v>
      </c>
      <c r="E4213" t="s">
        <v>3658</v>
      </c>
      <c r="F4213">
        <v>9</v>
      </c>
      <c r="G4213">
        <v>231</v>
      </c>
      <c r="H4213" t="str">
        <f>VLOOKUP(G4213,[1]OPERADORES!$A:$B,2,0)</f>
        <v>EDIJANE</v>
      </c>
      <c r="I4213" t="s">
        <v>21</v>
      </c>
      <c r="J4213" t="s">
        <v>1340</v>
      </c>
      <c r="K4213" t="s">
        <v>3495</v>
      </c>
      <c r="L4213">
        <v>84226</v>
      </c>
      <c r="M4213" t="s">
        <v>3662</v>
      </c>
      <c r="O4213" t="s">
        <v>11</v>
      </c>
      <c r="P4213">
        <v>5403</v>
      </c>
      <c r="Q4213">
        <v>2</v>
      </c>
      <c r="R4213">
        <v>21.49</v>
      </c>
      <c r="S4213">
        <v>42.98</v>
      </c>
      <c r="T4213">
        <v>32.619999999999997</v>
      </c>
      <c r="U4213">
        <v>24.1</v>
      </c>
      <c r="V4213" t="str">
        <f>VLOOKUP(L4213,'[2]tabela de preços'!$A:$D,4,0)</f>
        <v>BRASILUX</v>
      </c>
      <c r="W4213" t="str">
        <f>VLOOKUP(L4213,'[2]tabela de preços'!$A:$F,6,0)</f>
        <v>LINHA MOVELEIRA</v>
      </c>
      <c r="X4213" t="str">
        <f>VLOOKUP(L4213,'[2]tabela de preços'!$A:$G,7,0)</f>
        <v>MOVELEIRA</v>
      </c>
    </row>
    <row r="4214" spans="1:24" x14ac:dyDescent="0.3">
      <c r="A4214" t="s">
        <v>1890</v>
      </c>
      <c r="B4214" t="s">
        <v>1891</v>
      </c>
      <c r="C4214" t="s">
        <v>3663</v>
      </c>
      <c r="D4214" s="1">
        <v>46077</v>
      </c>
      <c r="E4214" t="s">
        <v>3664</v>
      </c>
      <c r="F4214">
        <v>9</v>
      </c>
      <c r="G4214">
        <v>231</v>
      </c>
      <c r="H4214" t="str">
        <f>VLOOKUP(G4214,[1]OPERADORES!$A:$B,2,0)</f>
        <v>EDIJANE</v>
      </c>
      <c r="I4214" t="s">
        <v>21</v>
      </c>
      <c r="J4214" t="s">
        <v>1894</v>
      </c>
      <c r="K4214" t="s">
        <v>1895</v>
      </c>
      <c r="L4214">
        <v>84200</v>
      </c>
      <c r="M4214" t="s">
        <v>1552</v>
      </c>
      <c r="O4214" t="s">
        <v>11</v>
      </c>
      <c r="P4214">
        <v>5403</v>
      </c>
      <c r="Q4214">
        <v>2</v>
      </c>
      <c r="R4214">
        <v>224.04</v>
      </c>
      <c r="S4214">
        <v>448.08</v>
      </c>
      <c r="T4214">
        <v>340.1</v>
      </c>
      <c r="U4214">
        <v>24.1</v>
      </c>
      <c r="V4214" t="str">
        <f>VLOOKUP(L4214,'[2]tabela de preços'!$A:$D,4,0)</f>
        <v>BRASILUX</v>
      </c>
      <c r="W4214" t="str">
        <f>VLOOKUP(L4214,'[2]tabela de preços'!$A:$F,6,0)</f>
        <v>EPOXI</v>
      </c>
      <c r="X4214" t="str">
        <f>VLOOKUP(L4214,'[2]tabela de preços'!$A:$G,7,0)</f>
        <v>INDUSTRIAL</v>
      </c>
    </row>
    <row r="4215" spans="1:24" x14ac:dyDescent="0.3">
      <c r="A4215" t="s">
        <v>1890</v>
      </c>
      <c r="B4215" t="s">
        <v>1891</v>
      </c>
      <c r="C4215" t="s">
        <v>3663</v>
      </c>
      <c r="D4215" s="1">
        <v>46077</v>
      </c>
      <c r="E4215" t="s">
        <v>3664</v>
      </c>
      <c r="F4215">
        <v>9</v>
      </c>
      <c r="G4215">
        <v>231</v>
      </c>
      <c r="H4215" t="str">
        <f>VLOOKUP(G4215,[1]OPERADORES!$A:$B,2,0)</f>
        <v>EDIJANE</v>
      </c>
      <c r="I4215" t="s">
        <v>21</v>
      </c>
      <c r="J4215" t="s">
        <v>1894</v>
      </c>
      <c r="K4215" t="s">
        <v>1895</v>
      </c>
      <c r="L4215">
        <v>84922</v>
      </c>
      <c r="M4215" t="s">
        <v>1904</v>
      </c>
      <c r="O4215" t="s">
        <v>11</v>
      </c>
      <c r="P4215">
        <v>5403</v>
      </c>
      <c r="Q4215">
        <v>2</v>
      </c>
      <c r="R4215">
        <v>224.04</v>
      </c>
      <c r="S4215">
        <v>448.08</v>
      </c>
      <c r="T4215">
        <v>340.1</v>
      </c>
      <c r="U4215">
        <v>24.1</v>
      </c>
      <c r="V4215" t="str">
        <f>VLOOKUP(L4215,'[2]tabela de preços'!$A:$D,4,0)</f>
        <v>BRASILUX</v>
      </c>
      <c r="W4215" t="str">
        <f>VLOOKUP(L4215,'[2]tabela de preços'!$A:$F,6,0)</f>
        <v>EPOXI</v>
      </c>
      <c r="X4215" t="str">
        <f>VLOOKUP(L4215,'[2]tabela de preços'!$A:$G,7,0)</f>
        <v>INDUSTRIAL</v>
      </c>
    </row>
    <row r="4216" spans="1:24" x14ac:dyDescent="0.3">
      <c r="A4216" t="s">
        <v>1890</v>
      </c>
      <c r="B4216" t="s">
        <v>1891</v>
      </c>
      <c r="C4216" t="s">
        <v>3665</v>
      </c>
      <c r="D4216" s="1">
        <v>46078</v>
      </c>
      <c r="E4216" t="s">
        <v>3666</v>
      </c>
      <c r="F4216">
        <v>9</v>
      </c>
      <c r="G4216">
        <v>231</v>
      </c>
      <c r="H4216" t="str">
        <f>VLOOKUP(G4216,[1]OPERADORES!$A:$B,2,0)</f>
        <v>EDIJANE</v>
      </c>
      <c r="I4216" t="s">
        <v>21</v>
      </c>
      <c r="J4216" t="s">
        <v>1894</v>
      </c>
      <c r="K4216" t="s">
        <v>1895</v>
      </c>
      <c r="L4216">
        <v>84583</v>
      </c>
      <c r="M4216" t="s">
        <v>1899</v>
      </c>
      <c r="O4216" t="s">
        <v>11</v>
      </c>
      <c r="P4216">
        <v>5403</v>
      </c>
      <c r="Q4216">
        <v>8</v>
      </c>
      <c r="R4216">
        <v>99.96</v>
      </c>
      <c r="S4216">
        <v>799.68</v>
      </c>
      <c r="T4216">
        <v>606.96</v>
      </c>
      <c r="U4216">
        <v>24.1</v>
      </c>
      <c r="V4216" t="str">
        <f>VLOOKUP(L4216,'[2]tabela de preços'!$A:$D,4,0)</f>
        <v>BRASILUX</v>
      </c>
      <c r="W4216" t="str">
        <f>VLOOKUP(L4216,'[2]tabela de preços'!$A:$F,6,0)</f>
        <v>PIGMENTOS IMOBILIÁRIOS</v>
      </c>
      <c r="X4216" t="str">
        <f>VLOOKUP(L4216,'[2]tabela de preços'!$A:$G,7,0)</f>
        <v>IMOBILIÁRIO</v>
      </c>
    </row>
    <row r="4217" spans="1:24" x14ac:dyDescent="0.3">
      <c r="A4217" t="s">
        <v>1890</v>
      </c>
      <c r="B4217" t="s">
        <v>1891</v>
      </c>
      <c r="C4217" t="s">
        <v>3665</v>
      </c>
      <c r="D4217" s="1">
        <v>46078</v>
      </c>
      <c r="E4217" t="s">
        <v>3666</v>
      </c>
      <c r="F4217">
        <v>9</v>
      </c>
      <c r="G4217">
        <v>231</v>
      </c>
      <c r="H4217" t="str">
        <f>VLOOKUP(G4217,[1]OPERADORES!$A:$B,2,0)</f>
        <v>EDIJANE</v>
      </c>
      <c r="I4217" t="s">
        <v>21</v>
      </c>
      <c r="J4217" t="s">
        <v>1894</v>
      </c>
      <c r="K4217" t="s">
        <v>1895</v>
      </c>
      <c r="L4217">
        <v>84589</v>
      </c>
      <c r="M4217" t="s">
        <v>1901</v>
      </c>
      <c r="O4217" t="s">
        <v>11</v>
      </c>
      <c r="P4217">
        <v>5403</v>
      </c>
      <c r="Q4217">
        <v>8</v>
      </c>
      <c r="R4217">
        <v>81.87</v>
      </c>
      <c r="S4217">
        <v>654.96</v>
      </c>
      <c r="T4217">
        <v>497.12</v>
      </c>
      <c r="U4217">
        <v>24.1</v>
      </c>
      <c r="V4217" t="str">
        <f>VLOOKUP(L4217,'[2]tabela de preços'!$A:$D,4,0)</f>
        <v>BRASILUX</v>
      </c>
      <c r="W4217" t="str">
        <f>VLOOKUP(L4217,'[2]tabela de preços'!$A:$F,6,0)</f>
        <v>PIGMENTOS IMOBILIÁRIOS</v>
      </c>
      <c r="X4217" t="str">
        <f>VLOOKUP(L4217,'[2]tabela de preços'!$A:$G,7,0)</f>
        <v>IMOBILIÁRIO</v>
      </c>
    </row>
    <row r="4218" spans="1:24" x14ac:dyDescent="0.3">
      <c r="A4218" t="s">
        <v>1905</v>
      </c>
      <c r="C4218" t="s">
        <v>3496</v>
      </c>
      <c r="D4218" s="1">
        <v>46076</v>
      </c>
      <c r="E4218" t="s">
        <v>3497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168</v>
      </c>
      <c r="J4218" t="s">
        <v>169</v>
      </c>
      <c r="K4218" t="s">
        <v>1908</v>
      </c>
      <c r="L4218">
        <v>84431</v>
      </c>
      <c r="M4218" t="s">
        <v>1369</v>
      </c>
      <c r="O4218" t="s">
        <v>11</v>
      </c>
      <c r="P4218">
        <v>6102</v>
      </c>
      <c r="Q4218">
        <v>2</v>
      </c>
      <c r="R4218">
        <v>8.9600000000000009</v>
      </c>
      <c r="S4218">
        <v>17.920000000000002</v>
      </c>
      <c r="T4218">
        <v>13.6</v>
      </c>
      <c r="U4218">
        <v>24.11</v>
      </c>
      <c r="V4218" t="str">
        <f>VLOOKUP(L4218,'[2]tabela de preços'!$A:$D,4,0)</f>
        <v>ATLAS</v>
      </c>
      <c r="W4218" t="str">
        <f>VLOOKUP(L4218,'[2]tabela de preços'!$A:$F,6,0)</f>
        <v>ROLOS / TRINCHAS / PINCÉIS / ESPÁTULAS</v>
      </c>
      <c r="X4218" t="str">
        <f>VLOOKUP(L4218,'[2]tabela de preços'!$A:$G,7,0)</f>
        <v>IMOBILIÁRIO</v>
      </c>
    </row>
    <row r="4219" spans="1:24" x14ac:dyDescent="0.3">
      <c r="A4219" t="s">
        <v>1905</v>
      </c>
      <c r="C4219" t="s">
        <v>3496</v>
      </c>
      <c r="D4219" s="1">
        <v>46076</v>
      </c>
      <c r="E4219" t="s">
        <v>3497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168</v>
      </c>
      <c r="J4219" t="s">
        <v>169</v>
      </c>
      <c r="K4219" t="s">
        <v>1908</v>
      </c>
      <c r="L4219">
        <v>84200</v>
      </c>
      <c r="M4219" t="s">
        <v>1552</v>
      </c>
      <c r="O4219" t="s">
        <v>11</v>
      </c>
      <c r="P4219">
        <v>6403</v>
      </c>
      <c r="Q4219">
        <v>5</v>
      </c>
      <c r="R4219">
        <v>224.04</v>
      </c>
      <c r="S4219" s="2">
        <v>1120.2</v>
      </c>
      <c r="T4219">
        <v>850.25</v>
      </c>
      <c r="U4219">
        <v>24.1</v>
      </c>
      <c r="V4219" t="str">
        <f>VLOOKUP(L4219,'[2]tabela de preços'!$A:$D,4,0)</f>
        <v>BRASILUX</v>
      </c>
      <c r="W4219" t="str">
        <f>VLOOKUP(L4219,'[2]tabela de preços'!$A:$F,6,0)</f>
        <v>EPOXI</v>
      </c>
      <c r="X4219" t="str">
        <f>VLOOKUP(L4219,'[2]tabela de preços'!$A:$G,7,0)</f>
        <v>INDUSTRIAL</v>
      </c>
    </row>
    <row r="4220" spans="1:24" x14ac:dyDescent="0.3">
      <c r="A4220" t="s">
        <v>1905</v>
      </c>
      <c r="C4220" t="s">
        <v>3496</v>
      </c>
      <c r="D4220" s="1">
        <v>46076</v>
      </c>
      <c r="E4220" t="s">
        <v>3497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168</v>
      </c>
      <c r="J4220" t="s">
        <v>169</v>
      </c>
      <c r="K4220" t="s">
        <v>1908</v>
      </c>
      <c r="L4220">
        <v>10118</v>
      </c>
      <c r="M4220" t="s">
        <v>572</v>
      </c>
      <c r="O4220" t="s">
        <v>11</v>
      </c>
      <c r="P4220">
        <v>6102</v>
      </c>
      <c r="Q4220">
        <v>2</v>
      </c>
      <c r="R4220">
        <v>5.0199999999999996</v>
      </c>
      <c r="S4220">
        <v>10.039999999999999</v>
      </c>
      <c r="T4220">
        <v>7.62</v>
      </c>
      <c r="U4220">
        <v>24.1</v>
      </c>
      <c r="V4220" t="str">
        <f>VLOOKUP(L4220,'[2]tabela de preços'!$A:$D,4,0)</f>
        <v>ATLAS</v>
      </c>
      <c r="W4220" t="str">
        <f>VLOOKUP(L4220,'[2]tabela de preços'!$A:$F,6,0)</f>
        <v>ROLOS / TRINCHAS / PINCÉIS / ESPÁTULAS</v>
      </c>
      <c r="X4220" t="str">
        <f>VLOOKUP(L4220,'[2]tabela de preços'!$A:$G,7,0)</f>
        <v>IMOBILIÁRIO</v>
      </c>
    </row>
    <row r="4221" spans="1:24" x14ac:dyDescent="0.3">
      <c r="A4221" t="s">
        <v>1922</v>
      </c>
      <c r="C4221" t="s">
        <v>3667</v>
      </c>
      <c r="D4221" s="1">
        <v>46078</v>
      </c>
      <c r="E4221" t="s">
        <v>3668</v>
      </c>
      <c r="F4221">
        <v>9</v>
      </c>
      <c r="G4221">
        <v>231</v>
      </c>
      <c r="H4221" t="str">
        <f>VLOOKUP(G4221,[1]OPERADORES!$A:$B,2,0)</f>
        <v>EDIJANE</v>
      </c>
      <c r="I4221" t="s">
        <v>21</v>
      </c>
      <c r="J4221" t="s">
        <v>66</v>
      </c>
      <c r="K4221" t="s">
        <v>1925</v>
      </c>
      <c r="L4221">
        <v>20433</v>
      </c>
      <c r="M4221" t="s">
        <v>460</v>
      </c>
      <c r="O4221" t="s">
        <v>11</v>
      </c>
      <c r="P4221">
        <v>5102</v>
      </c>
      <c r="Q4221">
        <v>2</v>
      </c>
      <c r="R4221">
        <v>32.19</v>
      </c>
      <c r="S4221">
        <v>64.38</v>
      </c>
      <c r="T4221">
        <v>48.86</v>
      </c>
      <c r="U4221">
        <v>24.11</v>
      </c>
      <c r="V4221" t="str">
        <f>VLOOKUP(L4221,'[2]tabela de preços'!$A:$D,4,0)</f>
        <v>SHERWIN WILLIAMS</v>
      </c>
      <c r="W4221" t="str">
        <f>VLOOKUP(L4221,'[2]tabela de preços'!$A:$F,6,0)</f>
        <v>VERNIZ AUTOMOTIVO</v>
      </c>
      <c r="X4221" t="str">
        <f>VLOOKUP(L4221,'[2]tabela de preços'!$A:$G,7,0)</f>
        <v>AUTOMOTIVO</v>
      </c>
    </row>
    <row r="4222" spans="1:24" x14ac:dyDescent="0.3">
      <c r="A4222" t="s">
        <v>1922</v>
      </c>
      <c r="C4222" t="s">
        <v>3667</v>
      </c>
      <c r="D4222" s="1">
        <v>46078</v>
      </c>
      <c r="E4222" t="s">
        <v>3668</v>
      </c>
      <c r="F4222">
        <v>9</v>
      </c>
      <c r="G4222">
        <v>231</v>
      </c>
      <c r="H4222" t="str">
        <f>VLOOKUP(G4222,[1]OPERADORES!$A:$B,2,0)</f>
        <v>EDIJANE</v>
      </c>
      <c r="I4222" t="s">
        <v>21</v>
      </c>
      <c r="J4222" t="s">
        <v>66</v>
      </c>
      <c r="K4222" t="s">
        <v>1925</v>
      </c>
      <c r="L4222">
        <v>24248</v>
      </c>
      <c r="M4222" t="s">
        <v>107</v>
      </c>
      <c r="O4222" t="s">
        <v>11</v>
      </c>
      <c r="P4222">
        <v>5102</v>
      </c>
      <c r="Q4222">
        <v>3</v>
      </c>
      <c r="R4222">
        <v>8</v>
      </c>
      <c r="S4222">
        <v>24</v>
      </c>
      <c r="T4222">
        <v>19.5</v>
      </c>
      <c r="U4222">
        <v>18.75</v>
      </c>
      <c r="V4222" t="str">
        <f>VLOOKUP(L4222,'[2]tabela de preços'!$A:$D,4,0)</f>
        <v>SHERWIN WILLIAMS</v>
      </c>
      <c r="W4222" t="str">
        <f>VLOOKUP(L4222,'[2]tabela de preços'!$A:$F,6,0)</f>
        <v>PRIMER AUTOMOTIVO</v>
      </c>
      <c r="X4222" t="str">
        <f>VLOOKUP(L4222,'[2]tabela de preços'!$A:$G,7,0)</f>
        <v>AUTOMOTIVO</v>
      </c>
    </row>
    <row r="4223" spans="1:24" x14ac:dyDescent="0.3">
      <c r="A4223" t="s">
        <v>1922</v>
      </c>
      <c r="C4223" t="s">
        <v>3667</v>
      </c>
      <c r="D4223" s="1">
        <v>46078</v>
      </c>
      <c r="E4223" t="s">
        <v>3668</v>
      </c>
      <c r="F4223">
        <v>9</v>
      </c>
      <c r="G4223">
        <v>231</v>
      </c>
      <c r="H4223" t="str">
        <f>VLOOKUP(G4223,[1]OPERADORES!$A:$B,2,0)</f>
        <v>EDIJANE</v>
      </c>
      <c r="I4223" t="s">
        <v>21</v>
      </c>
      <c r="J4223" t="s">
        <v>66</v>
      </c>
      <c r="K4223" t="s">
        <v>1925</v>
      </c>
      <c r="L4223">
        <v>85178</v>
      </c>
      <c r="M4223" t="s">
        <v>1143</v>
      </c>
      <c r="O4223" t="s">
        <v>11</v>
      </c>
      <c r="P4223">
        <v>5403</v>
      </c>
      <c r="Q4223">
        <v>1</v>
      </c>
      <c r="R4223">
        <v>84.56</v>
      </c>
      <c r="S4223">
        <v>84.56</v>
      </c>
      <c r="T4223">
        <v>64.180000000000007</v>
      </c>
      <c r="U4223">
        <v>24.1</v>
      </c>
      <c r="V4223" t="str">
        <f>VLOOKUP(L4223,'[2]tabela de preços'!$A:$D,4,0)</f>
        <v>BRASILUX</v>
      </c>
      <c r="W4223" t="str">
        <f>VLOOKUP(L4223,'[2]tabela de preços'!$A:$F,6,0)</f>
        <v>ESMALTES</v>
      </c>
      <c r="X4223" t="str">
        <f>VLOOKUP(L4223,'[2]tabela de preços'!$A:$G,7,0)</f>
        <v>INDUSTRIAL</v>
      </c>
    </row>
    <row r="4224" spans="1:24" x14ac:dyDescent="0.3">
      <c r="A4224" t="s">
        <v>1922</v>
      </c>
      <c r="C4224" t="s">
        <v>3667</v>
      </c>
      <c r="D4224" s="1">
        <v>46078</v>
      </c>
      <c r="E4224" t="s">
        <v>3668</v>
      </c>
      <c r="F4224">
        <v>9</v>
      </c>
      <c r="G4224">
        <v>231</v>
      </c>
      <c r="H4224" t="str">
        <f>VLOOKUP(G4224,[1]OPERADORES!$A:$B,2,0)</f>
        <v>EDIJANE</v>
      </c>
      <c r="I4224" t="s">
        <v>21</v>
      </c>
      <c r="J4224" t="s">
        <v>66</v>
      </c>
      <c r="K4224" t="s">
        <v>1925</v>
      </c>
      <c r="L4224">
        <v>84756</v>
      </c>
      <c r="M4224" t="s">
        <v>861</v>
      </c>
      <c r="O4224" t="s">
        <v>11</v>
      </c>
      <c r="P4224">
        <v>5403</v>
      </c>
      <c r="Q4224">
        <v>1</v>
      </c>
      <c r="R4224">
        <v>81.56</v>
      </c>
      <c r="S4224">
        <v>81.56</v>
      </c>
      <c r="T4224">
        <v>61.9</v>
      </c>
      <c r="U4224">
        <v>24.1</v>
      </c>
      <c r="V4224" t="str">
        <f>VLOOKUP(L4224,'[2]tabela de preços'!$A:$D,4,0)</f>
        <v>BRASILUX</v>
      </c>
      <c r="W4224" t="str">
        <f>VLOOKUP(L4224,'[2]tabela de preços'!$A:$F,6,0)</f>
        <v>ESMALTES</v>
      </c>
      <c r="X4224" t="str">
        <f>VLOOKUP(L4224,'[2]tabela de preços'!$A:$G,7,0)</f>
        <v>INDUSTRIAL</v>
      </c>
    </row>
    <row r="4225" spans="1:24" x14ac:dyDescent="0.3">
      <c r="A4225" t="s">
        <v>1922</v>
      </c>
      <c r="C4225" t="s">
        <v>3667</v>
      </c>
      <c r="D4225" s="1">
        <v>46078</v>
      </c>
      <c r="E4225" t="s">
        <v>3668</v>
      </c>
      <c r="F4225">
        <v>9</v>
      </c>
      <c r="G4225">
        <v>231</v>
      </c>
      <c r="H4225" t="str">
        <f>VLOOKUP(G4225,[1]OPERADORES!$A:$B,2,0)</f>
        <v>EDIJANE</v>
      </c>
      <c r="I4225" t="s">
        <v>21</v>
      </c>
      <c r="J4225" t="s">
        <v>66</v>
      </c>
      <c r="K4225" t="s">
        <v>1925</v>
      </c>
      <c r="L4225">
        <v>24240</v>
      </c>
      <c r="M4225" t="s">
        <v>240</v>
      </c>
      <c r="O4225" t="s">
        <v>11</v>
      </c>
      <c r="P4225">
        <v>5102</v>
      </c>
      <c r="Q4225">
        <v>5</v>
      </c>
      <c r="R4225">
        <v>3.81</v>
      </c>
      <c r="S4225">
        <v>19.05</v>
      </c>
      <c r="T4225">
        <v>16.399999999999999</v>
      </c>
      <c r="U4225">
        <v>13.91</v>
      </c>
      <c r="V4225" t="str">
        <f>VLOOKUP(L4225,'[2]tabela de preços'!$A:$D,4,0)</f>
        <v>ADERE</v>
      </c>
      <c r="W4225" t="str">
        <f>VLOOKUP(L4225,'[2]tabela de preços'!$A:$F,6,0)</f>
        <v>FITA AUTOMOTIVA</v>
      </c>
      <c r="X4225" t="str">
        <f>VLOOKUP(L4225,'[2]tabela de preços'!$A:$G,7,0)</f>
        <v>AUTOMOTIVO</v>
      </c>
    </row>
    <row r="4226" spans="1:24" x14ac:dyDescent="0.3">
      <c r="A4226" t="s">
        <v>1922</v>
      </c>
      <c r="C4226" t="s">
        <v>3667</v>
      </c>
      <c r="D4226" s="1">
        <v>46078</v>
      </c>
      <c r="E4226" t="s">
        <v>3668</v>
      </c>
      <c r="F4226">
        <v>9</v>
      </c>
      <c r="G4226">
        <v>231</v>
      </c>
      <c r="H4226" t="str">
        <f>VLOOKUP(G4226,[1]OPERADORES!$A:$B,2,0)</f>
        <v>EDIJANE</v>
      </c>
      <c r="I4226" t="s">
        <v>21</v>
      </c>
      <c r="J4226" t="s">
        <v>66</v>
      </c>
      <c r="K4226" t="s">
        <v>1925</v>
      </c>
      <c r="L4226">
        <v>10238</v>
      </c>
      <c r="M4226" t="s">
        <v>79</v>
      </c>
      <c r="O4226" t="s">
        <v>11</v>
      </c>
      <c r="P4226">
        <v>5102</v>
      </c>
      <c r="Q4226">
        <v>50</v>
      </c>
      <c r="R4226">
        <v>2.79</v>
      </c>
      <c r="S4226">
        <v>139.5</v>
      </c>
      <c r="T4226">
        <v>112</v>
      </c>
      <c r="U4226">
        <v>19.71</v>
      </c>
      <c r="V4226" t="str">
        <f>VLOOKUP(L4226,'[2]tabela de preços'!$A:$D,4,0)</f>
        <v>NORTON</v>
      </c>
      <c r="W4226" t="str">
        <f>VLOOKUP(L4226,'[2]tabela de preços'!$A:$F,6,0)</f>
        <v xml:space="preserve">DISCOS / LIXAS / ABRASIVOS </v>
      </c>
      <c r="X4226" t="str">
        <f>VLOOKUP(L4226,'[2]tabela de preços'!$A:$G,7,0)</f>
        <v>AUTOMOTIVO</v>
      </c>
    </row>
    <row r="4227" spans="1:24" x14ac:dyDescent="0.3">
      <c r="A4227" t="s">
        <v>1922</v>
      </c>
      <c r="C4227" t="s">
        <v>3667</v>
      </c>
      <c r="D4227" s="1">
        <v>46078</v>
      </c>
      <c r="E4227" t="s">
        <v>3668</v>
      </c>
      <c r="F4227">
        <v>9</v>
      </c>
      <c r="G4227">
        <v>231</v>
      </c>
      <c r="H4227" t="str">
        <f>VLOOKUP(G4227,[1]OPERADORES!$A:$B,2,0)</f>
        <v>EDIJANE</v>
      </c>
      <c r="I4227" t="s">
        <v>21</v>
      </c>
      <c r="J4227" t="s">
        <v>66</v>
      </c>
      <c r="K4227" t="s">
        <v>1925</v>
      </c>
      <c r="L4227">
        <v>10242</v>
      </c>
      <c r="M4227" t="s">
        <v>82</v>
      </c>
      <c r="O4227" t="s">
        <v>11</v>
      </c>
      <c r="P4227">
        <v>5102</v>
      </c>
      <c r="Q4227">
        <v>50</v>
      </c>
      <c r="R4227">
        <v>2.79</v>
      </c>
      <c r="S4227">
        <v>139.5</v>
      </c>
      <c r="T4227">
        <v>112</v>
      </c>
      <c r="U4227">
        <v>19.71</v>
      </c>
      <c r="V4227" t="str">
        <f>VLOOKUP(L4227,'[2]tabela de preços'!$A:$D,4,0)</f>
        <v>NORTON</v>
      </c>
      <c r="W4227" t="str">
        <f>VLOOKUP(L4227,'[2]tabela de preços'!$A:$F,6,0)</f>
        <v xml:space="preserve">DISCOS / LIXAS / ABRASIVOS </v>
      </c>
      <c r="X4227" t="str">
        <f>VLOOKUP(L4227,'[2]tabela de preços'!$A:$G,7,0)</f>
        <v>AUTOMOTIVO</v>
      </c>
    </row>
    <row r="4228" spans="1:24" x14ac:dyDescent="0.3">
      <c r="A4228" t="s">
        <v>1922</v>
      </c>
      <c r="C4228" t="s">
        <v>3667</v>
      </c>
      <c r="D4228" s="1">
        <v>46078</v>
      </c>
      <c r="E4228" t="s">
        <v>3668</v>
      </c>
      <c r="F4228">
        <v>9</v>
      </c>
      <c r="G4228">
        <v>231</v>
      </c>
      <c r="H4228" t="str">
        <f>VLOOKUP(G4228,[1]OPERADORES!$A:$B,2,0)</f>
        <v>EDIJANE</v>
      </c>
      <c r="I4228" t="s">
        <v>21</v>
      </c>
      <c r="J4228" t="s">
        <v>66</v>
      </c>
      <c r="K4228" t="s">
        <v>1925</v>
      </c>
      <c r="L4228">
        <v>10244</v>
      </c>
      <c r="M4228" t="s">
        <v>84</v>
      </c>
      <c r="O4228" t="s">
        <v>11</v>
      </c>
      <c r="P4228">
        <v>5102</v>
      </c>
      <c r="Q4228">
        <v>50</v>
      </c>
      <c r="R4228">
        <v>2.79</v>
      </c>
      <c r="S4228">
        <v>139.5</v>
      </c>
      <c r="T4228">
        <v>96.5</v>
      </c>
      <c r="U4228">
        <v>30.82</v>
      </c>
      <c r="V4228" t="str">
        <f>VLOOKUP(L4228,'[2]tabela de preços'!$A:$D,4,0)</f>
        <v>NORTON</v>
      </c>
      <c r="W4228" t="str">
        <f>VLOOKUP(L4228,'[2]tabela de preços'!$A:$F,6,0)</f>
        <v xml:space="preserve">DISCOS / LIXAS / ABRASIVOS </v>
      </c>
      <c r="X4228" t="str">
        <f>VLOOKUP(L4228,'[2]tabela de preços'!$A:$G,7,0)</f>
        <v>AUTOMOTIVO</v>
      </c>
    </row>
    <row r="4229" spans="1:24" x14ac:dyDescent="0.3">
      <c r="A4229" t="s">
        <v>1922</v>
      </c>
      <c r="C4229" t="s">
        <v>3667</v>
      </c>
      <c r="D4229" s="1">
        <v>46078</v>
      </c>
      <c r="E4229" t="s">
        <v>3668</v>
      </c>
      <c r="F4229">
        <v>9</v>
      </c>
      <c r="G4229">
        <v>231</v>
      </c>
      <c r="H4229" t="str">
        <f>VLOOKUP(G4229,[1]OPERADORES!$A:$B,2,0)</f>
        <v>EDIJANE</v>
      </c>
      <c r="I4229" t="s">
        <v>21</v>
      </c>
      <c r="J4229" t="s">
        <v>66</v>
      </c>
      <c r="K4229" t="s">
        <v>1925</v>
      </c>
      <c r="L4229">
        <v>10245</v>
      </c>
      <c r="M4229" t="s">
        <v>195</v>
      </c>
      <c r="O4229" t="s">
        <v>11</v>
      </c>
      <c r="P4229">
        <v>5102</v>
      </c>
      <c r="Q4229">
        <v>50</v>
      </c>
      <c r="R4229">
        <v>2.79</v>
      </c>
      <c r="S4229">
        <v>139.5</v>
      </c>
      <c r="T4229">
        <v>96.5</v>
      </c>
      <c r="U4229">
        <v>30.82</v>
      </c>
      <c r="V4229" t="str">
        <f>VLOOKUP(L4229,'[2]tabela de preços'!$A:$D,4,0)</f>
        <v>NORTON</v>
      </c>
      <c r="W4229" t="str">
        <f>VLOOKUP(L4229,'[2]tabela de preços'!$A:$F,6,0)</f>
        <v xml:space="preserve">DISCOS / LIXAS / ABRASIVOS </v>
      </c>
      <c r="X4229" t="str">
        <f>VLOOKUP(L4229,'[2]tabela de preços'!$A:$G,7,0)</f>
        <v>AUTOMOTIVO</v>
      </c>
    </row>
    <row r="4230" spans="1:24" x14ac:dyDescent="0.3">
      <c r="A4230" t="s">
        <v>1922</v>
      </c>
      <c r="C4230" t="s">
        <v>3667</v>
      </c>
      <c r="D4230" s="1">
        <v>46078</v>
      </c>
      <c r="E4230" t="s">
        <v>3668</v>
      </c>
      <c r="F4230">
        <v>9</v>
      </c>
      <c r="G4230">
        <v>231</v>
      </c>
      <c r="H4230" t="str">
        <f>VLOOKUP(G4230,[1]OPERADORES!$A:$B,2,0)</f>
        <v>EDIJANE</v>
      </c>
      <c r="I4230" t="s">
        <v>21</v>
      </c>
      <c r="J4230" t="s">
        <v>66</v>
      </c>
      <c r="K4230" t="s">
        <v>1925</v>
      </c>
      <c r="L4230">
        <v>23267</v>
      </c>
      <c r="M4230" t="s">
        <v>164</v>
      </c>
      <c r="O4230" t="s">
        <v>11</v>
      </c>
      <c r="P4230">
        <v>5102</v>
      </c>
      <c r="Q4230">
        <v>3</v>
      </c>
      <c r="R4230">
        <v>22.89</v>
      </c>
      <c r="S4230">
        <v>68.67</v>
      </c>
      <c r="T4230">
        <v>55.86</v>
      </c>
      <c r="U4230">
        <v>18.649999999999999</v>
      </c>
      <c r="V4230" t="str">
        <f>VLOOKUP(L4230,'[2]tabela de preços'!$A:$D,4,0)</f>
        <v>ANJO</v>
      </c>
      <c r="W4230" t="str">
        <f>VLOOKUP(L4230,'[2]tabela de preços'!$A:$F,6,0)</f>
        <v>MASSA POLIÉSTER</v>
      </c>
      <c r="X4230" t="str">
        <f>VLOOKUP(L4230,'[2]tabela de preços'!$A:$G,7,0)</f>
        <v>AUTOMOTIVO</v>
      </c>
    </row>
    <row r="4231" spans="1:24" x14ac:dyDescent="0.3">
      <c r="A4231" t="s">
        <v>1922</v>
      </c>
      <c r="C4231" t="s">
        <v>3667</v>
      </c>
      <c r="D4231" s="1">
        <v>46078</v>
      </c>
      <c r="E4231" t="s">
        <v>3668</v>
      </c>
      <c r="F4231">
        <v>9</v>
      </c>
      <c r="G4231">
        <v>231</v>
      </c>
      <c r="H4231" t="str">
        <f>VLOOKUP(G4231,[1]OPERADORES!$A:$B,2,0)</f>
        <v>EDIJANE</v>
      </c>
      <c r="I4231" t="s">
        <v>21</v>
      </c>
      <c r="J4231" t="s">
        <v>66</v>
      </c>
      <c r="K4231" t="s">
        <v>1925</v>
      </c>
      <c r="L4231">
        <v>24247</v>
      </c>
      <c r="M4231" t="s">
        <v>160</v>
      </c>
      <c r="O4231" t="s">
        <v>11</v>
      </c>
      <c r="P4231">
        <v>5403</v>
      </c>
      <c r="Q4231">
        <v>3</v>
      </c>
      <c r="R4231">
        <v>21</v>
      </c>
      <c r="S4231">
        <v>63</v>
      </c>
      <c r="T4231">
        <v>50.61</v>
      </c>
      <c r="U4231">
        <v>19.670000000000002</v>
      </c>
      <c r="V4231" t="str">
        <f>VLOOKUP(L4231,'[2]tabela de preços'!$A:$D,4,0)</f>
        <v>SHERWIN WILLIAMS</v>
      </c>
      <c r="W4231" t="str">
        <f>VLOOKUP(L4231,'[2]tabela de preços'!$A:$F,6,0)</f>
        <v>PRIMER AUTOMOTIVO</v>
      </c>
      <c r="X4231" t="str">
        <f>VLOOKUP(L4231,'[2]tabela de preços'!$A:$G,7,0)</f>
        <v>AUTOMOTIVO</v>
      </c>
    </row>
    <row r="4232" spans="1:24" x14ac:dyDescent="0.3">
      <c r="A4232" t="s">
        <v>1922</v>
      </c>
      <c r="C4232" t="s">
        <v>3667</v>
      </c>
      <c r="D4232" s="1">
        <v>46078</v>
      </c>
      <c r="E4232" t="s">
        <v>3668</v>
      </c>
      <c r="F4232">
        <v>9</v>
      </c>
      <c r="G4232">
        <v>231</v>
      </c>
      <c r="H4232" t="str">
        <f>VLOOKUP(G4232,[1]OPERADORES!$A:$B,2,0)</f>
        <v>EDIJANE</v>
      </c>
      <c r="I4232" t="s">
        <v>21</v>
      </c>
      <c r="J4232" t="s">
        <v>66</v>
      </c>
      <c r="K4232" t="s">
        <v>1925</v>
      </c>
      <c r="L4232">
        <v>85401</v>
      </c>
      <c r="M4232" t="s">
        <v>261</v>
      </c>
      <c r="O4232" t="s">
        <v>11</v>
      </c>
      <c r="P4232">
        <v>5102</v>
      </c>
      <c r="Q4232">
        <v>1</v>
      </c>
      <c r="R4232">
        <v>633.42999999999995</v>
      </c>
      <c r="S4232">
        <v>633.42999999999995</v>
      </c>
      <c r="T4232">
        <v>451.64</v>
      </c>
      <c r="U4232">
        <v>28.7</v>
      </c>
      <c r="V4232" t="str">
        <f>VLOOKUP(L4232,'[2]tabela de preços'!$A:$D,4,0)</f>
        <v>BRASILUX</v>
      </c>
      <c r="W4232" t="str">
        <f>VLOOKUP(L4232,'[2]tabela de preços'!$A:$F,6,0)</f>
        <v>TINTA EM PÓ</v>
      </c>
      <c r="X4232" t="str">
        <f>VLOOKUP(L4232,'[2]tabela de preços'!$A:$G,7,0)</f>
        <v>INDUSTRIAL</v>
      </c>
    </row>
    <row r="4233" spans="1:24" x14ac:dyDescent="0.3">
      <c r="A4233" t="s">
        <v>1922</v>
      </c>
      <c r="C4233" t="s">
        <v>3667</v>
      </c>
      <c r="D4233" s="1">
        <v>46078</v>
      </c>
      <c r="E4233" t="s">
        <v>3668</v>
      </c>
      <c r="F4233">
        <v>9</v>
      </c>
      <c r="G4233">
        <v>231</v>
      </c>
      <c r="H4233" t="str">
        <f>VLOOKUP(G4233,[1]OPERADORES!$A:$B,2,0)</f>
        <v>EDIJANE</v>
      </c>
      <c r="I4233" t="s">
        <v>21</v>
      </c>
      <c r="J4233" t="s">
        <v>66</v>
      </c>
      <c r="K4233" t="s">
        <v>1925</v>
      </c>
      <c r="L4233">
        <v>85328</v>
      </c>
      <c r="M4233" t="s">
        <v>605</v>
      </c>
      <c r="O4233" t="s">
        <v>11</v>
      </c>
      <c r="P4233">
        <v>5102</v>
      </c>
      <c r="Q4233">
        <v>1</v>
      </c>
      <c r="R4233">
        <v>565.80999999999995</v>
      </c>
      <c r="S4233">
        <v>565.80999999999995</v>
      </c>
      <c r="T4233">
        <v>403.43</v>
      </c>
      <c r="U4233">
        <v>28.7</v>
      </c>
      <c r="V4233" t="str">
        <f>VLOOKUP(L4233,'[2]tabela de preços'!$A:$D,4,0)</f>
        <v>BRASILUX</v>
      </c>
      <c r="W4233" t="str">
        <f>VLOOKUP(L4233,'[2]tabela de preços'!$A:$F,6,0)</f>
        <v>TINTA EM PÓ</v>
      </c>
      <c r="X4233" t="str">
        <f>VLOOKUP(L4233,'[2]tabela de preços'!$A:$G,7,0)</f>
        <v>INDUSTRIAL</v>
      </c>
    </row>
    <row r="4234" spans="1:24" x14ac:dyDescent="0.3">
      <c r="A4234" t="s">
        <v>1922</v>
      </c>
      <c r="C4234" t="s">
        <v>3667</v>
      </c>
      <c r="D4234" s="1">
        <v>46078</v>
      </c>
      <c r="E4234" t="s">
        <v>3668</v>
      </c>
      <c r="F4234">
        <v>9</v>
      </c>
      <c r="G4234">
        <v>231</v>
      </c>
      <c r="H4234" t="str">
        <f>VLOOKUP(G4234,[1]OPERADORES!$A:$B,2,0)</f>
        <v>EDIJANE</v>
      </c>
      <c r="I4234" t="s">
        <v>21</v>
      </c>
      <c r="J4234" t="s">
        <v>66</v>
      </c>
      <c r="K4234" t="s">
        <v>1925</v>
      </c>
      <c r="L4234">
        <v>20399</v>
      </c>
      <c r="M4234" t="s">
        <v>465</v>
      </c>
      <c r="O4234" t="s">
        <v>11</v>
      </c>
      <c r="P4234">
        <v>5403</v>
      </c>
      <c r="Q4234">
        <v>2</v>
      </c>
      <c r="R4234">
        <v>32.19</v>
      </c>
      <c r="S4234">
        <v>64.38</v>
      </c>
      <c r="T4234">
        <v>53.56</v>
      </c>
      <c r="U4234">
        <v>16.809999999999999</v>
      </c>
      <c r="V4234" t="str">
        <f>VLOOKUP(L4234,'[2]tabela de preços'!$A:$D,4,0)</f>
        <v>SHERWIN WILLIAMS</v>
      </c>
      <c r="W4234" t="str">
        <f>VLOOKUP(L4234,'[2]tabela de preços'!$A:$F,6,0)</f>
        <v>VERNIZ AUTOMOTIVO</v>
      </c>
      <c r="X4234" t="str">
        <f>VLOOKUP(L4234,'[2]tabela de preços'!$A:$G,7,0)</f>
        <v>AUTOMOTIVO</v>
      </c>
    </row>
    <row r="4235" spans="1:24" x14ac:dyDescent="0.3">
      <c r="A4235" t="s">
        <v>1941</v>
      </c>
      <c r="C4235" t="s">
        <v>3669</v>
      </c>
      <c r="D4235" s="1">
        <v>46077</v>
      </c>
      <c r="E4235" t="s">
        <v>3670</v>
      </c>
      <c r="F4235">
        <v>9</v>
      </c>
      <c r="G4235">
        <v>236</v>
      </c>
      <c r="H4235" t="str">
        <f>VLOOKUP(G4235,[1]OPERADORES!$A:$B,2,0)</f>
        <v>DANIEL</v>
      </c>
      <c r="I4235" t="s">
        <v>21</v>
      </c>
      <c r="J4235" t="s">
        <v>22</v>
      </c>
      <c r="K4235" t="s">
        <v>1944</v>
      </c>
      <c r="L4235">
        <v>86230</v>
      </c>
      <c r="M4235" t="s">
        <v>375</v>
      </c>
      <c r="O4235" t="s">
        <v>11</v>
      </c>
      <c r="P4235">
        <v>5403</v>
      </c>
      <c r="Q4235">
        <v>3</v>
      </c>
      <c r="R4235">
        <v>290.88</v>
      </c>
      <c r="S4235">
        <v>872.64</v>
      </c>
      <c r="T4235">
        <v>662.34</v>
      </c>
      <c r="U4235">
        <v>24.1</v>
      </c>
      <c r="V4235" t="str">
        <f>VLOOKUP(L4235,'[2]tabela de preços'!$A:$D,4,0)</f>
        <v>CORAL</v>
      </c>
      <c r="W4235" t="str">
        <f>VLOOKUP(L4235,'[2]tabela de preços'!$A:$F,6,0)</f>
        <v>TINTA PAREDE</v>
      </c>
      <c r="X4235" t="str">
        <f>VLOOKUP(L4235,'[2]tabela de preços'!$A:$G,7,0)</f>
        <v>IMOBILIÁRIO</v>
      </c>
    </row>
    <row r="4236" spans="1:24" x14ac:dyDescent="0.3">
      <c r="A4236" t="s">
        <v>1947</v>
      </c>
      <c r="B4236" t="s">
        <v>1948</v>
      </c>
      <c r="C4236" t="s">
        <v>3671</v>
      </c>
      <c r="D4236" s="1">
        <v>46077</v>
      </c>
      <c r="E4236" t="s">
        <v>3672</v>
      </c>
      <c r="F4236">
        <v>9</v>
      </c>
      <c r="G4236">
        <v>236</v>
      </c>
      <c r="H4236" t="str">
        <f>VLOOKUP(G4236,[1]OPERADORES!$A:$B,2,0)</f>
        <v>DANIEL</v>
      </c>
      <c r="I4236" t="s">
        <v>21</v>
      </c>
      <c r="J4236" t="s">
        <v>1951</v>
      </c>
      <c r="K4236" t="s">
        <v>1952</v>
      </c>
      <c r="L4236">
        <v>84754</v>
      </c>
      <c r="M4236" t="s">
        <v>3673</v>
      </c>
      <c r="O4236" t="s">
        <v>11</v>
      </c>
      <c r="P4236">
        <v>5403</v>
      </c>
      <c r="Q4236">
        <v>3</v>
      </c>
      <c r="R4236">
        <v>215.22</v>
      </c>
      <c r="S4236">
        <v>645.66</v>
      </c>
      <c r="T4236">
        <v>473.37</v>
      </c>
      <c r="U4236">
        <v>26.68</v>
      </c>
      <c r="V4236" t="str">
        <f>VLOOKUP(L4236,'[2]tabela de preços'!$A:$D,4,0)</f>
        <v>BRASILUX</v>
      </c>
      <c r="W4236" t="str">
        <f>VLOOKUP(L4236,'[2]tabela de preços'!$A:$F,6,0)</f>
        <v>TINTA PAREDE</v>
      </c>
      <c r="X4236" t="str">
        <f>VLOOKUP(L4236,'[2]tabela de preços'!$A:$G,7,0)</f>
        <v>IMOBILIÁRIO</v>
      </c>
    </row>
    <row r="4237" spans="1:24" x14ac:dyDescent="0.3">
      <c r="A4237" t="s">
        <v>1947</v>
      </c>
      <c r="B4237" t="s">
        <v>1948</v>
      </c>
      <c r="C4237" t="s">
        <v>3671</v>
      </c>
      <c r="D4237" s="1">
        <v>46077</v>
      </c>
      <c r="E4237" t="s">
        <v>3672</v>
      </c>
      <c r="F4237">
        <v>9</v>
      </c>
      <c r="G4237">
        <v>236</v>
      </c>
      <c r="H4237" t="str">
        <f>VLOOKUP(G4237,[1]OPERADORES!$A:$B,2,0)</f>
        <v>DANIEL</v>
      </c>
      <c r="I4237" t="s">
        <v>21</v>
      </c>
      <c r="J4237" t="s">
        <v>1951</v>
      </c>
      <c r="K4237" t="s">
        <v>1952</v>
      </c>
      <c r="L4237">
        <v>84265</v>
      </c>
      <c r="M4237" t="s">
        <v>3674</v>
      </c>
      <c r="O4237" t="s">
        <v>11</v>
      </c>
      <c r="P4237">
        <v>5403</v>
      </c>
      <c r="Q4237">
        <v>2</v>
      </c>
      <c r="R4237">
        <v>200.76</v>
      </c>
      <c r="S4237">
        <v>401.52</v>
      </c>
      <c r="T4237">
        <v>294.38</v>
      </c>
      <c r="U4237">
        <v>26.68</v>
      </c>
      <c r="V4237" t="str">
        <f>VLOOKUP(L4237,'[2]tabela de preços'!$A:$D,4,0)</f>
        <v>BRASILUX</v>
      </c>
      <c r="W4237" t="str">
        <f>VLOOKUP(L4237,'[2]tabela de preços'!$A:$F,6,0)</f>
        <v>TINTA PAREDE</v>
      </c>
      <c r="X4237" t="str">
        <f>VLOOKUP(L4237,'[2]tabela de preços'!$A:$G,7,0)</f>
        <v>IMOBILIÁRIO</v>
      </c>
    </row>
    <row r="4238" spans="1:24" x14ac:dyDescent="0.3">
      <c r="A4238" t="s">
        <v>1947</v>
      </c>
      <c r="B4238" t="s">
        <v>1948</v>
      </c>
      <c r="C4238" t="s">
        <v>3671</v>
      </c>
      <c r="D4238" s="1">
        <v>46077</v>
      </c>
      <c r="E4238" t="s">
        <v>3672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1951</v>
      </c>
      <c r="K4238" t="s">
        <v>1952</v>
      </c>
      <c r="L4238">
        <v>84271</v>
      </c>
      <c r="M4238" t="s">
        <v>3675</v>
      </c>
      <c r="O4238" t="s">
        <v>11</v>
      </c>
      <c r="P4238">
        <v>5403</v>
      </c>
      <c r="Q4238">
        <v>3</v>
      </c>
      <c r="R4238">
        <v>195.15</v>
      </c>
      <c r="S4238">
        <v>585.45000000000005</v>
      </c>
      <c r="T4238">
        <v>429.21</v>
      </c>
      <c r="U4238">
        <v>26.69</v>
      </c>
      <c r="V4238" t="str">
        <f>VLOOKUP(L4238,'[2]tabela de preços'!$A:$D,4,0)</f>
        <v>BRASILUX</v>
      </c>
      <c r="W4238" t="str">
        <f>VLOOKUP(L4238,'[2]tabela de preços'!$A:$F,6,0)</f>
        <v>TINTA PAREDE</v>
      </c>
      <c r="X4238" t="str">
        <f>VLOOKUP(L4238,'[2]tabela de preços'!$A:$G,7,0)</f>
        <v>IMOBILIÁRIO</v>
      </c>
    </row>
    <row r="4239" spans="1:24" x14ac:dyDescent="0.3">
      <c r="A4239" t="s">
        <v>1947</v>
      </c>
      <c r="B4239" t="s">
        <v>1948</v>
      </c>
      <c r="C4239" t="s">
        <v>3671</v>
      </c>
      <c r="D4239" s="1">
        <v>46077</v>
      </c>
      <c r="E4239" t="s">
        <v>3672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1951</v>
      </c>
      <c r="K4239" t="s">
        <v>1952</v>
      </c>
      <c r="L4239">
        <v>86737</v>
      </c>
      <c r="M4239" t="s">
        <v>3676</v>
      </c>
      <c r="O4239" t="s">
        <v>11</v>
      </c>
      <c r="P4239">
        <v>5403</v>
      </c>
      <c r="Q4239">
        <v>1</v>
      </c>
      <c r="R4239">
        <v>171.12</v>
      </c>
      <c r="S4239">
        <v>171.12</v>
      </c>
      <c r="T4239">
        <v>134.63</v>
      </c>
      <c r="U4239">
        <v>21.32</v>
      </c>
      <c r="V4239" t="str">
        <f>VLOOKUP(L4239,'[2]tabela de preços'!$A:$D,4,0)</f>
        <v>CORAL</v>
      </c>
      <c r="W4239" t="str">
        <f>VLOOKUP(L4239,'[2]tabela de preços'!$A:$F,6,0)</f>
        <v>TINTA PAREDE</v>
      </c>
      <c r="X4239" t="str">
        <f>VLOOKUP(L4239,'[2]tabela de preços'!$A:$G,7,0)</f>
        <v>IMOBILIÁRIO</v>
      </c>
    </row>
    <row r="4240" spans="1:24" x14ac:dyDescent="0.3">
      <c r="A4240" t="s">
        <v>1947</v>
      </c>
      <c r="B4240" t="s">
        <v>1948</v>
      </c>
      <c r="C4240" t="s">
        <v>3671</v>
      </c>
      <c r="D4240" s="1">
        <v>46077</v>
      </c>
      <c r="E4240" t="s">
        <v>3672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1951</v>
      </c>
      <c r="K4240" t="s">
        <v>1952</v>
      </c>
      <c r="L4240">
        <v>84435</v>
      </c>
      <c r="M4240" t="s">
        <v>1956</v>
      </c>
      <c r="O4240" t="s">
        <v>11</v>
      </c>
      <c r="P4240">
        <v>5102</v>
      </c>
      <c r="Q4240">
        <v>16</v>
      </c>
      <c r="R4240">
        <v>17.7</v>
      </c>
      <c r="S4240">
        <v>283.2</v>
      </c>
      <c r="T4240">
        <v>214.88</v>
      </c>
      <c r="U4240">
        <v>24.12</v>
      </c>
      <c r="V4240" t="str">
        <f>VLOOKUP(L4240,'[2]tabela de preços'!$A:$D,4,0)</f>
        <v>ATLAS</v>
      </c>
      <c r="W4240" t="str">
        <f>VLOOKUP(L4240,'[2]tabela de preços'!$A:$F,6,0)</f>
        <v>ROLOS / TRINCHAS / PINCÉIS / ESPÁTULAS</v>
      </c>
      <c r="X4240" t="str">
        <f>VLOOKUP(L4240,'[2]tabela de preços'!$A:$G,7,0)</f>
        <v>IMOBILIÁRIO</v>
      </c>
    </row>
    <row r="4241" spans="1:24" x14ac:dyDescent="0.3">
      <c r="A4241" t="s">
        <v>1947</v>
      </c>
      <c r="B4241" t="s">
        <v>1948</v>
      </c>
      <c r="C4241" t="s">
        <v>3671</v>
      </c>
      <c r="D4241" s="1">
        <v>46077</v>
      </c>
      <c r="E4241" t="s">
        <v>3672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1951</v>
      </c>
      <c r="K4241" t="s">
        <v>1952</v>
      </c>
      <c r="L4241">
        <v>84426</v>
      </c>
      <c r="M4241" t="s">
        <v>1957</v>
      </c>
      <c r="O4241" t="s">
        <v>11</v>
      </c>
      <c r="P4241">
        <v>5102</v>
      </c>
      <c r="Q4241">
        <v>25</v>
      </c>
      <c r="R4241">
        <v>4.32</v>
      </c>
      <c r="S4241">
        <v>108</v>
      </c>
      <c r="T4241">
        <v>82</v>
      </c>
      <c r="U4241">
        <v>24.07</v>
      </c>
      <c r="V4241" t="str">
        <f>VLOOKUP(L4241,'[2]tabela de preços'!$A:$D,4,0)</f>
        <v>ATLAS</v>
      </c>
      <c r="W4241" t="str">
        <f>VLOOKUP(L4241,'[2]tabela de preços'!$A:$F,6,0)</f>
        <v>ROLOS / TRINCHAS / PINCÉIS / ESPÁTULAS</v>
      </c>
      <c r="X4241" t="str">
        <f>VLOOKUP(L4241,'[2]tabela de preços'!$A:$G,7,0)</f>
        <v>IMOBILIÁRIO</v>
      </c>
    </row>
    <row r="4242" spans="1:24" x14ac:dyDescent="0.3">
      <c r="A4242" t="s">
        <v>1947</v>
      </c>
      <c r="B4242" t="s">
        <v>1948</v>
      </c>
      <c r="C4242" t="s">
        <v>3671</v>
      </c>
      <c r="D4242" s="1">
        <v>46077</v>
      </c>
      <c r="E4242" t="s">
        <v>3672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1951</v>
      </c>
      <c r="K4242" t="s">
        <v>1952</v>
      </c>
      <c r="L4242">
        <v>85035</v>
      </c>
      <c r="M4242" t="s">
        <v>3677</v>
      </c>
      <c r="O4242" t="s">
        <v>11</v>
      </c>
      <c r="P4242">
        <v>5102</v>
      </c>
      <c r="Q4242">
        <v>13</v>
      </c>
      <c r="R4242">
        <v>3.94</v>
      </c>
      <c r="S4242">
        <v>51.22</v>
      </c>
      <c r="T4242">
        <v>38.869999999999997</v>
      </c>
      <c r="U4242">
        <v>24.11</v>
      </c>
      <c r="V4242" t="str">
        <f>VLOOKUP(L4242,'[2]tabela de preços'!$A:$D,4,0)</f>
        <v>ATLAS</v>
      </c>
      <c r="W4242" t="str">
        <f>VLOOKUP(L4242,'[2]tabela de preços'!$A:$F,6,0)</f>
        <v>ROLOS / TRINCHAS / PINCÉIS / ESPÁTULAS</v>
      </c>
      <c r="X4242" t="str">
        <f>VLOOKUP(L4242,'[2]tabela de preços'!$A:$G,7,0)</f>
        <v>IMOBILIÁRIO</v>
      </c>
    </row>
    <row r="4243" spans="1:24" x14ac:dyDescent="0.3">
      <c r="A4243" t="s">
        <v>1947</v>
      </c>
      <c r="B4243" t="s">
        <v>1948</v>
      </c>
      <c r="C4243" t="s">
        <v>3678</v>
      </c>
      <c r="D4243" s="1">
        <v>46078</v>
      </c>
      <c r="E4243" t="s">
        <v>3679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1951</v>
      </c>
      <c r="K4243" t="s">
        <v>1952</v>
      </c>
      <c r="L4243">
        <v>84175</v>
      </c>
      <c r="M4243" t="s">
        <v>1429</v>
      </c>
      <c r="O4243" t="s">
        <v>11</v>
      </c>
      <c r="P4243">
        <v>5403</v>
      </c>
      <c r="Q4243">
        <v>1</v>
      </c>
      <c r="R4243">
        <v>91.77</v>
      </c>
      <c r="S4243">
        <v>91.77</v>
      </c>
      <c r="T4243">
        <v>69.66</v>
      </c>
      <c r="U4243">
        <v>24.09</v>
      </c>
      <c r="V4243" t="str">
        <f>VLOOKUP(L4243,'[2]tabela de preços'!$A:$D,4,0)</f>
        <v>BRASILUX</v>
      </c>
      <c r="W4243" t="str">
        <f>VLOOKUP(L4243,'[2]tabela de preços'!$A:$F,6,0)</f>
        <v>ESMALTES</v>
      </c>
      <c r="X4243" t="str">
        <f>VLOOKUP(L4243,'[2]tabela de preços'!$A:$G,7,0)</f>
        <v>INDUSTRIAL</v>
      </c>
    </row>
    <row r="4244" spans="1:24" x14ac:dyDescent="0.3">
      <c r="A4244" t="s">
        <v>1947</v>
      </c>
      <c r="B4244" t="s">
        <v>1948</v>
      </c>
      <c r="C4244" t="s">
        <v>3678</v>
      </c>
      <c r="D4244" s="1">
        <v>46078</v>
      </c>
      <c r="E4244" t="s">
        <v>3679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1951</v>
      </c>
      <c r="K4244" t="s">
        <v>1952</v>
      </c>
      <c r="L4244">
        <v>86983</v>
      </c>
      <c r="M4244" t="s">
        <v>3680</v>
      </c>
      <c r="O4244" t="s">
        <v>11</v>
      </c>
      <c r="P4244">
        <v>5403</v>
      </c>
      <c r="Q4244">
        <v>1</v>
      </c>
      <c r="R4244">
        <v>36.56</v>
      </c>
      <c r="S4244">
        <v>36.56</v>
      </c>
      <c r="T4244">
        <v>26.8</v>
      </c>
      <c r="U4244">
        <v>26.7</v>
      </c>
      <c r="V4244" t="str">
        <f>VLOOKUP(L4244,'[2]tabela de preços'!$A:$D,4,0)</f>
        <v>BRASILUX</v>
      </c>
      <c r="W4244" t="str">
        <f>VLOOKUP(L4244,'[2]tabela de preços'!$A:$F,6,0)</f>
        <v>SELADOR ACRÍLICO</v>
      </c>
      <c r="X4244" t="str">
        <f>VLOOKUP(L4244,'[2]tabela de preços'!$A:$G,7,0)</f>
        <v>IMOBILIÁRIO</v>
      </c>
    </row>
    <row r="4245" spans="1:24" x14ac:dyDescent="0.3">
      <c r="A4245" t="s">
        <v>1947</v>
      </c>
      <c r="B4245" t="s">
        <v>1948</v>
      </c>
      <c r="C4245" t="s">
        <v>3678</v>
      </c>
      <c r="D4245" s="1">
        <v>46078</v>
      </c>
      <c r="E4245" t="s">
        <v>3679</v>
      </c>
      <c r="F4245">
        <v>9</v>
      </c>
      <c r="G4245">
        <v>236</v>
      </c>
      <c r="H4245" t="str">
        <f>VLOOKUP(G4245,[1]OPERADORES!$A:$B,2,0)</f>
        <v>DANIEL</v>
      </c>
      <c r="I4245" t="s">
        <v>21</v>
      </c>
      <c r="J4245" t="s">
        <v>1951</v>
      </c>
      <c r="K4245" t="s">
        <v>1952</v>
      </c>
      <c r="L4245">
        <v>84034</v>
      </c>
      <c r="M4245" t="s">
        <v>890</v>
      </c>
      <c r="O4245" t="s">
        <v>11</v>
      </c>
      <c r="P4245">
        <v>5102</v>
      </c>
      <c r="Q4245">
        <v>1</v>
      </c>
      <c r="R4245">
        <v>26.59</v>
      </c>
      <c r="S4245">
        <v>26.59</v>
      </c>
      <c r="T4245">
        <v>19.059999999999999</v>
      </c>
      <c r="U4245">
        <v>28.32</v>
      </c>
      <c r="V4245" t="str">
        <f>VLOOKUP(L4245,'[2]tabela de preços'!$A:$D,4,0)</f>
        <v>BRASILUX</v>
      </c>
      <c r="W4245" t="str">
        <f>VLOOKUP(L4245,'[2]tabela de preços'!$A:$F,6,0)</f>
        <v>MASSA CORRIDA / ACRÍLICA</v>
      </c>
      <c r="X4245" t="str">
        <f>VLOOKUP(L4245,'[2]tabela de preços'!$A:$G,7,0)</f>
        <v>IMOBILIÁRIO</v>
      </c>
    </row>
    <row r="4246" spans="1:24" x14ac:dyDescent="0.3">
      <c r="A4246" t="s">
        <v>3681</v>
      </c>
      <c r="B4246" t="s">
        <v>3682</v>
      </c>
      <c r="C4246" t="s">
        <v>3683</v>
      </c>
      <c r="D4246" s="1">
        <v>46077</v>
      </c>
      <c r="E4246" t="s">
        <v>3684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168</v>
      </c>
      <c r="J4246" t="s">
        <v>3685</v>
      </c>
      <c r="K4246" t="s">
        <v>3686</v>
      </c>
      <c r="L4246">
        <v>23107</v>
      </c>
      <c r="M4246" t="s">
        <v>247</v>
      </c>
      <c r="O4246" t="s">
        <v>11</v>
      </c>
      <c r="P4246">
        <v>6102</v>
      </c>
      <c r="Q4246">
        <v>50</v>
      </c>
      <c r="R4246">
        <v>2.35</v>
      </c>
      <c r="S4246">
        <v>117.5</v>
      </c>
      <c r="T4246">
        <v>92.5</v>
      </c>
      <c r="U4246">
        <v>21.28</v>
      </c>
      <c r="V4246" t="str">
        <f>VLOOKUP(L4246,'[2]tabela de preços'!$A:$D,4,0)</f>
        <v>3M</v>
      </c>
      <c r="W4246" t="str">
        <f>VLOOKUP(L4246,'[2]tabela de preços'!$A:$F,6,0)</f>
        <v xml:space="preserve">DISCOS / LIXAS / ABRASIVOS </v>
      </c>
      <c r="X4246" t="str">
        <f>VLOOKUP(L4246,'[2]tabela de preços'!$A:$G,7,0)</f>
        <v>AUTOMOTIVO</v>
      </c>
    </row>
    <row r="4247" spans="1:24" x14ac:dyDescent="0.3">
      <c r="A4247" t="s">
        <v>3681</v>
      </c>
      <c r="B4247" t="s">
        <v>3682</v>
      </c>
      <c r="C4247" t="s">
        <v>3683</v>
      </c>
      <c r="D4247" s="1">
        <v>46077</v>
      </c>
      <c r="E4247" t="s">
        <v>3684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168</v>
      </c>
      <c r="J4247" t="s">
        <v>3685</v>
      </c>
      <c r="K4247" t="s">
        <v>3686</v>
      </c>
      <c r="L4247">
        <v>10097</v>
      </c>
      <c r="M4247" t="s">
        <v>461</v>
      </c>
      <c r="O4247" t="s">
        <v>11</v>
      </c>
      <c r="P4247">
        <v>6102</v>
      </c>
      <c r="Q4247">
        <v>6</v>
      </c>
      <c r="R4247">
        <v>9.41</v>
      </c>
      <c r="S4247">
        <v>56.46</v>
      </c>
      <c r="T4247">
        <v>42.84</v>
      </c>
      <c r="U4247">
        <v>24.12</v>
      </c>
      <c r="V4247" t="str">
        <f>VLOOKUP(L4247,'[2]tabela de preços'!$A:$D,4,0)</f>
        <v>3M</v>
      </c>
      <c r="W4247" t="str">
        <f>VLOOKUP(L4247,'[2]tabela de preços'!$A:$F,6,0)</f>
        <v>EPI´S</v>
      </c>
      <c r="X4247" t="str">
        <f>VLOOKUP(L4247,'[2]tabela de preços'!$A:$G,7,0)</f>
        <v>AUTOMOTIVO</v>
      </c>
    </row>
    <row r="4248" spans="1:24" x14ac:dyDescent="0.3">
      <c r="A4248" t="s">
        <v>3681</v>
      </c>
      <c r="B4248" t="s">
        <v>3682</v>
      </c>
      <c r="C4248" t="s">
        <v>3683</v>
      </c>
      <c r="D4248" s="1">
        <v>46077</v>
      </c>
      <c r="E4248" t="s">
        <v>3684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168</v>
      </c>
      <c r="J4248" t="s">
        <v>3685</v>
      </c>
      <c r="K4248" t="s">
        <v>3686</v>
      </c>
      <c r="L4248">
        <v>22684</v>
      </c>
      <c r="M4248" t="s">
        <v>73</v>
      </c>
      <c r="O4248" t="s">
        <v>11</v>
      </c>
      <c r="P4248">
        <v>6102</v>
      </c>
      <c r="Q4248">
        <v>20</v>
      </c>
      <c r="R4248">
        <v>3.65</v>
      </c>
      <c r="S4248">
        <v>73</v>
      </c>
      <c r="T4248">
        <v>61.6</v>
      </c>
      <c r="U4248">
        <v>15.62</v>
      </c>
      <c r="V4248" t="str">
        <f>VLOOKUP(L4248,'[2]tabela de preços'!$A:$D,4,0)</f>
        <v>3M</v>
      </c>
      <c r="W4248" t="str">
        <f>VLOOKUP(L4248,'[2]tabela de preços'!$A:$F,6,0)</f>
        <v>FITA AUTOMOTIVA</v>
      </c>
      <c r="X4248" t="str">
        <f>VLOOKUP(L4248,'[2]tabela de preços'!$A:$G,7,0)</f>
        <v>AUTOMOTIVO</v>
      </c>
    </row>
    <row r="4249" spans="1:24" x14ac:dyDescent="0.3">
      <c r="A4249" t="s">
        <v>3681</v>
      </c>
      <c r="B4249" t="s">
        <v>3682</v>
      </c>
      <c r="C4249" t="s">
        <v>3683</v>
      </c>
      <c r="D4249" s="1">
        <v>46077</v>
      </c>
      <c r="E4249" t="s">
        <v>3684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168</v>
      </c>
      <c r="J4249" t="s">
        <v>3685</v>
      </c>
      <c r="K4249" t="s">
        <v>3686</v>
      </c>
      <c r="L4249">
        <v>22188</v>
      </c>
      <c r="M4249" t="s">
        <v>78</v>
      </c>
      <c r="O4249" t="s">
        <v>11</v>
      </c>
      <c r="P4249">
        <v>6102</v>
      </c>
      <c r="Q4249">
        <v>10</v>
      </c>
      <c r="R4249">
        <v>14.35</v>
      </c>
      <c r="S4249">
        <v>143.5</v>
      </c>
      <c r="T4249">
        <v>108.9</v>
      </c>
      <c r="U4249">
        <v>24.11</v>
      </c>
      <c r="V4249" t="str">
        <f>VLOOKUP(L4249,'[2]tabela de preços'!$A:$D,4,0)</f>
        <v>3M</v>
      </c>
      <c r="W4249" t="str">
        <f>VLOOKUP(L4249,'[2]tabela de preços'!$A:$F,6,0)</f>
        <v>FITA AUTOMOTIVA</v>
      </c>
      <c r="X4249" t="str">
        <f>VLOOKUP(L4249,'[2]tabela de preços'!$A:$G,7,0)</f>
        <v>AUTOMOTIVO</v>
      </c>
    </row>
    <row r="4250" spans="1:24" x14ac:dyDescent="0.3">
      <c r="A4250" t="s">
        <v>3681</v>
      </c>
      <c r="B4250" t="s">
        <v>3682</v>
      </c>
      <c r="C4250" t="s">
        <v>3683</v>
      </c>
      <c r="D4250" s="1">
        <v>46077</v>
      </c>
      <c r="E4250" t="s">
        <v>3684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168</v>
      </c>
      <c r="J4250" t="s">
        <v>3685</v>
      </c>
      <c r="K4250" t="s">
        <v>3686</v>
      </c>
      <c r="L4250">
        <v>23653</v>
      </c>
      <c r="M4250" t="s">
        <v>644</v>
      </c>
      <c r="O4250" t="s">
        <v>11</v>
      </c>
      <c r="P4250">
        <v>6102</v>
      </c>
      <c r="Q4250">
        <v>2</v>
      </c>
      <c r="R4250">
        <v>67.150000000000006</v>
      </c>
      <c r="S4250">
        <v>134.30000000000001</v>
      </c>
      <c r="T4250">
        <v>101.94</v>
      </c>
      <c r="U4250">
        <v>24.1</v>
      </c>
      <c r="V4250" t="str">
        <f>VLOOKUP(L4250,'[2]tabela de preços'!$A:$D,4,0)</f>
        <v>SIKKENS</v>
      </c>
      <c r="W4250" t="str">
        <f>VLOOKUP(L4250,'[2]tabela de preços'!$A:$F,6,0)</f>
        <v>CATALISADORES INDIVIDUAS</v>
      </c>
      <c r="X4250" t="str">
        <f>VLOOKUP(L4250,'[2]tabela de preços'!$A:$G,7,0)</f>
        <v>AUTOMOTIVO</v>
      </c>
    </row>
    <row r="4251" spans="1:24" x14ac:dyDescent="0.3">
      <c r="A4251" t="s">
        <v>3681</v>
      </c>
      <c r="B4251" t="s">
        <v>3682</v>
      </c>
      <c r="C4251" t="s">
        <v>3683</v>
      </c>
      <c r="D4251" s="1">
        <v>46077</v>
      </c>
      <c r="E4251" t="s">
        <v>3684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168</v>
      </c>
      <c r="J4251" t="s">
        <v>3685</v>
      </c>
      <c r="K4251" t="s">
        <v>3686</v>
      </c>
      <c r="L4251">
        <v>23623</v>
      </c>
      <c r="M4251" t="s">
        <v>2033</v>
      </c>
      <c r="O4251" t="s">
        <v>11</v>
      </c>
      <c r="P4251">
        <v>6102</v>
      </c>
      <c r="Q4251">
        <v>2</v>
      </c>
      <c r="R4251">
        <v>113.99</v>
      </c>
      <c r="S4251">
        <v>227.98</v>
      </c>
      <c r="T4251">
        <v>173.04</v>
      </c>
      <c r="U4251">
        <v>24.1</v>
      </c>
      <c r="V4251" t="str">
        <f>VLOOKUP(L4251,'[2]tabela de preços'!$A:$D,4,0)</f>
        <v>SIKKENS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3681</v>
      </c>
      <c r="B4252" t="s">
        <v>3682</v>
      </c>
      <c r="C4252" t="s">
        <v>3683</v>
      </c>
      <c r="D4252" s="1">
        <v>46077</v>
      </c>
      <c r="E4252" t="s">
        <v>3684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168</v>
      </c>
      <c r="J4252" t="s">
        <v>3685</v>
      </c>
      <c r="K4252" t="s">
        <v>3686</v>
      </c>
      <c r="L4252">
        <v>22180</v>
      </c>
      <c r="M4252" t="s">
        <v>404</v>
      </c>
      <c r="O4252" t="s">
        <v>11</v>
      </c>
      <c r="P4252">
        <v>6102</v>
      </c>
      <c r="Q4252">
        <v>1</v>
      </c>
      <c r="R4252">
        <v>19.97</v>
      </c>
      <c r="S4252">
        <v>19.97</v>
      </c>
      <c r="T4252">
        <v>14.64</v>
      </c>
      <c r="U4252">
        <v>26.69</v>
      </c>
      <c r="V4252" t="str">
        <f>VLOOKUP(L4252,'[2]tabela de preços'!$A:$D,4,0)</f>
        <v>MADRUGA</v>
      </c>
      <c r="W4252" t="str">
        <f>VLOOKUP(L4252,'[2]tabela de preços'!$A:$F,6,0)</f>
        <v>PAPEL DE MASCARAMENTO</v>
      </c>
      <c r="X4252" t="str">
        <f>VLOOKUP(L4252,'[2]tabela de preços'!$A:$G,7,0)</f>
        <v>AUTOMOTIVO</v>
      </c>
    </row>
    <row r="4253" spans="1:24" x14ac:dyDescent="0.3">
      <c r="A4253" t="s">
        <v>3681</v>
      </c>
      <c r="B4253" t="s">
        <v>3682</v>
      </c>
      <c r="C4253" t="s">
        <v>3683</v>
      </c>
      <c r="D4253" s="1">
        <v>46077</v>
      </c>
      <c r="E4253" t="s">
        <v>3684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168</v>
      </c>
      <c r="J4253" t="s">
        <v>3685</v>
      </c>
      <c r="K4253" t="s">
        <v>3686</v>
      </c>
      <c r="L4253">
        <v>23926</v>
      </c>
      <c r="M4253" t="s">
        <v>645</v>
      </c>
      <c r="O4253" t="s">
        <v>11</v>
      </c>
      <c r="P4253">
        <v>6403</v>
      </c>
      <c r="Q4253">
        <v>1</v>
      </c>
      <c r="R4253">
        <v>147.1</v>
      </c>
      <c r="S4253">
        <v>147.1</v>
      </c>
      <c r="T4253">
        <v>98.89</v>
      </c>
      <c r="U4253">
        <v>32.770000000000003</v>
      </c>
      <c r="V4253" t="str">
        <f>VLOOKUP(L4253,'[2]tabela de preços'!$A:$D,4,0)</f>
        <v>SIKKENS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3681</v>
      </c>
      <c r="B4254" t="s">
        <v>3682</v>
      </c>
      <c r="C4254" t="s">
        <v>3683</v>
      </c>
      <c r="D4254" s="1">
        <v>46077</v>
      </c>
      <c r="E4254" t="s">
        <v>3684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168</v>
      </c>
      <c r="J4254" t="s">
        <v>3685</v>
      </c>
      <c r="K4254" t="s">
        <v>3686</v>
      </c>
      <c r="L4254">
        <v>10298</v>
      </c>
      <c r="M4254" t="s">
        <v>85</v>
      </c>
      <c r="O4254" t="s">
        <v>11</v>
      </c>
      <c r="P4254">
        <v>6102</v>
      </c>
      <c r="Q4254">
        <v>2</v>
      </c>
      <c r="R4254">
        <v>56.89</v>
      </c>
      <c r="S4254">
        <v>113.78</v>
      </c>
      <c r="T4254">
        <v>94.76</v>
      </c>
      <c r="U4254">
        <v>16.72</v>
      </c>
      <c r="V4254" t="str">
        <f>VLOOKUP(L4254,'[2]tabela de preços'!$A:$D,4,0)</f>
        <v>ANJO</v>
      </c>
      <c r="W4254" t="str">
        <f>VLOOKUP(L4254,'[2]tabela de preços'!$A:$F,6,0)</f>
        <v>THINNER DE LIMPEZA</v>
      </c>
      <c r="X4254" t="str">
        <f>VLOOKUP(L4254,'[2]tabela de preços'!$A:$G,7,0)</f>
        <v>THINNER</v>
      </c>
    </row>
    <row r="4255" spans="1:24" x14ac:dyDescent="0.3">
      <c r="A4255" t="s">
        <v>2001</v>
      </c>
      <c r="C4255" t="s">
        <v>3498</v>
      </c>
      <c r="D4255" s="1">
        <v>46076</v>
      </c>
      <c r="E4255" t="s">
        <v>3499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1427</v>
      </c>
      <c r="K4255" t="s">
        <v>2004</v>
      </c>
      <c r="L4255">
        <v>84823</v>
      </c>
      <c r="M4255" t="s">
        <v>331</v>
      </c>
      <c r="O4255" t="s">
        <v>11</v>
      </c>
      <c r="P4255">
        <v>5102</v>
      </c>
      <c r="Q4255">
        <v>1</v>
      </c>
      <c r="R4255">
        <v>96.87</v>
      </c>
      <c r="S4255">
        <v>96.87</v>
      </c>
      <c r="T4255">
        <v>71.83</v>
      </c>
      <c r="U4255">
        <v>25.85</v>
      </c>
      <c r="V4255" t="str">
        <f>VLOOKUP(L4255,'[2]tabela de preços'!$A:$D,4,0)</f>
        <v>BRASILUX</v>
      </c>
      <c r="W4255" t="str">
        <f>VLOOKUP(L4255,'[2]tabela de preços'!$A:$F,6,0)</f>
        <v>DILUENTE</v>
      </c>
      <c r="X4255" t="str">
        <f>VLOOKUP(L4255,'[2]tabela de preços'!$A:$G,7,0)</f>
        <v>AUTOMOTIVO</v>
      </c>
    </row>
    <row r="4256" spans="1:24" x14ac:dyDescent="0.3">
      <c r="A4256" t="s">
        <v>2001</v>
      </c>
      <c r="C4256" t="s">
        <v>3498</v>
      </c>
      <c r="D4256" s="1">
        <v>46076</v>
      </c>
      <c r="E4256" t="s">
        <v>3499</v>
      </c>
      <c r="F4256">
        <v>9</v>
      </c>
      <c r="G4256">
        <v>174</v>
      </c>
      <c r="H4256" t="str">
        <f>VLOOKUP(G4256,[1]OPERADORES!$A:$B,2,0)</f>
        <v>MIRIÃ LOBATO RODRIGUES</v>
      </c>
      <c r="I4256" t="s">
        <v>21</v>
      </c>
      <c r="J4256" t="s">
        <v>1427</v>
      </c>
      <c r="K4256" t="s">
        <v>2004</v>
      </c>
      <c r="L4256">
        <v>84785</v>
      </c>
      <c r="M4256" t="s">
        <v>944</v>
      </c>
      <c r="O4256" t="s">
        <v>11</v>
      </c>
      <c r="P4256">
        <v>5403</v>
      </c>
      <c r="Q4256">
        <v>2</v>
      </c>
      <c r="R4256">
        <v>172.23</v>
      </c>
      <c r="S4256">
        <v>344.46</v>
      </c>
      <c r="T4256">
        <v>261.44</v>
      </c>
      <c r="U4256">
        <v>24.1</v>
      </c>
      <c r="V4256" t="str">
        <f>VLOOKUP(L4256,'[2]tabela de preços'!$A:$D,4,0)</f>
        <v>BRASILUX</v>
      </c>
      <c r="W4256" t="str">
        <f>VLOOKUP(L4256,'[2]tabela de preços'!$A:$F,6,0)</f>
        <v>EPOXI</v>
      </c>
      <c r="X4256" t="str">
        <f>VLOOKUP(L4256,'[2]tabela de preços'!$A:$G,7,0)</f>
        <v>INDUSTRIAL</v>
      </c>
    </row>
    <row r="4257" spans="1:24" x14ac:dyDescent="0.3">
      <c r="A4257" t="s">
        <v>2001</v>
      </c>
      <c r="C4257" t="s">
        <v>3498</v>
      </c>
      <c r="D4257" s="1">
        <v>46076</v>
      </c>
      <c r="E4257" t="s">
        <v>3499</v>
      </c>
      <c r="F4257">
        <v>9</v>
      </c>
      <c r="G4257">
        <v>174</v>
      </c>
      <c r="H4257" t="str">
        <f>VLOOKUP(G4257,[1]OPERADORES!$A:$B,2,0)</f>
        <v>MIRIÃ LOBATO RODRIGUES</v>
      </c>
      <c r="I4257" t="s">
        <v>21</v>
      </c>
      <c r="J4257" t="s">
        <v>1427</v>
      </c>
      <c r="K4257" t="s">
        <v>2004</v>
      </c>
      <c r="L4257">
        <v>84899</v>
      </c>
      <c r="M4257" t="s">
        <v>854</v>
      </c>
      <c r="O4257" t="s">
        <v>11</v>
      </c>
      <c r="P4257">
        <v>5403</v>
      </c>
      <c r="Q4257">
        <v>6</v>
      </c>
      <c r="R4257">
        <v>173.37</v>
      </c>
      <c r="S4257" s="2">
        <v>1040.22</v>
      </c>
      <c r="T4257">
        <v>771.42</v>
      </c>
      <c r="U4257">
        <v>25.84</v>
      </c>
      <c r="V4257" t="str">
        <f>VLOOKUP(L4257,'[2]tabela de preços'!$A:$D,4,0)</f>
        <v>BRASILUX</v>
      </c>
      <c r="W4257" t="str">
        <f>VLOOKUP(L4257,'[2]tabela de preços'!$A:$F,6,0)</f>
        <v>EPOXI</v>
      </c>
      <c r="X4257" t="str">
        <f>VLOOKUP(L4257,'[2]tabela de preços'!$A:$G,7,0)</f>
        <v>INDUSTRIAL</v>
      </c>
    </row>
    <row r="4258" spans="1:24" x14ac:dyDescent="0.3">
      <c r="A4258" t="s">
        <v>2025</v>
      </c>
      <c r="C4258" t="s">
        <v>3500</v>
      </c>
      <c r="D4258" s="1">
        <v>46076</v>
      </c>
      <c r="E4258" t="s">
        <v>3501</v>
      </c>
      <c r="F4258">
        <v>9</v>
      </c>
      <c r="G4258">
        <v>174</v>
      </c>
      <c r="H4258" t="str">
        <f>VLOOKUP(G4258,[1]OPERADORES!$A:$B,2,0)</f>
        <v>MIRIÃ LOBATO RODRIGUES</v>
      </c>
      <c r="I4258" t="s">
        <v>21</v>
      </c>
      <c r="J4258" t="s">
        <v>762</v>
      </c>
      <c r="K4258" t="s">
        <v>2028</v>
      </c>
      <c r="L4258">
        <v>21860</v>
      </c>
      <c r="M4258" t="s">
        <v>2038</v>
      </c>
      <c r="O4258" t="s">
        <v>11</v>
      </c>
      <c r="P4258">
        <v>5403</v>
      </c>
      <c r="Q4258">
        <v>2</v>
      </c>
      <c r="R4258">
        <v>61.32</v>
      </c>
      <c r="S4258">
        <v>122.64</v>
      </c>
      <c r="T4258">
        <v>93.08</v>
      </c>
      <c r="U4258">
        <v>24.1</v>
      </c>
      <c r="V4258" t="str">
        <f>VLOOKUP(L4258,'[2]tabela de preços'!$A:$D,4,0)</f>
        <v>SIKKENS</v>
      </c>
      <c r="W4258" t="str">
        <f>VLOOKUP(L4258,'[2]tabela de preços'!$A:$F,6,0)</f>
        <v>VERNIZ AUTOMOTIVO</v>
      </c>
      <c r="X4258" t="str">
        <f>VLOOKUP(L4258,'[2]tabela de preços'!$A:$G,7,0)</f>
        <v>AUTOMOTIVO</v>
      </c>
    </row>
    <row r="4259" spans="1:24" x14ac:dyDescent="0.3">
      <c r="A4259" t="s">
        <v>2025</v>
      </c>
      <c r="C4259" t="s">
        <v>3500</v>
      </c>
      <c r="D4259" s="1">
        <v>46076</v>
      </c>
      <c r="E4259" t="s">
        <v>3501</v>
      </c>
      <c r="F4259">
        <v>9</v>
      </c>
      <c r="G4259">
        <v>174</v>
      </c>
      <c r="H4259" t="str">
        <f>VLOOKUP(G4259,[1]OPERADORES!$A:$B,2,0)</f>
        <v>MIRIÃ LOBATO RODRIGUES</v>
      </c>
      <c r="I4259" t="s">
        <v>21</v>
      </c>
      <c r="J4259" t="s">
        <v>762</v>
      </c>
      <c r="K4259" t="s">
        <v>2028</v>
      </c>
      <c r="L4259">
        <v>10226</v>
      </c>
      <c r="M4259" t="s">
        <v>145</v>
      </c>
      <c r="O4259" t="s">
        <v>11</v>
      </c>
      <c r="P4259">
        <v>5102</v>
      </c>
      <c r="Q4259">
        <v>10</v>
      </c>
      <c r="R4259">
        <v>2.79</v>
      </c>
      <c r="S4259">
        <v>27.9</v>
      </c>
      <c r="T4259">
        <v>23.2</v>
      </c>
      <c r="U4259">
        <v>16.850000000000001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2025</v>
      </c>
      <c r="C4260" t="s">
        <v>3500</v>
      </c>
      <c r="D4260" s="1">
        <v>46076</v>
      </c>
      <c r="E4260" t="s">
        <v>3501</v>
      </c>
      <c r="F4260">
        <v>9</v>
      </c>
      <c r="G4260">
        <v>174</v>
      </c>
      <c r="H4260" t="str">
        <f>VLOOKUP(G4260,[1]OPERADORES!$A:$B,2,0)</f>
        <v>MIRIÃ LOBATO RODRIGUES</v>
      </c>
      <c r="I4260" t="s">
        <v>21</v>
      </c>
      <c r="J4260" t="s">
        <v>762</v>
      </c>
      <c r="K4260" t="s">
        <v>2028</v>
      </c>
      <c r="L4260">
        <v>23433</v>
      </c>
      <c r="M4260" t="s">
        <v>2029</v>
      </c>
      <c r="O4260" t="s">
        <v>11</v>
      </c>
      <c r="P4260">
        <v>5102</v>
      </c>
      <c r="Q4260">
        <v>1</v>
      </c>
      <c r="R4260">
        <v>153.11000000000001</v>
      </c>
      <c r="S4260">
        <v>153.11000000000001</v>
      </c>
      <c r="T4260">
        <v>116.21</v>
      </c>
      <c r="U4260">
        <v>24.1</v>
      </c>
      <c r="V4260" t="str">
        <f>VLOOKUP(L4260,'[2]tabela de preços'!$A:$D,4,0)</f>
        <v>3M</v>
      </c>
      <c r="W4260" t="str">
        <f>VLOOKUP(L4260,'[2]tabela de preços'!$A:$F,6,0)</f>
        <v xml:space="preserve">MASCARAMENTO </v>
      </c>
      <c r="X4260" t="str">
        <f>VLOOKUP(L4260,'[2]tabela de preços'!$A:$G,7,0)</f>
        <v>AUTOMOTIVO</v>
      </c>
    </row>
    <row r="4261" spans="1:24" x14ac:dyDescent="0.3">
      <c r="A4261" t="s">
        <v>2025</v>
      </c>
      <c r="C4261" t="s">
        <v>3500</v>
      </c>
      <c r="D4261" s="1">
        <v>46076</v>
      </c>
      <c r="E4261" t="s">
        <v>3501</v>
      </c>
      <c r="F4261">
        <v>9</v>
      </c>
      <c r="G4261">
        <v>174</v>
      </c>
      <c r="H4261" t="str">
        <f>VLOOKUP(G4261,[1]OPERADORES!$A:$B,2,0)</f>
        <v>MIRIÃ LOBATO RODRIGUES</v>
      </c>
      <c r="I4261" t="s">
        <v>21</v>
      </c>
      <c r="J4261" t="s">
        <v>762</v>
      </c>
      <c r="K4261" t="s">
        <v>2028</v>
      </c>
      <c r="L4261">
        <v>23653</v>
      </c>
      <c r="M4261" t="s">
        <v>644</v>
      </c>
      <c r="O4261" t="s">
        <v>11</v>
      </c>
      <c r="P4261">
        <v>5102</v>
      </c>
      <c r="Q4261">
        <v>1</v>
      </c>
      <c r="R4261">
        <v>67.150000000000006</v>
      </c>
      <c r="S4261">
        <v>67.150000000000006</v>
      </c>
      <c r="T4261">
        <v>50.97</v>
      </c>
      <c r="U4261">
        <v>24.1</v>
      </c>
      <c r="V4261" t="str">
        <f>VLOOKUP(L4261,'[2]tabela de preços'!$A:$D,4,0)</f>
        <v>SIKKENS</v>
      </c>
      <c r="W4261" t="str">
        <f>VLOOKUP(L4261,'[2]tabela de preços'!$A:$F,6,0)</f>
        <v>CATALISADORES INDIVIDUAS</v>
      </c>
      <c r="X4261" t="str">
        <f>VLOOKUP(L4261,'[2]tabela de preços'!$A:$G,7,0)</f>
        <v>AUTOMOTIVO</v>
      </c>
    </row>
    <row r="4262" spans="1:24" x14ac:dyDescent="0.3">
      <c r="A4262" t="s">
        <v>2025</v>
      </c>
      <c r="C4262" t="s">
        <v>3500</v>
      </c>
      <c r="D4262" s="1">
        <v>46076</v>
      </c>
      <c r="E4262" t="s">
        <v>3501</v>
      </c>
      <c r="F4262">
        <v>9</v>
      </c>
      <c r="G4262">
        <v>174</v>
      </c>
      <c r="H4262" t="str">
        <f>VLOOKUP(G4262,[1]OPERADORES!$A:$B,2,0)</f>
        <v>MIRIÃ LOBATO RODRIGUES</v>
      </c>
      <c r="I4262" t="s">
        <v>21</v>
      </c>
      <c r="J4262" t="s">
        <v>762</v>
      </c>
      <c r="K4262" t="s">
        <v>2028</v>
      </c>
      <c r="L4262">
        <v>21862</v>
      </c>
      <c r="M4262" t="s">
        <v>2040</v>
      </c>
      <c r="O4262" t="s">
        <v>11</v>
      </c>
      <c r="P4262">
        <v>5102</v>
      </c>
      <c r="Q4262">
        <v>1</v>
      </c>
      <c r="R4262">
        <v>28.62</v>
      </c>
      <c r="S4262">
        <v>28.62</v>
      </c>
      <c r="T4262">
        <v>21.72</v>
      </c>
      <c r="U4262">
        <v>24.11</v>
      </c>
      <c r="V4262" t="str">
        <f>VLOOKUP(L4262,'[2]tabela de preços'!$A:$D,4,0)</f>
        <v>SIKKENS</v>
      </c>
      <c r="W4262" t="str">
        <f>VLOOKUP(L4262,'[2]tabela de preços'!$A:$F,6,0)</f>
        <v>CATALISADORES INDIVIDUAS</v>
      </c>
      <c r="X4262" t="str">
        <f>VLOOKUP(L4262,'[2]tabela de preços'!$A:$G,7,0)</f>
        <v>AUTOMOTIVO</v>
      </c>
    </row>
    <row r="4263" spans="1:24" x14ac:dyDescent="0.3">
      <c r="A4263" t="s">
        <v>2025</v>
      </c>
      <c r="C4263" t="s">
        <v>3500</v>
      </c>
      <c r="D4263" s="1">
        <v>46076</v>
      </c>
      <c r="E4263" t="s">
        <v>3501</v>
      </c>
      <c r="F4263">
        <v>9</v>
      </c>
      <c r="G4263">
        <v>174</v>
      </c>
      <c r="H4263" t="str">
        <f>VLOOKUP(G4263,[1]OPERADORES!$A:$B,2,0)</f>
        <v>MIRIÃ LOBATO RODRIGUES</v>
      </c>
      <c r="I4263" t="s">
        <v>21</v>
      </c>
      <c r="J4263" t="s">
        <v>762</v>
      </c>
      <c r="K4263" t="s">
        <v>2028</v>
      </c>
      <c r="L4263">
        <v>23623</v>
      </c>
      <c r="M4263" t="s">
        <v>2033</v>
      </c>
      <c r="O4263" t="s">
        <v>11</v>
      </c>
      <c r="P4263">
        <v>5102</v>
      </c>
      <c r="Q4263">
        <v>1</v>
      </c>
      <c r="R4263">
        <v>113.99</v>
      </c>
      <c r="S4263">
        <v>113.99</v>
      </c>
      <c r="T4263">
        <v>86.52</v>
      </c>
      <c r="U4263">
        <v>24.1</v>
      </c>
      <c r="V4263" t="str">
        <f>VLOOKUP(L4263,'[2]tabela de preços'!$A:$D,4,0)</f>
        <v>SIKKENS</v>
      </c>
      <c r="W4263" t="str">
        <f>VLOOKUP(L4263,'[2]tabela de preços'!$A:$F,6,0)</f>
        <v>MASSA POLIÉSTER</v>
      </c>
      <c r="X4263" t="str">
        <f>VLOOKUP(L4263,'[2]tabela de preços'!$A:$G,7,0)</f>
        <v>AUTOMOTIVO</v>
      </c>
    </row>
    <row r="4264" spans="1:24" x14ac:dyDescent="0.3">
      <c r="A4264" t="s">
        <v>2025</v>
      </c>
      <c r="C4264" t="s">
        <v>3500</v>
      </c>
      <c r="D4264" s="1">
        <v>46076</v>
      </c>
      <c r="E4264" t="s">
        <v>3501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762</v>
      </c>
      <c r="K4264" t="s">
        <v>2028</v>
      </c>
      <c r="L4264">
        <v>20556</v>
      </c>
      <c r="M4264" t="s">
        <v>3247</v>
      </c>
      <c r="O4264" t="s">
        <v>11</v>
      </c>
      <c r="P4264">
        <v>5102</v>
      </c>
      <c r="Q4264">
        <v>2</v>
      </c>
      <c r="R4264">
        <v>6.06</v>
      </c>
      <c r="S4264">
        <v>12.12</v>
      </c>
      <c r="T4264">
        <v>7.82</v>
      </c>
      <c r="U4264">
        <v>35.479999999999997</v>
      </c>
      <c r="V4264" t="str">
        <f>VLOOKUP(L4264,'[2]tabela de preços'!$A:$D,4,0)</f>
        <v>RENOVA</v>
      </c>
      <c r="W4264" t="str">
        <f>VLOOKUP(L4264,'[2]tabela de preços'!$A:$F,6,0)</f>
        <v>COADORES</v>
      </c>
      <c r="X4264" t="str">
        <f>VLOOKUP(L4264,'[2]tabela de preços'!$A:$G,7,0)</f>
        <v>AUTOMOTIVO</v>
      </c>
    </row>
    <row r="4265" spans="1:24" x14ac:dyDescent="0.3">
      <c r="A4265" t="s">
        <v>2025</v>
      </c>
      <c r="C4265" t="s">
        <v>3500</v>
      </c>
      <c r="D4265" s="1">
        <v>46076</v>
      </c>
      <c r="E4265" t="s">
        <v>3501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762</v>
      </c>
      <c r="K4265" t="s">
        <v>2028</v>
      </c>
      <c r="L4265">
        <v>23926</v>
      </c>
      <c r="M4265" t="s">
        <v>645</v>
      </c>
      <c r="O4265" t="s">
        <v>11</v>
      </c>
      <c r="P4265">
        <v>5403</v>
      </c>
      <c r="Q4265">
        <v>1</v>
      </c>
      <c r="R4265">
        <v>147.1</v>
      </c>
      <c r="S4265">
        <v>147.1</v>
      </c>
      <c r="T4265">
        <v>98.89</v>
      </c>
      <c r="U4265">
        <v>32.770000000000003</v>
      </c>
      <c r="V4265" t="str">
        <f>VLOOKUP(L4265,'[2]tabela de preços'!$A:$D,4,0)</f>
        <v>SIKKENS</v>
      </c>
      <c r="W4265" t="str">
        <f>VLOOKUP(L4265,'[2]tabela de preços'!$A:$F,6,0)</f>
        <v>PRIMER AUTOMOTIVO</v>
      </c>
      <c r="X4265" t="str">
        <f>VLOOKUP(L4265,'[2]tabela de preços'!$A:$G,7,0)</f>
        <v>AUTOMOTIVO</v>
      </c>
    </row>
    <row r="4266" spans="1:24" x14ac:dyDescent="0.3">
      <c r="A4266" t="s">
        <v>2025</v>
      </c>
      <c r="C4266" t="s">
        <v>3500</v>
      </c>
      <c r="D4266" s="1">
        <v>46076</v>
      </c>
      <c r="E4266" t="s">
        <v>3501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762</v>
      </c>
      <c r="K4266" t="s">
        <v>2028</v>
      </c>
      <c r="L4266">
        <v>9995</v>
      </c>
      <c r="M4266" t="s">
        <v>704</v>
      </c>
      <c r="O4266" t="s">
        <v>11</v>
      </c>
      <c r="P4266">
        <v>5102</v>
      </c>
      <c r="Q4266">
        <v>1</v>
      </c>
      <c r="R4266">
        <v>186.08</v>
      </c>
      <c r="S4266">
        <v>186.08</v>
      </c>
      <c r="T4266">
        <v>141.24</v>
      </c>
      <c r="U4266">
        <v>24.1</v>
      </c>
      <c r="V4266" t="str">
        <f>VLOOKUP(L4266,'[2]tabela de preços'!$A:$D,4,0)</f>
        <v>SIKKENS</v>
      </c>
      <c r="W4266" t="str">
        <f>VLOOKUP(L4266,'[2]tabela de preços'!$A:$F,6,0)</f>
        <v>DILUENTE</v>
      </c>
      <c r="X4266" t="str">
        <f>VLOOKUP(L4266,'[2]tabela de preços'!$A:$G,7,0)</f>
        <v>AUTOMOTIVO</v>
      </c>
    </row>
    <row r="4267" spans="1:24" x14ac:dyDescent="0.3">
      <c r="A4267" t="s">
        <v>2025</v>
      </c>
      <c r="C4267" t="s">
        <v>3500</v>
      </c>
      <c r="D4267" s="1">
        <v>46076</v>
      </c>
      <c r="E4267" t="s">
        <v>3501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762</v>
      </c>
      <c r="K4267" t="s">
        <v>2028</v>
      </c>
      <c r="L4267">
        <v>10298</v>
      </c>
      <c r="M4267" t="s">
        <v>85</v>
      </c>
      <c r="O4267" t="s">
        <v>11</v>
      </c>
      <c r="P4267">
        <v>5102</v>
      </c>
      <c r="Q4267">
        <v>1</v>
      </c>
      <c r="R4267">
        <v>56.89</v>
      </c>
      <c r="S4267">
        <v>56.89</v>
      </c>
      <c r="T4267">
        <v>47.38</v>
      </c>
      <c r="U4267">
        <v>16.72</v>
      </c>
      <c r="V4267" t="str">
        <f>VLOOKUP(L4267,'[2]tabela de preços'!$A:$D,4,0)</f>
        <v>ANJO</v>
      </c>
      <c r="W4267" t="str">
        <f>VLOOKUP(L4267,'[2]tabela de preços'!$A:$F,6,0)</f>
        <v>THINNER DE LIMPEZA</v>
      </c>
      <c r="X4267" t="str">
        <f>VLOOKUP(L4267,'[2]tabela de preços'!$A:$G,7,0)</f>
        <v>THINNER</v>
      </c>
    </row>
    <row r="4268" spans="1:24" x14ac:dyDescent="0.3">
      <c r="A4268" t="s">
        <v>2041</v>
      </c>
      <c r="C4268" t="s">
        <v>3502</v>
      </c>
      <c r="D4268" s="1">
        <v>46076</v>
      </c>
      <c r="E4268" t="s">
        <v>3503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1653</v>
      </c>
      <c r="K4268" t="s">
        <v>2044</v>
      </c>
      <c r="L4268">
        <v>84352</v>
      </c>
      <c r="M4268" t="s">
        <v>3504</v>
      </c>
      <c r="O4268" t="s">
        <v>11</v>
      </c>
      <c r="P4268">
        <v>5403</v>
      </c>
      <c r="Q4268">
        <v>3</v>
      </c>
      <c r="R4268">
        <v>19.850000000000001</v>
      </c>
      <c r="S4268">
        <v>59.55</v>
      </c>
      <c r="T4268">
        <v>45.18</v>
      </c>
      <c r="U4268">
        <v>24.13</v>
      </c>
      <c r="V4268" t="str">
        <f>VLOOKUP(L4268,'[2]tabela de preços'!$A:$D,4,0)</f>
        <v>BRASILUX</v>
      </c>
      <c r="W4268" t="str">
        <f>VLOOKUP(L4268,'[2]tabela de preços'!$A:$F,6,0)</f>
        <v>ESMALTES</v>
      </c>
      <c r="X4268" t="str">
        <f>VLOOKUP(L4268,'[2]tabela de preços'!$A:$G,7,0)</f>
        <v>INDUSTRIAL</v>
      </c>
    </row>
    <row r="4269" spans="1:24" x14ac:dyDescent="0.3">
      <c r="A4269" t="s">
        <v>2041</v>
      </c>
      <c r="C4269" t="s">
        <v>3502</v>
      </c>
      <c r="D4269" s="1">
        <v>46076</v>
      </c>
      <c r="E4269" t="s">
        <v>3503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1653</v>
      </c>
      <c r="K4269" t="s">
        <v>2044</v>
      </c>
      <c r="L4269">
        <v>84354</v>
      </c>
      <c r="M4269" t="s">
        <v>2782</v>
      </c>
      <c r="O4269" t="s">
        <v>11</v>
      </c>
      <c r="P4269">
        <v>5403</v>
      </c>
      <c r="Q4269">
        <v>1</v>
      </c>
      <c r="R4269">
        <v>17.100000000000001</v>
      </c>
      <c r="S4269">
        <v>17.100000000000001</v>
      </c>
      <c r="T4269">
        <v>12.98</v>
      </c>
      <c r="U4269">
        <v>24.09</v>
      </c>
      <c r="V4269" t="str">
        <f>VLOOKUP(L4269,'[2]tabela de preços'!$A:$D,4,0)</f>
        <v>BRASILUX</v>
      </c>
      <c r="W4269" t="str">
        <f>VLOOKUP(L4269,'[2]tabela de preços'!$A:$F,6,0)</f>
        <v>ESMALTES</v>
      </c>
      <c r="X4269" t="str">
        <f>VLOOKUP(L4269,'[2]tabela de preços'!$A:$G,7,0)</f>
        <v>INDUSTRIAL</v>
      </c>
    </row>
    <row r="4270" spans="1:24" x14ac:dyDescent="0.3">
      <c r="A4270" t="s">
        <v>2041</v>
      </c>
      <c r="C4270" t="s">
        <v>3502</v>
      </c>
      <c r="D4270" s="1">
        <v>46076</v>
      </c>
      <c r="E4270" t="s">
        <v>3503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1653</v>
      </c>
      <c r="K4270" t="s">
        <v>2044</v>
      </c>
      <c r="L4270">
        <v>84361</v>
      </c>
      <c r="M4270" t="s">
        <v>561</v>
      </c>
      <c r="O4270" t="s">
        <v>11</v>
      </c>
      <c r="P4270">
        <v>5403</v>
      </c>
      <c r="Q4270">
        <v>3</v>
      </c>
      <c r="R4270">
        <v>17.05</v>
      </c>
      <c r="S4270">
        <v>51.15</v>
      </c>
      <c r="T4270">
        <v>38.82</v>
      </c>
      <c r="U4270">
        <v>24.11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2041</v>
      </c>
      <c r="C4271" t="s">
        <v>3502</v>
      </c>
      <c r="D4271" s="1">
        <v>46076</v>
      </c>
      <c r="E4271" t="s">
        <v>3503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1653</v>
      </c>
      <c r="K4271" t="s">
        <v>2044</v>
      </c>
      <c r="L4271">
        <v>84364</v>
      </c>
      <c r="M4271" t="s">
        <v>1725</v>
      </c>
      <c r="O4271" t="s">
        <v>11</v>
      </c>
      <c r="P4271">
        <v>5403</v>
      </c>
      <c r="Q4271">
        <v>3</v>
      </c>
      <c r="R4271">
        <v>19.77</v>
      </c>
      <c r="S4271">
        <v>59.31</v>
      </c>
      <c r="T4271">
        <v>45.03</v>
      </c>
      <c r="U4271">
        <v>24.08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2041</v>
      </c>
      <c r="C4272" t="s">
        <v>3502</v>
      </c>
      <c r="D4272" s="1">
        <v>46076</v>
      </c>
      <c r="E4272" t="s">
        <v>3503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1653</v>
      </c>
      <c r="K4272" t="s">
        <v>2044</v>
      </c>
      <c r="L4272">
        <v>84120</v>
      </c>
      <c r="M4272" t="s">
        <v>562</v>
      </c>
      <c r="O4272" t="s">
        <v>11</v>
      </c>
      <c r="P4272">
        <v>5403</v>
      </c>
      <c r="Q4272">
        <v>3</v>
      </c>
      <c r="R4272">
        <v>20.100000000000001</v>
      </c>
      <c r="S4272">
        <v>60.3</v>
      </c>
      <c r="T4272">
        <v>45.78</v>
      </c>
      <c r="U4272">
        <v>24.08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2041</v>
      </c>
      <c r="C4273" t="s">
        <v>3502</v>
      </c>
      <c r="D4273" s="1">
        <v>46076</v>
      </c>
      <c r="E4273" t="s">
        <v>3503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1653</v>
      </c>
      <c r="K4273" t="s">
        <v>2044</v>
      </c>
      <c r="L4273">
        <v>84122</v>
      </c>
      <c r="M4273" t="s">
        <v>287</v>
      </c>
      <c r="O4273" t="s">
        <v>11</v>
      </c>
      <c r="P4273">
        <v>5403</v>
      </c>
      <c r="Q4273">
        <v>5</v>
      </c>
      <c r="R4273">
        <v>18.38</v>
      </c>
      <c r="S4273">
        <v>91.9</v>
      </c>
      <c r="T4273">
        <v>69.75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ESMALTES</v>
      </c>
      <c r="X4273" t="str">
        <f>VLOOKUP(L4273,'[2]tabela de preços'!$A:$G,7,0)</f>
        <v>INDUSTRIAL</v>
      </c>
    </row>
    <row r="4274" spans="1:24" x14ac:dyDescent="0.3">
      <c r="A4274" t="s">
        <v>2041</v>
      </c>
      <c r="C4274" t="s">
        <v>3502</v>
      </c>
      <c r="D4274" s="1">
        <v>46076</v>
      </c>
      <c r="E4274" t="s">
        <v>3503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1653</v>
      </c>
      <c r="K4274" t="s">
        <v>2044</v>
      </c>
      <c r="L4274">
        <v>84124</v>
      </c>
      <c r="M4274" t="s">
        <v>288</v>
      </c>
      <c r="O4274" t="s">
        <v>11</v>
      </c>
      <c r="P4274">
        <v>5403</v>
      </c>
      <c r="Q4274">
        <v>2</v>
      </c>
      <c r="R4274">
        <v>17.61</v>
      </c>
      <c r="S4274">
        <v>35.22</v>
      </c>
      <c r="T4274">
        <v>26.74</v>
      </c>
      <c r="U4274">
        <v>24.08</v>
      </c>
      <c r="V4274" t="str">
        <f>VLOOKUP(L4274,'[2]tabela de preços'!$A:$D,4,0)</f>
        <v>BRASILUX</v>
      </c>
      <c r="W4274" t="str">
        <f>VLOOKUP(L4274,'[2]tabela de preços'!$A:$F,6,0)</f>
        <v>ESMALTES</v>
      </c>
      <c r="X4274" t="str">
        <f>VLOOKUP(L4274,'[2]tabela de preços'!$A:$G,7,0)</f>
        <v>INDUSTRIAL</v>
      </c>
    </row>
    <row r="4275" spans="1:24" x14ac:dyDescent="0.3">
      <c r="A4275" t="s">
        <v>2041</v>
      </c>
      <c r="C4275" t="s">
        <v>3502</v>
      </c>
      <c r="D4275" s="1">
        <v>46076</v>
      </c>
      <c r="E4275" t="s">
        <v>3503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1653</v>
      </c>
      <c r="K4275" t="s">
        <v>2044</v>
      </c>
      <c r="L4275">
        <v>84125</v>
      </c>
      <c r="M4275" t="s">
        <v>3505</v>
      </c>
      <c r="O4275" t="s">
        <v>11</v>
      </c>
      <c r="P4275">
        <v>5403</v>
      </c>
      <c r="Q4275">
        <v>3</v>
      </c>
      <c r="R4275">
        <v>19.079999999999998</v>
      </c>
      <c r="S4275">
        <v>57.24</v>
      </c>
      <c r="T4275">
        <v>43.44</v>
      </c>
      <c r="U4275">
        <v>24.11</v>
      </c>
      <c r="V4275" t="str">
        <f>VLOOKUP(L4275,'[2]tabela de preços'!$A:$D,4,0)</f>
        <v>BRASILUX</v>
      </c>
      <c r="W4275" t="str">
        <f>VLOOKUP(L4275,'[2]tabela de preços'!$A:$F,6,0)</f>
        <v>ESMALTES</v>
      </c>
      <c r="X4275" t="str">
        <f>VLOOKUP(L4275,'[2]tabela de preços'!$A:$G,7,0)</f>
        <v>INDUSTRIAL</v>
      </c>
    </row>
    <row r="4276" spans="1:24" x14ac:dyDescent="0.3">
      <c r="A4276" t="s">
        <v>2041</v>
      </c>
      <c r="C4276" t="s">
        <v>3502</v>
      </c>
      <c r="D4276" s="1">
        <v>46076</v>
      </c>
      <c r="E4276" t="s">
        <v>3503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1653</v>
      </c>
      <c r="K4276" t="s">
        <v>2044</v>
      </c>
      <c r="L4276">
        <v>84129</v>
      </c>
      <c r="M4276" t="s">
        <v>1712</v>
      </c>
      <c r="O4276" t="s">
        <v>11</v>
      </c>
      <c r="P4276">
        <v>5403</v>
      </c>
      <c r="Q4276">
        <v>3</v>
      </c>
      <c r="R4276">
        <v>22.32</v>
      </c>
      <c r="S4276">
        <v>66.959999999999994</v>
      </c>
      <c r="T4276">
        <v>43.2</v>
      </c>
      <c r="U4276">
        <v>35.479999999999997</v>
      </c>
      <c r="V4276" t="str">
        <f>VLOOKUP(L4276,'[2]tabela de preços'!$A:$D,4,0)</f>
        <v>BRASILUX</v>
      </c>
      <c r="W4276" t="str">
        <f>VLOOKUP(L4276,'[2]tabela de preços'!$A:$F,6,0)</f>
        <v>ESMALTES</v>
      </c>
      <c r="X4276" t="str">
        <f>VLOOKUP(L4276,'[2]tabela de preços'!$A:$G,7,0)</f>
        <v>INDUSTRIAL</v>
      </c>
    </row>
    <row r="4277" spans="1:24" x14ac:dyDescent="0.3">
      <c r="A4277" t="s">
        <v>2041</v>
      </c>
      <c r="C4277" t="s">
        <v>3687</v>
      </c>
      <c r="D4277" s="1">
        <v>46077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1653</v>
      </c>
      <c r="K4277" t="s">
        <v>2044</v>
      </c>
      <c r="L4277">
        <v>84122</v>
      </c>
      <c r="M4277" t="s">
        <v>287</v>
      </c>
      <c r="N4277" t="s">
        <v>3688</v>
      </c>
      <c r="O4277" t="s">
        <v>11</v>
      </c>
      <c r="P4277">
        <v>1411</v>
      </c>
      <c r="Q4277">
        <v>-2</v>
      </c>
      <c r="R4277">
        <v>18.38</v>
      </c>
      <c r="S4277">
        <v>-36.76</v>
      </c>
      <c r="T4277">
        <v>-27.9</v>
      </c>
      <c r="U4277">
        <v>24.1</v>
      </c>
      <c r="V4277" t="str">
        <f>VLOOKUP(L4277,'[2]tabela de preços'!$A:$D,4,0)</f>
        <v>BRASILUX</v>
      </c>
      <c r="W4277" t="str">
        <f>VLOOKUP(L4277,'[2]tabela de preços'!$A:$F,6,0)</f>
        <v>ESMALTES</v>
      </c>
      <c r="X4277" t="str">
        <f>VLOOKUP(L4277,'[2]tabela de preços'!$A:$G,7,0)</f>
        <v>INDUSTRIAL</v>
      </c>
    </row>
    <row r="4278" spans="1:24" x14ac:dyDescent="0.3">
      <c r="A4278" t="s">
        <v>2041</v>
      </c>
      <c r="C4278" t="s">
        <v>3689</v>
      </c>
      <c r="D4278" s="1">
        <v>46077</v>
      </c>
      <c r="E4278" t="s">
        <v>3690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1653</v>
      </c>
      <c r="K4278" t="s">
        <v>2044</v>
      </c>
      <c r="L4278">
        <v>84121</v>
      </c>
      <c r="M4278" t="s">
        <v>1708</v>
      </c>
      <c r="O4278" t="s">
        <v>11</v>
      </c>
      <c r="P4278">
        <v>5403</v>
      </c>
      <c r="Q4278">
        <v>2</v>
      </c>
      <c r="R4278">
        <v>18</v>
      </c>
      <c r="S4278">
        <v>36</v>
      </c>
      <c r="T4278">
        <v>25.8</v>
      </c>
      <c r="U4278">
        <v>28.33</v>
      </c>
      <c r="V4278" t="str">
        <f>VLOOKUP(L4278,'[2]tabela de preços'!$A:$D,4,0)</f>
        <v>BRASILUX</v>
      </c>
      <c r="W4278" t="str">
        <f>VLOOKUP(L4278,'[2]tabela de preços'!$A:$F,6,0)</f>
        <v>ESMALTES</v>
      </c>
      <c r="X4278" t="str">
        <f>VLOOKUP(L4278,'[2]tabela de preços'!$A:$G,7,0)</f>
        <v>INDUSTRIAL</v>
      </c>
    </row>
    <row r="4279" spans="1:24" x14ac:dyDescent="0.3">
      <c r="A4279" t="s">
        <v>3691</v>
      </c>
      <c r="C4279" t="s">
        <v>3692</v>
      </c>
      <c r="D4279" s="1">
        <v>46077</v>
      </c>
      <c r="E4279" t="s">
        <v>3693</v>
      </c>
      <c r="F4279">
        <v>9</v>
      </c>
      <c r="G4279">
        <v>236</v>
      </c>
      <c r="H4279" t="str">
        <f>VLOOKUP(G4279,[1]OPERADORES!$A:$B,2,0)</f>
        <v>DANIEL</v>
      </c>
      <c r="I4279" t="s">
        <v>3694</v>
      </c>
      <c r="J4279" t="s">
        <v>1328</v>
      </c>
      <c r="K4279" t="s">
        <v>3695</v>
      </c>
      <c r="L4279">
        <v>84386</v>
      </c>
      <c r="M4279" t="s">
        <v>552</v>
      </c>
      <c r="O4279" t="s">
        <v>11</v>
      </c>
      <c r="P4279">
        <v>6108</v>
      </c>
      <c r="Q4279">
        <v>1</v>
      </c>
      <c r="R4279">
        <v>171.09</v>
      </c>
      <c r="S4279">
        <v>171.09</v>
      </c>
      <c r="T4279">
        <v>137.61000000000001</v>
      </c>
      <c r="U4279">
        <v>19.57</v>
      </c>
      <c r="V4279" t="str">
        <f>VLOOKUP(L4279,'[2]tabela de preços'!$A:$D,4,0)</f>
        <v>BRASILUX</v>
      </c>
      <c r="W4279" t="str">
        <f>VLOOKUP(L4279,'[2]tabela de preços'!$A:$F,6,0)</f>
        <v>TINTA PARA PISO</v>
      </c>
      <c r="X4279" t="str">
        <f>VLOOKUP(L4279,'[2]tabela de preços'!$A:$G,7,0)</f>
        <v>IMOBILIÁRIO</v>
      </c>
    </row>
    <row r="4280" spans="1:24" x14ac:dyDescent="0.3">
      <c r="A4280" t="s">
        <v>3691</v>
      </c>
      <c r="C4280" t="s">
        <v>3692</v>
      </c>
      <c r="D4280" s="1">
        <v>46077</v>
      </c>
      <c r="E4280" t="s">
        <v>3693</v>
      </c>
      <c r="F4280">
        <v>9</v>
      </c>
      <c r="G4280">
        <v>236</v>
      </c>
      <c r="H4280" t="str">
        <f>VLOOKUP(G4280,[1]OPERADORES!$A:$B,2,0)</f>
        <v>DANIEL</v>
      </c>
      <c r="I4280" t="s">
        <v>3694</v>
      </c>
      <c r="J4280" t="s">
        <v>1328</v>
      </c>
      <c r="K4280" t="s">
        <v>3695</v>
      </c>
      <c r="L4280">
        <v>84437</v>
      </c>
      <c r="M4280" t="s">
        <v>1695</v>
      </c>
      <c r="O4280" t="s">
        <v>11</v>
      </c>
      <c r="P4280">
        <v>6108</v>
      </c>
      <c r="Q4280">
        <v>1</v>
      </c>
      <c r="R4280">
        <v>8.73</v>
      </c>
      <c r="S4280">
        <v>8.73</v>
      </c>
      <c r="T4280">
        <v>5.63</v>
      </c>
      <c r="U4280">
        <v>35.51</v>
      </c>
      <c r="V4280" t="str">
        <f>VLOOKUP(L4280,'[2]tabela de preços'!$A:$D,4,0)</f>
        <v>ATLAS</v>
      </c>
      <c r="W4280" t="str">
        <f>VLOOKUP(L4280,'[2]tabela de preços'!$A:$F,6,0)</f>
        <v>ROLOS / TRINCHAS / PINCÉIS / ESPÁTULAS</v>
      </c>
      <c r="X4280" t="str">
        <f>VLOOKUP(L4280,'[2]tabela de preços'!$A:$G,7,0)</f>
        <v>IMOBILIÁRIO</v>
      </c>
    </row>
    <row r="4281" spans="1:24" x14ac:dyDescent="0.3">
      <c r="A4281" t="s">
        <v>3696</v>
      </c>
      <c r="C4281" t="s">
        <v>3697</v>
      </c>
      <c r="D4281" s="1">
        <v>46078</v>
      </c>
      <c r="E4281" t="s">
        <v>3698</v>
      </c>
      <c r="F4281">
        <v>9</v>
      </c>
      <c r="G4281">
        <v>197</v>
      </c>
      <c r="H4281" t="str">
        <f>VLOOKUP(G4281,[1]OPERADORES!$A:$B,2,0)</f>
        <v xml:space="preserve">POLIANA LORRANE DE AMORIM </v>
      </c>
      <c r="I4281" t="s">
        <v>3699</v>
      </c>
      <c r="J4281" t="s">
        <v>3700</v>
      </c>
      <c r="K4281" t="s">
        <v>3701</v>
      </c>
      <c r="L4281">
        <v>86984</v>
      </c>
      <c r="M4281" t="s">
        <v>720</v>
      </c>
      <c r="O4281" t="s">
        <v>11</v>
      </c>
      <c r="P4281">
        <v>6102</v>
      </c>
      <c r="Q4281">
        <v>12</v>
      </c>
      <c r="R4281">
        <v>44.9</v>
      </c>
      <c r="S4281">
        <v>538.79999999999995</v>
      </c>
      <c r="T4281">
        <v>446.52</v>
      </c>
      <c r="U4281">
        <v>17.13</v>
      </c>
      <c r="V4281" t="str">
        <f>VLOOKUP(L4281,'[2]tabela de preços'!$A:$D,4,0)</f>
        <v>ARPREX</v>
      </c>
      <c r="W4281" t="str">
        <f>VLOOKUP(L4281,'[2]tabela de preços'!$A:$F,6,0)</f>
        <v>PISTOLAS</v>
      </c>
      <c r="X4281" t="str">
        <f>VLOOKUP(L4281,'[2]tabela de preços'!$A:$G,7,0)</f>
        <v>IMOBILIÁRIO</v>
      </c>
    </row>
    <row r="4282" spans="1:24" x14ac:dyDescent="0.3">
      <c r="A4282" t="s">
        <v>2095</v>
      </c>
      <c r="C4282" t="s">
        <v>3506</v>
      </c>
      <c r="D4282" s="1">
        <v>46076</v>
      </c>
      <c r="E4282" t="s">
        <v>3507</v>
      </c>
      <c r="F4282">
        <v>9</v>
      </c>
      <c r="G4282">
        <v>197</v>
      </c>
      <c r="H4282" t="str">
        <f>VLOOKUP(G4282,[1]OPERADORES!$A:$B,2,0)</f>
        <v xml:space="preserve">POLIANA LORRANE DE AMORIM </v>
      </c>
      <c r="I4282" t="s">
        <v>126</v>
      </c>
      <c r="J4282" t="s">
        <v>127</v>
      </c>
      <c r="K4282" t="s">
        <v>2098</v>
      </c>
      <c r="L4282">
        <v>24337</v>
      </c>
      <c r="M4282" t="s">
        <v>3508</v>
      </c>
      <c r="O4282" t="s">
        <v>11</v>
      </c>
      <c r="P4282">
        <v>6403</v>
      </c>
      <c r="Q4282">
        <v>2</v>
      </c>
      <c r="R4282">
        <v>163.46</v>
      </c>
      <c r="S4282">
        <v>326.92</v>
      </c>
      <c r="T4282">
        <v>248.14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 xml:space="preserve">BASES SISTEMA NO MACHINE </v>
      </c>
      <c r="X4282" t="str">
        <f>VLOOKUP(L4282,'[2]tabela de preços'!$A:$G,7,0)</f>
        <v>INDUSTRIAL</v>
      </c>
    </row>
    <row r="4283" spans="1:24" x14ac:dyDescent="0.3">
      <c r="A4283" t="s">
        <v>2095</v>
      </c>
      <c r="C4283" t="s">
        <v>3506</v>
      </c>
      <c r="D4283" s="1">
        <v>46076</v>
      </c>
      <c r="E4283" t="s">
        <v>3507</v>
      </c>
      <c r="F4283">
        <v>9</v>
      </c>
      <c r="G4283">
        <v>197</v>
      </c>
      <c r="H4283" t="str">
        <f>VLOOKUP(G4283,[1]OPERADORES!$A:$B,2,0)</f>
        <v xml:space="preserve">POLIANA LORRANE DE AMORIM </v>
      </c>
      <c r="I4283" t="s">
        <v>126</v>
      </c>
      <c r="J4283" t="s">
        <v>127</v>
      </c>
      <c r="K4283" t="s">
        <v>2098</v>
      </c>
      <c r="L4283">
        <v>24339</v>
      </c>
      <c r="M4283" t="s">
        <v>3509</v>
      </c>
      <c r="O4283" t="s">
        <v>11</v>
      </c>
      <c r="P4283">
        <v>6403</v>
      </c>
      <c r="Q4283">
        <v>2</v>
      </c>
      <c r="R4283">
        <v>184.57</v>
      </c>
      <c r="S4283">
        <v>369.14</v>
      </c>
      <c r="T4283">
        <v>280.18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 xml:space="preserve">BASES SISTEMA NO MACHINE </v>
      </c>
      <c r="X4283" t="str">
        <f>VLOOKUP(L4283,'[2]tabela de preços'!$A:$G,7,0)</f>
        <v>INDUSTRIAL</v>
      </c>
    </row>
    <row r="4284" spans="1:24" x14ac:dyDescent="0.3">
      <c r="A4284" t="s">
        <v>2095</v>
      </c>
      <c r="C4284" t="s">
        <v>3506</v>
      </c>
      <c r="D4284" s="1">
        <v>46076</v>
      </c>
      <c r="E4284" t="s">
        <v>3507</v>
      </c>
      <c r="F4284">
        <v>9</v>
      </c>
      <c r="G4284">
        <v>197</v>
      </c>
      <c r="H4284" t="str">
        <f>VLOOKUP(G4284,[1]OPERADORES!$A:$B,2,0)</f>
        <v xml:space="preserve">POLIANA LORRANE DE AMORIM </v>
      </c>
      <c r="I4284" t="s">
        <v>126</v>
      </c>
      <c r="J4284" t="s">
        <v>127</v>
      </c>
      <c r="K4284" t="s">
        <v>2098</v>
      </c>
      <c r="L4284">
        <v>24338</v>
      </c>
      <c r="M4284" t="s">
        <v>2099</v>
      </c>
      <c r="O4284" t="s">
        <v>11</v>
      </c>
      <c r="P4284">
        <v>6403</v>
      </c>
      <c r="Q4284">
        <v>2</v>
      </c>
      <c r="R4284">
        <v>301.95</v>
      </c>
      <c r="S4284">
        <v>603.9</v>
      </c>
      <c r="T4284">
        <v>458.36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 xml:space="preserve">BASES SISTEMA NO MACHINE </v>
      </c>
      <c r="X4284" t="str">
        <f>VLOOKUP(L4284,'[2]tabela de preços'!$A:$G,7,0)</f>
        <v>INDUSTRIAL</v>
      </c>
    </row>
    <row r="4285" spans="1:24" x14ac:dyDescent="0.3">
      <c r="A4285" t="s">
        <v>2095</v>
      </c>
      <c r="C4285" t="s">
        <v>3506</v>
      </c>
      <c r="D4285" s="1">
        <v>46076</v>
      </c>
      <c r="E4285" t="s">
        <v>3507</v>
      </c>
      <c r="F4285">
        <v>9</v>
      </c>
      <c r="G4285">
        <v>197</v>
      </c>
      <c r="H4285" t="str">
        <f>VLOOKUP(G4285,[1]OPERADORES!$A:$B,2,0)</f>
        <v xml:space="preserve">POLIANA LORRANE DE AMORIM </v>
      </c>
      <c r="I4285" t="s">
        <v>126</v>
      </c>
      <c r="J4285" t="s">
        <v>127</v>
      </c>
      <c r="K4285" t="s">
        <v>2098</v>
      </c>
      <c r="L4285">
        <v>24352</v>
      </c>
      <c r="M4285" t="s">
        <v>3510</v>
      </c>
      <c r="O4285" t="s">
        <v>11</v>
      </c>
      <c r="P4285">
        <v>6403</v>
      </c>
      <c r="Q4285">
        <v>2</v>
      </c>
      <c r="R4285">
        <v>392.54</v>
      </c>
      <c r="S4285">
        <v>785.08</v>
      </c>
      <c r="T4285">
        <v>595.88</v>
      </c>
      <c r="U4285">
        <v>24.1</v>
      </c>
      <c r="V4285" t="str">
        <f>VLOOKUP(L4285,'[2]tabela de preços'!$A:$D,4,0)</f>
        <v>BRASILUX</v>
      </c>
      <c r="W4285" t="str">
        <f>VLOOKUP(L4285,'[2]tabela de preços'!$A:$F,6,0)</f>
        <v xml:space="preserve">BASES SISTEMA NO MACHINE </v>
      </c>
      <c r="X4285" t="str">
        <f>VLOOKUP(L4285,'[2]tabela de preços'!$A:$G,7,0)</f>
        <v>INDUSTRIAL</v>
      </c>
    </row>
    <row r="4286" spans="1:24" x14ac:dyDescent="0.3">
      <c r="A4286" t="s">
        <v>2095</v>
      </c>
      <c r="C4286" t="s">
        <v>3506</v>
      </c>
      <c r="D4286" s="1">
        <v>46076</v>
      </c>
      <c r="E4286" t="s">
        <v>3507</v>
      </c>
      <c r="F4286">
        <v>9</v>
      </c>
      <c r="G4286">
        <v>197</v>
      </c>
      <c r="H4286" t="str">
        <f>VLOOKUP(G4286,[1]OPERADORES!$A:$B,2,0)</f>
        <v xml:space="preserve">POLIANA LORRANE DE AMORIM </v>
      </c>
      <c r="I4286" t="s">
        <v>126</v>
      </c>
      <c r="J4286" t="s">
        <v>127</v>
      </c>
      <c r="K4286" t="s">
        <v>2098</v>
      </c>
      <c r="L4286">
        <v>84494</v>
      </c>
      <c r="M4286" t="s">
        <v>1539</v>
      </c>
      <c r="O4286" t="s">
        <v>11</v>
      </c>
      <c r="P4286">
        <v>6403</v>
      </c>
      <c r="Q4286">
        <v>2</v>
      </c>
      <c r="R4286">
        <v>150.94</v>
      </c>
      <c r="S4286">
        <v>301.88</v>
      </c>
      <c r="T4286">
        <v>229.14</v>
      </c>
      <c r="U4286">
        <v>24.1</v>
      </c>
      <c r="V4286" t="str">
        <f>VLOOKUP(L4286,'[2]tabela de preços'!$A:$D,4,0)</f>
        <v>BRASILUX</v>
      </c>
      <c r="W4286" t="str">
        <f>VLOOKUP(L4286,'[2]tabela de preços'!$A:$F,6,0)</f>
        <v xml:space="preserve">BASES SISTEMA NO MACHINE </v>
      </c>
      <c r="X4286" t="str">
        <f>VLOOKUP(L4286,'[2]tabela de preços'!$A:$G,7,0)</f>
        <v>INDUSTRIAL</v>
      </c>
    </row>
    <row r="4287" spans="1:24" x14ac:dyDescent="0.3">
      <c r="A4287" t="s">
        <v>2095</v>
      </c>
      <c r="C4287" t="s">
        <v>3506</v>
      </c>
      <c r="D4287" s="1">
        <v>46076</v>
      </c>
      <c r="E4287" t="s">
        <v>3507</v>
      </c>
      <c r="F4287">
        <v>9</v>
      </c>
      <c r="G4287">
        <v>197</v>
      </c>
      <c r="H4287" t="str">
        <f>VLOOKUP(G4287,[1]OPERADORES!$A:$B,2,0)</f>
        <v xml:space="preserve">POLIANA LORRANE DE AMORIM </v>
      </c>
      <c r="I4287" t="s">
        <v>126</v>
      </c>
      <c r="J4287" t="s">
        <v>127</v>
      </c>
      <c r="K4287" t="s">
        <v>2098</v>
      </c>
      <c r="L4287">
        <v>85280</v>
      </c>
      <c r="M4287" t="s">
        <v>943</v>
      </c>
      <c r="O4287" t="s">
        <v>11</v>
      </c>
      <c r="P4287">
        <v>6102</v>
      </c>
      <c r="Q4287">
        <v>24</v>
      </c>
      <c r="R4287">
        <v>57.68</v>
      </c>
      <c r="S4287" s="2">
        <v>1384.32</v>
      </c>
      <c r="T4287" s="2">
        <v>1014.96</v>
      </c>
      <c r="U4287">
        <v>26.68</v>
      </c>
      <c r="V4287" t="str">
        <f>VLOOKUP(L4287,'[2]tabela de preços'!$A:$D,4,0)</f>
        <v>BRASILUX</v>
      </c>
      <c r="W4287" t="str">
        <f>VLOOKUP(L4287,'[2]tabela de preços'!$A:$F,6,0)</f>
        <v>CATALISADORES INDIVIDUAIS</v>
      </c>
      <c r="X4287" t="str">
        <f>VLOOKUP(L4287,'[2]tabela de preços'!$A:$G,7,0)</f>
        <v>IMOBILIÁRIO</v>
      </c>
    </row>
    <row r="4288" spans="1:24" x14ac:dyDescent="0.3">
      <c r="A4288" t="s">
        <v>2095</v>
      </c>
      <c r="C4288" t="s">
        <v>3506</v>
      </c>
      <c r="D4288" s="1">
        <v>46076</v>
      </c>
      <c r="E4288" t="s">
        <v>3507</v>
      </c>
      <c r="F4288">
        <v>9</v>
      </c>
      <c r="G4288">
        <v>197</v>
      </c>
      <c r="H4288" t="str">
        <f>VLOOKUP(G4288,[1]OPERADORES!$A:$B,2,0)</f>
        <v xml:space="preserve">POLIANA LORRANE DE AMORIM </v>
      </c>
      <c r="I4288" t="s">
        <v>126</v>
      </c>
      <c r="J4288" t="s">
        <v>127</v>
      </c>
      <c r="K4288" t="s">
        <v>2098</v>
      </c>
      <c r="L4288">
        <v>86866</v>
      </c>
      <c r="M4288" t="s">
        <v>2071</v>
      </c>
      <c r="O4288" t="s">
        <v>11</v>
      </c>
      <c r="P4288">
        <v>6403</v>
      </c>
      <c r="Q4288">
        <v>24</v>
      </c>
      <c r="R4288">
        <v>4.55</v>
      </c>
      <c r="S4288">
        <v>109.2</v>
      </c>
      <c r="T4288">
        <v>82.8</v>
      </c>
      <c r="U4288">
        <v>24.18</v>
      </c>
      <c r="V4288" t="str">
        <f>VLOOKUP(L4288,'[2]tabela de preços'!$A:$D,4,0)</f>
        <v>SHERWIN WILLIAMS</v>
      </c>
      <c r="W4288" t="str">
        <f>VLOOKUP(L4288,'[2]tabela de preços'!$A:$F,6,0)</f>
        <v>CORANTES</v>
      </c>
      <c r="X4288" t="str">
        <f>VLOOKUP(L4288,'[2]tabela de preços'!$A:$G,7,0)</f>
        <v>IMOBILIÁRIO</v>
      </c>
    </row>
    <row r="4289" spans="1:24" x14ac:dyDescent="0.3">
      <c r="A4289" t="s">
        <v>2095</v>
      </c>
      <c r="C4289" t="s">
        <v>3506</v>
      </c>
      <c r="D4289" s="1">
        <v>46076</v>
      </c>
      <c r="E4289" t="s">
        <v>3507</v>
      </c>
      <c r="F4289">
        <v>9</v>
      </c>
      <c r="G4289">
        <v>197</v>
      </c>
      <c r="H4289" t="str">
        <f>VLOOKUP(G4289,[1]OPERADORES!$A:$B,2,0)</f>
        <v xml:space="preserve">POLIANA LORRANE DE AMORIM </v>
      </c>
      <c r="I4289" t="s">
        <v>126</v>
      </c>
      <c r="J4289" t="s">
        <v>127</v>
      </c>
      <c r="K4289" t="s">
        <v>2098</v>
      </c>
      <c r="L4289">
        <v>86868</v>
      </c>
      <c r="M4289" t="s">
        <v>1368</v>
      </c>
      <c r="O4289" t="s">
        <v>11</v>
      </c>
      <c r="P4289">
        <v>6403</v>
      </c>
      <c r="Q4289">
        <v>24</v>
      </c>
      <c r="R4289">
        <v>4.55</v>
      </c>
      <c r="S4289">
        <v>109.2</v>
      </c>
      <c r="T4289">
        <v>82.8</v>
      </c>
      <c r="U4289">
        <v>24.18</v>
      </c>
      <c r="V4289" t="str">
        <f>VLOOKUP(L4289,'[2]tabela de preços'!$A:$D,4,0)</f>
        <v>SHERWIN WILLIAMS</v>
      </c>
      <c r="W4289" t="str">
        <f>VLOOKUP(L4289,'[2]tabela de preços'!$A:$F,6,0)</f>
        <v>CORANTES</v>
      </c>
      <c r="X4289" t="str">
        <f>VLOOKUP(L4289,'[2]tabela de preços'!$A:$G,7,0)</f>
        <v>IMOBILIÁRIO</v>
      </c>
    </row>
    <row r="4290" spans="1:24" x14ac:dyDescent="0.3">
      <c r="A4290" t="s">
        <v>2095</v>
      </c>
      <c r="C4290" t="s">
        <v>3506</v>
      </c>
      <c r="D4290" s="1">
        <v>46076</v>
      </c>
      <c r="E4290" t="s">
        <v>3507</v>
      </c>
      <c r="F4290">
        <v>9</v>
      </c>
      <c r="G4290">
        <v>197</v>
      </c>
      <c r="H4290" t="str">
        <f>VLOOKUP(G4290,[1]OPERADORES!$A:$B,2,0)</f>
        <v xml:space="preserve">POLIANA LORRANE DE AMORIM </v>
      </c>
      <c r="I4290" t="s">
        <v>126</v>
      </c>
      <c r="J4290" t="s">
        <v>127</v>
      </c>
      <c r="K4290" t="s">
        <v>2098</v>
      </c>
      <c r="L4290">
        <v>10297</v>
      </c>
      <c r="M4290" t="s">
        <v>41</v>
      </c>
      <c r="O4290" t="s">
        <v>11</v>
      </c>
      <c r="P4290">
        <v>6102</v>
      </c>
      <c r="Q4290">
        <v>36</v>
      </c>
      <c r="R4290">
        <v>10.49</v>
      </c>
      <c r="S4290">
        <v>377.64</v>
      </c>
      <c r="T4290">
        <v>330.12</v>
      </c>
      <c r="U4290">
        <v>12.58</v>
      </c>
      <c r="V4290" t="str">
        <f>VLOOKUP(L4290,'[2]tabela de preços'!$A:$D,4,0)</f>
        <v>ANJO</v>
      </c>
      <c r="W4290" t="str">
        <f>VLOOKUP(L4290,'[2]tabela de preços'!$A:$F,6,0)</f>
        <v>THINNER DE LIMPEZA</v>
      </c>
      <c r="X4290" t="str">
        <f>VLOOKUP(L4290,'[2]tabela de preços'!$A:$G,7,0)</f>
        <v>THINNER</v>
      </c>
    </row>
    <row r="4291" spans="1:24" x14ac:dyDescent="0.3">
      <c r="A4291" t="s">
        <v>2095</v>
      </c>
      <c r="C4291" t="s">
        <v>3506</v>
      </c>
      <c r="D4291" s="1">
        <v>46076</v>
      </c>
      <c r="E4291" t="s">
        <v>3507</v>
      </c>
      <c r="F4291">
        <v>9</v>
      </c>
      <c r="G4291">
        <v>197</v>
      </c>
      <c r="H4291" t="str">
        <f>VLOOKUP(G4291,[1]OPERADORES!$A:$B,2,0)</f>
        <v xml:space="preserve">POLIANA LORRANE DE AMORIM </v>
      </c>
      <c r="I4291" t="s">
        <v>126</v>
      </c>
      <c r="J4291" t="s">
        <v>127</v>
      </c>
      <c r="K4291" t="s">
        <v>2098</v>
      </c>
      <c r="L4291">
        <v>24355</v>
      </c>
      <c r="M4291" t="s">
        <v>3511</v>
      </c>
      <c r="O4291" t="s">
        <v>11</v>
      </c>
      <c r="P4291">
        <v>6403</v>
      </c>
      <c r="Q4291">
        <v>1</v>
      </c>
      <c r="R4291">
        <v>481.47</v>
      </c>
      <c r="S4291">
        <v>481.47</v>
      </c>
      <c r="T4291">
        <v>365.44</v>
      </c>
      <c r="U4291">
        <v>24.1</v>
      </c>
      <c r="V4291" t="str">
        <f>VLOOKUP(L4291,'[2]tabela de preços'!$A:$D,4,0)</f>
        <v>BRASILUX</v>
      </c>
      <c r="W4291" t="str">
        <f>VLOOKUP(L4291,'[2]tabela de preços'!$A:$F,6,0)</f>
        <v xml:space="preserve">BASES SISTEMA NO MACHINE </v>
      </c>
      <c r="X4291" t="str">
        <f>VLOOKUP(L4291,'[2]tabela de preços'!$A:$G,7,0)</f>
        <v>INDUSTRIAL</v>
      </c>
    </row>
    <row r="4292" spans="1:24" x14ac:dyDescent="0.3">
      <c r="A4292" t="s">
        <v>2857</v>
      </c>
      <c r="C4292" t="s">
        <v>3702</v>
      </c>
      <c r="D4292" s="1">
        <v>46077</v>
      </c>
      <c r="E4292" t="s">
        <v>3703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730</v>
      </c>
      <c r="K4292" t="s">
        <v>2860</v>
      </c>
      <c r="L4292">
        <v>84331</v>
      </c>
      <c r="M4292" t="s">
        <v>497</v>
      </c>
      <c r="O4292" t="s">
        <v>11</v>
      </c>
      <c r="P4292">
        <v>5403</v>
      </c>
      <c r="Q4292">
        <v>1</v>
      </c>
      <c r="R4292">
        <v>59.98</v>
      </c>
      <c r="S4292">
        <v>59.98</v>
      </c>
      <c r="T4292">
        <v>57.46</v>
      </c>
      <c r="U4292">
        <v>4.2</v>
      </c>
      <c r="V4292" t="str">
        <f>VLOOKUP(L4292,'[2]tabela de preços'!$A:$D,4,0)</f>
        <v>BRASILUX</v>
      </c>
      <c r="W4292" t="str">
        <f>VLOOKUP(L4292,'[2]tabela de preços'!$A:$F,6,0)</f>
        <v>ESMALTES</v>
      </c>
      <c r="X4292" t="str">
        <f>VLOOKUP(L4292,'[2]tabela de preços'!$A:$G,7,0)</f>
        <v>INDUSTRIAL</v>
      </c>
    </row>
    <row r="4293" spans="1:24" x14ac:dyDescent="0.3">
      <c r="A4293" t="s">
        <v>2857</v>
      </c>
      <c r="C4293" t="s">
        <v>3702</v>
      </c>
      <c r="D4293" s="1">
        <v>46077</v>
      </c>
      <c r="E4293" t="s">
        <v>3703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730</v>
      </c>
      <c r="K4293" t="s">
        <v>2860</v>
      </c>
      <c r="L4293">
        <v>84928</v>
      </c>
      <c r="M4293" t="s">
        <v>36</v>
      </c>
      <c r="O4293" t="s">
        <v>11</v>
      </c>
      <c r="P4293">
        <v>5102</v>
      </c>
      <c r="Q4293">
        <v>1</v>
      </c>
      <c r="R4293">
        <v>9.39</v>
      </c>
      <c r="S4293">
        <v>9.39</v>
      </c>
      <c r="T4293">
        <v>7.13</v>
      </c>
      <c r="U4293">
        <v>24.07</v>
      </c>
      <c r="V4293" t="str">
        <f>VLOOKUP(L4293,'[2]tabela de preços'!$A:$D,4,0)</f>
        <v>ADERE</v>
      </c>
      <c r="W4293" t="str">
        <f>VLOOKUP(L4293,'[2]tabela de preços'!$A:$F,6,0)</f>
        <v xml:space="preserve">FITA DE USO GERAL </v>
      </c>
      <c r="X4293" t="str">
        <f>VLOOKUP(L4293,'[2]tabela de preços'!$A:$G,7,0)</f>
        <v>IMOBILIÁRIO</v>
      </c>
    </row>
    <row r="4294" spans="1:24" x14ac:dyDescent="0.3">
      <c r="A4294" t="s">
        <v>2857</v>
      </c>
      <c r="C4294" t="s">
        <v>3702</v>
      </c>
      <c r="D4294" s="1">
        <v>46077</v>
      </c>
      <c r="E4294" t="s">
        <v>3703</v>
      </c>
      <c r="F4294">
        <v>9</v>
      </c>
      <c r="G4294">
        <v>174</v>
      </c>
      <c r="H4294" t="str">
        <f>VLOOKUP(G4294,[1]OPERADORES!$A:$B,2,0)</f>
        <v>MIRIÃ LOBATO RODRIGUES</v>
      </c>
      <c r="I4294" t="s">
        <v>21</v>
      </c>
      <c r="J4294" t="s">
        <v>730</v>
      </c>
      <c r="K4294" t="s">
        <v>2860</v>
      </c>
      <c r="L4294">
        <v>23878</v>
      </c>
      <c r="M4294" t="s">
        <v>851</v>
      </c>
      <c r="O4294" t="s">
        <v>11</v>
      </c>
      <c r="P4294">
        <v>5102</v>
      </c>
      <c r="Q4294">
        <v>1</v>
      </c>
      <c r="R4294">
        <v>8.15</v>
      </c>
      <c r="S4294">
        <v>8.15</v>
      </c>
      <c r="T4294">
        <v>5.84</v>
      </c>
      <c r="U4294">
        <v>28.34</v>
      </c>
      <c r="V4294" t="str">
        <f>VLOOKUP(L4294,'[2]tabela de preços'!$A:$D,4,0)</f>
        <v>ATLAS</v>
      </c>
      <c r="W4294" t="str">
        <f>VLOOKUP(L4294,'[2]tabela de preços'!$A:$F,6,0)</f>
        <v>ROLOS / TRINCHAS / PINCÉIS / ESPÁTULAS</v>
      </c>
      <c r="X4294" t="str">
        <f>VLOOKUP(L4294,'[2]tabela de preços'!$A:$G,7,0)</f>
        <v>IMOBILIÁRIO</v>
      </c>
    </row>
    <row r="4295" spans="1:24" x14ac:dyDescent="0.3">
      <c r="A4295" t="s">
        <v>2857</v>
      </c>
      <c r="C4295" t="s">
        <v>3702</v>
      </c>
      <c r="D4295" s="1">
        <v>46077</v>
      </c>
      <c r="E4295" t="s">
        <v>3703</v>
      </c>
      <c r="F4295">
        <v>9</v>
      </c>
      <c r="G4295">
        <v>174</v>
      </c>
      <c r="H4295" t="str">
        <f>VLOOKUP(G4295,[1]OPERADORES!$A:$B,2,0)</f>
        <v>MIRIÃ LOBATO RODRIGUES</v>
      </c>
      <c r="I4295" t="s">
        <v>21</v>
      </c>
      <c r="J4295" t="s">
        <v>730</v>
      </c>
      <c r="K4295" t="s">
        <v>2860</v>
      </c>
      <c r="L4295">
        <v>84704</v>
      </c>
      <c r="M4295" t="s">
        <v>1884</v>
      </c>
      <c r="O4295" t="s">
        <v>11</v>
      </c>
      <c r="P4295">
        <v>5102</v>
      </c>
      <c r="Q4295">
        <v>1</v>
      </c>
      <c r="R4295">
        <v>16.03</v>
      </c>
      <c r="S4295">
        <v>16.03</v>
      </c>
      <c r="T4295">
        <v>12.17</v>
      </c>
      <c r="U4295">
        <v>24.08</v>
      </c>
      <c r="V4295" t="str">
        <f>VLOOKUP(L4295,'[2]tabela de preços'!$A:$D,4,0)</f>
        <v>ATLAS</v>
      </c>
      <c r="W4295" t="str">
        <f>VLOOKUP(L4295,'[2]tabela de preços'!$A:$F,6,0)</f>
        <v>ROLOS / TRINCHAS / PINCÉIS / ESPÁTULAS</v>
      </c>
      <c r="X4295" t="str">
        <f>VLOOKUP(L4295,'[2]tabela de preços'!$A:$G,7,0)</f>
        <v>IMOBILIÁRIO</v>
      </c>
    </row>
    <row r="4296" spans="1:24" x14ac:dyDescent="0.3">
      <c r="A4296" t="s">
        <v>2857</v>
      </c>
      <c r="C4296" t="s">
        <v>3702</v>
      </c>
      <c r="D4296" s="1">
        <v>46077</v>
      </c>
      <c r="E4296" t="s">
        <v>3703</v>
      </c>
      <c r="F4296">
        <v>9</v>
      </c>
      <c r="G4296">
        <v>174</v>
      </c>
      <c r="H4296" t="str">
        <f>VLOOKUP(G4296,[1]OPERADORES!$A:$B,2,0)</f>
        <v>MIRIÃ LOBATO RODRIGUES</v>
      </c>
      <c r="I4296" t="s">
        <v>21</v>
      </c>
      <c r="J4296" t="s">
        <v>730</v>
      </c>
      <c r="K4296" t="s">
        <v>2860</v>
      </c>
      <c r="L4296">
        <v>10297</v>
      </c>
      <c r="M4296" t="s">
        <v>41</v>
      </c>
      <c r="O4296" t="s">
        <v>11</v>
      </c>
      <c r="P4296">
        <v>5102</v>
      </c>
      <c r="Q4296">
        <v>1</v>
      </c>
      <c r="R4296">
        <v>10.89</v>
      </c>
      <c r="S4296">
        <v>10.89</v>
      </c>
      <c r="T4296">
        <v>9.17</v>
      </c>
      <c r="U4296">
        <v>15.79</v>
      </c>
      <c r="V4296" t="str">
        <f>VLOOKUP(L4296,'[2]tabela de preços'!$A:$D,4,0)</f>
        <v>ANJO</v>
      </c>
      <c r="W4296" t="str">
        <f>VLOOKUP(L4296,'[2]tabela de preços'!$A:$F,6,0)</f>
        <v>THINNER DE LIMPEZA</v>
      </c>
      <c r="X4296" t="str">
        <f>VLOOKUP(L4296,'[2]tabela de preços'!$A:$G,7,0)</f>
        <v>THINNER</v>
      </c>
    </row>
    <row r="4297" spans="1:24" x14ac:dyDescent="0.3">
      <c r="A4297" t="s">
        <v>2857</v>
      </c>
      <c r="C4297" t="s">
        <v>3702</v>
      </c>
      <c r="D4297" s="1">
        <v>46077</v>
      </c>
      <c r="E4297" t="s">
        <v>3703</v>
      </c>
      <c r="F4297">
        <v>9</v>
      </c>
      <c r="G4297">
        <v>174</v>
      </c>
      <c r="H4297" t="str">
        <f>VLOOKUP(G4297,[1]OPERADORES!$A:$B,2,0)</f>
        <v>MIRIÃ LOBATO RODRIGUES</v>
      </c>
      <c r="I4297" t="s">
        <v>21</v>
      </c>
      <c r="J4297" t="s">
        <v>730</v>
      </c>
      <c r="K4297" t="s">
        <v>2860</v>
      </c>
      <c r="L4297">
        <v>10117</v>
      </c>
      <c r="M4297" t="s">
        <v>1043</v>
      </c>
      <c r="O4297" t="s">
        <v>11</v>
      </c>
      <c r="P4297">
        <v>5102</v>
      </c>
      <c r="Q4297">
        <v>1</v>
      </c>
      <c r="R4297">
        <v>6.52</v>
      </c>
      <c r="S4297">
        <v>6.52</v>
      </c>
      <c r="T4297">
        <v>4.95</v>
      </c>
      <c r="U4297">
        <v>24.08</v>
      </c>
      <c r="V4297" t="str">
        <f>VLOOKUP(L4297,'[2]tabela de preços'!$A:$D,4,0)</f>
        <v>ATLAS</v>
      </c>
      <c r="W4297" t="str">
        <f>VLOOKUP(L4297,'[2]tabela de preços'!$A:$F,6,0)</f>
        <v>ROLOS / TRINCHAS / PINCÉIS / ESPÁTULAS</v>
      </c>
      <c r="X4297" t="str">
        <f>VLOOKUP(L4297,'[2]tabela de preços'!$A:$G,7,0)</f>
        <v>IMOBILIÁRIO</v>
      </c>
    </row>
    <row r="4298" spans="1:24" x14ac:dyDescent="0.3">
      <c r="A4298" t="s">
        <v>3704</v>
      </c>
      <c r="B4298" t="s">
        <v>3705</v>
      </c>
      <c r="C4298" t="s">
        <v>3706</v>
      </c>
      <c r="D4298" s="1">
        <v>46077</v>
      </c>
      <c r="E4298" t="s">
        <v>3707</v>
      </c>
      <c r="F4298">
        <v>9</v>
      </c>
      <c r="G4298">
        <v>174</v>
      </c>
      <c r="H4298" t="str">
        <f>VLOOKUP(G4298,[1]OPERADORES!$A:$B,2,0)</f>
        <v>MIRIÃ LOBATO RODRIGUES</v>
      </c>
      <c r="I4298" t="s">
        <v>21</v>
      </c>
      <c r="J4298" t="s">
        <v>3708</v>
      </c>
      <c r="K4298" t="s">
        <v>3709</v>
      </c>
      <c r="L4298">
        <v>84386</v>
      </c>
      <c r="M4298" t="s">
        <v>552</v>
      </c>
      <c r="O4298" t="s">
        <v>11</v>
      </c>
      <c r="P4298">
        <v>5403</v>
      </c>
      <c r="Q4298">
        <v>4</v>
      </c>
      <c r="R4298">
        <v>159.9</v>
      </c>
      <c r="S4298">
        <v>639.6</v>
      </c>
      <c r="T4298">
        <v>550.44000000000005</v>
      </c>
      <c r="U4298">
        <v>13.94</v>
      </c>
      <c r="V4298" t="str">
        <f>VLOOKUP(L4298,'[2]tabela de preços'!$A:$D,4,0)</f>
        <v>BRASILUX</v>
      </c>
      <c r="W4298" t="str">
        <f>VLOOKUP(L4298,'[2]tabela de preços'!$A:$F,6,0)</f>
        <v>TINTA PARA PISO</v>
      </c>
      <c r="X4298" t="str">
        <f>VLOOKUP(L4298,'[2]tabela de preços'!$A:$G,7,0)</f>
        <v>IMOBILIÁRIO</v>
      </c>
    </row>
    <row r="4299" spans="1:24" x14ac:dyDescent="0.3">
      <c r="A4299" t="s">
        <v>2155</v>
      </c>
      <c r="C4299" t="s">
        <v>3512</v>
      </c>
      <c r="D4299" s="1">
        <v>46076</v>
      </c>
      <c r="E4299" t="s">
        <v>3513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21</v>
      </c>
      <c r="J4299" t="s">
        <v>66</v>
      </c>
      <c r="K4299" t="s">
        <v>2158</v>
      </c>
      <c r="L4299">
        <v>84785</v>
      </c>
      <c r="M4299" t="s">
        <v>944</v>
      </c>
      <c r="O4299" t="s">
        <v>11</v>
      </c>
      <c r="P4299">
        <v>5403</v>
      </c>
      <c r="Q4299">
        <v>6</v>
      </c>
      <c r="R4299">
        <v>172.23</v>
      </c>
      <c r="S4299" s="2">
        <v>1033.3800000000001</v>
      </c>
      <c r="T4299">
        <v>784.32</v>
      </c>
      <c r="U4299">
        <v>24.1</v>
      </c>
      <c r="V4299" t="str">
        <f>VLOOKUP(L4299,'[2]tabela de preços'!$A:$D,4,0)</f>
        <v>BRASILUX</v>
      </c>
      <c r="W4299" t="str">
        <f>VLOOKUP(L4299,'[2]tabela de preços'!$A:$F,6,0)</f>
        <v>EPOXI</v>
      </c>
      <c r="X4299" t="str">
        <f>VLOOKUP(L4299,'[2]tabela de preços'!$A:$G,7,0)</f>
        <v>INDUSTRIAL</v>
      </c>
    </row>
    <row r="4300" spans="1:24" x14ac:dyDescent="0.3">
      <c r="A4300" t="s">
        <v>2213</v>
      </c>
      <c r="C4300" t="s">
        <v>3710</v>
      </c>
      <c r="D4300" s="1">
        <v>46078</v>
      </c>
      <c r="E4300" t="s">
        <v>3711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1816</v>
      </c>
      <c r="K4300" t="s">
        <v>2216</v>
      </c>
      <c r="L4300">
        <v>86107</v>
      </c>
      <c r="M4300" t="s">
        <v>1992</v>
      </c>
      <c r="O4300" t="s">
        <v>11</v>
      </c>
      <c r="P4300">
        <v>5403</v>
      </c>
      <c r="Q4300">
        <v>1</v>
      </c>
      <c r="R4300">
        <v>83.78</v>
      </c>
      <c r="S4300">
        <v>83.78</v>
      </c>
      <c r="T4300">
        <v>65.12</v>
      </c>
      <c r="U4300">
        <v>22.27</v>
      </c>
      <c r="V4300" t="str">
        <f>VLOOKUP(L4300,'[2]tabela de preços'!$A:$D,4,0)</f>
        <v>SPARLACK CETOL</v>
      </c>
      <c r="W4300" t="str">
        <f>VLOOKUP(L4300,'[2]tabela de preços'!$A:$F,6,0)</f>
        <v>LINHA MOVELEIRA</v>
      </c>
      <c r="X4300" t="str">
        <f>VLOOKUP(L4300,'[2]tabela de preços'!$A:$G,7,0)</f>
        <v>MOVELEIRA</v>
      </c>
    </row>
    <row r="4301" spans="1:24" x14ac:dyDescent="0.3">
      <c r="A4301" t="s">
        <v>2213</v>
      </c>
      <c r="C4301" t="s">
        <v>3710</v>
      </c>
      <c r="D4301" s="1">
        <v>46078</v>
      </c>
      <c r="E4301" t="s">
        <v>3711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1816</v>
      </c>
      <c r="K4301" t="s">
        <v>2216</v>
      </c>
      <c r="L4301">
        <v>85038</v>
      </c>
      <c r="M4301" t="s">
        <v>2220</v>
      </c>
      <c r="O4301" t="s">
        <v>11</v>
      </c>
      <c r="P4301">
        <v>5102</v>
      </c>
      <c r="Q4301">
        <v>2</v>
      </c>
      <c r="R4301">
        <v>8.39</v>
      </c>
      <c r="S4301">
        <v>16.78</v>
      </c>
      <c r="T4301">
        <v>12.74</v>
      </c>
      <c r="U4301">
        <v>24.08</v>
      </c>
      <c r="V4301" t="str">
        <f>VLOOKUP(L4301,'[2]tabela de preços'!$A:$D,4,0)</f>
        <v>ATLAS</v>
      </c>
      <c r="W4301" t="str">
        <f>VLOOKUP(L4301,'[2]tabela de preços'!$A:$F,6,0)</f>
        <v>ROLOS / TRINCHAS / PINCÉIS / ESPÁTULAS</v>
      </c>
      <c r="X4301" t="str">
        <f>VLOOKUP(L4301,'[2]tabela de preços'!$A:$G,7,0)</f>
        <v>IMOBILIÁRIO</v>
      </c>
    </row>
    <row r="4302" spans="1:24" x14ac:dyDescent="0.3">
      <c r="A4302" t="s">
        <v>2213</v>
      </c>
      <c r="C4302" t="s">
        <v>3712</v>
      </c>
      <c r="D4302" s="1">
        <v>46078</v>
      </c>
      <c r="E4302" t="s">
        <v>3713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1816</v>
      </c>
      <c r="K4302" t="s">
        <v>2216</v>
      </c>
      <c r="L4302">
        <v>84329</v>
      </c>
      <c r="M4302" t="s">
        <v>285</v>
      </c>
      <c r="O4302" t="s">
        <v>11</v>
      </c>
      <c r="P4302">
        <v>5403</v>
      </c>
      <c r="Q4302">
        <v>10</v>
      </c>
      <c r="R4302">
        <v>59.98</v>
      </c>
      <c r="S4302">
        <v>599.79999999999995</v>
      </c>
      <c r="T4302">
        <v>482.7</v>
      </c>
      <c r="U4302">
        <v>19.52</v>
      </c>
      <c r="V4302" t="str">
        <f>VLOOKUP(L4302,'[2]tabela de preços'!$A:$D,4,0)</f>
        <v>BRASILUX</v>
      </c>
      <c r="W4302" t="str">
        <f>VLOOKUP(L4302,'[2]tabela de preços'!$A:$F,6,0)</f>
        <v>ESMALTES</v>
      </c>
      <c r="X4302" t="str">
        <f>VLOOKUP(L4302,'[2]tabela de preços'!$A:$G,7,0)</f>
        <v>INDUSTRIAL</v>
      </c>
    </row>
    <row r="4303" spans="1:24" x14ac:dyDescent="0.3">
      <c r="A4303" t="s">
        <v>2213</v>
      </c>
      <c r="C4303" t="s">
        <v>3712</v>
      </c>
      <c r="D4303" s="1">
        <v>46078</v>
      </c>
      <c r="E4303" t="s">
        <v>3713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84386</v>
      </c>
      <c r="M4303" t="s">
        <v>552</v>
      </c>
      <c r="O4303" t="s">
        <v>11</v>
      </c>
      <c r="P4303">
        <v>5403</v>
      </c>
      <c r="Q4303">
        <v>1</v>
      </c>
      <c r="R4303">
        <v>159.9</v>
      </c>
      <c r="S4303">
        <v>159.9</v>
      </c>
      <c r="T4303">
        <v>137.61000000000001</v>
      </c>
      <c r="U4303">
        <v>13.94</v>
      </c>
      <c r="V4303" t="str">
        <f>VLOOKUP(L4303,'[2]tabela de preços'!$A:$D,4,0)</f>
        <v>BRASILUX</v>
      </c>
      <c r="W4303" t="str">
        <f>VLOOKUP(L4303,'[2]tabela de preços'!$A:$F,6,0)</f>
        <v>TINTA PARA PISO</v>
      </c>
      <c r="X4303" t="str">
        <f>VLOOKUP(L4303,'[2]tabela de preços'!$A:$G,7,0)</f>
        <v>IMOBILIÁRIO</v>
      </c>
    </row>
    <row r="4304" spans="1:24" x14ac:dyDescent="0.3">
      <c r="A4304" t="s">
        <v>2213</v>
      </c>
      <c r="C4304" t="s">
        <v>3712</v>
      </c>
      <c r="D4304" s="1">
        <v>46078</v>
      </c>
      <c r="E4304" t="s">
        <v>3713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85065</v>
      </c>
      <c r="M4304" t="s">
        <v>3714</v>
      </c>
      <c r="O4304" t="s">
        <v>11</v>
      </c>
      <c r="P4304">
        <v>5102</v>
      </c>
      <c r="Q4304">
        <v>2</v>
      </c>
      <c r="R4304">
        <v>29.94</v>
      </c>
      <c r="S4304">
        <v>59.88</v>
      </c>
      <c r="T4304">
        <v>43.9</v>
      </c>
      <c r="U4304">
        <v>26.69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84499</v>
      </c>
      <c r="M4305" t="s">
        <v>534</v>
      </c>
      <c r="O4305" t="s">
        <v>11</v>
      </c>
      <c r="P4305">
        <v>5102</v>
      </c>
      <c r="Q4305">
        <v>1</v>
      </c>
      <c r="R4305">
        <v>183.15</v>
      </c>
      <c r="S4305">
        <v>183.15</v>
      </c>
      <c r="T4305">
        <v>137.4</v>
      </c>
      <c r="U4305">
        <v>24.98</v>
      </c>
      <c r="V4305" t="str">
        <f>VLOOKUP(L4305,'[2]tabela de preços'!$A:$D,4,0)</f>
        <v>BRASILUX</v>
      </c>
      <c r="W4305" t="str">
        <f>VLOOKUP(L4305,'[2]tabela de preços'!$A:$F,6,0)</f>
        <v>THINNER DE LIMPEZA</v>
      </c>
      <c r="X4305" t="str">
        <f>VLOOKUP(L4305,'[2]tabela de preços'!$A:$G,7,0)</f>
        <v>THINNER</v>
      </c>
    </row>
    <row r="4306" spans="1:24" x14ac:dyDescent="0.3">
      <c r="A4306" t="s">
        <v>2236</v>
      </c>
      <c r="B4306" t="s">
        <v>2237</v>
      </c>
      <c r="C4306" t="s">
        <v>3715</v>
      </c>
      <c r="D4306" s="1">
        <v>46078</v>
      </c>
      <c r="E4306" t="s">
        <v>3716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2240</v>
      </c>
      <c r="K4306" t="s">
        <v>2241</v>
      </c>
      <c r="L4306">
        <v>24248</v>
      </c>
      <c r="M4306" t="s">
        <v>107</v>
      </c>
      <c r="O4306" t="s">
        <v>11</v>
      </c>
      <c r="P4306">
        <v>5102</v>
      </c>
      <c r="Q4306">
        <v>4</v>
      </c>
      <c r="R4306">
        <v>8</v>
      </c>
      <c r="S4306">
        <v>32</v>
      </c>
      <c r="T4306">
        <v>26</v>
      </c>
      <c r="U4306">
        <v>18.75</v>
      </c>
      <c r="V4306" t="str">
        <f>VLOOKUP(L4306,'[2]tabela de preços'!$A:$D,4,0)</f>
        <v>SHERWIN WILLIAMS</v>
      </c>
      <c r="W4306" t="str">
        <f>VLOOKUP(L4306,'[2]tabela de preços'!$A:$F,6,0)</f>
        <v>PRIMER AUTOMOTIVO</v>
      </c>
      <c r="X4306" t="str">
        <f>VLOOKUP(L4306,'[2]tabela de preços'!$A:$G,7,0)</f>
        <v>AUTOMOTIVO</v>
      </c>
    </row>
    <row r="4307" spans="1:24" x14ac:dyDescent="0.3">
      <c r="A4307" t="s">
        <v>2236</v>
      </c>
      <c r="B4307" t="s">
        <v>2237</v>
      </c>
      <c r="C4307" t="s">
        <v>3715</v>
      </c>
      <c r="D4307" s="1">
        <v>46078</v>
      </c>
      <c r="E4307" t="s">
        <v>3716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2240</v>
      </c>
      <c r="K4307" t="s">
        <v>2241</v>
      </c>
      <c r="L4307">
        <v>20817</v>
      </c>
      <c r="M4307" t="s">
        <v>153</v>
      </c>
      <c r="O4307" t="s">
        <v>11</v>
      </c>
      <c r="P4307">
        <v>5102</v>
      </c>
      <c r="Q4307">
        <v>3</v>
      </c>
      <c r="R4307">
        <v>22.89</v>
      </c>
      <c r="S4307">
        <v>68.67</v>
      </c>
      <c r="T4307">
        <v>55.86</v>
      </c>
      <c r="U4307">
        <v>18.649999999999999</v>
      </c>
      <c r="V4307" t="str">
        <f>VLOOKUP(L4307,'[2]tabela de preços'!$A:$D,4,0)</f>
        <v>AUTO AMERICA</v>
      </c>
      <c r="W4307" t="str">
        <f>VLOOKUP(L4307,'[2]tabela de preços'!$A:$F,6,0)</f>
        <v>MASSA DE POLIR</v>
      </c>
      <c r="X4307" t="str">
        <f>VLOOKUP(L4307,'[2]tabela de preços'!$A:$G,7,0)</f>
        <v>AUTOMOTIVO</v>
      </c>
    </row>
    <row r="4308" spans="1:24" x14ac:dyDescent="0.3">
      <c r="A4308" t="s">
        <v>2236</v>
      </c>
      <c r="B4308" t="s">
        <v>2237</v>
      </c>
      <c r="C4308" t="s">
        <v>3715</v>
      </c>
      <c r="D4308" s="1">
        <v>46078</v>
      </c>
      <c r="E4308" t="s">
        <v>3716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2240</v>
      </c>
      <c r="K4308" t="s">
        <v>2241</v>
      </c>
      <c r="L4308">
        <v>23267</v>
      </c>
      <c r="M4308" t="s">
        <v>164</v>
      </c>
      <c r="O4308" t="s">
        <v>11</v>
      </c>
      <c r="P4308">
        <v>5102</v>
      </c>
      <c r="Q4308">
        <v>3</v>
      </c>
      <c r="R4308">
        <v>22.89</v>
      </c>
      <c r="S4308">
        <v>68.67</v>
      </c>
      <c r="T4308">
        <v>55.86</v>
      </c>
      <c r="U4308">
        <v>18.649999999999999</v>
      </c>
      <c r="V4308" t="str">
        <f>VLOOKUP(L4308,'[2]tabela de preços'!$A:$D,4,0)</f>
        <v>ANJO</v>
      </c>
      <c r="W4308" t="str">
        <f>VLOOKUP(L4308,'[2]tabela de preços'!$A:$F,6,0)</f>
        <v>MASSA POLIÉSTER</v>
      </c>
      <c r="X4308" t="str">
        <f>VLOOKUP(L4308,'[2]tabela de preços'!$A:$G,7,0)</f>
        <v>AUTOMOTIVO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24247</v>
      </c>
      <c r="M4309" t="s">
        <v>160</v>
      </c>
      <c r="O4309" t="s">
        <v>11</v>
      </c>
      <c r="P4309">
        <v>5403</v>
      </c>
      <c r="Q4309">
        <v>4</v>
      </c>
      <c r="R4309">
        <v>21</v>
      </c>
      <c r="S4309">
        <v>84</v>
      </c>
      <c r="T4309">
        <v>67.48</v>
      </c>
      <c r="U4309">
        <v>19.670000000000002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20414</v>
      </c>
      <c r="M4310" t="s">
        <v>112</v>
      </c>
      <c r="O4310" t="s">
        <v>11</v>
      </c>
      <c r="P4310">
        <v>5102</v>
      </c>
      <c r="Q4310">
        <v>4</v>
      </c>
      <c r="R4310">
        <v>21.89</v>
      </c>
      <c r="S4310">
        <v>87.56</v>
      </c>
      <c r="T4310">
        <v>72</v>
      </c>
      <c r="U4310">
        <v>17.77</v>
      </c>
      <c r="V4310" t="str">
        <f>VLOOKUP(L4310,'[2]tabela de preços'!$A:$D,4,0)</f>
        <v>SHERWIN WILLIAMS</v>
      </c>
      <c r="W4310" t="str">
        <f>VLOOKUP(L4310,'[2]tabela de preços'!$A:$F,6,0)</f>
        <v>DILUENTE</v>
      </c>
      <c r="X4310" t="str">
        <f>VLOOKUP(L4310,'[2]tabela de preços'!$A:$G,7,0)</f>
        <v>AUTOMOTIVO</v>
      </c>
    </row>
    <row r="4311" spans="1:24" x14ac:dyDescent="0.3">
      <c r="A4311" t="s">
        <v>2259</v>
      </c>
      <c r="B4311" t="s">
        <v>2260</v>
      </c>
      <c r="C4311" t="s">
        <v>3514</v>
      </c>
      <c r="D4311" s="1">
        <v>46076</v>
      </c>
      <c r="E4311" t="s">
        <v>3515</v>
      </c>
      <c r="F4311">
        <v>9</v>
      </c>
      <c r="G4311">
        <v>174</v>
      </c>
      <c r="H4311" t="str">
        <f>VLOOKUP(G4311,[1]OPERADORES!$A:$B,2,0)</f>
        <v>MIRIÃ LOBATO RODRIGUES</v>
      </c>
      <c r="I4311" t="s">
        <v>21</v>
      </c>
      <c r="J4311" t="s">
        <v>762</v>
      </c>
      <c r="K4311" t="s">
        <v>2263</v>
      </c>
      <c r="L4311">
        <v>85164</v>
      </c>
      <c r="M4311" t="s">
        <v>278</v>
      </c>
      <c r="O4311" t="s">
        <v>11</v>
      </c>
      <c r="P4311">
        <v>5102</v>
      </c>
      <c r="Q4311">
        <v>10</v>
      </c>
      <c r="R4311">
        <v>14.08</v>
      </c>
      <c r="S4311">
        <v>140.80000000000001</v>
      </c>
      <c r="T4311">
        <v>100.9</v>
      </c>
      <c r="U4311">
        <v>28.34</v>
      </c>
      <c r="V4311" t="str">
        <f>VLOOKUP(L4311,'[2]tabela de preços'!$A:$D,4,0)</f>
        <v>BRASILUX</v>
      </c>
      <c r="W4311" t="str">
        <f>VLOOKUP(L4311,'[2]tabela de preços'!$A:$F,6,0)</f>
        <v>QUEROSENE</v>
      </c>
      <c r="X4311" t="str">
        <f>VLOOKUP(L4311,'[2]tabela de preços'!$A:$G,7,0)</f>
        <v>AUTOMOTIVO</v>
      </c>
    </row>
    <row r="4312" spans="1:24" x14ac:dyDescent="0.3">
      <c r="A4312" t="s">
        <v>3516</v>
      </c>
      <c r="C4312" t="s">
        <v>3517</v>
      </c>
      <c r="D4312" s="1">
        <v>46076</v>
      </c>
      <c r="E4312" t="s">
        <v>3518</v>
      </c>
      <c r="F4312">
        <v>9</v>
      </c>
      <c r="G4312">
        <v>145</v>
      </c>
      <c r="H4312" t="str">
        <f>VLOOKUP(G4312,[1]OPERADORES!$A:$B,2,0)</f>
        <v xml:space="preserve">FABRICIA </v>
      </c>
      <c r="I4312" t="s">
        <v>21</v>
      </c>
      <c r="J4312" t="s">
        <v>904</v>
      </c>
      <c r="K4312" t="s">
        <v>3519</v>
      </c>
      <c r="L4312">
        <v>24241</v>
      </c>
      <c r="M4312" t="s">
        <v>233</v>
      </c>
      <c r="O4312" t="s">
        <v>11</v>
      </c>
      <c r="P4312">
        <v>5102</v>
      </c>
      <c r="Q4312">
        <v>6</v>
      </c>
      <c r="R4312">
        <v>12.2</v>
      </c>
      <c r="S4312">
        <v>73.2</v>
      </c>
      <c r="T4312">
        <v>55.56</v>
      </c>
      <c r="U4312">
        <v>24.1</v>
      </c>
      <c r="V4312" t="str">
        <f>VLOOKUP(L4312,'[2]tabela de preços'!$A:$D,4,0)</f>
        <v>ADERE</v>
      </c>
      <c r="W4312" t="str">
        <f>VLOOKUP(L4312,'[2]tabela de preços'!$A:$F,6,0)</f>
        <v>FITA AUTOMOTIVA</v>
      </c>
      <c r="X4312" t="str">
        <f>VLOOKUP(L4312,'[2]tabela de preços'!$A:$G,7,0)</f>
        <v>AUTOMOTIVO</v>
      </c>
    </row>
    <row r="4313" spans="1:24" x14ac:dyDescent="0.3">
      <c r="A4313" t="s">
        <v>3516</v>
      </c>
      <c r="C4313" t="s">
        <v>3517</v>
      </c>
      <c r="D4313" s="1">
        <v>46076</v>
      </c>
      <c r="E4313" t="s">
        <v>3518</v>
      </c>
      <c r="F4313">
        <v>9</v>
      </c>
      <c r="G4313">
        <v>145</v>
      </c>
      <c r="H4313" t="str">
        <f>VLOOKUP(G4313,[1]OPERADORES!$A:$B,2,0)</f>
        <v xml:space="preserve">FABRICIA </v>
      </c>
      <c r="I4313" t="s">
        <v>21</v>
      </c>
      <c r="J4313" t="s">
        <v>904</v>
      </c>
      <c r="K4313" t="s">
        <v>3519</v>
      </c>
      <c r="L4313">
        <v>87185</v>
      </c>
      <c r="M4313" t="s">
        <v>3520</v>
      </c>
      <c r="O4313" t="s">
        <v>11</v>
      </c>
      <c r="P4313">
        <v>5403</v>
      </c>
      <c r="Q4313">
        <v>1</v>
      </c>
      <c r="R4313">
        <v>64.819999999999993</v>
      </c>
      <c r="S4313">
        <v>64.819999999999993</v>
      </c>
      <c r="T4313">
        <v>49.2</v>
      </c>
      <c r="U4313">
        <v>24.1</v>
      </c>
      <c r="V4313" t="str">
        <f>VLOOKUP(L4313,'[2]tabela de preços'!$A:$D,4,0)</f>
        <v>KARCHER</v>
      </c>
      <c r="W4313" t="str">
        <f>VLOOKUP(L4313,'[2]tabela de preços'!$A:$F,6,0)</f>
        <v>TEXTURA</v>
      </c>
      <c r="X4313" t="str">
        <f>VLOOKUP(L4313,'[2]tabela de preços'!$A:$G,7,0)</f>
        <v>IMOBILIÁRIO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2026-02-25T21:21:07Z</dcterms:modified>
</cp:coreProperties>
</file>