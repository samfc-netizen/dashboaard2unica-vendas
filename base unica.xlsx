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3DE41D8F-E3E9-43AE-8F70-5291A027705C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4565" i="1" l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4584" i="1"/>
  <c r="X4585" i="1"/>
  <c r="X4586" i="1"/>
  <c r="X4587" i="1"/>
  <c r="X4588" i="1"/>
  <c r="X4589" i="1"/>
  <c r="X4590" i="1"/>
  <c r="X4591" i="1"/>
  <c r="X4592" i="1"/>
  <c r="X4593" i="1"/>
  <c r="X4594" i="1"/>
  <c r="X4595" i="1"/>
  <c r="X4596" i="1"/>
  <c r="X4597" i="1"/>
  <c r="X4598" i="1"/>
  <c r="X4599" i="1"/>
  <c r="X4600" i="1"/>
  <c r="X4601" i="1"/>
  <c r="X4602" i="1"/>
  <c r="X4603" i="1"/>
  <c r="X4604" i="1"/>
  <c r="X4605" i="1"/>
  <c r="X4606" i="1"/>
  <c r="X4607" i="1"/>
  <c r="X4608" i="1"/>
  <c r="X4609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693" i="1"/>
  <c r="X4694" i="1"/>
  <c r="X4695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<sst xmlns="http://schemas.openxmlformats.org/spreadsheetml/2006/main" count="39717" uniqueCount="4051">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</sst>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  <sheetName val="Planilha5"/>
      <sheetName val="Planilha6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4832" totalsRowShown="0">
  <autoFilter ref="A1:X4832" xr:uid="{98BFBED1-B99E-441A-BA7E-5533E4B19798}"/>
  <sortState xmlns:xlrd2="http://schemas.microsoft.com/office/spreadsheetml/2017/richdata2" ref="A2:X4564">
    <sortCondition ref="D1:D4564"/>
  </sortState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4832"/>
  <sheetViews>
    <sheetView tabSelected="1" topLeftCell="N4559" zoomScale="90" zoomScaleNormal="90" workbookViewId="0">
      <selection activeCell="V2" sqref="V2:V4832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123</v>
      </c>
      <c r="C4565" t="s">
        <v>3888</v>
      </c>
      <c r="D4565" s="1">
        <v>46084</v>
      </c>
      <c r="E4565" t="s">
        <v>3889</v>
      </c>
      <c r="F4565">
        <v>9</v>
      </c>
      <c r="G4565">
        <v>174</v>
      </c>
      <c r="H4565" t="str">
        <f>VLOOKUP(G4565,[1]OPERADORES!$A:$B,2,0)</f>
        <v>MIRIÃ LOBATO RODRIGUES</v>
      </c>
      <c r="I4565" t="s">
        <v>126</v>
      </c>
      <c r="J4565" t="s">
        <v>127</v>
      </c>
      <c r="K4565" t="s">
        <v>128</v>
      </c>
      <c r="L4565">
        <v>83825</v>
      </c>
      <c r="M4565" t="s">
        <v>332</v>
      </c>
      <c r="O4565" t="s">
        <v>11</v>
      </c>
      <c r="P4565">
        <v>6102</v>
      </c>
      <c r="Q4565">
        <v>10</v>
      </c>
      <c r="R4565">
        <v>2.64</v>
      </c>
      <c r="S4565">
        <v>26.4</v>
      </c>
      <c r="T4565">
        <v>20.100000000000001</v>
      </c>
      <c r="U4565">
        <v>23.86</v>
      </c>
      <c r="V4565" t="str">
        <f>VLOOKUP(L4565,'[2]tabela de preços'!$A:$D,4,0)</f>
        <v>NORTON</v>
      </c>
      <c r="W4565" t="str">
        <f>VLOOKUP(L4565,'[2]tabela de preços'!$A:$F,6,0)</f>
        <v xml:space="preserve">DISCOS / LIXAS / ABRASIVOS </v>
      </c>
      <c r="X4565" t="str">
        <f>VLOOKUP(L4565,'[2]tabela de preços'!$A:$G,7,0)</f>
        <v>AUTOMOTIVO</v>
      </c>
    </row>
    <row r="4566" spans="1:24" x14ac:dyDescent="0.3">
      <c r="A4566" t="s">
        <v>123</v>
      </c>
      <c r="C4566" t="s">
        <v>3888</v>
      </c>
      <c r="D4566" s="1">
        <v>46084</v>
      </c>
      <c r="E4566" t="s">
        <v>3889</v>
      </c>
      <c r="F4566">
        <v>9</v>
      </c>
      <c r="G4566">
        <v>174</v>
      </c>
      <c r="H4566" t="str">
        <f>VLOOKUP(G4566,[1]OPERADORES!$A:$B,2,0)</f>
        <v>MIRIÃ LOBATO RODRIGUES</v>
      </c>
      <c r="I4566" t="s">
        <v>126</v>
      </c>
      <c r="J4566" t="s">
        <v>127</v>
      </c>
      <c r="K4566" t="s">
        <v>128</v>
      </c>
      <c r="L4566">
        <v>10236</v>
      </c>
      <c r="M4566" t="s">
        <v>133</v>
      </c>
      <c r="O4566" t="s">
        <v>11</v>
      </c>
      <c r="P4566">
        <v>6102</v>
      </c>
      <c r="Q4566">
        <v>15</v>
      </c>
      <c r="R4566">
        <v>2.79</v>
      </c>
      <c r="S4566">
        <v>41.85</v>
      </c>
      <c r="T4566">
        <v>34.799999999999997</v>
      </c>
      <c r="U4566">
        <v>16.850000000000001</v>
      </c>
      <c r="V4566" t="str">
        <f>VLOOKUP(L4566,'[2]tabela de preços'!$A:$D,4,0)</f>
        <v>NORTON</v>
      </c>
      <c r="W4566" t="str">
        <f>VLOOKUP(L4566,'[2]tabela de preços'!$A:$F,6,0)</f>
        <v xml:space="preserve">DISCOS / LIXAS / ABRASIVOS </v>
      </c>
      <c r="X4566" t="str">
        <f>VLOOKUP(L4566,'[2]tabela de preços'!$A:$G,7,0)</f>
        <v>AUTOMOTIVO</v>
      </c>
    </row>
    <row r="4567" spans="1:24" x14ac:dyDescent="0.3">
      <c r="A4567" t="s">
        <v>123</v>
      </c>
      <c r="C4567" t="s">
        <v>3888</v>
      </c>
      <c r="D4567" s="1">
        <v>46084</v>
      </c>
      <c r="E4567" t="s">
        <v>3889</v>
      </c>
      <c r="F4567">
        <v>9</v>
      </c>
      <c r="G4567">
        <v>174</v>
      </c>
      <c r="H4567" t="str">
        <f>VLOOKUP(G4567,[1]OPERADORES!$A:$B,2,0)</f>
        <v>MIRIÃ LOBATO RODRIGUES</v>
      </c>
      <c r="I4567" t="s">
        <v>126</v>
      </c>
      <c r="J4567" t="s">
        <v>127</v>
      </c>
      <c r="K4567" t="s">
        <v>128</v>
      </c>
      <c r="L4567">
        <v>10226</v>
      </c>
      <c r="M4567" t="s">
        <v>145</v>
      </c>
      <c r="O4567" t="s">
        <v>11</v>
      </c>
      <c r="P4567">
        <v>6102</v>
      </c>
      <c r="Q4567">
        <v>15</v>
      </c>
      <c r="R4567">
        <v>2.79</v>
      </c>
      <c r="S4567">
        <v>41.85</v>
      </c>
      <c r="T4567">
        <v>34.799999999999997</v>
      </c>
      <c r="U4567">
        <v>16.850000000000001</v>
      </c>
      <c r="V4567" t="str">
        <f>VLOOKUP(L4567,'[2]tabela de preços'!$A:$D,4,0)</f>
        <v>NORTON</v>
      </c>
      <c r="W4567" t="str">
        <f>VLOOKUP(L4567,'[2]tabela de preços'!$A:$F,6,0)</f>
        <v xml:space="preserve">DISCOS / LIXAS / ABRASIVOS </v>
      </c>
      <c r="X4567" t="str">
        <f>VLOOKUP(L4567,'[2]tabela de preços'!$A:$G,7,0)</f>
        <v>AUTOMOTIVO</v>
      </c>
    </row>
    <row r="4568" spans="1:24" x14ac:dyDescent="0.3">
      <c r="A4568" t="s">
        <v>123</v>
      </c>
      <c r="C4568" t="s">
        <v>3888</v>
      </c>
      <c r="D4568" s="1">
        <v>46084</v>
      </c>
      <c r="E4568" t="s">
        <v>3889</v>
      </c>
      <c r="F4568">
        <v>9</v>
      </c>
      <c r="G4568">
        <v>174</v>
      </c>
      <c r="H4568" t="str">
        <f>VLOOKUP(G4568,[1]OPERADORES!$A:$B,2,0)</f>
        <v>MIRIÃ LOBATO RODRIGUES</v>
      </c>
      <c r="I4568" t="s">
        <v>126</v>
      </c>
      <c r="J4568" t="s">
        <v>127</v>
      </c>
      <c r="K4568" t="s">
        <v>128</v>
      </c>
      <c r="L4568">
        <v>10230</v>
      </c>
      <c r="M4568" t="s">
        <v>193</v>
      </c>
      <c r="O4568" t="s">
        <v>11</v>
      </c>
      <c r="P4568">
        <v>6102</v>
      </c>
      <c r="Q4568">
        <v>15</v>
      </c>
      <c r="R4568">
        <v>2.79</v>
      </c>
      <c r="S4568">
        <v>41.85</v>
      </c>
      <c r="T4568">
        <v>34.799999999999997</v>
      </c>
      <c r="U4568">
        <v>16.850000000000001</v>
      </c>
      <c r="V4568" t="str">
        <f>VLOOKUP(L4568,'[2]tabela de preços'!$A:$D,4,0)</f>
        <v>NORTON</v>
      </c>
      <c r="W4568" t="str">
        <f>VLOOKUP(L4568,'[2]tabela de preços'!$A:$F,6,0)</f>
        <v xml:space="preserve">DISCOS / LIXAS / ABRASIVOS </v>
      </c>
      <c r="X4568" t="str">
        <f>VLOOKUP(L4568,'[2]tabela de preços'!$A:$G,7,0)</f>
        <v>AUTOMOTIVO</v>
      </c>
    </row>
    <row r="4569" spans="1:24" x14ac:dyDescent="0.3">
      <c r="A4569" t="s">
        <v>123</v>
      </c>
      <c r="C4569" t="s">
        <v>3888</v>
      </c>
      <c r="D4569" s="1">
        <v>46084</v>
      </c>
      <c r="E4569" t="s">
        <v>3889</v>
      </c>
      <c r="F4569">
        <v>9</v>
      </c>
      <c r="G4569">
        <v>174</v>
      </c>
      <c r="H4569" t="str">
        <f>VLOOKUP(G4569,[1]OPERADORES!$A:$B,2,0)</f>
        <v>MIRIÃ LOBATO RODRIGUES</v>
      </c>
      <c r="I4569" t="s">
        <v>126</v>
      </c>
      <c r="J4569" t="s">
        <v>127</v>
      </c>
      <c r="K4569" t="s">
        <v>128</v>
      </c>
      <c r="L4569">
        <v>10232</v>
      </c>
      <c r="M4569" t="s">
        <v>134</v>
      </c>
      <c r="O4569" t="s">
        <v>11</v>
      </c>
      <c r="P4569">
        <v>6102</v>
      </c>
      <c r="Q4569">
        <v>15</v>
      </c>
      <c r="R4569">
        <v>2.79</v>
      </c>
      <c r="S4569">
        <v>41.85</v>
      </c>
      <c r="T4569">
        <v>33.75</v>
      </c>
      <c r="U4569">
        <v>19.350000000000001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123</v>
      </c>
      <c r="C4570" t="s">
        <v>3888</v>
      </c>
      <c r="D4570" s="1">
        <v>46084</v>
      </c>
      <c r="E4570" t="s">
        <v>3889</v>
      </c>
      <c r="F4570">
        <v>9</v>
      </c>
      <c r="G4570">
        <v>174</v>
      </c>
      <c r="H4570" t="str">
        <f>VLOOKUP(G4570,[1]OPERADORES!$A:$B,2,0)</f>
        <v>MIRIÃ LOBATO RODRIGUES</v>
      </c>
      <c r="I4570" t="s">
        <v>126</v>
      </c>
      <c r="J4570" t="s">
        <v>127</v>
      </c>
      <c r="K4570" t="s">
        <v>128</v>
      </c>
      <c r="L4570">
        <v>10277</v>
      </c>
      <c r="M4570" t="s">
        <v>135</v>
      </c>
      <c r="O4570" t="s">
        <v>11</v>
      </c>
      <c r="P4570">
        <v>6102</v>
      </c>
      <c r="Q4570">
        <v>6</v>
      </c>
      <c r="R4570">
        <v>15.89</v>
      </c>
      <c r="S4570">
        <v>95.34</v>
      </c>
      <c r="T4570">
        <v>77.28</v>
      </c>
      <c r="U4570">
        <v>18.940000000000001</v>
      </c>
      <c r="V4570" t="str">
        <f>VLOOKUP(L4570,'[2]tabela de preços'!$A:$D,4,0)</f>
        <v>RETOQUE</v>
      </c>
      <c r="W4570" t="str">
        <f>VLOOKUP(L4570,'[2]tabela de preços'!$A:$F,6,0)</f>
        <v xml:space="preserve">COLA  PLÁSTICA </v>
      </c>
      <c r="X4570" t="str">
        <f>VLOOKUP(L4570,'[2]tabela de preços'!$A:$G,7,0)</f>
        <v>AUTOMOTIVO</v>
      </c>
    </row>
    <row r="4571" spans="1:24" x14ac:dyDescent="0.3">
      <c r="A4571" t="s">
        <v>123</v>
      </c>
      <c r="C4571" t="s">
        <v>3888</v>
      </c>
      <c r="D4571" s="1">
        <v>46084</v>
      </c>
      <c r="E4571" t="s">
        <v>3889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126</v>
      </c>
      <c r="J4571" t="s">
        <v>127</v>
      </c>
      <c r="K4571" t="s">
        <v>128</v>
      </c>
      <c r="L4571">
        <v>23602</v>
      </c>
      <c r="M4571" t="s">
        <v>215</v>
      </c>
      <c r="O4571" t="s">
        <v>11</v>
      </c>
      <c r="P4571">
        <v>6403</v>
      </c>
      <c r="Q4571">
        <v>6</v>
      </c>
      <c r="R4571">
        <v>35.89</v>
      </c>
      <c r="S4571">
        <v>215.34</v>
      </c>
      <c r="T4571">
        <v>175.5</v>
      </c>
      <c r="U4571">
        <v>18.5</v>
      </c>
      <c r="V4571" t="str">
        <f>VLOOKUP(L4571,'[2]tabela de preços'!$A:$D,4,0)</f>
        <v>SHERWIN WILLIAMS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123</v>
      </c>
      <c r="C4572" t="s">
        <v>3888</v>
      </c>
      <c r="D4572" s="1">
        <v>46084</v>
      </c>
      <c r="E4572" t="s">
        <v>3889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126</v>
      </c>
      <c r="J4572" t="s">
        <v>127</v>
      </c>
      <c r="K4572" t="s">
        <v>128</v>
      </c>
      <c r="L4572">
        <v>20431</v>
      </c>
      <c r="M4572" t="s">
        <v>202</v>
      </c>
      <c r="O4572" t="s">
        <v>11</v>
      </c>
      <c r="P4572">
        <v>6403</v>
      </c>
      <c r="Q4572">
        <v>4</v>
      </c>
      <c r="R4572">
        <v>36.89</v>
      </c>
      <c r="S4572">
        <v>147.56</v>
      </c>
      <c r="T4572">
        <v>121.04</v>
      </c>
      <c r="U4572">
        <v>17.97</v>
      </c>
      <c r="V4572" t="str">
        <f>VLOOKUP(L4572,'[2]tabela de preços'!$A:$D,4,0)</f>
        <v>SHERWIN WILLIAMS</v>
      </c>
      <c r="W4572" t="str">
        <f>VLOOKUP(L4572,'[2]tabela de preços'!$A:$F,6,0)</f>
        <v>VERNIZ AUTOMOTIVO</v>
      </c>
      <c r="X4572" t="str">
        <f>VLOOKUP(L4572,'[2]tabela de preços'!$A:$G,7,0)</f>
        <v>AUTOMOTIVO</v>
      </c>
    </row>
    <row r="4573" spans="1:24" x14ac:dyDescent="0.3">
      <c r="A4573" t="s">
        <v>123</v>
      </c>
      <c r="C4573" t="s">
        <v>3888</v>
      </c>
      <c r="D4573" s="1">
        <v>46084</v>
      </c>
      <c r="E4573" t="s">
        <v>3889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126</v>
      </c>
      <c r="J4573" t="s">
        <v>127</v>
      </c>
      <c r="K4573" t="s">
        <v>128</v>
      </c>
      <c r="L4573">
        <v>13</v>
      </c>
      <c r="M4573" t="s">
        <v>152</v>
      </c>
      <c r="O4573" t="s">
        <v>11</v>
      </c>
      <c r="P4573">
        <v>6102</v>
      </c>
      <c r="Q4573">
        <v>15</v>
      </c>
      <c r="R4573">
        <v>5.79</v>
      </c>
      <c r="S4573">
        <v>86.85</v>
      </c>
      <c r="T4573">
        <v>62.4</v>
      </c>
      <c r="U4573">
        <v>28.15</v>
      </c>
      <c r="V4573" t="str">
        <f>VLOOKUP(L4573,'[2]tabela de preços'!$A:$D,4,0)</f>
        <v>3M</v>
      </c>
      <c r="W4573" t="str">
        <f>VLOOKUP(L4573,'[2]tabela de preços'!$A:$F,6,0)</f>
        <v>LIXA DÁGUA</v>
      </c>
      <c r="X4573" t="str">
        <f>VLOOKUP(L4573,'[2]tabela de preços'!$A:$G,7,0)</f>
        <v>AUTOMOTIVO</v>
      </c>
    </row>
    <row r="4574" spans="1:24" x14ac:dyDescent="0.3">
      <c r="A4574" t="s">
        <v>123</v>
      </c>
      <c r="C4574" t="s">
        <v>3888</v>
      </c>
      <c r="D4574" s="1">
        <v>46084</v>
      </c>
      <c r="E4574" t="s">
        <v>3889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126</v>
      </c>
      <c r="J4574" t="s">
        <v>127</v>
      </c>
      <c r="K4574" t="s">
        <v>128</v>
      </c>
      <c r="L4574">
        <v>15</v>
      </c>
      <c r="M4574" t="s">
        <v>205</v>
      </c>
      <c r="O4574" t="s">
        <v>11</v>
      </c>
      <c r="P4574">
        <v>6102</v>
      </c>
      <c r="Q4574">
        <v>15</v>
      </c>
      <c r="R4574">
        <v>5.79</v>
      </c>
      <c r="S4574">
        <v>86.85</v>
      </c>
      <c r="T4574">
        <v>62.4</v>
      </c>
      <c r="U4574">
        <v>28.15</v>
      </c>
      <c r="V4574" t="str">
        <f>VLOOKUP(L4574,'[2]tabela de preços'!$A:$D,4,0)</f>
        <v>3M</v>
      </c>
      <c r="W4574" t="str">
        <f>VLOOKUP(L4574,'[2]tabela de preços'!$A:$F,6,0)</f>
        <v>LIXA DÁGUA</v>
      </c>
      <c r="X4574" t="str">
        <f>VLOOKUP(L4574,'[2]tabela de preços'!$A:$G,7,0)</f>
        <v>AUTOMOTIVO</v>
      </c>
    </row>
    <row r="4575" spans="1:24" x14ac:dyDescent="0.3">
      <c r="A4575" t="s">
        <v>123</v>
      </c>
      <c r="C4575" t="s">
        <v>3888</v>
      </c>
      <c r="D4575" s="1">
        <v>46084</v>
      </c>
      <c r="E4575" t="s">
        <v>3889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126</v>
      </c>
      <c r="J4575" t="s">
        <v>127</v>
      </c>
      <c r="K4575" t="s">
        <v>128</v>
      </c>
      <c r="L4575">
        <v>16</v>
      </c>
      <c r="M4575" t="s">
        <v>122</v>
      </c>
      <c r="O4575" t="s">
        <v>11</v>
      </c>
      <c r="P4575">
        <v>6102</v>
      </c>
      <c r="Q4575">
        <v>15</v>
      </c>
      <c r="R4575">
        <v>2.9</v>
      </c>
      <c r="S4575">
        <v>43.5</v>
      </c>
      <c r="T4575">
        <v>33</v>
      </c>
      <c r="U4575">
        <v>24.14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123</v>
      </c>
      <c r="C4576" t="s">
        <v>3888</v>
      </c>
      <c r="D4576" s="1">
        <v>46084</v>
      </c>
      <c r="E4576" t="s">
        <v>3889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126</v>
      </c>
      <c r="J4576" t="s">
        <v>127</v>
      </c>
      <c r="K4576" t="s">
        <v>128</v>
      </c>
      <c r="L4576">
        <v>10238</v>
      </c>
      <c r="M4576" t="s">
        <v>79</v>
      </c>
      <c r="O4576" t="s">
        <v>11</v>
      </c>
      <c r="P4576">
        <v>6102</v>
      </c>
      <c r="Q4576">
        <v>50</v>
      </c>
      <c r="R4576">
        <v>2.79</v>
      </c>
      <c r="S4576">
        <v>139.5</v>
      </c>
      <c r="T4576">
        <v>112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123</v>
      </c>
      <c r="C4577" t="s">
        <v>3888</v>
      </c>
      <c r="D4577" s="1">
        <v>46084</v>
      </c>
      <c r="E4577" t="s">
        <v>3889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126</v>
      </c>
      <c r="J4577" t="s">
        <v>127</v>
      </c>
      <c r="K4577" t="s">
        <v>128</v>
      </c>
      <c r="L4577">
        <v>10240</v>
      </c>
      <c r="M4577" t="s">
        <v>81</v>
      </c>
      <c r="O4577" t="s">
        <v>11</v>
      </c>
      <c r="P4577">
        <v>6102</v>
      </c>
      <c r="Q4577">
        <v>25</v>
      </c>
      <c r="R4577">
        <v>2.79</v>
      </c>
      <c r="S4577">
        <v>69.75</v>
      </c>
      <c r="T4577">
        <v>56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123</v>
      </c>
      <c r="C4578" t="s">
        <v>3888</v>
      </c>
      <c r="D4578" s="1">
        <v>46084</v>
      </c>
      <c r="E4578" t="s">
        <v>3889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126</v>
      </c>
      <c r="J4578" t="s">
        <v>127</v>
      </c>
      <c r="K4578" t="s">
        <v>128</v>
      </c>
      <c r="L4578">
        <v>10244</v>
      </c>
      <c r="M4578" t="s">
        <v>84</v>
      </c>
      <c r="O4578" t="s">
        <v>11</v>
      </c>
      <c r="P4578">
        <v>6102</v>
      </c>
      <c r="Q4578">
        <v>25</v>
      </c>
      <c r="R4578">
        <v>2.79</v>
      </c>
      <c r="S4578">
        <v>69.75</v>
      </c>
      <c r="T4578">
        <v>48.25</v>
      </c>
      <c r="U4578">
        <v>30.82</v>
      </c>
      <c r="V4578" t="str">
        <f>VLOOKUP(L4578,'[2]tabela de preços'!$A:$D,4,0)</f>
        <v>NORTON</v>
      </c>
      <c r="W4578" t="str">
        <f>VLOOKUP(L4578,'[2]tabela de preços'!$A:$F,6,0)</f>
        <v xml:space="preserve">DISCOS / LIXAS / ABRASIVOS </v>
      </c>
      <c r="X4578" t="str">
        <f>VLOOKUP(L4578,'[2]tabela de preços'!$A:$G,7,0)</f>
        <v>AUTOMOTIVO</v>
      </c>
    </row>
    <row r="4579" spans="1:24" x14ac:dyDescent="0.3">
      <c r="A4579" t="s">
        <v>123</v>
      </c>
      <c r="C4579" t="s">
        <v>3888</v>
      </c>
      <c r="D4579" s="1">
        <v>46084</v>
      </c>
      <c r="E4579" t="s">
        <v>3889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126</v>
      </c>
      <c r="J4579" t="s">
        <v>127</v>
      </c>
      <c r="K4579" t="s">
        <v>128</v>
      </c>
      <c r="L4579">
        <v>10245</v>
      </c>
      <c r="M4579" t="s">
        <v>195</v>
      </c>
      <c r="O4579" t="s">
        <v>11</v>
      </c>
      <c r="P4579">
        <v>6102</v>
      </c>
      <c r="Q4579">
        <v>15</v>
      </c>
      <c r="R4579">
        <v>2.79</v>
      </c>
      <c r="S4579">
        <v>41.85</v>
      </c>
      <c r="T4579">
        <v>28.95</v>
      </c>
      <c r="U4579">
        <v>30.82</v>
      </c>
      <c r="V4579" t="str">
        <f>VLOOKUP(L4579,'[2]tabela de preços'!$A:$D,4,0)</f>
        <v>NORTON</v>
      </c>
      <c r="W4579" t="str">
        <f>VLOOKUP(L4579,'[2]tabela de preços'!$A:$F,6,0)</f>
        <v xml:space="preserve">DISCOS / LIXAS / ABRASIVOS </v>
      </c>
      <c r="X4579" t="str">
        <f>VLOOKUP(L4579,'[2]tabela de preços'!$A:$G,7,0)</f>
        <v>AUTOMOTIVO</v>
      </c>
    </row>
    <row r="4580" spans="1:24" x14ac:dyDescent="0.3">
      <c r="A4580" t="s">
        <v>123</v>
      </c>
      <c r="C4580" t="s">
        <v>3888</v>
      </c>
      <c r="D4580" s="1">
        <v>46084</v>
      </c>
      <c r="E4580" t="s">
        <v>3889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126</v>
      </c>
      <c r="J4580" t="s">
        <v>127</v>
      </c>
      <c r="K4580" t="s">
        <v>128</v>
      </c>
      <c r="L4580">
        <v>10246</v>
      </c>
      <c r="M4580" t="s">
        <v>206</v>
      </c>
      <c r="O4580" t="s">
        <v>11</v>
      </c>
      <c r="P4580">
        <v>6102</v>
      </c>
      <c r="Q4580">
        <v>15</v>
      </c>
      <c r="R4580">
        <v>2.79</v>
      </c>
      <c r="S4580">
        <v>41.85</v>
      </c>
      <c r="T4580">
        <v>28.95</v>
      </c>
      <c r="U4580">
        <v>30.82</v>
      </c>
      <c r="V4580" t="str">
        <f>VLOOKUP(L4580,'[2]tabela de preços'!$A:$D,4,0)</f>
        <v>NORTON</v>
      </c>
      <c r="W4580" t="str">
        <f>VLOOKUP(L4580,'[2]tabela de preços'!$A:$F,6,0)</f>
        <v xml:space="preserve">DISCOS / LIXAS / ABRASIVOS </v>
      </c>
      <c r="X4580" t="str">
        <f>VLOOKUP(L4580,'[2]tabela de preços'!$A:$G,7,0)</f>
        <v>AUTOMOTIVO</v>
      </c>
    </row>
    <row r="4581" spans="1:24" x14ac:dyDescent="0.3">
      <c r="A4581" t="s">
        <v>123</v>
      </c>
      <c r="C4581" t="s">
        <v>3888</v>
      </c>
      <c r="D4581" s="1">
        <v>46084</v>
      </c>
      <c r="E4581" t="s">
        <v>3889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126</v>
      </c>
      <c r="J4581" t="s">
        <v>127</v>
      </c>
      <c r="K4581" t="s">
        <v>128</v>
      </c>
      <c r="L4581">
        <v>21078</v>
      </c>
      <c r="M4581" t="s">
        <v>141</v>
      </c>
      <c r="O4581" t="s">
        <v>11</v>
      </c>
      <c r="P4581">
        <v>6102</v>
      </c>
      <c r="Q4581">
        <v>6</v>
      </c>
      <c r="R4581">
        <v>22.89</v>
      </c>
      <c r="S4581">
        <v>137.34</v>
      </c>
      <c r="T4581">
        <v>111.96</v>
      </c>
      <c r="U4581">
        <v>18.48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123</v>
      </c>
      <c r="C4582" t="s">
        <v>3888</v>
      </c>
      <c r="D4582" s="1">
        <v>46084</v>
      </c>
      <c r="E4582" t="s">
        <v>3889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126</v>
      </c>
      <c r="J4582" t="s">
        <v>127</v>
      </c>
      <c r="K4582" t="s">
        <v>128</v>
      </c>
      <c r="L4582">
        <v>23267</v>
      </c>
      <c r="M4582" t="s">
        <v>164</v>
      </c>
      <c r="O4582" t="s">
        <v>11</v>
      </c>
      <c r="P4582">
        <v>6102</v>
      </c>
      <c r="Q4582">
        <v>4</v>
      </c>
      <c r="R4582">
        <v>22.89</v>
      </c>
      <c r="S4582">
        <v>91.56</v>
      </c>
      <c r="T4582">
        <v>74.48</v>
      </c>
      <c r="U4582">
        <v>18.649999999999999</v>
      </c>
      <c r="V4582" t="str">
        <f>VLOOKUP(L4582,'[2]tabela de preços'!$A:$D,4,0)</f>
        <v>ANJO</v>
      </c>
      <c r="W4582" t="str">
        <f>VLOOKUP(L4582,'[2]tabela de preços'!$A:$F,6,0)</f>
        <v>MASSA POLIÉSTER</v>
      </c>
      <c r="X4582" t="str">
        <f>VLOOKUP(L4582,'[2]tabela de preços'!$A:$G,7,0)</f>
        <v>AUTOMOTIVO</v>
      </c>
    </row>
    <row r="4583" spans="1:24" x14ac:dyDescent="0.3">
      <c r="A4583" t="s">
        <v>123</v>
      </c>
      <c r="C4583" t="s">
        <v>3888</v>
      </c>
      <c r="D4583" s="1">
        <v>46084</v>
      </c>
      <c r="E4583" t="s">
        <v>3889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126</v>
      </c>
      <c r="J4583" t="s">
        <v>127</v>
      </c>
      <c r="K4583" t="s">
        <v>128</v>
      </c>
      <c r="L4583">
        <v>22180</v>
      </c>
      <c r="M4583" t="s">
        <v>404</v>
      </c>
      <c r="O4583" t="s">
        <v>11</v>
      </c>
      <c r="P4583">
        <v>6102</v>
      </c>
      <c r="Q4583">
        <v>4</v>
      </c>
      <c r="R4583">
        <v>19.29</v>
      </c>
      <c r="S4583">
        <v>77.16</v>
      </c>
      <c r="T4583">
        <v>58.56</v>
      </c>
      <c r="U4583">
        <v>24.11</v>
      </c>
      <c r="V4583" t="str">
        <f>VLOOKUP(L4583,'[2]tabela de preços'!$A:$D,4,0)</f>
        <v>MADRUGA</v>
      </c>
      <c r="W4583" t="str">
        <f>VLOOKUP(L4583,'[2]tabela de preços'!$A:$F,6,0)</f>
        <v>PAPEL DE MASCARAMENTO</v>
      </c>
      <c r="X4583" t="str">
        <f>VLOOKUP(L4583,'[2]tabela de preços'!$A:$G,7,0)</f>
        <v>AUTOMOTIVO</v>
      </c>
    </row>
    <row r="4584" spans="1:24" x14ac:dyDescent="0.3">
      <c r="A4584" t="s">
        <v>3521</v>
      </c>
      <c r="C4584" t="s">
        <v>3890</v>
      </c>
      <c r="D4584" s="1">
        <v>46083</v>
      </c>
      <c r="E4584" t="s">
        <v>3891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397</v>
      </c>
      <c r="K4584" t="s">
        <v>3524</v>
      </c>
      <c r="L4584">
        <v>83788</v>
      </c>
      <c r="M4584" t="s">
        <v>2678</v>
      </c>
      <c r="O4584" t="s">
        <v>11</v>
      </c>
      <c r="P4584">
        <v>5102</v>
      </c>
      <c r="Q4584">
        <v>1</v>
      </c>
      <c r="R4584">
        <v>60.16</v>
      </c>
      <c r="S4584">
        <v>60.16</v>
      </c>
      <c r="T4584">
        <v>44.1</v>
      </c>
      <c r="U4584">
        <v>26.7</v>
      </c>
      <c r="V4584" t="str">
        <f>VLOOKUP(L4584,'[2]tabela de preços'!$A:$D,4,0)</f>
        <v>VONIXX</v>
      </c>
      <c r="W4584" t="str">
        <f>VLOOKUP(L4584,'[2]tabela de preços'!$A:$F,6,0)</f>
        <v>BOINAS PARA POLIMENTO</v>
      </c>
      <c r="X4584" t="str">
        <f>VLOOKUP(L4584,'[2]tabela de preços'!$A:$G,7,0)</f>
        <v>AUTOMOTIVO</v>
      </c>
    </row>
    <row r="4585" spans="1:24" x14ac:dyDescent="0.3">
      <c r="A4585" t="s">
        <v>186</v>
      </c>
      <c r="C4585" t="s">
        <v>3892</v>
      </c>
      <c r="D4585" s="1">
        <v>46083</v>
      </c>
      <c r="E4585" t="s">
        <v>3893</v>
      </c>
      <c r="F4585">
        <v>9</v>
      </c>
      <c r="G4585">
        <v>236</v>
      </c>
      <c r="H4585" t="str">
        <f>VLOOKUP(G4585,[1]OPERADORES!$A:$B,2,0)</f>
        <v>DANIEL</v>
      </c>
      <c r="I4585" t="s">
        <v>21</v>
      </c>
      <c r="J4585" t="s">
        <v>189</v>
      </c>
      <c r="K4585" t="s">
        <v>190</v>
      </c>
      <c r="L4585">
        <v>83870</v>
      </c>
      <c r="M4585" t="s">
        <v>191</v>
      </c>
      <c r="O4585" t="s">
        <v>11</v>
      </c>
      <c r="P4585">
        <v>5102</v>
      </c>
      <c r="Q4585">
        <v>3</v>
      </c>
      <c r="R4585">
        <v>41.3</v>
      </c>
      <c r="S4585">
        <v>123.9</v>
      </c>
      <c r="T4585">
        <v>94.05</v>
      </c>
      <c r="U4585">
        <v>24.09</v>
      </c>
      <c r="V4585" t="str">
        <f>VLOOKUP(L4585,'[2]tabela de preços'!$A:$D,4,0)</f>
        <v>VONIXX</v>
      </c>
      <c r="W4585" t="str">
        <f>VLOOKUP(L4585,'[2]tabela de preços'!$A:$F,6,0)</f>
        <v>LINHA DE HIGENIZAÇÃO E ESTÉTICA  AUTOMOTIVA</v>
      </c>
      <c r="X4585" t="str">
        <f>VLOOKUP(L4585,'[2]tabela de preços'!$A:$G,7,0)</f>
        <v>AUTOMOTIVO</v>
      </c>
    </row>
    <row r="4586" spans="1:24" x14ac:dyDescent="0.3">
      <c r="A4586" t="s">
        <v>186</v>
      </c>
      <c r="C4586" t="s">
        <v>3892</v>
      </c>
      <c r="D4586" s="1">
        <v>46083</v>
      </c>
      <c r="E4586" t="s">
        <v>3894</v>
      </c>
      <c r="F4586">
        <v>9</v>
      </c>
      <c r="G4586">
        <v>236</v>
      </c>
      <c r="H4586" t="str">
        <f>VLOOKUP(G4586,[1]OPERADORES!$A:$B,2,0)</f>
        <v>DANIEL</v>
      </c>
      <c r="I4586" t="s">
        <v>21</v>
      </c>
      <c r="J4586" t="s">
        <v>189</v>
      </c>
      <c r="K4586" t="s">
        <v>190</v>
      </c>
      <c r="L4586">
        <v>21301</v>
      </c>
      <c r="M4586" t="s">
        <v>643</v>
      </c>
      <c r="O4586" t="s">
        <v>11</v>
      </c>
      <c r="P4586">
        <v>5403</v>
      </c>
      <c r="Q4586">
        <v>1</v>
      </c>
      <c r="R4586">
        <v>39.85</v>
      </c>
      <c r="S4586">
        <v>39.85</v>
      </c>
      <c r="T4586">
        <v>30.25</v>
      </c>
      <c r="U4586">
        <v>24.09</v>
      </c>
      <c r="V4586" t="str">
        <f>VLOOKUP(L4586,'[2]tabela de preços'!$A:$D,4,0)</f>
        <v>WANDA</v>
      </c>
      <c r="W4586" t="str">
        <f>VLOOKUP(L4586,'[2]tabela de preços'!$A:$F,6,0)</f>
        <v>TINTAS POLIÉSTER</v>
      </c>
      <c r="X4586" t="str">
        <f>VLOOKUP(L4586,'[2]tabela de preços'!$A:$G,7,0)</f>
        <v>AUTOMOTIVO</v>
      </c>
    </row>
    <row r="4587" spans="1:24" x14ac:dyDescent="0.3">
      <c r="A4587" t="s">
        <v>186</v>
      </c>
      <c r="C4587" t="s">
        <v>3892</v>
      </c>
      <c r="D4587" s="1">
        <v>46083</v>
      </c>
      <c r="E4587" t="s">
        <v>3894</v>
      </c>
      <c r="F4587">
        <v>9</v>
      </c>
      <c r="G4587">
        <v>236</v>
      </c>
      <c r="H4587" t="str">
        <f>VLOOKUP(G4587,[1]OPERADORES!$A:$B,2,0)</f>
        <v>DANIEL</v>
      </c>
      <c r="I4587" t="s">
        <v>21</v>
      </c>
      <c r="J4587" t="s">
        <v>189</v>
      </c>
      <c r="K4587" t="s">
        <v>190</v>
      </c>
      <c r="L4587">
        <v>23580</v>
      </c>
      <c r="M4587" t="s">
        <v>115</v>
      </c>
      <c r="O4587" t="s">
        <v>11</v>
      </c>
      <c r="P4587">
        <v>5102</v>
      </c>
      <c r="Q4587">
        <v>20</v>
      </c>
      <c r="R4587">
        <v>0.56000000000000005</v>
      </c>
      <c r="S4587">
        <v>11.2</v>
      </c>
      <c r="T4587">
        <v>7.2</v>
      </c>
      <c r="U4587">
        <v>35.71</v>
      </c>
      <c r="V4587" t="str">
        <f>VLOOKUP(L4587,'[2]tabela de preços'!$A:$D,4,0)</f>
        <v>RENOVA COADORES</v>
      </c>
      <c r="W4587" t="str">
        <f>VLOOKUP(L4587,'[2]tabela de preços'!$A:$F,6,0)</f>
        <v>COADORES</v>
      </c>
      <c r="X4587" t="str">
        <f>VLOOKUP(L4587,'[2]tabela de preços'!$A:$G,7,0)</f>
        <v>AUTOMOTIVO</v>
      </c>
    </row>
    <row r="4588" spans="1:24" x14ac:dyDescent="0.3">
      <c r="A4588" t="s">
        <v>186</v>
      </c>
      <c r="C4588" t="s">
        <v>3892</v>
      </c>
      <c r="D4588" s="1">
        <v>46083</v>
      </c>
      <c r="E4588" t="s">
        <v>3894</v>
      </c>
      <c r="F4588">
        <v>9</v>
      </c>
      <c r="G4588">
        <v>236</v>
      </c>
      <c r="H4588" t="str">
        <f>VLOOKUP(G4588,[1]OPERADORES!$A:$B,2,0)</f>
        <v>DANIEL</v>
      </c>
      <c r="I4588" t="s">
        <v>21</v>
      </c>
      <c r="J4588" t="s">
        <v>189</v>
      </c>
      <c r="K4588" t="s">
        <v>190</v>
      </c>
      <c r="L4588">
        <v>10236</v>
      </c>
      <c r="M4588" t="s">
        <v>133</v>
      </c>
      <c r="O4588" t="s">
        <v>11</v>
      </c>
      <c r="P4588">
        <v>5102</v>
      </c>
      <c r="Q4588">
        <v>5</v>
      </c>
      <c r="R4588">
        <v>2.79</v>
      </c>
      <c r="S4588">
        <v>13.95</v>
      </c>
      <c r="T4588">
        <v>11.6</v>
      </c>
      <c r="U4588">
        <v>16.850000000000001</v>
      </c>
      <c r="V4588" t="str">
        <f>VLOOKUP(L4588,'[2]tabela de preços'!$A:$D,4,0)</f>
        <v>NORTON</v>
      </c>
      <c r="W4588" t="str">
        <f>VLOOKUP(L4588,'[2]tabela de preços'!$A:$F,6,0)</f>
        <v xml:space="preserve">DISCOS / LIXAS / ABRASIVOS </v>
      </c>
      <c r="X4588" t="str">
        <f>VLOOKUP(L4588,'[2]tabela de preços'!$A:$G,7,0)</f>
        <v>AUTOMOTIVO</v>
      </c>
    </row>
    <row r="4589" spans="1:24" x14ac:dyDescent="0.3">
      <c r="A4589" t="s">
        <v>186</v>
      </c>
      <c r="C4589" t="s">
        <v>3892</v>
      </c>
      <c r="D4589" s="1">
        <v>46083</v>
      </c>
      <c r="E4589" t="s">
        <v>3894</v>
      </c>
      <c r="F4589">
        <v>9</v>
      </c>
      <c r="G4589">
        <v>236</v>
      </c>
      <c r="H4589" t="str">
        <f>VLOOKUP(G4589,[1]OPERADORES!$A:$B,2,0)</f>
        <v>DANIEL</v>
      </c>
      <c r="I4589" t="s">
        <v>21</v>
      </c>
      <c r="J4589" t="s">
        <v>189</v>
      </c>
      <c r="K4589" t="s">
        <v>190</v>
      </c>
      <c r="L4589">
        <v>10237</v>
      </c>
      <c r="M4589" t="s">
        <v>271</v>
      </c>
      <c r="O4589" t="s">
        <v>11</v>
      </c>
      <c r="P4589">
        <v>5102</v>
      </c>
      <c r="Q4589">
        <v>5</v>
      </c>
      <c r="R4589">
        <v>2.79</v>
      </c>
      <c r="S4589">
        <v>13.95</v>
      </c>
      <c r="T4589">
        <v>11.25</v>
      </c>
      <c r="U4589">
        <v>19.350000000000001</v>
      </c>
      <c r="V4589" t="str">
        <f>VLOOKUP(L4589,'[2]tabela de preços'!$A:$D,4,0)</f>
        <v>NORTON</v>
      </c>
      <c r="W4589" t="str">
        <f>VLOOKUP(L4589,'[2]tabela de preços'!$A:$F,6,0)</f>
        <v xml:space="preserve">DISCOS / LIXAS / ABRASIVOS </v>
      </c>
      <c r="X4589" t="str">
        <f>VLOOKUP(L4589,'[2]tabela de preços'!$A:$G,7,0)</f>
        <v>AUTOMOTIVO</v>
      </c>
    </row>
    <row r="4590" spans="1:24" x14ac:dyDescent="0.3">
      <c r="A4590" t="s">
        <v>186</v>
      </c>
      <c r="C4590" t="s">
        <v>3892</v>
      </c>
      <c r="D4590" s="1">
        <v>46083</v>
      </c>
      <c r="E4590" t="s">
        <v>3894</v>
      </c>
      <c r="F4590">
        <v>9</v>
      </c>
      <c r="G4590">
        <v>236</v>
      </c>
      <c r="H4590" t="str">
        <f>VLOOKUP(G4590,[1]OPERADORES!$A:$B,2,0)</f>
        <v>DANIEL</v>
      </c>
      <c r="I4590" t="s">
        <v>21</v>
      </c>
      <c r="J4590" t="s">
        <v>189</v>
      </c>
      <c r="K4590" t="s">
        <v>190</v>
      </c>
      <c r="L4590">
        <v>22173</v>
      </c>
      <c r="M4590" t="s">
        <v>194</v>
      </c>
      <c r="O4590" t="s">
        <v>11</v>
      </c>
      <c r="P4590">
        <v>5102</v>
      </c>
      <c r="Q4590">
        <v>20</v>
      </c>
      <c r="R4590">
        <v>4.58</v>
      </c>
      <c r="S4590">
        <v>91.6</v>
      </c>
      <c r="T4590">
        <v>69.599999999999994</v>
      </c>
      <c r="U4590">
        <v>24.02</v>
      </c>
      <c r="V4590" t="str">
        <f>VLOOKUP(L4590,'[2]tabela de preços'!$A:$D,4,0)</f>
        <v>3M</v>
      </c>
      <c r="W4590" t="str">
        <f>VLOOKUP(L4590,'[2]tabela de preços'!$A:$F,6,0)</f>
        <v>FITA AUTOMOTIVA</v>
      </c>
      <c r="X4590" t="str">
        <f>VLOOKUP(L4590,'[2]tabela de preços'!$A:$G,7,0)</f>
        <v>AUTOMOTIVO</v>
      </c>
    </row>
    <row r="4591" spans="1:24" x14ac:dyDescent="0.3">
      <c r="A4591" t="s">
        <v>186</v>
      </c>
      <c r="C4591" t="s">
        <v>3892</v>
      </c>
      <c r="D4591" s="1">
        <v>46083</v>
      </c>
      <c r="E4591" t="s">
        <v>3893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189</v>
      </c>
      <c r="K4591" t="s">
        <v>190</v>
      </c>
      <c r="L4591">
        <v>84558</v>
      </c>
      <c r="M4591" t="s">
        <v>432</v>
      </c>
      <c r="O4591" t="s">
        <v>11</v>
      </c>
      <c r="P4591">
        <v>5102</v>
      </c>
      <c r="Q4591">
        <v>1</v>
      </c>
      <c r="R4591">
        <v>6.25</v>
      </c>
      <c r="S4591">
        <v>6.25</v>
      </c>
      <c r="T4591">
        <v>4.74</v>
      </c>
      <c r="U4591">
        <v>24.16</v>
      </c>
      <c r="V4591" t="str">
        <f>VLOOKUP(L4591,'[2]tabela de preços'!$A:$D,4,0)</f>
        <v>3M</v>
      </c>
      <c r="W4591" t="str">
        <f>VLOOKUP(L4591,'[2]tabela de preços'!$A:$F,6,0)</f>
        <v>FITA ISOLANTE</v>
      </c>
      <c r="X4591" t="str">
        <f>VLOOKUP(L4591,'[2]tabela de preços'!$A:$G,7,0)</f>
        <v>IMOBILIÁRIO</v>
      </c>
    </row>
    <row r="4592" spans="1:24" x14ac:dyDescent="0.3">
      <c r="A4592" t="s">
        <v>186</v>
      </c>
      <c r="C4592" t="s">
        <v>3892</v>
      </c>
      <c r="D4592" s="1">
        <v>46083</v>
      </c>
      <c r="E4592" t="s">
        <v>3894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189</v>
      </c>
      <c r="K4592" t="s">
        <v>190</v>
      </c>
      <c r="L4592">
        <v>85409</v>
      </c>
      <c r="M4592" t="s">
        <v>201</v>
      </c>
      <c r="O4592" t="s">
        <v>11</v>
      </c>
      <c r="P4592">
        <v>5403</v>
      </c>
      <c r="Q4592">
        <v>3</v>
      </c>
      <c r="R4592">
        <v>30.46</v>
      </c>
      <c r="S4592">
        <v>91.38</v>
      </c>
      <c r="T4592">
        <v>69.33</v>
      </c>
      <c r="U4592">
        <v>24.13</v>
      </c>
      <c r="V4592" t="str">
        <f>VLOOKUP(L4592,'[2]tabela de preços'!$A:$D,4,0)</f>
        <v>WANDA</v>
      </c>
      <c r="W4592" t="str">
        <f>VLOOKUP(L4592,'[2]tabela de preços'!$A:$F,6,0)</f>
        <v>PRIMER AUTOMOTIVO</v>
      </c>
      <c r="X4592" t="str">
        <f>VLOOKUP(L4592,'[2]tabela de preços'!$A:$G,7,0)</f>
        <v>AUTOMOTIVO</v>
      </c>
    </row>
    <row r="4593" spans="1:24" x14ac:dyDescent="0.3">
      <c r="A4593" t="s">
        <v>186</v>
      </c>
      <c r="C4593" t="s">
        <v>3892</v>
      </c>
      <c r="D4593" s="1">
        <v>46083</v>
      </c>
      <c r="E4593" t="s">
        <v>3894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189</v>
      </c>
      <c r="K4593" t="s">
        <v>190</v>
      </c>
      <c r="L4593">
        <v>20431</v>
      </c>
      <c r="M4593" t="s">
        <v>202</v>
      </c>
      <c r="O4593" t="s">
        <v>11</v>
      </c>
      <c r="P4593">
        <v>5403</v>
      </c>
      <c r="Q4593">
        <v>5</v>
      </c>
      <c r="R4593">
        <v>36.89</v>
      </c>
      <c r="S4593">
        <v>184.45</v>
      </c>
      <c r="T4593">
        <v>151.30000000000001</v>
      </c>
      <c r="U4593">
        <v>17.97</v>
      </c>
      <c r="V4593" t="str">
        <f>VLOOKUP(L4593,'[2]tabela de preços'!$A:$D,4,0)</f>
        <v>SHERWIN WILLIAMS</v>
      </c>
      <c r="W4593" t="str">
        <f>VLOOKUP(L4593,'[2]tabela de preços'!$A:$F,6,0)</f>
        <v>VERNIZ AUTOMOTIVO</v>
      </c>
      <c r="X4593" t="str">
        <f>VLOOKUP(L4593,'[2]tabela de preços'!$A:$G,7,0)</f>
        <v>AUTOMOTIVO</v>
      </c>
    </row>
    <row r="4594" spans="1:24" x14ac:dyDescent="0.3">
      <c r="A4594" t="s">
        <v>186</v>
      </c>
      <c r="C4594" t="s">
        <v>3892</v>
      </c>
      <c r="D4594" s="1">
        <v>46083</v>
      </c>
      <c r="E4594" t="s">
        <v>3894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189</v>
      </c>
      <c r="K4594" t="s">
        <v>190</v>
      </c>
      <c r="L4594">
        <v>13</v>
      </c>
      <c r="M4594" t="s">
        <v>152</v>
      </c>
      <c r="O4594" t="s">
        <v>11</v>
      </c>
      <c r="P4594">
        <v>5102</v>
      </c>
      <c r="Q4594">
        <v>5</v>
      </c>
      <c r="R4594">
        <v>5.79</v>
      </c>
      <c r="S4594">
        <v>28.95</v>
      </c>
      <c r="T4594">
        <v>20.8</v>
      </c>
      <c r="U4594">
        <v>28.15</v>
      </c>
      <c r="V4594" t="str">
        <f>VLOOKUP(L4594,'[2]tabela de preços'!$A:$D,4,0)</f>
        <v>3M</v>
      </c>
      <c r="W4594" t="str">
        <f>VLOOKUP(L4594,'[2]tabela de preços'!$A:$F,6,0)</f>
        <v>LIXA DÁGUA</v>
      </c>
      <c r="X4594" t="str">
        <f>VLOOKUP(L4594,'[2]tabela de preços'!$A:$G,7,0)</f>
        <v>AUTOMOTIVO</v>
      </c>
    </row>
    <row r="4595" spans="1:24" x14ac:dyDescent="0.3">
      <c r="A4595" t="s">
        <v>186</v>
      </c>
      <c r="C4595" t="s">
        <v>3892</v>
      </c>
      <c r="D4595" s="1">
        <v>46083</v>
      </c>
      <c r="E4595" t="s">
        <v>3894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189</v>
      </c>
      <c r="K4595" t="s">
        <v>190</v>
      </c>
      <c r="L4595">
        <v>10238</v>
      </c>
      <c r="M4595" t="s">
        <v>79</v>
      </c>
      <c r="O4595" t="s">
        <v>11</v>
      </c>
      <c r="P4595">
        <v>5102</v>
      </c>
      <c r="Q4595">
        <v>20</v>
      </c>
      <c r="R4595">
        <v>2.79</v>
      </c>
      <c r="S4595">
        <v>55.8</v>
      </c>
      <c r="T4595">
        <v>44.8</v>
      </c>
      <c r="U4595">
        <v>19.71</v>
      </c>
      <c r="V4595" t="str">
        <f>VLOOKUP(L4595,'[2]tabela de preços'!$A:$D,4,0)</f>
        <v>NORTON</v>
      </c>
      <c r="W4595" t="str">
        <f>VLOOKUP(L4595,'[2]tabela de preços'!$A:$F,6,0)</f>
        <v xml:space="preserve">DISCOS / LIXAS / ABRASIVOS </v>
      </c>
      <c r="X4595" t="str">
        <f>VLOOKUP(L4595,'[2]tabela de preços'!$A:$G,7,0)</f>
        <v>AUTOMOTIVO</v>
      </c>
    </row>
    <row r="4596" spans="1:24" x14ac:dyDescent="0.3">
      <c r="A4596" t="s">
        <v>186</v>
      </c>
      <c r="C4596" t="s">
        <v>3892</v>
      </c>
      <c r="D4596" s="1">
        <v>46083</v>
      </c>
      <c r="E4596" t="s">
        <v>3894</v>
      </c>
      <c r="F4596">
        <v>9</v>
      </c>
      <c r="G4596">
        <v>236</v>
      </c>
      <c r="H4596" t="str">
        <f>VLOOKUP(G4596,[1]OPERADORES!$A:$B,2,0)</f>
        <v>DANIEL</v>
      </c>
      <c r="I4596" t="s">
        <v>21</v>
      </c>
      <c r="J4596" t="s">
        <v>189</v>
      </c>
      <c r="K4596" t="s">
        <v>190</v>
      </c>
      <c r="L4596">
        <v>10240</v>
      </c>
      <c r="M4596" t="s">
        <v>81</v>
      </c>
      <c r="O4596" t="s">
        <v>11</v>
      </c>
      <c r="P4596">
        <v>5102</v>
      </c>
      <c r="Q4596">
        <v>15</v>
      </c>
      <c r="R4596">
        <v>2.79</v>
      </c>
      <c r="S4596">
        <v>41.85</v>
      </c>
      <c r="T4596">
        <v>33.6</v>
      </c>
      <c r="U4596">
        <v>19.71</v>
      </c>
      <c r="V4596" t="str">
        <f>VLOOKUP(L4596,'[2]tabela de preços'!$A:$D,4,0)</f>
        <v>NORTON</v>
      </c>
      <c r="W4596" t="str">
        <f>VLOOKUP(L4596,'[2]tabela de preços'!$A:$F,6,0)</f>
        <v xml:space="preserve">DISCOS / LIXAS / ABRASIVOS </v>
      </c>
      <c r="X4596" t="str">
        <f>VLOOKUP(L4596,'[2]tabela de preços'!$A:$G,7,0)</f>
        <v>AUTOMOTIVO</v>
      </c>
    </row>
    <row r="4597" spans="1:24" x14ac:dyDescent="0.3">
      <c r="A4597" t="s">
        <v>186</v>
      </c>
      <c r="C4597" t="s">
        <v>3892</v>
      </c>
      <c r="D4597" s="1">
        <v>46083</v>
      </c>
      <c r="E4597" t="s">
        <v>3894</v>
      </c>
      <c r="F4597">
        <v>9</v>
      </c>
      <c r="G4597">
        <v>236</v>
      </c>
      <c r="H4597" t="str">
        <f>VLOOKUP(G4597,[1]OPERADORES!$A:$B,2,0)</f>
        <v>DANIEL</v>
      </c>
      <c r="I4597" t="s">
        <v>21</v>
      </c>
      <c r="J4597" t="s">
        <v>189</v>
      </c>
      <c r="K4597" t="s">
        <v>190</v>
      </c>
      <c r="L4597">
        <v>20817</v>
      </c>
      <c r="M4597" t="s">
        <v>153</v>
      </c>
      <c r="O4597" t="s">
        <v>11</v>
      </c>
      <c r="P4597">
        <v>5102</v>
      </c>
      <c r="Q4597">
        <v>2</v>
      </c>
      <c r="R4597">
        <v>22.89</v>
      </c>
      <c r="S4597">
        <v>45.78</v>
      </c>
      <c r="T4597">
        <v>37.24</v>
      </c>
      <c r="U4597">
        <v>18.649999999999999</v>
      </c>
      <c r="V4597" t="str">
        <f>VLOOKUP(L4597,'[2]tabela de preços'!$A:$D,4,0)</f>
        <v>AUTO AMERICA</v>
      </c>
      <c r="W4597" t="str">
        <f>VLOOKUP(L4597,'[2]tabela de preços'!$A:$F,6,0)</f>
        <v>MASSA DE POLIR</v>
      </c>
      <c r="X4597" t="str">
        <f>VLOOKUP(L4597,'[2]tabela de preços'!$A:$G,7,0)</f>
        <v>AUTOMOTIVO</v>
      </c>
    </row>
    <row r="4598" spans="1:24" x14ac:dyDescent="0.3">
      <c r="A4598" t="s">
        <v>186</v>
      </c>
      <c r="C4598" t="s">
        <v>3892</v>
      </c>
      <c r="D4598" s="1">
        <v>46083</v>
      </c>
      <c r="E4598" t="s">
        <v>3894</v>
      </c>
      <c r="F4598">
        <v>9</v>
      </c>
      <c r="G4598">
        <v>236</v>
      </c>
      <c r="H4598" t="str">
        <f>VLOOKUP(G4598,[1]OPERADORES!$A:$B,2,0)</f>
        <v>DANIEL</v>
      </c>
      <c r="I4598" t="s">
        <v>21</v>
      </c>
      <c r="J4598" t="s">
        <v>189</v>
      </c>
      <c r="K4598" t="s">
        <v>190</v>
      </c>
      <c r="L4598">
        <v>85086</v>
      </c>
      <c r="M4598" t="s">
        <v>3895</v>
      </c>
      <c r="O4598" t="s">
        <v>11</v>
      </c>
      <c r="P4598">
        <v>5102</v>
      </c>
      <c r="Q4598">
        <v>1</v>
      </c>
      <c r="R4598">
        <v>177.9</v>
      </c>
      <c r="S4598">
        <v>177.9</v>
      </c>
      <c r="T4598">
        <v>138.15</v>
      </c>
      <c r="U4598">
        <v>22.34</v>
      </c>
      <c r="V4598" t="str">
        <f>VLOOKUP(L4598,'[2]tabela de preços'!$A:$D,4,0)</f>
        <v>PDR</v>
      </c>
      <c r="W4598" t="str">
        <f>VLOOKUP(L4598,'[2]tabela de preços'!$A:$F,6,0)</f>
        <v>PISTOLAS</v>
      </c>
      <c r="X4598" t="str">
        <f>VLOOKUP(L4598,'[2]tabela de preços'!$A:$G,7,0)</f>
        <v>AUTOMOTIVO</v>
      </c>
    </row>
    <row r="4599" spans="1:24" x14ac:dyDescent="0.3">
      <c r="A4599" t="s">
        <v>186</v>
      </c>
      <c r="C4599" t="s">
        <v>3892</v>
      </c>
      <c r="D4599" s="1">
        <v>46083</v>
      </c>
      <c r="E4599" t="s">
        <v>3894</v>
      </c>
      <c r="F4599">
        <v>9</v>
      </c>
      <c r="G4599">
        <v>236</v>
      </c>
      <c r="H4599" t="str">
        <f>VLOOKUP(G4599,[1]OPERADORES!$A:$B,2,0)</f>
        <v>DANIEL</v>
      </c>
      <c r="I4599" t="s">
        <v>21</v>
      </c>
      <c r="J4599" t="s">
        <v>189</v>
      </c>
      <c r="K4599" t="s">
        <v>190</v>
      </c>
      <c r="L4599">
        <v>10404</v>
      </c>
      <c r="M4599" t="s">
        <v>130</v>
      </c>
      <c r="O4599" t="s">
        <v>11</v>
      </c>
      <c r="P4599">
        <v>5102</v>
      </c>
      <c r="Q4599">
        <v>3</v>
      </c>
      <c r="R4599">
        <v>16.29</v>
      </c>
      <c r="S4599">
        <v>48.87</v>
      </c>
      <c r="T4599">
        <v>41.25</v>
      </c>
      <c r="U4599">
        <v>15.59</v>
      </c>
      <c r="V4599" t="str">
        <f>VLOOKUP(L4599,'[2]tabela de preços'!$A:$D,4,0)</f>
        <v>MAXI RUBBER</v>
      </c>
      <c r="W4599" t="str">
        <f>VLOOKUP(L4599,'[2]tabela de preços'!$A:$F,6,0)</f>
        <v>VEDADORES / SELANTES</v>
      </c>
      <c r="X4599" t="str">
        <f>VLOOKUP(L4599,'[2]tabela de preços'!$A:$G,7,0)</f>
        <v>AUTOMOTIVO</v>
      </c>
    </row>
    <row r="4600" spans="1:24" x14ac:dyDescent="0.3">
      <c r="A4600" t="s">
        <v>3896</v>
      </c>
      <c r="C4600" t="s">
        <v>3897</v>
      </c>
      <c r="D4600" s="1">
        <v>46084</v>
      </c>
      <c r="E4600" t="s">
        <v>3898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2886</v>
      </c>
      <c r="K4600" t="s">
        <v>3899</v>
      </c>
      <c r="L4600">
        <v>84032</v>
      </c>
      <c r="M4600" t="s">
        <v>1573</v>
      </c>
      <c r="O4600" t="s">
        <v>11</v>
      </c>
      <c r="P4600">
        <v>5102</v>
      </c>
      <c r="Q4600">
        <v>1</v>
      </c>
      <c r="R4600">
        <v>102.89</v>
      </c>
      <c r="S4600">
        <v>102.89</v>
      </c>
      <c r="T4600">
        <v>75.430000000000007</v>
      </c>
      <c r="U4600">
        <v>26.69</v>
      </c>
      <c r="V4600" t="str">
        <f>VLOOKUP(L4600,'[2]tabela de preços'!$A:$D,4,0)</f>
        <v>BRASILUX</v>
      </c>
      <c r="W4600" t="str">
        <f>VLOOKUP(L4600,'[2]tabela de preços'!$A:$F,6,0)</f>
        <v>MASSA CORRIDA / ACRÍLICA</v>
      </c>
      <c r="X4600" t="str">
        <f>VLOOKUP(L4600,'[2]tabela de preços'!$A:$G,7,0)</f>
        <v>IMOBILIÁRIO</v>
      </c>
    </row>
    <row r="4601" spans="1:24" x14ac:dyDescent="0.3">
      <c r="A4601" t="s">
        <v>254</v>
      </c>
      <c r="C4601" t="s">
        <v>3900</v>
      </c>
      <c r="D4601" s="1">
        <v>46084</v>
      </c>
      <c r="E4601" t="s">
        <v>3901</v>
      </c>
      <c r="F4601">
        <v>9</v>
      </c>
      <c r="G4601">
        <v>231</v>
      </c>
      <c r="H4601" t="str">
        <f>VLOOKUP(G4601,[1]OPERADORES!$A:$B,2,0)</f>
        <v>EDIJANE</v>
      </c>
      <c r="I4601" t="s">
        <v>21</v>
      </c>
      <c r="J4601" t="s">
        <v>66</v>
      </c>
      <c r="K4601" t="s">
        <v>257</v>
      </c>
      <c r="L4601">
        <v>84560</v>
      </c>
      <c r="M4601" t="s">
        <v>118</v>
      </c>
      <c r="O4601" t="s">
        <v>11</v>
      </c>
      <c r="P4601">
        <v>5102</v>
      </c>
      <c r="Q4601">
        <v>6</v>
      </c>
      <c r="R4601">
        <v>47.89</v>
      </c>
      <c r="S4601">
        <v>287.33999999999997</v>
      </c>
      <c r="T4601">
        <v>246.78</v>
      </c>
      <c r="U4601">
        <v>14.12</v>
      </c>
      <c r="V4601" t="str">
        <f>VLOOKUP(L4601,'[2]tabela de preços'!$A:$D,4,0)</f>
        <v>BRASILUX</v>
      </c>
      <c r="W4601" t="str">
        <f>VLOOKUP(L4601,'[2]tabela de preços'!$A:$F,6,0)</f>
        <v>THINNER DE LIMPEZA</v>
      </c>
      <c r="X4601" t="str">
        <f>VLOOKUP(L4601,'[2]tabela de preços'!$A:$G,7,0)</f>
        <v>THINNER</v>
      </c>
    </row>
    <row r="4602" spans="1:24" x14ac:dyDescent="0.3">
      <c r="A4602" t="s">
        <v>254</v>
      </c>
      <c r="C4602" t="s">
        <v>3900</v>
      </c>
      <c r="D4602" s="1">
        <v>46084</v>
      </c>
      <c r="E4602" t="s">
        <v>3901</v>
      </c>
      <c r="F4602">
        <v>9</v>
      </c>
      <c r="G4602">
        <v>231</v>
      </c>
      <c r="H4602" t="str">
        <f>VLOOKUP(G4602,[1]OPERADORES!$A:$B,2,0)</f>
        <v>EDIJANE</v>
      </c>
      <c r="I4602" t="s">
        <v>21</v>
      </c>
      <c r="J4602" t="s">
        <v>66</v>
      </c>
      <c r="K4602" t="s">
        <v>257</v>
      </c>
      <c r="L4602">
        <v>85318</v>
      </c>
      <c r="M4602" t="s">
        <v>258</v>
      </c>
      <c r="O4602" t="s">
        <v>11</v>
      </c>
      <c r="P4602">
        <v>5102</v>
      </c>
      <c r="Q4602">
        <v>1</v>
      </c>
      <c r="R4602">
        <v>819</v>
      </c>
      <c r="S4602">
        <v>819</v>
      </c>
      <c r="T4602">
        <v>583.96</v>
      </c>
      <c r="U4602">
        <v>28.7</v>
      </c>
      <c r="V4602" t="str">
        <f>VLOOKUP(L4602,'[2]tabela de preços'!$A:$D,4,0)</f>
        <v>BRASILUX</v>
      </c>
      <c r="W4602" t="str">
        <f>VLOOKUP(L4602,'[2]tabela de preços'!$A:$F,6,0)</f>
        <v>TINTA EM PÓ</v>
      </c>
      <c r="X4602" t="str">
        <f>VLOOKUP(L4602,'[2]tabela de preços'!$A:$G,7,0)</f>
        <v>INDUSTRIAL</v>
      </c>
    </row>
    <row r="4603" spans="1:24" x14ac:dyDescent="0.3">
      <c r="A4603" t="s">
        <v>486</v>
      </c>
      <c r="C4603" t="s">
        <v>3902</v>
      </c>
      <c r="D4603" s="1">
        <v>46083</v>
      </c>
      <c r="E4603" t="s">
        <v>3903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265</v>
      </c>
      <c r="K4603" t="s">
        <v>489</v>
      </c>
      <c r="L4603">
        <v>84496</v>
      </c>
      <c r="M4603" t="s">
        <v>490</v>
      </c>
      <c r="O4603" t="s">
        <v>11</v>
      </c>
      <c r="P4603">
        <v>5403</v>
      </c>
      <c r="Q4603">
        <v>4</v>
      </c>
      <c r="R4603">
        <v>110.94</v>
      </c>
      <c r="S4603">
        <v>443.76</v>
      </c>
      <c r="T4603">
        <v>336.84</v>
      </c>
      <c r="U4603">
        <v>24.09</v>
      </c>
      <c r="V4603" t="str">
        <f>VLOOKUP(L4603,'[2]tabela de preços'!$A:$D,4,0)</f>
        <v>BRASILUX</v>
      </c>
      <c r="W4603" t="str">
        <f>VLOOKUP(L4603,'[2]tabela de preços'!$A:$F,6,0)</f>
        <v>TINTAS LACA</v>
      </c>
      <c r="X4603" t="str">
        <f>VLOOKUP(L4603,'[2]tabela de preços'!$A:$G,7,0)</f>
        <v>AUTOMOTIVO</v>
      </c>
    </row>
    <row r="4604" spans="1:24" x14ac:dyDescent="0.3">
      <c r="A4604" t="s">
        <v>486</v>
      </c>
      <c r="C4604" t="s">
        <v>3902</v>
      </c>
      <c r="D4604" s="1">
        <v>46083</v>
      </c>
      <c r="E4604" t="s">
        <v>3903</v>
      </c>
      <c r="F4604">
        <v>9</v>
      </c>
      <c r="G4604">
        <v>197</v>
      </c>
      <c r="H4604" t="str">
        <f>VLOOKUP(G4604,[1]OPERADORES!$A:$B,2,0)</f>
        <v xml:space="preserve">POLIANA LORRANE DE AMORIM </v>
      </c>
      <c r="I4604" t="s">
        <v>21</v>
      </c>
      <c r="J4604" t="s">
        <v>265</v>
      </c>
      <c r="K4604" t="s">
        <v>489</v>
      </c>
      <c r="L4604">
        <v>84109</v>
      </c>
      <c r="M4604" t="s">
        <v>2342</v>
      </c>
      <c r="O4604" t="s">
        <v>11</v>
      </c>
      <c r="P4604">
        <v>5403</v>
      </c>
      <c r="Q4604">
        <v>2</v>
      </c>
      <c r="R4604">
        <v>31.65</v>
      </c>
      <c r="S4604">
        <v>63.3</v>
      </c>
      <c r="T4604">
        <v>46.42</v>
      </c>
      <c r="U4604">
        <v>26.67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501</v>
      </c>
      <c r="C4605" t="s">
        <v>3904</v>
      </c>
      <c r="D4605" s="1">
        <v>46083</v>
      </c>
      <c r="E4605" t="s">
        <v>3905</v>
      </c>
      <c r="F4605">
        <v>9</v>
      </c>
      <c r="G4605">
        <v>197</v>
      </c>
      <c r="H4605" t="str">
        <f>VLOOKUP(G4605,[1]OPERADORES!$A:$B,2,0)</f>
        <v xml:space="preserve">POLIANA LORRANE DE AMORIM </v>
      </c>
      <c r="I4605" t="s">
        <v>21</v>
      </c>
      <c r="J4605" t="s">
        <v>504</v>
      </c>
      <c r="K4605" t="s">
        <v>505</v>
      </c>
      <c r="L4605">
        <v>23076</v>
      </c>
      <c r="M4605" t="s">
        <v>97</v>
      </c>
      <c r="O4605" t="s">
        <v>11</v>
      </c>
      <c r="P4605">
        <v>5403</v>
      </c>
      <c r="Q4605">
        <v>60</v>
      </c>
      <c r="R4605">
        <v>34.89</v>
      </c>
      <c r="S4605" s="2">
        <v>2093.4</v>
      </c>
      <c r="T4605" s="2">
        <v>1591.8</v>
      </c>
      <c r="U4605">
        <v>23.96</v>
      </c>
      <c r="V4605" t="str">
        <f>VLOOKUP(L4605,'[2]tabela de preços'!$A:$D,4,0)</f>
        <v>WANDA</v>
      </c>
      <c r="W4605" t="str">
        <f>VLOOKUP(L4605,'[2]tabela de preços'!$A:$F,6,0)</f>
        <v>PRIMER AUTOMOTIVO</v>
      </c>
      <c r="X4605" t="str">
        <f>VLOOKUP(L4605,'[2]tabela de preços'!$A:$G,7,0)</f>
        <v>AUTOMOTIVO</v>
      </c>
    </row>
    <row r="4606" spans="1:24" x14ac:dyDescent="0.3">
      <c r="A4606" t="s">
        <v>501</v>
      </c>
      <c r="C4606" t="s">
        <v>3906</v>
      </c>
      <c r="D4606" s="1">
        <v>46083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504</v>
      </c>
      <c r="K4606" t="s">
        <v>505</v>
      </c>
      <c r="L4606">
        <v>23069</v>
      </c>
      <c r="M4606" t="s">
        <v>2500</v>
      </c>
      <c r="N4606" t="s">
        <v>3907</v>
      </c>
      <c r="O4606" t="s">
        <v>11</v>
      </c>
      <c r="P4606">
        <v>1411</v>
      </c>
      <c r="Q4606">
        <v>-21</v>
      </c>
      <c r="R4606">
        <v>43.97</v>
      </c>
      <c r="S4606">
        <v>-923.37</v>
      </c>
      <c r="T4606">
        <v>-717.78</v>
      </c>
      <c r="U4606">
        <v>22.27</v>
      </c>
      <c r="V4606" t="str">
        <f>VLOOKUP(L4606,'[2]tabela de preços'!$A:$D,4,0)</f>
        <v>WANDA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3908</v>
      </c>
      <c r="B4607" t="s">
        <v>3909</v>
      </c>
      <c r="C4607" t="s">
        <v>3910</v>
      </c>
      <c r="D4607" s="1">
        <v>46084</v>
      </c>
      <c r="E4607" t="s">
        <v>3911</v>
      </c>
      <c r="F4607">
        <v>9</v>
      </c>
      <c r="G4607">
        <v>197</v>
      </c>
      <c r="H4607" t="str">
        <f>VLOOKUP(G4607,[1]OPERADORES!$A:$B,2,0)</f>
        <v xml:space="preserve">POLIANA LORRANE DE AMORIM </v>
      </c>
      <c r="I4607" t="s">
        <v>21</v>
      </c>
      <c r="J4607" t="s">
        <v>614</v>
      </c>
      <c r="K4607" t="s">
        <v>3912</v>
      </c>
      <c r="L4607">
        <v>84330</v>
      </c>
      <c r="M4607" t="s">
        <v>566</v>
      </c>
      <c r="O4607" t="s">
        <v>11</v>
      </c>
      <c r="P4607">
        <v>5403</v>
      </c>
      <c r="Q4607">
        <v>4</v>
      </c>
      <c r="R4607">
        <v>59.98</v>
      </c>
      <c r="S4607">
        <v>239.92</v>
      </c>
      <c r="T4607">
        <v>208</v>
      </c>
      <c r="U4607">
        <v>13.3</v>
      </c>
      <c r="V4607" t="str">
        <f>VLOOKUP(L4607,'[2]tabela de preços'!$A:$D,4,0)</f>
        <v>BRASILUX</v>
      </c>
      <c r="W4607" t="str">
        <f>VLOOKUP(L4607,'[2]tabela de preços'!$A:$F,6,0)</f>
        <v>ESMALTES</v>
      </c>
      <c r="X4607" t="str">
        <f>VLOOKUP(L4607,'[2]tabela de preços'!$A:$G,7,0)</f>
        <v>INDUSTRIAL</v>
      </c>
    </row>
    <row r="4608" spans="1:24" x14ac:dyDescent="0.3">
      <c r="A4608" t="s">
        <v>3908</v>
      </c>
      <c r="B4608" t="s">
        <v>3909</v>
      </c>
      <c r="C4608" t="s">
        <v>3910</v>
      </c>
      <c r="D4608" s="1">
        <v>46084</v>
      </c>
      <c r="E4608" t="s">
        <v>3911</v>
      </c>
      <c r="F4608">
        <v>9</v>
      </c>
      <c r="G4608">
        <v>197</v>
      </c>
      <c r="H4608" t="str">
        <f>VLOOKUP(G4608,[1]OPERADORES!$A:$B,2,0)</f>
        <v xml:space="preserve">POLIANA LORRANE DE AMORIM </v>
      </c>
      <c r="I4608" t="s">
        <v>21</v>
      </c>
      <c r="J4608" t="s">
        <v>614</v>
      </c>
      <c r="K4608" t="s">
        <v>3912</v>
      </c>
      <c r="L4608">
        <v>84331</v>
      </c>
      <c r="M4608" t="s">
        <v>497</v>
      </c>
      <c r="O4608" t="s">
        <v>11</v>
      </c>
      <c r="P4608">
        <v>5403</v>
      </c>
      <c r="Q4608">
        <v>20</v>
      </c>
      <c r="R4608">
        <v>59.98</v>
      </c>
      <c r="S4608" s="2">
        <v>1199.5999999999999</v>
      </c>
      <c r="T4608" s="2">
        <v>1061.4000000000001</v>
      </c>
      <c r="U4608">
        <v>11.52</v>
      </c>
      <c r="V4608" t="str">
        <f>VLOOKUP(L4608,'[2]tabela de preços'!$A:$D,4,0)</f>
        <v>BRASILUX</v>
      </c>
      <c r="W4608" t="str">
        <f>VLOOKUP(L4608,'[2]tabela de preços'!$A:$F,6,0)</f>
        <v>ESMALTES</v>
      </c>
      <c r="X4608" t="str">
        <f>VLOOKUP(L4608,'[2]tabela de preços'!$A:$G,7,0)</f>
        <v>INDUSTRIAL</v>
      </c>
    </row>
    <row r="4609" spans="1:24" x14ac:dyDescent="0.3">
      <c r="A4609" t="s">
        <v>3908</v>
      </c>
      <c r="B4609" t="s">
        <v>3909</v>
      </c>
      <c r="C4609" t="s">
        <v>3910</v>
      </c>
      <c r="D4609" s="1">
        <v>46084</v>
      </c>
      <c r="E4609" t="s">
        <v>3911</v>
      </c>
      <c r="F4609">
        <v>9</v>
      </c>
      <c r="G4609">
        <v>197</v>
      </c>
      <c r="H4609" t="str">
        <f>VLOOKUP(G4609,[1]OPERADORES!$A:$B,2,0)</f>
        <v xml:space="preserve">POLIANA LORRANE DE AMORIM </v>
      </c>
      <c r="I4609" t="s">
        <v>21</v>
      </c>
      <c r="J4609" t="s">
        <v>614</v>
      </c>
      <c r="K4609" t="s">
        <v>3912</v>
      </c>
      <c r="L4609">
        <v>84383</v>
      </c>
      <c r="M4609" t="s">
        <v>836</v>
      </c>
      <c r="O4609" t="s">
        <v>11</v>
      </c>
      <c r="P4609">
        <v>5403</v>
      </c>
      <c r="Q4609">
        <v>10</v>
      </c>
      <c r="R4609">
        <v>159.9</v>
      </c>
      <c r="S4609" s="2">
        <v>1599</v>
      </c>
      <c r="T4609" s="2">
        <v>1376.1</v>
      </c>
      <c r="U4609">
        <v>13.94</v>
      </c>
      <c r="V4609" t="str">
        <f>VLOOKUP(L4609,'[2]tabela de preços'!$A:$D,4,0)</f>
        <v>BRASILUX</v>
      </c>
      <c r="W4609" t="str">
        <f>VLOOKUP(L4609,'[2]tabela de preços'!$A:$F,6,0)</f>
        <v>TINTA PARA PISO</v>
      </c>
      <c r="X4609" t="str">
        <f>VLOOKUP(L4609,'[2]tabela de preços'!$A:$G,7,0)</f>
        <v>IMOBILIÁRIO</v>
      </c>
    </row>
    <row r="4610" spans="1:24" x14ac:dyDescent="0.3">
      <c r="A4610" t="s">
        <v>626</v>
      </c>
      <c r="B4610" t="s">
        <v>627</v>
      </c>
      <c r="C4610" t="s">
        <v>3913</v>
      </c>
      <c r="D4610" s="1">
        <v>46084</v>
      </c>
      <c r="F4610">
        <v>9</v>
      </c>
      <c r="G4610">
        <v>174</v>
      </c>
      <c r="H4610" t="str">
        <f>VLOOKUP(G4610,[1]OPERADORES!$A:$B,2,0)</f>
        <v>MIRIÃ LOBATO RODRIGUES</v>
      </c>
      <c r="I4610" t="s">
        <v>21</v>
      </c>
      <c r="J4610" t="s">
        <v>630</v>
      </c>
      <c r="K4610" t="s">
        <v>631</v>
      </c>
      <c r="L4610">
        <v>21203</v>
      </c>
      <c r="M4610" t="s">
        <v>1459</v>
      </c>
      <c r="N4610" t="s">
        <v>3914</v>
      </c>
      <c r="O4610" t="s">
        <v>11</v>
      </c>
      <c r="P4610">
        <v>1202</v>
      </c>
      <c r="Q4610">
        <v>-6</v>
      </c>
      <c r="R4610">
        <v>26.4</v>
      </c>
      <c r="S4610">
        <v>-158.4</v>
      </c>
      <c r="T4610">
        <v>-120.24</v>
      </c>
      <c r="U4610">
        <v>24.09</v>
      </c>
      <c r="V4610" t="str">
        <f>VLOOKUP(L4610,'[2]tabela de preços'!$A:$D,4,0)</f>
        <v>3M</v>
      </c>
      <c r="W4610" t="str">
        <f>VLOOKUP(L4610,'[2]tabela de preços'!$A:$F,6,0)</f>
        <v>MASSA DE POLIR</v>
      </c>
      <c r="X4610" t="str">
        <f>VLOOKUP(L4610,'[2]tabela de preços'!$A:$G,7,0)</f>
        <v>AUTOMOTIVO</v>
      </c>
    </row>
    <row r="4611" spans="1:24" x14ac:dyDescent="0.3">
      <c r="A4611" t="s">
        <v>3915</v>
      </c>
      <c r="B4611" t="s">
        <v>3916</v>
      </c>
      <c r="C4611" t="s">
        <v>3917</v>
      </c>
      <c r="D4611" s="1">
        <v>46084</v>
      </c>
      <c r="E4611" t="s">
        <v>3918</v>
      </c>
      <c r="F4611">
        <v>9</v>
      </c>
      <c r="G4611">
        <v>174</v>
      </c>
      <c r="H4611" t="str">
        <f>VLOOKUP(G4611,[1]OPERADORES!$A:$B,2,0)</f>
        <v>MIRIÃ LOBATO RODRIGUES</v>
      </c>
      <c r="I4611" t="s">
        <v>21</v>
      </c>
      <c r="J4611" t="s">
        <v>2498</v>
      </c>
      <c r="K4611" t="s">
        <v>3919</v>
      </c>
      <c r="L4611">
        <v>21819</v>
      </c>
      <c r="M4611" t="s">
        <v>792</v>
      </c>
      <c r="O4611" t="s">
        <v>11</v>
      </c>
      <c r="P4611">
        <v>5403</v>
      </c>
      <c r="Q4611">
        <v>2</v>
      </c>
      <c r="R4611">
        <v>33.380000000000003</v>
      </c>
      <c r="S4611">
        <v>66.760000000000005</v>
      </c>
      <c r="T4611">
        <v>47.6</v>
      </c>
      <c r="U4611">
        <v>28.7</v>
      </c>
      <c r="V4611" t="str">
        <f>VLOOKUP(L4611,'[2]tabela de preços'!$A:$D,4,0)</f>
        <v>SHERWIN WILLIAMS</v>
      </c>
      <c r="W4611" t="str">
        <f>VLOOKUP(L4611,'[2]tabela de preços'!$A:$F,6,0)</f>
        <v>TINTAS POLIÉSTER</v>
      </c>
      <c r="X4611" t="str">
        <f>VLOOKUP(L4611,'[2]tabela de preços'!$A:$G,7,0)</f>
        <v>AUTOMOTIVO</v>
      </c>
    </row>
    <row r="4612" spans="1:24" x14ac:dyDescent="0.3">
      <c r="A4612" t="s">
        <v>3915</v>
      </c>
      <c r="B4612" t="s">
        <v>3916</v>
      </c>
      <c r="C4612" t="s">
        <v>3917</v>
      </c>
      <c r="D4612" s="1">
        <v>46084</v>
      </c>
      <c r="E4612" t="s">
        <v>3918</v>
      </c>
      <c r="F4612">
        <v>9</v>
      </c>
      <c r="G4612">
        <v>174</v>
      </c>
      <c r="H4612" t="str">
        <f>VLOOKUP(G4612,[1]OPERADORES!$A:$B,2,0)</f>
        <v>MIRIÃ LOBATO RODRIGUES</v>
      </c>
      <c r="I4612" t="s">
        <v>21</v>
      </c>
      <c r="J4612" t="s">
        <v>2498</v>
      </c>
      <c r="K4612" t="s">
        <v>3919</v>
      </c>
      <c r="L4612">
        <v>20318</v>
      </c>
      <c r="M4612" t="s">
        <v>136</v>
      </c>
      <c r="O4612" t="s">
        <v>11</v>
      </c>
      <c r="P4612">
        <v>5403</v>
      </c>
      <c r="Q4612">
        <v>2</v>
      </c>
      <c r="R4612">
        <v>33.94</v>
      </c>
      <c r="S4612">
        <v>67.88</v>
      </c>
      <c r="T4612">
        <v>48.4</v>
      </c>
      <c r="U4612">
        <v>28.7</v>
      </c>
      <c r="V4612" t="str">
        <f>VLOOKUP(L4612,'[2]tabela de preços'!$A:$D,4,0)</f>
        <v>SHERWIN WILLIAMS</v>
      </c>
      <c r="W4612" t="str">
        <f>VLOOKUP(L4612,'[2]tabela de preços'!$A:$F,6,0)</f>
        <v>TINTAS POLIÉSTER</v>
      </c>
      <c r="X4612" t="str">
        <f>VLOOKUP(L4612,'[2]tabela de preços'!$A:$G,7,0)</f>
        <v>AUTOMOTIVO</v>
      </c>
    </row>
    <row r="4613" spans="1:24" x14ac:dyDescent="0.3">
      <c r="A4613" t="s">
        <v>3915</v>
      </c>
      <c r="B4613" t="s">
        <v>3916</v>
      </c>
      <c r="C4613" t="s">
        <v>3917</v>
      </c>
      <c r="D4613" s="1">
        <v>46084</v>
      </c>
      <c r="E4613" t="s">
        <v>3918</v>
      </c>
      <c r="F4613">
        <v>9</v>
      </c>
      <c r="G4613">
        <v>174</v>
      </c>
      <c r="H4613" t="str">
        <f>VLOOKUP(G4613,[1]OPERADORES!$A:$B,2,0)</f>
        <v>MIRIÃ LOBATO RODRIGUES</v>
      </c>
      <c r="I4613" t="s">
        <v>21</v>
      </c>
      <c r="J4613" t="s">
        <v>2498</v>
      </c>
      <c r="K4613" t="s">
        <v>3919</v>
      </c>
      <c r="L4613">
        <v>23760</v>
      </c>
      <c r="M4613" t="s">
        <v>3920</v>
      </c>
      <c r="O4613" t="s">
        <v>11</v>
      </c>
      <c r="P4613">
        <v>5403</v>
      </c>
      <c r="Q4613">
        <v>3</v>
      </c>
      <c r="R4613">
        <v>33.86</v>
      </c>
      <c r="S4613">
        <v>101.58</v>
      </c>
      <c r="T4613">
        <v>72.42</v>
      </c>
      <c r="U4613">
        <v>28.71</v>
      </c>
      <c r="V4613" t="str">
        <f>VLOOKUP(L4613,'[2]tabela de preços'!$A:$D,4,0)</f>
        <v>SHERWIN WILLIAMS</v>
      </c>
      <c r="W4613" t="str">
        <f>VLOOKUP(L4613,'[2]tabela de preços'!$A:$F,6,0)</f>
        <v>TINTAS POLIÉSTER</v>
      </c>
      <c r="X4613" t="str">
        <f>VLOOKUP(L4613,'[2]tabela de preços'!$A:$G,7,0)</f>
        <v>AUTOMOTIVO</v>
      </c>
    </row>
    <row r="4614" spans="1:24" x14ac:dyDescent="0.3">
      <c r="A4614" t="s">
        <v>3915</v>
      </c>
      <c r="B4614" t="s">
        <v>3916</v>
      </c>
      <c r="C4614" t="s">
        <v>3917</v>
      </c>
      <c r="D4614" s="1">
        <v>46084</v>
      </c>
      <c r="E4614" t="s">
        <v>3918</v>
      </c>
      <c r="F4614">
        <v>9</v>
      </c>
      <c r="G4614">
        <v>174</v>
      </c>
      <c r="H4614" t="str">
        <f>VLOOKUP(G4614,[1]OPERADORES!$A:$B,2,0)</f>
        <v>MIRIÃ LOBATO RODRIGUES</v>
      </c>
      <c r="I4614" t="s">
        <v>21</v>
      </c>
      <c r="J4614" t="s">
        <v>2498</v>
      </c>
      <c r="K4614" t="s">
        <v>3919</v>
      </c>
      <c r="L4614">
        <v>20472</v>
      </c>
      <c r="M4614" t="s">
        <v>709</v>
      </c>
      <c r="O4614" t="s">
        <v>11</v>
      </c>
      <c r="P4614">
        <v>5403</v>
      </c>
      <c r="Q4614">
        <v>2</v>
      </c>
      <c r="R4614">
        <v>35.99</v>
      </c>
      <c r="S4614">
        <v>71.98</v>
      </c>
      <c r="T4614">
        <v>51.32</v>
      </c>
      <c r="U4614">
        <v>28.7</v>
      </c>
      <c r="V4614" t="str">
        <f>VLOOKUP(L4614,'[2]tabela de preços'!$A:$D,4,0)</f>
        <v>SHERWIN WILLIAMS</v>
      </c>
      <c r="W4614" t="str">
        <f>VLOOKUP(L4614,'[2]tabela de preços'!$A:$F,6,0)</f>
        <v>TINTAS POLIÉSTER</v>
      </c>
      <c r="X4614" t="str">
        <f>VLOOKUP(L4614,'[2]tabela de preços'!$A:$G,7,0)</f>
        <v>AUTOMOTIVO</v>
      </c>
    </row>
    <row r="4615" spans="1:24" x14ac:dyDescent="0.3">
      <c r="A4615" t="s">
        <v>3915</v>
      </c>
      <c r="B4615" t="s">
        <v>3916</v>
      </c>
      <c r="C4615" t="s">
        <v>3917</v>
      </c>
      <c r="D4615" s="1">
        <v>46084</v>
      </c>
      <c r="E4615" t="s">
        <v>3918</v>
      </c>
      <c r="F4615">
        <v>9</v>
      </c>
      <c r="G4615">
        <v>174</v>
      </c>
      <c r="H4615" t="str">
        <f>VLOOKUP(G4615,[1]OPERADORES!$A:$B,2,0)</f>
        <v>MIRIÃ LOBATO RODRIGUES</v>
      </c>
      <c r="I4615" t="s">
        <v>21</v>
      </c>
      <c r="J4615" t="s">
        <v>2498</v>
      </c>
      <c r="K4615" t="s">
        <v>3919</v>
      </c>
      <c r="L4615">
        <v>20354</v>
      </c>
      <c r="M4615" t="s">
        <v>1342</v>
      </c>
      <c r="O4615" t="s">
        <v>11</v>
      </c>
      <c r="P4615">
        <v>5403</v>
      </c>
      <c r="Q4615">
        <v>2</v>
      </c>
      <c r="R4615">
        <v>32.97</v>
      </c>
      <c r="S4615">
        <v>65.94</v>
      </c>
      <c r="T4615">
        <v>47.02</v>
      </c>
      <c r="U4615">
        <v>28.69</v>
      </c>
      <c r="V4615" t="str">
        <f>VLOOKUP(L4615,'[2]tabela de preços'!$A:$D,4,0)</f>
        <v>SHERWIN WILLIAMS</v>
      </c>
      <c r="W4615" t="str">
        <f>VLOOKUP(L4615,'[2]tabela de preços'!$A:$F,6,0)</f>
        <v>TINTAS POLIÉSTER</v>
      </c>
      <c r="X4615" t="str">
        <f>VLOOKUP(L4615,'[2]tabela de preços'!$A:$G,7,0)</f>
        <v>AUTOMOTIVO</v>
      </c>
    </row>
    <row r="4616" spans="1:24" x14ac:dyDescent="0.3">
      <c r="A4616" t="s">
        <v>3915</v>
      </c>
      <c r="B4616" t="s">
        <v>3916</v>
      </c>
      <c r="C4616" t="s">
        <v>3917</v>
      </c>
      <c r="D4616" s="1">
        <v>46084</v>
      </c>
      <c r="E4616" t="s">
        <v>3918</v>
      </c>
      <c r="F4616">
        <v>9</v>
      </c>
      <c r="G4616">
        <v>174</v>
      </c>
      <c r="H4616" t="str">
        <f>VLOOKUP(G4616,[1]OPERADORES!$A:$B,2,0)</f>
        <v>MIRIÃ LOBATO RODRIGUES</v>
      </c>
      <c r="I4616" t="s">
        <v>21</v>
      </c>
      <c r="J4616" t="s">
        <v>2498</v>
      </c>
      <c r="K4616" t="s">
        <v>3919</v>
      </c>
      <c r="L4616">
        <v>20846</v>
      </c>
      <c r="M4616" t="s">
        <v>163</v>
      </c>
      <c r="O4616" t="s">
        <v>11</v>
      </c>
      <c r="P4616">
        <v>5102</v>
      </c>
      <c r="Q4616">
        <v>3</v>
      </c>
      <c r="R4616">
        <v>32.619999999999997</v>
      </c>
      <c r="S4616">
        <v>97.86</v>
      </c>
      <c r="T4616">
        <v>74.28</v>
      </c>
      <c r="U4616">
        <v>24.1</v>
      </c>
      <c r="V4616" t="str">
        <f>VLOOKUP(L4616,'[2]tabela de preços'!$A:$D,4,0)</f>
        <v>SHERWIN WILLIAMS</v>
      </c>
      <c r="W4616" t="str">
        <f>VLOOKUP(L4616,'[2]tabela de preços'!$A:$F,6,0)</f>
        <v>TINTAS POLIÉSTER</v>
      </c>
      <c r="X4616" t="str">
        <f>VLOOKUP(L4616,'[2]tabela de preços'!$A:$G,7,0)</f>
        <v>AUTOMOTIVO</v>
      </c>
    </row>
    <row r="4617" spans="1:24" x14ac:dyDescent="0.3">
      <c r="A4617" t="s">
        <v>2495</v>
      </c>
      <c r="C4617" t="s">
        <v>3921</v>
      </c>
      <c r="D4617" s="1">
        <v>46084</v>
      </c>
      <c r="E4617" t="s">
        <v>3922</v>
      </c>
      <c r="F4617">
        <v>9</v>
      </c>
      <c r="G4617">
        <v>236</v>
      </c>
      <c r="H4617" t="str">
        <f>VLOOKUP(G4617,[1]OPERADORES!$A:$B,2,0)</f>
        <v>DANIEL</v>
      </c>
      <c r="I4617" t="s">
        <v>21</v>
      </c>
      <c r="J4617" t="s">
        <v>2498</v>
      </c>
      <c r="K4617" t="s">
        <v>2499</v>
      </c>
      <c r="L4617">
        <v>20321</v>
      </c>
      <c r="M4617" t="s">
        <v>639</v>
      </c>
      <c r="O4617" t="s">
        <v>11</v>
      </c>
      <c r="P4617">
        <v>5403</v>
      </c>
      <c r="Q4617">
        <v>1</v>
      </c>
      <c r="R4617">
        <v>34.6</v>
      </c>
      <c r="S4617">
        <v>34.6</v>
      </c>
      <c r="T4617">
        <v>24.67</v>
      </c>
      <c r="U4617">
        <v>28.7</v>
      </c>
      <c r="V4617" t="str">
        <f>VLOOKUP(L4617,'[2]tabela de preços'!$A:$D,4,0)</f>
        <v>SHERWIN WILLIAMS</v>
      </c>
      <c r="W4617" t="str">
        <f>VLOOKUP(L4617,'[2]tabela de preços'!$A:$F,6,0)</f>
        <v>TINTAS POLIÉSTER</v>
      </c>
      <c r="X4617" t="str">
        <f>VLOOKUP(L4617,'[2]tabela de preços'!$A:$G,7,0)</f>
        <v>AUTOMOTIVO</v>
      </c>
    </row>
    <row r="4618" spans="1:24" x14ac:dyDescent="0.3">
      <c r="A4618" t="s">
        <v>2495</v>
      </c>
      <c r="C4618" t="s">
        <v>3923</v>
      </c>
      <c r="D4618" s="1">
        <v>46084</v>
      </c>
      <c r="E4618" t="s">
        <v>3924</v>
      </c>
      <c r="F4618">
        <v>9</v>
      </c>
      <c r="G4618">
        <v>236</v>
      </c>
      <c r="H4618" t="str">
        <f>VLOOKUP(G4618,[1]OPERADORES!$A:$B,2,0)</f>
        <v>DANIEL</v>
      </c>
      <c r="I4618" t="s">
        <v>21</v>
      </c>
      <c r="J4618" t="s">
        <v>2498</v>
      </c>
      <c r="K4618" t="s">
        <v>2499</v>
      </c>
      <c r="L4618">
        <v>85693</v>
      </c>
      <c r="M4618" t="s">
        <v>526</v>
      </c>
      <c r="O4618" t="s">
        <v>11</v>
      </c>
      <c r="P4618">
        <v>5102</v>
      </c>
      <c r="Q4618">
        <v>10</v>
      </c>
      <c r="R4618">
        <v>7.89</v>
      </c>
      <c r="S4618">
        <v>78.900000000000006</v>
      </c>
      <c r="T4618">
        <v>65.099999999999994</v>
      </c>
      <c r="U4618">
        <v>17.489999999999998</v>
      </c>
      <c r="V4618" t="str">
        <f>VLOOKUP(L4618,'[2]tabela de preços'!$A:$D,4,0)</f>
        <v>UNIPEGA</v>
      </c>
      <c r="W4618" t="str">
        <f>VLOOKUP(L4618,'[2]tabela de preços'!$A:$F,6,0)</f>
        <v>PU 40</v>
      </c>
      <c r="X4618" t="str">
        <f>VLOOKUP(L4618,'[2]tabela de preços'!$A:$G,7,0)</f>
        <v>IMOBILIÁRIO</v>
      </c>
    </row>
    <row r="4619" spans="1:24" x14ac:dyDescent="0.3">
      <c r="A4619" t="s">
        <v>828</v>
      </c>
      <c r="C4619" t="s">
        <v>3925</v>
      </c>
      <c r="D4619" s="1">
        <v>46084</v>
      </c>
      <c r="E4619" t="s">
        <v>3926</v>
      </c>
      <c r="F4619">
        <v>9</v>
      </c>
      <c r="G4619">
        <v>231</v>
      </c>
      <c r="H4619" t="str">
        <f>VLOOKUP(G4619,[1]OPERADORES!$A:$B,2,0)</f>
        <v>EDIJANE</v>
      </c>
      <c r="I4619" t="s">
        <v>21</v>
      </c>
      <c r="J4619" t="s">
        <v>372</v>
      </c>
      <c r="K4619" t="s">
        <v>831</v>
      </c>
      <c r="L4619">
        <v>84038</v>
      </c>
      <c r="M4619" t="s">
        <v>593</v>
      </c>
      <c r="O4619" t="s">
        <v>11</v>
      </c>
      <c r="P4619">
        <v>5102</v>
      </c>
      <c r="Q4619">
        <v>12</v>
      </c>
      <c r="R4619">
        <v>17.72</v>
      </c>
      <c r="S4619">
        <v>212.64</v>
      </c>
      <c r="T4619">
        <v>161.4</v>
      </c>
      <c r="U4619">
        <v>24.1</v>
      </c>
      <c r="V4619" t="str">
        <f>VLOOKUP(L4619,'[2]tabela de preços'!$A:$D,4,0)</f>
        <v>BRASILUX</v>
      </c>
      <c r="W4619" t="str">
        <f>VLOOKUP(L4619,'[2]tabela de preços'!$A:$F,6,0)</f>
        <v>MASSA CORRIDA / ACRÍLICA</v>
      </c>
      <c r="X4619" t="str">
        <f>VLOOKUP(L4619,'[2]tabela de preços'!$A:$G,7,0)</f>
        <v>IMOBILIÁRIO</v>
      </c>
    </row>
    <row r="4620" spans="1:24" x14ac:dyDescent="0.3">
      <c r="A4620" t="s">
        <v>828</v>
      </c>
      <c r="C4620" t="s">
        <v>3925</v>
      </c>
      <c r="D4620" s="1">
        <v>46084</v>
      </c>
      <c r="E4620" t="s">
        <v>3926</v>
      </c>
      <c r="F4620">
        <v>9</v>
      </c>
      <c r="G4620">
        <v>231</v>
      </c>
      <c r="H4620" t="str">
        <f>VLOOKUP(G4620,[1]OPERADORES!$A:$B,2,0)</f>
        <v>EDIJANE</v>
      </c>
      <c r="I4620" t="s">
        <v>21</v>
      </c>
      <c r="J4620" t="s">
        <v>372</v>
      </c>
      <c r="K4620" t="s">
        <v>831</v>
      </c>
      <c r="L4620">
        <v>85344</v>
      </c>
      <c r="M4620" t="s">
        <v>839</v>
      </c>
      <c r="O4620" t="s">
        <v>11</v>
      </c>
      <c r="P4620">
        <v>5102</v>
      </c>
      <c r="Q4620">
        <v>10</v>
      </c>
      <c r="R4620">
        <v>35.74</v>
      </c>
      <c r="S4620">
        <v>357.4</v>
      </c>
      <c r="T4620">
        <v>271.3</v>
      </c>
      <c r="U4620">
        <v>24.09</v>
      </c>
      <c r="V4620" t="str">
        <f>VLOOKUP(L4620,'[2]tabela de preços'!$A:$D,4,0)</f>
        <v>DÁVILA  INOVE</v>
      </c>
      <c r="W4620" t="str">
        <f>VLOOKUP(L4620,'[2]tabela de preços'!$A:$F,6,0)</f>
        <v>MASSA CORRIDA / ACRÍLICA</v>
      </c>
      <c r="X4620" t="str">
        <f>VLOOKUP(L4620,'[2]tabela de preços'!$A:$G,7,0)</f>
        <v>IMOBILIÁRIO</v>
      </c>
    </row>
    <row r="4621" spans="1:24" x14ac:dyDescent="0.3">
      <c r="A4621" t="s">
        <v>828</v>
      </c>
      <c r="C4621" t="s">
        <v>3925</v>
      </c>
      <c r="D4621" s="1">
        <v>46084</v>
      </c>
      <c r="E4621" t="s">
        <v>3926</v>
      </c>
      <c r="F4621">
        <v>9</v>
      </c>
      <c r="G4621">
        <v>231</v>
      </c>
      <c r="H4621" t="str">
        <f>VLOOKUP(G4621,[1]OPERADORES!$A:$B,2,0)</f>
        <v>EDIJANE</v>
      </c>
      <c r="I4621" t="s">
        <v>21</v>
      </c>
      <c r="J4621" t="s">
        <v>372</v>
      </c>
      <c r="K4621" t="s">
        <v>831</v>
      </c>
      <c r="L4621">
        <v>84039</v>
      </c>
      <c r="M4621" t="s">
        <v>594</v>
      </c>
      <c r="O4621" t="s">
        <v>11</v>
      </c>
      <c r="P4621">
        <v>5102</v>
      </c>
      <c r="Q4621">
        <v>22</v>
      </c>
      <c r="R4621">
        <v>6.4</v>
      </c>
      <c r="S4621">
        <v>140.80000000000001</v>
      </c>
      <c r="T4621">
        <v>105.6</v>
      </c>
      <c r="U4621">
        <v>25</v>
      </c>
      <c r="V4621" t="str">
        <f>VLOOKUP(L4621,'[2]tabela de preços'!$A:$D,4,0)</f>
        <v>BRASILUX</v>
      </c>
      <c r="W4621" t="str">
        <f>VLOOKUP(L4621,'[2]tabela de preços'!$A:$F,6,0)</f>
        <v>MASSA CORRIDA / ACRÍLICA</v>
      </c>
      <c r="X4621" t="str">
        <f>VLOOKUP(L4621,'[2]tabela de preços'!$A:$G,7,0)</f>
        <v>IMOBILIÁRIO</v>
      </c>
    </row>
    <row r="4622" spans="1:24" x14ac:dyDescent="0.3">
      <c r="A4622" t="s">
        <v>868</v>
      </c>
      <c r="B4622" t="s">
        <v>869</v>
      </c>
      <c r="C4622" t="s">
        <v>3927</v>
      </c>
      <c r="D4622" s="1">
        <v>46083</v>
      </c>
      <c r="E4622" t="s">
        <v>3928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21</v>
      </c>
      <c r="J4622" t="s">
        <v>872</v>
      </c>
      <c r="K4622" t="s">
        <v>873</v>
      </c>
      <c r="L4622">
        <v>84334</v>
      </c>
      <c r="M4622" t="s">
        <v>895</v>
      </c>
      <c r="O4622" t="s">
        <v>11</v>
      </c>
      <c r="P4622">
        <v>5403</v>
      </c>
      <c r="Q4622">
        <v>6</v>
      </c>
      <c r="R4622">
        <v>59.98</v>
      </c>
      <c r="S4622">
        <v>359.88</v>
      </c>
      <c r="T4622">
        <v>318.42</v>
      </c>
      <c r="U4622">
        <v>11.52</v>
      </c>
      <c r="V4622" t="str">
        <f>VLOOKUP(L4622,'[2]tabela de preços'!$A:$D,4,0)</f>
        <v>BRASILUX</v>
      </c>
      <c r="W4622" t="str">
        <f>VLOOKUP(L4622,'[2]tabela de preços'!$A:$F,6,0)</f>
        <v>ESMALTES</v>
      </c>
      <c r="X4622" t="str">
        <f>VLOOKUP(L4622,'[2]tabela de preços'!$A:$G,7,0)</f>
        <v>INDUSTRIAL</v>
      </c>
    </row>
    <row r="4623" spans="1:24" x14ac:dyDescent="0.3">
      <c r="A4623" t="s">
        <v>868</v>
      </c>
      <c r="B4623" t="s">
        <v>869</v>
      </c>
      <c r="C4623" t="s">
        <v>3927</v>
      </c>
      <c r="D4623" s="1">
        <v>46083</v>
      </c>
      <c r="E4623" t="s">
        <v>3928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21</v>
      </c>
      <c r="J4623" t="s">
        <v>872</v>
      </c>
      <c r="K4623" t="s">
        <v>873</v>
      </c>
      <c r="L4623">
        <v>10297</v>
      </c>
      <c r="M4623" t="s">
        <v>41</v>
      </c>
      <c r="O4623" t="s">
        <v>11</v>
      </c>
      <c r="P4623">
        <v>5102</v>
      </c>
      <c r="Q4623">
        <v>36</v>
      </c>
      <c r="R4623">
        <v>10.49</v>
      </c>
      <c r="S4623">
        <v>377.64</v>
      </c>
      <c r="T4623">
        <v>330.12</v>
      </c>
      <c r="U4623">
        <v>12.58</v>
      </c>
      <c r="V4623" t="str">
        <f>VLOOKUP(L4623,'[2]tabela de preços'!$A:$D,4,0)</f>
        <v>ANJO</v>
      </c>
      <c r="W4623" t="str">
        <f>VLOOKUP(L4623,'[2]tabela de preços'!$A:$F,6,0)</f>
        <v>THINNER DE LIMPEZA</v>
      </c>
      <c r="X4623" t="str">
        <f>VLOOKUP(L4623,'[2]tabela de preços'!$A:$G,7,0)</f>
        <v>THINNER</v>
      </c>
    </row>
    <row r="4624" spans="1:24" x14ac:dyDescent="0.3">
      <c r="A4624" t="s">
        <v>868</v>
      </c>
      <c r="B4624" t="s">
        <v>869</v>
      </c>
      <c r="C4624" t="s">
        <v>3929</v>
      </c>
      <c r="D4624" s="1">
        <v>46084</v>
      </c>
      <c r="E4624" t="s">
        <v>3930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21</v>
      </c>
      <c r="J4624" t="s">
        <v>872</v>
      </c>
      <c r="K4624" t="s">
        <v>873</v>
      </c>
      <c r="L4624">
        <v>84221</v>
      </c>
      <c r="M4624" t="s">
        <v>3884</v>
      </c>
      <c r="O4624" t="s">
        <v>11</v>
      </c>
      <c r="P4624">
        <v>5403</v>
      </c>
      <c r="Q4624">
        <v>6</v>
      </c>
      <c r="R4624">
        <v>14.59</v>
      </c>
      <c r="S4624">
        <v>87.54</v>
      </c>
      <c r="T4624">
        <v>66.48</v>
      </c>
      <c r="U4624">
        <v>24.06</v>
      </c>
      <c r="V4624" t="str">
        <f>VLOOKUP(L4624,'[2]tabela de preços'!$A:$D,4,0)</f>
        <v>BRASILUX</v>
      </c>
      <c r="W4624" t="str">
        <f>VLOOKUP(L4624,'[2]tabela de preços'!$A:$F,6,0)</f>
        <v>ESMALTES</v>
      </c>
      <c r="X4624" t="str">
        <f>VLOOKUP(L4624,'[2]tabela de preços'!$A:$G,7,0)</f>
        <v>INDUSTRIAL</v>
      </c>
    </row>
    <row r="4625" spans="1:24" x14ac:dyDescent="0.3">
      <c r="A4625" t="s">
        <v>868</v>
      </c>
      <c r="B4625" t="s">
        <v>869</v>
      </c>
      <c r="C4625" t="s">
        <v>3929</v>
      </c>
      <c r="D4625" s="1">
        <v>46084</v>
      </c>
      <c r="E4625" t="s">
        <v>3930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21</v>
      </c>
      <c r="J4625" t="s">
        <v>872</v>
      </c>
      <c r="K4625" t="s">
        <v>873</v>
      </c>
      <c r="L4625">
        <v>84351</v>
      </c>
      <c r="M4625" t="s">
        <v>2152</v>
      </c>
      <c r="O4625" t="s">
        <v>11</v>
      </c>
      <c r="P4625">
        <v>5403</v>
      </c>
      <c r="Q4625">
        <v>32</v>
      </c>
      <c r="R4625">
        <v>59.98</v>
      </c>
      <c r="S4625" s="2">
        <v>1919.36</v>
      </c>
      <c r="T4625" s="2">
        <v>1698.24</v>
      </c>
      <c r="U4625">
        <v>11.52</v>
      </c>
      <c r="V4625" t="str">
        <f>VLOOKUP(L4625,'[2]tabela de preços'!$A:$D,4,0)</f>
        <v>BRASILUX</v>
      </c>
      <c r="W4625" t="str">
        <f>VLOOKUP(L4625,'[2]tabela de preços'!$A:$F,6,0)</f>
        <v>ESMALTES</v>
      </c>
      <c r="X4625" t="str">
        <f>VLOOKUP(L4625,'[2]tabela de preços'!$A:$G,7,0)</f>
        <v>INDUSTRIAL</v>
      </c>
    </row>
    <row r="4626" spans="1:24" x14ac:dyDescent="0.3">
      <c r="A4626" t="s">
        <v>868</v>
      </c>
      <c r="B4626" t="s">
        <v>869</v>
      </c>
      <c r="C4626" t="s">
        <v>3929</v>
      </c>
      <c r="D4626" s="1">
        <v>46084</v>
      </c>
      <c r="E4626" t="s">
        <v>3930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21</v>
      </c>
      <c r="J4626" t="s">
        <v>872</v>
      </c>
      <c r="K4626" t="s">
        <v>873</v>
      </c>
      <c r="L4626">
        <v>84334</v>
      </c>
      <c r="M4626" t="s">
        <v>895</v>
      </c>
      <c r="O4626" t="s">
        <v>11</v>
      </c>
      <c r="P4626">
        <v>5403</v>
      </c>
      <c r="Q4626">
        <v>16</v>
      </c>
      <c r="R4626">
        <v>59.98</v>
      </c>
      <c r="S4626">
        <v>959.68</v>
      </c>
      <c r="T4626">
        <v>849.12</v>
      </c>
      <c r="U4626">
        <v>11.52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868</v>
      </c>
      <c r="B4627" t="s">
        <v>869</v>
      </c>
      <c r="C4627" t="s">
        <v>3929</v>
      </c>
      <c r="D4627" s="1">
        <v>46084</v>
      </c>
      <c r="E4627" t="s">
        <v>3930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872</v>
      </c>
      <c r="K4627" t="s">
        <v>873</v>
      </c>
      <c r="L4627">
        <v>84123</v>
      </c>
      <c r="M4627" t="s">
        <v>296</v>
      </c>
      <c r="O4627" t="s">
        <v>11</v>
      </c>
      <c r="P4627">
        <v>5403</v>
      </c>
      <c r="Q4627">
        <v>6</v>
      </c>
      <c r="R4627">
        <v>19.100000000000001</v>
      </c>
      <c r="S4627">
        <v>114.6</v>
      </c>
      <c r="T4627">
        <v>87</v>
      </c>
      <c r="U4627">
        <v>24.08</v>
      </c>
      <c r="V4627" t="str">
        <f>VLOOKUP(L4627,'[2]tabela de preços'!$A:$D,4,0)</f>
        <v>BRASILUX</v>
      </c>
      <c r="W4627" t="str">
        <f>VLOOKUP(L4627,'[2]tabela de preços'!$A:$F,6,0)</f>
        <v>ESMALTES</v>
      </c>
      <c r="X4627" t="str">
        <f>VLOOKUP(L4627,'[2]tabela de preços'!$A:$G,7,0)</f>
        <v>INDUSTRIAL</v>
      </c>
    </row>
    <row r="4628" spans="1:24" x14ac:dyDescent="0.3">
      <c r="A4628" t="s">
        <v>868</v>
      </c>
      <c r="B4628" t="s">
        <v>869</v>
      </c>
      <c r="C4628" t="s">
        <v>3929</v>
      </c>
      <c r="D4628" s="1">
        <v>46084</v>
      </c>
      <c r="E4628" t="s">
        <v>3930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872</v>
      </c>
      <c r="K4628" t="s">
        <v>873</v>
      </c>
      <c r="L4628">
        <v>84128</v>
      </c>
      <c r="M4628" t="s">
        <v>1710</v>
      </c>
      <c r="O4628" t="s">
        <v>11</v>
      </c>
      <c r="P4628">
        <v>5403</v>
      </c>
      <c r="Q4628">
        <v>6</v>
      </c>
      <c r="R4628">
        <v>20.87</v>
      </c>
      <c r="S4628">
        <v>125.22</v>
      </c>
      <c r="T4628">
        <v>95.04</v>
      </c>
      <c r="U4628">
        <v>24.1</v>
      </c>
      <c r="V4628" t="str">
        <f>VLOOKUP(L4628,'[2]tabela de preços'!$A:$D,4,0)</f>
        <v>BRASILUX</v>
      </c>
      <c r="W4628" t="str">
        <f>VLOOKUP(L4628,'[2]tabela de preços'!$A:$F,6,0)</f>
        <v>ESMALTES</v>
      </c>
      <c r="X4628" t="str">
        <f>VLOOKUP(L4628,'[2]tabela de preços'!$A:$G,7,0)</f>
        <v>INDUSTRIAL</v>
      </c>
    </row>
    <row r="4629" spans="1:24" x14ac:dyDescent="0.3">
      <c r="A4629" t="s">
        <v>868</v>
      </c>
      <c r="B4629" t="s">
        <v>869</v>
      </c>
      <c r="C4629" t="s">
        <v>3929</v>
      </c>
      <c r="D4629" s="1">
        <v>46084</v>
      </c>
      <c r="E4629" t="s">
        <v>3930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872</v>
      </c>
      <c r="K4629" t="s">
        <v>873</v>
      </c>
      <c r="L4629">
        <v>84036</v>
      </c>
      <c r="M4629" t="s">
        <v>289</v>
      </c>
      <c r="O4629" t="s">
        <v>11</v>
      </c>
      <c r="P4629">
        <v>5102</v>
      </c>
      <c r="Q4629">
        <v>6</v>
      </c>
      <c r="R4629">
        <v>47.9</v>
      </c>
      <c r="S4629">
        <v>287.39999999999998</v>
      </c>
      <c r="T4629">
        <v>249.78</v>
      </c>
      <c r="U4629">
        <v>13.09</v>
      </c>
      <c r="V4629" t="str">
        <f>VLOOKUP(L4629,'[2]tabela de preços'!$A:$D,4,0)</f>
        <v>BRASILUX</v>
      </c>
      <c r="W4629" t="str">
        <f>VLOOKUP(L4629,'[2]tabela de preços'!$A:$F,6,0)</f>
        <v>MASSA CORRIDA / ACRÍLICA</v>
      </c>
      <c r="X4629" t="str">
        <f>VLOOKUP(L4629,'[2]tabela de preços'!$A:$G,7,0)</f>
        <v>IMOBILIÁRIO</v>
      </c>
    </row>
    <row r="4630" spans="1:24" x14ac:dyDescent="0.3">
      <c r="A4630" t="s">
        <v>923</v>
      </c>
      <c r="C4630" t="s">
        <v>3931</v>
      </c>
      <c r="D4630" s="1">
        <v>46084</v>
      </c>
      <c r="E4630" t="s">
        <v>3932</v>
      </c>
      <c r="F4630">
        <v>9</v>
      </c>
      <c r="G4630">
        <v>236</v>
      </c>
      <c r="H4630" t="str">
        <f>VLOOKUP(G4630,[1]OPERADORES!$A:$B,2,0)</f>
        <v>DANIEL</v>
      </c>
      <c r="I4630" t="s">
        <v>21</v>
      </c>
      <c r="J4630" t="s">
        <v>211</v>
      </c>
      <c r="K4630" t="s">
        <v>926</v>
      </c>
      <c r="L4630">
        <v>23110</v>
      </c>
      <c r="M4630" t="s">
        <v>409</v>
      </c>
      <c r="O4630" t="s">
        <v>11</v>
      </c>
      <c r="P4630">
        <v>5102</v>
      </c>
      <c r="Q4630">
        <v>30</v>
      </c>
      <c r="R4630">
        <v>2.35</v>
      </c>
      <c r="S4630">
        <v>70.5</v>
      </c>
      <c r="T4630">
        <v>55.5</v>
      </c>
      <c r="U4630">
        <v>21.28</v>
      </c>
      <c r="V4630" t="str">
        <f>VLOOKUP(L4630,'[2]tabela de preços'!$A:$D,4,0)</f>
        <v>3M</v>
      </c>
      <c r="W4630" t="str">
        <f>VLOOKUP(L4630,'[2]tabela de preços'!$A:$F,6,0)</f>
        <v xml:space="preserve">DISCOS / LIXAS / ABRASIVOS </v>
      </c>
      <c r="X4630" t="str">
        <f>VLOOKUP(L4630,'[2]tabela de preços'!$A:$G,7,0)</f>
        <v>AUTOMOTIVO</v>
      </c>
    </row>
    <row r="4631" spans="1:24" x14ac:dyDescent="0.3">
      <c r="A4631" t="s">
        <v>923</v>
      </c>
      <c r="C4631" t="s">
        <v>3931</v>
      </c>
      <c r="D4631" s="1">
        <v>46084</v>
      </c>
      <c r="E4631" t="s">
        <v>3932</v>
      </c>
      <c r="F4631">
        <v>9</v>
      </c>
      <c r="G4631">
        <v>236</v>
      </c>
      <c r="H4631" t="str">
        <f>VLOOKUP(G4631,[1]OPERADORES!$A:$B,2,0)</f>
        <v>DANIEL</v>
      </c>
      <c r="I4631" t="s">
        <v>21</v>
      </c>
      <c r="J4631" t="s">
        <v>211</v>
      </c>
      <c r="K4631" t="s">
        <v>926</v>
      </c>
      <c r="L4631">
        <v>23100</v>
      </c>
      <c r="M4631" t="s">
        <v>99</v>
      </c>
      <c r="O4631" t="s">
        <v>11</v>
      </c>
      <c r="P4631">
        <v>5102</v>
      </c>
      <c r="Q4631">
        <v>50</v>
      </c>
      <c r="R4631">
        <v>2.35</v>
      </c>
      <c r="S4631">
        <v>117.5</v>
      </c>
      <c r="T4631">
        <v>84.5</v>
      </c>
      <c r="U4631">
        <v>28.09</v>
      </c>
      <c r="V4631" t="str">
        <f>VLOOKUP(L4631,'[2]tabela de preços'!$A:$D,4,0)</f>
        <v>3M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923</v>
      </c>
      <c r="C4632" t="s">
        <v>3931</v>
      </c>
      <c r="D4632" s="1">
        <v>46084</v>
      </c>
      <c r="E4632" t="s">
        <v>3932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211</v>
      </c>
      <c r="K4632" t="s">
        <v>926</v>
      </c>
      <c r="L4632">
        <v>23103</v>
      </c>
      <c r="M4632" t="s">
        <v>414</v>
      </c>
      <c r="O4632" t="s">
        <v>11</v>
      </c>
      <c r="P4632">
        <v>5102</v>
      </c>
      <c r="Q4632">
        <v>50</v>
      </c>
      <c r="R4632">
        <v>2.35</v>
      </c>
      <c r="S4632">
        <v>117.5</v>
      </c>
      <c r="T4632">
        <v>84.5</v>
      </c>
      <c r="U4632">
        <v>28.09</v>
      </c>
      <c r="V4632" t="str">
        <f>VLOOKUP(L4632,'[2]tabela de preços'!$A:$D,4,0)</f>
        <v>3M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923</v>
      </c>
      <c r="C4633" t="s">
        <v>3931</v>
      </c>
      <c r="D4633" s="1">
        <v>46084</v>
      </c>
      <c r="E4633" t="s">
        <v>3932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211</v>
      </c>
      <c r="K4633" t="s">
        <v>926</v>
      </c>
      <c r="L4633">
        <v>23926</v>
      </c>
      <c r="M4633" t="s">
        <v>645</v>
      </c>
      <c r="O4633" t="s">
        <v>11</v>
      </c>
      <c r="P4633">
        <v>5403</v>
      </c>
      <c r="Q4633">
        <v>1</v>
      </c>
      <c r="R4633">
        <v>159.22</v>
      </c>
      <c r="S4633">
        <v>159.22</v>
      </c>
      <c r="T4633">
        <v>98.89</v>
      </c>
      <c r="U4633">
        <v>37.89</v>
      </c>
      <c r="V4633" t="str">
        <f>VLOOKUP(L4633,'[2]tabela de preços'!$A:$D,4,0)</f>
        <v>SIKKENS</v>
      </c>
      <c r="W4633" t="str">
        <f>VLOOKUP(L4633,'[2]tabela de preços'!$A:$F,6,0)</f>
        <v>PRIMER AUTOMOTIVO</v>
      </c>
      <c r="X4633" t="str">
        <f>VLOOKUP(L4633,'[2]tabela de preços'!$A:$G,7,0)</f>
        <v>AUTOMOTIVO</v>
      </c>
    </row>
    <row r="4634" spans="1:24" x14ac:dyDescent="0.3">
      <c r="A4634" t="s">
        <v>923</v>
      </c>
      <c r="C4634" t="s">
        <v>3931</v>
      </c>
      <c r="D4634" s="1">
        <v>46084</v>
      </c>
      <c r="E4634" t="s">
        <v>3932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211</v>
      </c>
      <c r="K4634" t="s">
        <v>926</v>
      </c>
      <c r="L4634">
        <v>84560</v>
      </c>
      <c r="M4634" t="s">
        <v>118</v>
      </c>
      <c r="O4634" t="s">
        <v>11</v>
      </c>
      <c r="P4634">
        <v>5102</v>
      </c>
      <c r="Q4634">
        <v>4</v>
      </c>
      <c r="R4634">
        <v>47.89</v>
      </c>
      <c r="S4634">
        <v>191.56</v>
      </c>
      <c r="T4634">
        <v>164.52</v>
      </c>
      <c r="U4634">
        <v>14.12</v>
      </c>
      <c r="V4634" t="str">
        <f>VLOOKUP(L4634,'[2]tabela de preços'!$A:$D,4,0)</f>
        <v>BRASILUX</v>
      </c>
      <c r="W4634" t="str">
        <f>VLOOKUP(L4634,'[2]tabela de preços'!$A:$F,6,0)</f>
        <v>THINNER DE LIMPEZA</v>
      </c>
      <c r="X4634" t="str">
        <f>VLOOKUP(L4634,'[2]tabela de preços'!$A:$G,7,0)</f>
        <v>THINNER</v>
      </c>
    </row>
    <row r="4635" spans="1:24" x14ac:dyDescent="0.3">
      <c r="A4635" t="s">
        <v>923</v>
      </c>
      <c r="C4635" t="s">
        <v>3931</v>
      </c>
      <c r="D4635" s="1">
        <v>46084</v>
      </c>
      <c r="E4635" t="s">
        <v>3932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211</v>
      </c>
      <c r="K4635" t="s">
        <v>926</v>
      </c>
      <c r="L4635">
        <v>20414</v>
      </c>
      <c r="M4635" t="s">
        <v>112</v>
      </c>
      <c r="O4635" t="s">
        <v>11</v>
      </c>
      <c r="P4635">
        <v>5102</v>
      </c>
      <c r="Q4635">
        <v>6</v>
      </c>
      <c r="R4635">
        <v>21.89</v>
      </c>
      <c r="S4635">
        <v>131.34</v>
      </c>
      <c r="T4635">
        <v>108</v>
      </c>
      <c r="U4635">
        <v>17.77</v>
      </c>
      <c r="V4635" t="str">
        <f>VLOOKUP(L4635,'[2]tabela de preços'!$A:$D,4,0)</f>
        <v>SHERWIN WILLIAMS</v>
      </c>
      <c r="W4635" t="str">
        <f>VLOOKUP(L4635,'[2]tabela de preços'!$A:$F,6,0)</f>
        <v>DILUENTE</v>
      </c>
      <c r="X4635" t="str">
        <f>VLOOKUP(L4635,'[2]tabela de preços'!$A:$G,7,0)</f>
        <v>AUTOMOTIVO</v>
      </c>
    </row>
    <row r="4636" spans="1:24" x14ac:dyDescent="0.3">
      <c r="A4636" t="s">
        <v>1020</v>
      </c>
      <c r="C4636" t="s">
        <v>3933</v>
      </c>
      <c r="D4636" s="1">
        <v>46083</v>
      </c>
      <c r="E4636" t="s">
        <v>3934</v>
      </c>
      <c r="F4636">
        <v>9</v>
      </c>
      <c r="G4636">
        <v>174</v>
      </c>
      <c r="H4636" t="str">
        <f>VLOOKUP(G4636,[1]OPERADORES!$A:$B,2,0)</f>
        <v>MIRIÃ LOBATO RODRIGUES</v>
      </c>
      <c r="I4636" t="s">
        <v>21</v>
      </c>
      <c r="J4636" t="s">
        <v>550</v>
      </c>
      <c r="K4636" t="s">
        <v>1023</v>
      </c>
      <c r="L4636">
        <v>84334</v>
      </c>
      <c r="M4636" t="s">
        <v>895</v>
      </c>
      <c r="O4636" t="s">
        <v>11</v>
      </c>
      <c r="P4636">
        <v>5403</v>
      </c>
      <c r="Q4636">
        <v>1</v>
      </c>
      <c r="R4636">
        <v>59.98</v>
      </c>
      <c r="S4636">
        <v>59.98</v>
      </c>
      <c r="T4636">
        <v>53.07</v>
      </c>
      <c r="U4636">
        <v>11.52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1020</v>
      </c>
      <c r="C4637" t="s">
        <v>3933</v>
      </c>
      <c r="D4637" s="1">
        <v>46083</v>
      </c>
      <c r="E4637" t="s">
        <v>3934</v>
      </c>
      <c r="F4637">
        <v>9</v>
      </c>
      <c r="G4637">
        <v>174</v>
      </c>
      <c r="H4637" t="str">
        <f>VLOOKUP(G4637,[1]OPERADORES!$A:$B,2,0)</f>
        <v>MIRIÃ LOBATO RODRIGUES</v>
      </c>
      <c r="I4637" t="s">
        <v>21</v>
      </c>
      <c r="J4637" t="s">
        <v>550</v>
      </c>
      <c r="K4637" t="s">
        <v>1023</v>
      </c>
      <c r="L4637">
        <v>84462</v>
      </c>
      <c r="M4637" t="s">
        <v>1026</v>
      </c>
      <c r="O4637" t="s">
        <v>11</v>
      </c>
      <c r="P4637">
        <v>5403</v>
      </c>
      <c r="Q4637">
        <v>2</v>
      </c>
      <c r="R4637">
        <v>105.56</v>
      </c>
      <c r="S4637">
        <v>211.12</v>
      </c>
      <c r="T4637">
        <v>160.24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1020</v>
      </c>
      <c r="C4638" t="s">
        <v>3933</v>
      </c>
      <c r="D4638" s="1">
        <v>46083</v>
      </c>
      <c r="E4638" t="s">
        <v>3934</v>
      </c>
      <c r="F4638">
        <v>9</v>
      </c>
      <c r="G4638">
        <v>174</v>
      </c>
      <c r="H4638" t="str">
        <f>VLOOKUP(G4638,[1]OPERADORES!$A:$B,2,0)</f>
        <v>MIRIÃ LOBATO RODRIGUES</v>
      </c>
      <c r="I4638" t="s">
        <v>21</v>
      </c>
      <c r="J4638" t="s">
        <v>550</v>
      </c>
      <c r="K4638" t="s">
        <v>1023</v>
      </c>
      <c r="L4638">
        <v>84560</v>
      </c>
      <c r="M4638" t="s">
        <v>118</v>
      </c>
      <c r="O4638" t="s">
        <v>11</v>
      </c>
      <c r="P4638">
        <v>5102</v>
      </c>
      <c r="Q4638">
        <v>2</v>
      </c>
      <c r="R4638">
        <v>47.89</v>
      </c>
      <c r="S4638">
        <v>95.78</v>
      </c>
      <c r="T4638">
        <v>82.26</v>
      </c>
      <c r="U4638">
        <v>14.12</v>
      </c>
      <c r="V4638" t="str">
        <f>VLOOKUP(L4638,'[2]tabela de preços'!$A:$D,4,0)</f>
        <v>BRASILUX</v>
      </c>
      <c r="W4638" t="str">
        <f>VLOOKUP(L4638,'[2]tabela de preços'!$A:$F,6,0)</f>
        <v>THINNER DE LIMPEZA</v>
      </c>
      <c r="X4638" t="str">
        <f>VLOOKUP(L4638,'[2]tabela de preços'!$A:$G,7,0)</f>
        <v>THINNER</v>
      </c>
    </row>
    <row r="4639" spans="1:24" x14ac:dyDescent="0.3">
      <c r="A4639" t="s">
        <v>1080</v>
      </c>
      <c r="C4639" t="s">
        <v>3935</v>
      </c>
      <c r="D4639" s="1">
        <v>46083</v>
      </c>
      <c r="E4639" t="s">
        <v>3936</v>
      </c>
      <c r="F4639">
        <v>9</v>
      </c>
      <c r="G4639">
        <v>231</v>
      </c>
      <c r="H4639" t="str">
        <f>VLOOKUP(G4639,[1]OPERADORES!$A:$B,2,0)</f>
        <v>EDIJANE</v>
      </c>
      <c r="I4639" t="s">
        <v>715</v>
      </c>
      <c r="J4639" t="s">
        <v>1083</v>
      </c>
      <c r="K4639" t="s">
        <v>1084</v>
      </c>
      <c r="L4639">
        <v>21077</v>
      </c>
      <c r="M4639" t="s">
        <v>207</v>
      </c>
      <c r="O4639" t="s">
        <v>11</v>
      </c>
      <c r="P4639">
        <v>6102</v>
      </c>
      <c r="Q4639">
        <v>12</v>
      </c>
      <c r="R4639">
        <v>44.68</v>
      </c>
      <c r="S4639">
        <v>536.16</v>
      </c>
      <c r="T4639">
        <v>407.04</v>
      </c>
      <c r="U4639">
        <v>24.08</v>
      </c>
      <c r="V4639" t="str">
        <f>VLOOKUP(L4639,'[2]tabela de preços'!$A:$D,4,0)</f>
        <v>SHERWIN WILLIAMS</v>
      </c>
      <c r="W4639" t="str">
        <f>VLOOKUP(L4639,'[2]tabela de preços'!$A:$F,6,0)</f>
        <v>MASSA POLIÉSTER</v>
      </c>
      <c r="X4639" t="str">
        <f>VLOOKUP(L4639,'[2]tabela de preços'!$A:$G,7,0)</f>
        <v>AUTOMOTIVO</v>
      </c>
    </row>
    <row r="4640" spans="1:24" x14ac:dyDescent="0.3">
      <c r="A4640" t="s">
        <v>1080</v>
      </c>
      <c r="C4640" t="s">
        <v>3935</v>
      </c>
      <c r="D4640" s="1">
        <v>46083</v>
      </c>
      <c r="E4640" t="s">
        <v>3936</v>
      </c>
      <c r="F4640">
        <v>9</v>
      </c>
      <c r="G4640">
        <v>231</v>
      </c>
      <c r="H4640" t="str">
        <f>VLOOKUP(G4640,[1]OPERADORES!$A:$B,2,0)</f>
        <v>EDIJANE</v>
      </c>
      <c r="I4640" t="s">
        <v>715</v>
      </c>
      <c r="J4640" t="s">
        <v>1083</v>
      </c>
      <c r="K4640" t="s">
        <v>1084</v>
      </c>
      <c r="L4640">
        <v>20414</v>
      </c>
      <c r="M4640" t="s">
        <v>112</v>
      </c>
      <c r="O4640" t="s">
        <v>11</v>
      </c>
      <c r="P4640">
        <v>6102</v>
      </c>
      <c r="Q4640">
        <v>15</v>
      </c>
      <c r="R4640">
        <v>23.71</v>
      </c>
      <c r="S4640">
        <v>355.65</v>
      </c>
      <c r="T4640">
        <v>270</v>
      </c>
      <c r="U4640">
        <v>24.08</v>
      </c>
      <c r="V4640" t="str">
        <f>VLOOKUP(L4640,'[2]tabela de preços'!$A:$D,4,0)</f>
        <v>SHERWIN WILLIAMS</v>
      </c>
      <c r="W4640" t="str">
        <f>VLOOKUP(L4640,'[2]tabela de preços'!$A:$F,6,0)</f>
        <v>DILUENTE</v>
      </c>
      <c r="X4640" t="str">
        <f>VLOOKUP(L4640,'[2]tabela de preços'!$A:$G,7,0)</f>
        <v>AUTOMOTIVO</v>
      </c>
    </row>
    <row r="4641" spans="1:24" x14ac:dyDescent="0.3">
      <c r="A4641" t="s">
        <v>1112</v>
      </c>
      <c r="C4641" t="s">
        <v>3937</v>
      </c>
      <c r="D4641" s="1">
        <v>46083</v>
      </c>
      <c r="E4641" t="s">
        <v>3938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211</v>
      </c>
      <c r="K4641" t="s">
        <v>1115</v>
      </c>
      <c r="L4641">
        <v>10297</v>
      </c>
      <c r="M4641" t="s">
        <v>41</v>
      </c>
      <c r="O4641" t="s">
        <v>11</v>
      </c>
      <c r="P4641">
        <v>5102</v>
      </c>
      <c r="Q4641">
        <v>6</v>
      </c>
      <c r="R4641">
        <v>10.89</v>
      </c>
      <c r="S4641">
        <v>65.34</v>
      </c>
      <c r="T4641">
        <v>55.02</v>
      </c>
      <c r="U4641">
        <v>15.79</v>
      </c>
      <c r="V4641" t="str">
        <f>VLOOKUP(L4641,'[2]tabela de preços'!$A:$D,4,0)</f>
        <v>ANJO</v>
      </c>
      <c r="W4641" t="str">
        <f>VLOOKUP(L4641,'[2]tabela de preços'!$A:$F,6,0)</f>
        <v>THINNER DE LIMPEZA</v>
      </c>
      <c r="X4641" t="str">
        <f>VLOOKUP(L4641,'[2]tabela de preços'!$A:$G,7,0)</f>
        <v>THINNER</v>
      </c>
    </row>
    <row r="4642" spans="1:24" x14ac:dyDescent="0.3">
      <c r="A4642" t="s">
        <v>1112</v>
      </c>
      <c r="C4642" t="s">
        <v>3937</v>
      </c>
      <c r="D4642" s="1">
        <v>46083</v>
      </c>
      <c r="E4642" t="s">
        <v>3938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211</v>
      </c>
      <c r="K4642" t="s">
        <v>1115</v>
      </c>
      <c r="L4642">
        <v>20414</v>
      </c>
      <c r="M4642" t="s">
        <v>112</v>
      </c>
      <c r="O4642" t="s">
        <v>11</v>
      </c>
      <c r="P4642">
        <v>5102</v>
      </c>
      <c r="Q4642">
        <v>6</v>
      </c>
      <c r="R4642">
        <v>21.89</v>
      </c>
      <c r="S4642">
        <v>131.34</v>
      </c>
      <c r="T4642">
        <v>108</v>
      </c>
      <c r="U4642">
        <v>17.77</v>
      </c>
      <c r="V4642" t="str">
        <f>VLOOKUP(L4642,'[2]tabela de preços'!$A:$D,4,0)</f>
        <v>SHERWIN WILLIAMS</v>
      </c>
      <c r="W4642" t="str">
        <f>VLOOKUP(L4642,'[2]tabela de preços'!$A:$F,6,0)</f>
        <v>DILUENTE</v>
      </c>
      <c r="X4642" t="str">
        <f>VLOOKUP(L4642,'[2]tabela de preços'!$A:$G,7,0)</f>
        <v>AUTOMOTIVO</v>
      </c>
    </row>
    <row r="4643" spans="1:24" x14ac:dyDescent="0.3">
      <c r="A4643" t="s">
        <v>1112</v>
      </c>
      <c r="C4643" t="s">
        <v>3939</v>
      </c>
      <c r="D4643" s="1">
        <v>46083</v>
      </c>
      <c r="E4643" t="s">
        <v>3940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211</v>
      </c>
      <c r="K4643" t="s">
        <v>1115</v>
      </c>
      <c r="L4643">
        <v>85246</v>
      </c>
      <c r="M4643" t="s">
        <v>1036</v>
      </c>
      <c r="O4643" t="s">
        <v>11</v>
      </c>
      <c r="P4643">
        <v>5403</v>
      </c>
      <c r="Q4643">
        <v>1</v>
      </c>
      <c r="R4643">
        <v>124.85</v>
      </c>
      <c r="S4643">
        <v>124.85</v>
      </c>
      <c r="T4643">
        <v>92.59</v>
      </c>
      <c r="U4643">
        <v>25.84</v>
      </c>
      <c r="V4643" t="str">
        <f>VLOOKUP(L4643,'[2]tabela de preços'!$A:$D,4,0)</f>
        <v>BRASILUX</v>
      </c>
      <c r="W4643" t="str">
        <f>VLOOKUP(L4643,'[2]tabela de preços'!$A:$F,6,0)</f>
        <v>TINTAS LACA</v>
      </c>
      <c r="X4643" t="str">
        <f>VLOOKUP(L4643,'[2]tabela de preços'!$A:$G,7,0)</f>
        <v>AUTOMOTIVO</v>
      </c>
    </row>
    <row r="4644" spans="1:24" x14ac:dyDescent="0.3">
      <c r="A4644" t="s">
        <v>1112</v>
      </c>
      <c r="C4644" t="s">
        <v>3939</v>
      </c>
      <c r="D4644" s="1">
        <v>46083</v>
      </c>
      <c r="E4644" t="s">
        <v>3940</v>
      </c>
      <c r="F4644">
        <v>9</v>
      </c>
      <c r="G4644">
        <v>236</v>
      </c>
      <c r="H4644" t="str">
        <f>VLOOKUP(G4644,[1]OPERADORES!$A:$B,2,0)</f>
        <v>DANIEL</v>
      </c>
      <c r="I4644" t="s">
        <v>21</v>
      </c>
      <c r="J4644" t="s">
        <v>211</v>
      </c>
      <c r="K4644" t="s">
        <v>1115</v>
      </c>
      <c r="L4644">
        <v>85291</v>
      </c>
      <c r="M4644" t="s">
        <v>3941</v>
      </c>
      <c r="O4644" t="s">
        <v>11</v>
      </c>
      <c r="P4644">
        <v>5403</v>
      </c>
      <c r="Q4644">
        <v>1</v>
      </c>
      <c r="R4644">
        <v>105.65</v>
      </c>
      <c r="S4644">
        <v>105.65</v>
      </c>
      <c r="T4644">
        <v>78.349999999999994</v>
      </c>
      <c r="U4644">
        <v>25.84</v>
      </c>
      <c r="V4644" t="str">
        <f>VLOOKUP(L4644,'[2]tabela de preços'!$A:$D,4,0)</f>
        <v>BRASILUX</v>
      </c>
      <c r="W4644" t="str">
        <f>VLOOKUP(L4644,'[2]tabela de preços'!$A:$F,6,0)</f>
        <v>TINTAS LACA</v>
      </c>
      <c r="X4644" t="str">
        <f>VLOOKUP(L4644,'[2]tabela de preços'!$A:$G,7,0)</f>
        <v>AUTOMOTIVO</v>
      </c>
    </row>
    <row r="4645" spans="1:24" x14ac:dyDescent="0.3">
      <c r="A4645" t="s">
        <v>1112</v>
      </c>
      <c r="C4645" t="s">
        <v>3942</v>
      </c>
      <c r="D4645" s="1">
        <v>46084</v>
      </c>
      <c r="E4645" t="s">
        <v>3943</v>
      </c>
      <c r="F4645">
        <v>9</v>
      </c>
      <c r="G4645">
        <v>236</v>
      </c>
      <c r="H4645" t="str">
        <f>VLOOKUP(G4645,[1]OPERADORES!$A:$B,2,0)</f>
        <v>DANIEL</v>
      </c>
      <c r="I4645" t="s">
        <v>21</v>
      </c>
      <c r="J4645" t="s">
        <v>211</v>
      </c>
      <c r="K4645" t="s">
        <v>1115</v>
      </c>
      <c r="L4645">
        <v>85291</v>
      </c>
      <c r="M4645" t="s">
        <v>3941</v>
      </c>
      <c r="O4645" t="s">
        <v>11</v>
      </c>
      <c r="P4645">
        <v>5403</v>
      </c>
      <c r="Q4645">
        <v>1</v>
      </c>
      <c r="R4645">
        <v>105.65</v>
      </c>
      <c r="S4645">
        <v>105.65</v>
      </c>
      <c r="T4645">
        <v>78.349999999999994</v>
      </c>
      <c r="U4645">
        <v>25.84</v>
      </c>
      <c r="V4645" t="str">
        <f>VLOOKUP(L4645,'[2]tabela de preços'!$A:$D,4,0)</f>
        <v>BRASILUX</v>
      </c>
      <c r="W4645" t="str">
        <f>VLOOKUP(L4645,'[2]tabela de preços'!$A:$F,6,0)</f>
        <v>TINTAS LACA</v>
      </c>
      <c r="X4645" t="str">
        <f>VLOOKUP(L4645,'[2]tabela de preços'!$A:$G,7,0)</f>
        <v>AUTOMOTIVO</v>
      </c>
    </row>
    <row r="4646" spans="1:24" x14ac:dyDescent="0.3">
      <c r="A4646" t="s">
        <v>1112</v>
      </c>
      <c r="C4646" t="s">
        <v>3942</v>
      </c>
      <c r="D4646" s="1">
        <v>46084</v>
      </c>
      <c r="E4646" t="s">
        <v>3943</v>
      </c>
      <c r="F4646">
        <v>9</v>
      </c>
      <c r="G4646">
        <v>236</v>
      </c>
      <c r="H4646" t="str">
        <f>VLOOKUP(G4646,[1]OPERADORES!$A:$B,2,0)</f>
        <v>DANIEL</v>
      </c>
      <c r="I4646" t="s">
        <v>21</v>
      </c>
      <c r="J4646" t="s">
        <v>211</v>
      </c>
      <c r="K4646" t="s">
        <v>1115</v>
      </c>
      <c r="L4646">
        <v>22180</v>
      </c>
      <c r="M4646" t="s">
        <v>404</v>
      </c>
      <c r="O4646" t="s">
        <v>11</v>
      </c>
      <c r="P4646">
        <v>5102</v>
      </c>
      <c r="Q4646">
        <v>4</v>
      </c>
      <c r="R4646">
        <v>19.97</v>
      </c>
      <c r="S4646">
        <v>79.88</v>
      </c>
      <c r="T4646">
        <v>58.56</v>
      </c>
      <c r="U4646">
        <v>26.69</v>
      </c>
      <c r="V4646" t="str">
        <f>VLOOKUP(L4646,'[2]tabela de preços'!$A:$D,4,0)</f>
        <v>MADRUGA</v>
      </c>
      <c r="W4646" t="str">
        <f>VLOOKUP(L4646,'[2]tabela de preços'!$A:$F,6,0)</f>
        <v>PAPEL DE MASCARAMENTO</v>
      </c>
      <c r="X4646" t="str">
        <f>VLOOKUP(L4646,'[2]tabela de preços'!$A:$G,7,0)</f>
        <v>AUTOMOTIVO</v>
      </c>
    </row>
    <row r="4647" spans="1:24" x14ac:dyDescent="0.3">
      <c r="A4647" t="s">
        <v>1112</v>
      </c>
      <c r="C4647" t="s">
        <v>3942</v>
      </c>
      <c r="D4647" s="1">
        <v>46084</v>
      </c>
      <c r="E4647" t="s">
        <v>3943</v>
      </c>
      <c r="F4647">
        <v>9</v>
      </c>
      <c r="G4647">
        <v>236</v>
      </c>
      <c r="H4647" t="str">
        <f>VLOOKUP(G4647,[1]OPERADORES!$A:$B,2,0)</f>
        <v>DANIEL</v>
      </c>
      <c r="I4647" t="s">
        <v>21</v>
      </c>
      <c r="J4647" t="s">
        <v>211</v>
      </c>
      <c r="K4647" t="s">
        <v>1115</v>
      </c>
      <c r="L4647">
        <v>10298</v>
      </c>
      <c r="M4647" t="s">
        <v>85</v>
      </c>
      <c r="O4647" t="s">
        <v>11</v>
      </c>
      <c r="P4647">
        <v>5102</v>
      </c>
      <c r="Q4647">
        <v>3</v>
      </c>
      <c r="R4647">
        <v>56.89</v>
      </c>
      <c r="S4647">
        <v>170.67</v>
      </c>
      <c r="T4647">
        <v>142.13999999999999</v>
      </c>
      <c r="U4647">
        <v>16.72</v>
      </c>
      <c r="V4647" t="str">
        <f>VLOOKUP(L4647,'[2]tabela de preços'!$A:$D,4,0)</f>
        <v>ANJO</v>
      </c>
      <c r="W4647" t="str">
        <f>VLOOKUP(L4647,'[2]tabela de preços'!$A:$F,6,0)</f>
        <v>THINNER DE LIMPEZA</v>
      </c>
      <c r="X4647" t="str">
        <f>VLOOKUP(L4647,'[2]tabela de preços'!$A:$G,7,0)</f>
        <v>THINNER</v>
      </c>
    </row>
    <row r="4648" spans="1:24" x14ac:dyDescent="0.3">
      <c r="A4648" t="s">
        <v>1199</v>
      </c>
      <c r="C4648" t="s">
        <v>3944</v>
      </c>
      <c r="D4648" s="1">
        <v>46084</v>
      </c>
      <c r="E4648" t="s">
        <v>3945</v>
      </c>
      <c r="F4648">
        <v>9</v>
      </c>
      <c r="G4648">
        <v>174</v>
      </c>
      <c r="H4648" t="str">
        <f>VLOOKUP(G4648,[1]OPERADORES!$A:$B,2,0)</f>
        <v>MIRIÃ LOBATO RODRIGUES</v>
      </c>
      <c r="I4648" t="s">
        <v>21</v>
      </c>
      <c r="J4648" t="s">
        <v>1128</v>
      </c>
      <c r="K4648" t="s">
        <v>1202</v>
      </c>
      <c r="L4648">
        <v>10238</v>
      </c>
      <c r="M4648" t="s">
        <v>79</v>
      </c>
      <c r="O4648" t="s">
        <v>11</v>
      </c>
      <c r="P4648">
        <v>5102</v>
      </c>
      <c r="Q4648">
        <v>50</v>
      </c>
      <c r="R4648">
        <v>2.79</v>
      </c>
      <c r="S4648">
        <v>139.5</v>
      </c>
      <c r="T4648">
        <v>112</v>
      </c>
      <c r="U4648">
        <v>19.71</v>
      </c>
      <c r="V4648" t="str">
        <f>VLOOKUP(L4648,'[2]tabela de preços'!$A:$D,4,0)</f>
        <v>NORTON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1199</v>
      </c>
      <c r="C4649" t="s">
        <v>3944</v>
      </c>
      <c r="D4649" s="1">
        <v>46084</v>
      </c>
      <c r="E4649" t="s">
        <v>3945</v>
      </c>
      <c r="F4649">
        <v>9</v>
      </c>
      <c r="G4649">
        <v>174</v>
      </c>
      <c r="H4649" t="str">
        <f>VLOOKUP(G4649,[1]OPERADORES!$A:$B,2,0)</f>
        <v>MIRIÃ LOBATO RODRIGUES</v>
      </c>
      <c r="I4649" t="s">
        <v>21</v>
      </c>
      <c r="J4649" t="s">
        <v>1128</v>
      </c>
      <c r="K4649" t="s">
        <v>1202</v>
      </c>
      <c r="L4649">
        <v>10243</v>
      </c>
      <c r="M4649" t="s">
        <v>83</v>
      </c>
      <c r="O4649" t="s">
        <v>11</v>
      </c>
      <c r="P4649">
        <v>5102</v>
      </c>
      <c r="Q4649">
        <v>50</v>
      </c>
      <c r="R4649">
        <v>2.79</v>
      </c>
      <c r="S4649">
        <v>139.5</v>
      </c>
      <c r="T4649">
        <v>96.5</v>
      </c>
      <c r="U4649">
        <v>30.82</v>
      </c>
      <c r="V4649" t="str">
        <f>VLOOKUP(L4649,'[2]tabela de preços'!$A:$D,4,0)</f>
        <v>NORTON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1199</v>
      </c>
      <c r="C4650" t="s">
        <v>3944</v>
      </c>
      <c r="D4650" s="1">
        <v>46084</v>
      </c>
      <c r="E4650" t="s">
        <v>3945</v>
      </c>
      <c r="F4650">
        <v>9</v>
      </c>
      <c r="G4650">
        <v>174</v>
      </c>
      <c r="H4650" t="str">
        <f>VLOOKUP(G4650,[1]OPERADORES!$A:$B,2,0)</f>
        <v>MIRIÃ LOBATO RODRIGUES</v>
      </c>
      <c r="I4650" t="s">
        <v>21</v>
      </c>
      <c r="J4650" t="s">
        <v>1128</v>
      </c>
      <c r="K4650" t="s">
        <v>1202</v>
      </c>
      <c r="L4650">
        <v>10244</v>
      </c>
      <c r="M4650" t="s">
        <v>84</v>
      </c>
      <c r="O4650" t="s">
        <v>11</v>
      </c>
      <c r="P4650">
        <v>5102</v>
      </c>
      <c r="Q4650">
        <v>50</v>
      </c>
      <c r="R4650">
        <v>2.79</v>
      </c>
      <c r="S4650">
        <v>139.5</v>
      </c>
      <c r="T4650">
        <v>96.5</v>
      </c>
      <c r="U4650">
        <v>30.82</v>
      </c>
      <c r="V4650" t="str">
        <f>VLOOKUP(L4650,'[2]tabela de preços'!$A:$D,4,0)</f>
        <v>NORTON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1199</v>
      </c>
      <c r="C4651" t="s">
        <v>3944</v>
      </c>
      <c r="D4651" s="1">
        <v>46084</v>
      </c>
      <c r="E4651" t="s">
        <v>3945</v>
      </c>
      <c r="F4651">
        <v>9</v>
      </c>
      <c r="G4651">
        <v>174</v>
      </c>
      <c r="H4651" t="str">
        <f>VLOOKUP(G4651,[1]OPERADORES!$A:$B,2,0)</f>
        <v>MIRIÃ LOBATO RODRIGUES</v>
      </c>
      <c r="I4651" t="s">
        <v>21</v>
      </c>
      <c r="J4651" t="s">
        <v>1128</v>
      </c>
      <c r="K4651" t="s">
        <v>1202</v>
      </c>
      <c r="L4651">
        <v>87043</v>
      </c>
      <c r="M4651" t="s">
        <v>217</v>
      </c>
      <c r="O4651" t="s">
        <v>11</v>
      </c>
      <c r="P4651">
        <v>5102</v>
      </c>
      <c r="Q4651">
        <v>8</v>
      </c>
      <c r="R4651">
        <v>21.95</v>
      </c>
      <c r="S4651">
        <v>175.6</v>
      </c>
      <c r="T4651">
        <v>144.16</v>
      </c>
      <c r="U4651">
        <v>17.899999999999999</v>
      </c>
      <c r="V4651" t="str">
        <f>VLOOKUP(L4651,'[2]tabela de preços'!$A:$D,4,0)</f>
        <v>ROBERLO</v>
      </c>
      <c r="W4651" t="str">
        <f>VLOOKUP(L4651,'[2]tabela de preços'!$A:$F,6,0)</f>
        <v>MASSA POLIÉSTER</v>
      </c>
      <c r="X4651" t="str">
        <f>VLOOKUP(L4651,'[2]tabela de preços'!$A:$G,7,0)</f>
        <v>AUTOMOTIVO</v>
      </c>
    </row>
    <row r="4652" spans="1:24" x14ac:dyDescent="0.3">
      <c r="A4652" t="s">
        <v>1222</v>
      </c>
      <c r="C4652" t="s">
        <v>3946</v>
      </c>
      <c r="D4652" s="1">
        <v>46084</v>
      </c>
      <c r="E4652" t="s">
        <v>3947</v>
      </c>
      <c r="F4652">
        <v>9</v>
      </c>
      <c r="G4652">
        <v>174</v>
      </c>
      <c r="H4652" t="str">
        <f>VLOOKUP(G4652,[1]OPERADORES!$A:$B,2,0)</f>
        <v>MIRIÃ LOBATO RODRIGUES</v>
      </c>
      <c r="I4652" t="s">
        <v>21</v>
      </c>
      <c r="J4652" t="s">
        <v>1225</v>
      </c>
      <c r="K4652" t="s">
        <v>1226</v>
      </c>
      <c r="L4652">
        <v>23076</v>
      </c>
      <c r="M4652" t="s">
        <v>97</v>
      </c>
      <c r="O4652" t="s">
        <v>11</v>
      </c>
      <c r="P4652">
        <v>5405</v>
      </c>
      <c r="Q4652">
        <v>12</v>
      </c>
      <c r="R4652">
        <v>34.89</v>
      </c>
      <c r="S4652">
        <v>418.68</v>
      </c>
      <c r="T4652">
        <v>318.36</v>
      </c>
      <c r="U4652">
        <v>23.96</v>
      </c>
      <c r="V4652" t="str">
        <f>VLOOKUP(L4652,'[2]tabela de preços'!$A:$D,4,0)</f>
        <v>WANDA</v>
      </c>
      <c r="W4652" t="str">
        <f>VLOOKUP(L4652,'[2]tabela de preços'!$A:$F,6,0)</f>
        <v>PRIMER AUTOMOTIVO</v>
      </c>
      <c r="X4652" t="str">
        <f>VLOOKUP(L4652,'[2]tabela de preços'!$A:$G,7,0)</f>
        <v>AUTOMOTIVO</v>
      </c>
    </row>
    <row r="4653" spans="1:24" x14ac:dyDescent="0.3">
      <c r="A4653" t="s">
        <v>1222</v>
      </c>
      <c r="C4653" t="s">
        <v>3946</v>
      </c>
      <c r="D4653" s="1">
        <v>46084</v>
      </c>
      <c r="E4653" t="s">
        <v>3947</v>
      </c>
      <c r="F4653">
        <v>9</v>
      </c>
      <c r="G4653">
        <v>174</v>
      </c>
      <c r="H4653" t="str">
        <f>VLOOKUP(G4653,[1]OPERADORES!$A:$B,2,0)</f>
        <v>MIRIÃ LOBATO RODRIGUES</v>
      </c>
      <c r="I4653" t="s">
        <v>21</v>
      </c>
      <c r="J4653" t="s">
        <v>1225</v>
      </c>
      <c r="K4653" t="s">
        <v>1226</v>
      </c>
      <c r="L4653">
        <v>23690</v>
      </c>
      <c r="M4653" t="s">
        <v>98</v>
      </c>
      <c r="O4653" t="s">
        <v>11</v>
      </c>
      <c r="P4653">
        <v>5405</v>
      </c>
      <c r="Q4653">
        <v>6</v>
      </c>
      <c r="R4653">
        <v>39.89</v>
      </c>
      <c r="S4653">
        <v>239.34</v>
      </c>
      <c r="T4653">
        <v>189.66</v>
      </c>
      <c r="U4653">
        <v>20.76</v>
      </c>
      <c r="V4653" t="str">
        <f>VLOOKUP(L4653,'[2]tabela de preços'!$A:$D,4,0)</f>
        <v>WANDA</v>
      </c>
      <c r="W4653" t="str">
        <f>VLOOKUP(L4653,'[2]tabela de preços'!$A:$F,6,0)</f>
        <v>VERNIZ AUTOMOTIVO</v>
      </c>
      <c r="X4653" t="str">
        <f>VLOOKUP(L4653,'[2]tabela de preços'!$A:$G,7,0)</f>
        <v>AUTOMOTIVO</v>
      </c>
    </row>
    <row r="4654" spans="1:24" x14ac:dyDescent="0.3">
      <c r="A4654" t="s">
        <v>2825</v>
      </c>
      <c r="C4654" t="s">
        <v>3948</v>
      </c>
      <c r="D4654" s="1">
        <v>46084</v>
      </c>
      <c r="E4654" t="s">
        <v>3949</v>
      </c>
      <c r="F4654">
        <v>9</v>
      </c>
      <c r="G4654">
        <v>174</v>
      </c>
      <c r="H4654" t="str">
        <f>VLOOKUP(G4654,[1]OPERADORES!$A:$B,2,0)</f>
        <v>MIRIÃ LOBATO RODRIGUES</v>
      </c>
      <c r="I4654" t="s">
        <v>21</v>
      </c>
      <c r="J4654" t="s">
        <v>730</v>
      </c>
      <c r="K4654" t="s">
        <v>2828</v>
      </c>
      <c r="L4654">
        <v>84350</v>
      </c>
      <c r="M4654" t="s">
        <v>2282</v>
      </c>
      <c r="O4654" t="s">
        <v>11</v>
      </c>
      <c r="P4654">
        <v>5403</v>
      </c>
      <c r="Q4654">
        <v>1</v>
      </c>
      <c r="R4654">
        <v>25.22</v>
      </c>
      <c r="S4654">
        <v>25.22</v>
      </c>
      <c r="T4654">
        <v>19.14</v>
      </c>
      <c r="U4654">
        <v>24.11</v>
      </c>
      <c r="V4654" t="str">
        <f>VLOOKUP(L4654,'[2]tabela de preços'!$A:$D,4,0)</f>
        <v>BRASILUX</v>
      </c>
      <c r="W4654" t="str">
        <f>VLOOKUP(L4654,'[2]tabela de preços'!$A:$F,6,0)</f>
        <v>ESMALTES</v>
      </c>
      <c r="X4654" t="str">
        <f>VLOOKUP(L4654,'[2]tabela de preços'!$A:$G,7,0)</f>
        <v>INDUSTRIAL</v>
      </c>
    </row>
    <row r="4655" spans="1:24" x14ac:dyDescent="0.3">
      <c r="A4655" t="s">
        <v>2825</v>
      </c>
      <c r="C4655" t="s">
        <v>3948</v>
      </c>
      <c r="D4655" s="1">
        <v>46084</v>
      </c>
      <c r="E4655" t="s">
        <v>3949</v>
      </c>
      <c r="F4655">
        <v>9</v>
      </c>
      <c r="G4655">
        <v>174</v>
      </c>
      <c r="H4655" t="str">
        <f>VLOOKUP(G4655,[1]OPERADORES!$A:$B,2,0)</f>
        <v>MIRIÃ LOBATO RODRIGUES</v>
      </c>
      <c r="I4655" t="s">
        <v>21</v>
      </c>
      <c r="J4655" t="s">
        <v>730</v>
      </c>
      <c r="K4655" t="s">
        <v>2828</v>
      </c>
      <c r="L4655">
        <v>84125</v>
      </c>
      <c r="M4655" t="s">
        <v>3505</v>
      </c>
      <c r="O4655" t="s">
        <v>11</v>
      </c>
      <c r="P4655">
        <v>5403</v>
      </c>
      <c r="Q4655">
        <v>1</v>
      </c>
      <c r="R4655">
        <v>19.079999999999998</v>
      </c>
      <c r="S4655">
        <v>19.079999999999998</v>
      </c>
      <c r="T4655">
        <v>14.48</v>
      </c>
      <c r="U4655">
        <v>24.11</v>
      </c>
      <c r="V4655" t="str">
        <f>VLOOKUP(L4655,'[2]tabela de preços'!$A:$D,4,0)</f>
        <v>BRASILUX</v>
      </c>
      <c r="W4655" t="str">
        <f>VLOOKUP(L4655,'[2]tabela de preços'!$A:$F,6,0)</f>
        <v>ESMALTES</v>
      </c>
      <c r="X4655" t="str">
        <f>VLOOKUP(L4655,'[2]tabela de preços'!$A:$G,7,0)</f>
        <v>INDUSTRIAL</v>
      </c>
    </row>
    <row r="4656" spans="1:24" x14ac:dyDescent="0.3">
      <c r="A4656" t="s">
        <v>2825</v>
      </c>
      <c r="C4656" t="s">
        <v>3948</v>
      </c>
      <c r="D4656" s="1">
        <v>46084</v>
      </c>
      <c r="E4656" t="s">
        <v>3949</v>
      </c>
      <c r="F4656">
        <v>9</v>
      </c>
      <c r="G4656">
        <v>174</v>
      </c>
      <c r="H4656" t="str">
        <f>VLOOKUP(G4656,[1]OPERADORES!$A:$B,2,0)</f>
        <v>MIRIÃ LOBATO RODRIGUES</v>
      </c>
      <c r="I4656" t="s">
        <v>21</v>
      </c>
      <c r="J4656" t="s">
        <v>730</v>
      </c>
      <c r="K4656" t="s">
        <v>2828</v>
      </c>
      <c r="L4656">
        <v>84309</v>
      </c>
      <c r="M4656" t="s">
        <v>3950</v>
      </c>
      <c r="O4656" t="s">
        <v>11</v>
      </c>
      <c r="P4656">
        <v>5403</v>
      </c>
      <c r="Q4656">
        <v>1</v>
      </c>
      <c r="R4656">
        <v>43.99</v>
      </c>
      <c r="S4656">
        <v>43.99</v>
      </c>
      <c r="T4656">
        <v>33.39</v>
      </c>
      <c r="U4656">
        <v>24.1</v>
      </c>
      <c r="V4656" t="str">
        <f>VLOOKUP(L4656,'[2]tabela de preços'!$A:$D,4,0)</f>
        <v>BRASILUX</v>
      </c>
      <c r="W4656" t="str">
        <f>VLOOKUP(L4656,'[2]tabela de preços'!$A:$F,6,0)</f>
        <v>TINTA PARA PISO</v>
      </c>
      <c r="X4656" t="str">
        <f>VLOOKUP(L4656,'[2]tabela de preços'!$A:$G,7,0)</f>
        <v>IMOBILIÁRIO</v>
      </c>
    </row>
    <row r="4657" spans="1:24" x14ac:dyDescent="0.3">
      <c r="A4657" t="s">
        <v>2825</v>
      </c>
      <c r="C4657" t="s">
        <v>3948</v>
      </c>
      <c r="D4657" s="1">
        <v>46084</v>
      </c>
      <c r="E4657" t="s">
        <v>3949</v>
      </c>
      <c r="F4657">
        <v>9</v>
      </c>
      <c r="G4657">
        <v>174</v>
      </c>
      <c r="H4657" t="str">
        <f>VLOOKUP(G4657,[1]OPERADORES!$A:$B,2,0)</f>
        <v>MIRIÃ LOBATO RODRIGUES</v>
      </c>
      <c r="I4657" t="s">
        <v>21</v>
      </c>
      <c r="J4657" t="s">
        <v>730</v>
      </c>
      <c r="K4657" t="s">
        <v>2828</v>
      </c>
      <c r="L4657">
        <v>86984</v>
      </c>
      <c r="M4657" t="s">
        <v>720</v>
      </c>
      <c r="O4657" t="s">
        <v>11</v>
      </c>
      <c r="P4657">
        <v>5102</v>
      </c>
      <c r="Q4657">
        <v>2</v>
      </c>
      <c r="R4657">
        <v>44.9</v>
      </c>
      <c r="S4657">
        <v>89.8</v>
      </c>
      <c r="T4657">
        <v>74.42</v>
      </c>
      <c r="U4657">
        <v>17.13</v>
      </c>
      <c r="V4657" t="str">
        <f>VLOOKUP(L4657,'[2]tabela de preços'!$A:$D,4,0)</f>
        <v>ARPREX</v>
      </c>
      <c r="W4657" t="str">
        <f>VLOOKUP(L4657,'[2]tabela de preços'!$A:$F,6,0)</f>
        <v>PISTOLAS</v>
      </c>
      <c r="X4657" t="str">
        <f>VLOOKUP(L4657,'[2]tabela de preços'!$A:$G,7,0)</f>
        <v>IMOBILIÁRIO</v>
      </c>
    </row>
    <row r="4658" spans="1:24" x14ac:dyDescent="0.3">
      <c r="A4658" t="s">
        <v>2825</v>
      </c>
      <c r="C4658" t="s">
        <v>3951</v>
      </c>
      <c r="D4658" s="1">
        <v>46084</v>
      </c>
      <c r="E4658" t="s">
        <v>3952</v>
      </c>
      <c r="F4658">
        <v>9</v>
      </c>
      <c r="G4658">
        <v>174</v>
      </c>
      <c r="H4658" t="str">
        <f>VLOOKUP(G4658,[1]OPERADORES!$A:$B,2,0)</f>
        <v>MIRIÃ LOBATO RODRIGUES</v>
      </c>
      <c r="I4658" t="s">
        <v>21</v>
      </c>
      <c r="J4658" t="s">
        <v>730</v>
      </c>
      <c r="K4658" t="s">
        <v>2828</v>
      </c>
      <c r="L4658">
        <v>5</v>
      </c>
      <c r="M4658" t="s">
        <v>147</v>
      </c>
      <c r="O4658" t="s">
        <v>11</v>
      </c>
      <c r="P4658">
        <v>5102</v>
      </c>
      <c r="Q4658">
        <v>1</v>
      </c>
      <c r="R4658">
        <v>6.06</v>
      </c>
      <c r="S4658">
        <v>6.06</v>
      </c>
      <c r="T4658">
        <v>3.91</v>
      </c>
      <c r="U4658">
        <v>35.479999999999997</v>
      </c>
      <c r="V4658" t="str">
        <f>VLOOKUP(L4658,'[2]tabela de preços'!$A:$D,4,0)</f>
        <v>BRILHO ESTOPA</v>
      </c>
      <c r="W4658" t="str">
        <f>VLOOKUP(L4658,'[2]tabela de preços'!$A:$F,6,0)</f>
        <v>ESTOPAS</v>
      </c>
      <c r="X4658" t="str">
        <f>VLOOKUP(L4658,'[2]tabela de preços'!$A:$G,7,0)</f>
        <v>AUTOMOTIVO</v>
      </c>
    </row>
    <row r="4659" spans="1:24" x14ac:dyDescent="0.3">
      <c r="A4659" t="s">
        <v>1232</v>
      </c>
      <c r="C4659" t="s">
        <v>3953</v>
      </c>
      <c r="D4659" s="1">
        <v>46083</v>
      </c>
      <c r="E4659" t="s">
        <v>3954</v>
      </c>
      <c r="F4659">
        <v>9</v>
      </c>
      <c r="G4659">
        <v>174</v>
      </c>
      <c r="H4659" t="str">
        <f>VLOOKUP(G4659,[1]OPERADORES!$A:$B,2,0)</f>
        <v>MIRIÃ LOBATO RODRIGUES</v>
      </c>
      <c r="I4659" t="s">
        <v>21</v>
      </c>
      <c r="J4659" t="s">
        <v>1235</v>
      </c>
      <c r="K4659" t="s">
        <v>1236</v>
      </c>
      <c r="L4659">
        <v>84181</v>
      </c>
      <c r="M4659" t="s">
        <v>2554</v>
      </c>
      <c r="O4659" t="s">
        <v>11</v>
      </c>
      <c r="P4659">
        <v>5403</v>
      </c>
      <c r="Q4659">
        <v>5</v>
      </c>
      <c r="R4659">
        <v>103.29</v>
      </c>
      <c r="S4659">
        <v>516.45000000000005</v>
      </c>
      <c r="T4659">
        <v>392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1267</v>
      </c>
      <c r="C4660" t="s">
        <v>3955</v>
      </c>
      <c r="D4660" s="1">
        <v>46083</v>
      </c>
      <c r="E4660" t="s">
        <v>3956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372</v>
      </c>
      <c r="K4660" t="s">
        <v>1270</v>
      </c>
      <c r="L4660">
        <v>23076</v>
      </c>
      <c r="M4660" t="s">
        <v>97</v>
      </c>
      <c r="O4660" t="s">
        <v>11</v>
      </c>
      <c r="P4660">
        <v>5403</v>
      </c>
      <c r="Q4660">
        <v>2</v>
      </c>
      <c r="R4660">
        <v>39.94</v>
      </c>
      <c r="S4660">
        <v>79.88</v>
      </c>
      <c r="T4660">
        <v>53.06</v>
      </c>
      <c r="U4660">
        <v>33.58</v>
      </c>
      <c r="V4660" t="str">
        <f>VLOOKUP(L4660,'[2]tabela de preços'!$A:$D,4,0)</f>
        <v>WANDA</v>
      </c>
      <c r="W4660" t="str">
        <f>VLOOKUP(L4660,'[2]tabela de preços'!$A:$F,6,0)</f>
        <v>PRIMER AUTOMOTIVO</v>
      </c>
      <c r="X4660" t="str">
        <f>VLOOKUP(L4660,'[2]tabela de preços'!$A:$G,7,0)</f>
        <v>AUTOMOTIVO</v>
      </c>
    </row>
    <row r="4661" spans="1:24" x14ac:dyDescent="0.3">
      <c r="A4661" t="s">
        <v>1267</v>
      </c>
      <c r="C4661" t="s">
        <v>3955</v>
      </c>
      <c r="D4661" s="1">
        <v>46083</v>
      </c>
      <c r="E4661" t="s">
        <v>3956</v>
      </c>
      <c r="F4661">
        <v>9</v>
      </c>
      <c r="G4661">
        <v>174</v>
      </c>
      <c r="H4661" t="str">
        <f>VLOOKUP(G4661,[1]OPERADORES!$A:$B,2,0)</f>
        <v>MIRIÃ LOBATO RODRIGUES</v>
      </c>
      <c r="I4661" t="s">
        <v>21</v>
      </c>
      <c r="J4661" t="s">
        <v>372</v>
      </c>
      <c r="K4661" t="s">
        <v>1270</v>
      </c>
      <c r="L4661">
        <v>23354</v>
      </c>
      <c r="M4661" t="s">
        <v>670</v>
      </c>
      <c r="O4661" t="s">
        <v>11</v>
      </c>
      <c r="P4661">
        <v>5403</v>
      </c>
      <c r="Q4661">
        <v>2</v>
      </c>
      <c r="R4661">
        <v>52.26</v>
      </c>
      <c r="S4661">
        <v>104.52</v>
      </c>
      <c r="T4661">
        <v>74.14</v>
      </c>
      <c r="U4661">
        <v>29.07</v>
      </c>
      <c r="V4661" t="str">
        <f>VLOOKUP(L4661,'[2]tabela de preços'!$A:$D,4,0)</f>
        <v>SHERWIN WILLIAMS</v>
      </c>
      <c r="W4661" t="str">
        <f>VLOOKUP(L4661,'[2]tabela de preços'!$A:$F,6,0)</f>
        <v>TINTAS PU</v>
      </c>
      <c r="X4661" t="str">
        <f>VLOOKUP(L4661,'[2]tabela de preços'!$A:$G,7,0)</f>
        <v>AUTOMOTIVO</v>
      </c>
    </row>
    <row r="4662" spans="1:24" x14ac:dyDescent="0.3">
      <c r="A4662" t="s">
        <v>1337</v>
      </c>
      <c r="C4662" t="s">
        <v>3957</v>
      </c>
      <c r="D4662" s="1">
        <v>46084</v>
      </c>
      <c r="E4662" t="s">
        <v>3958</v>
      </c>
      <c r="F4662">
        <v>9</v>
      </c>
      <c r="G4662">
        <v>174</v>
      </c>
      <c r="H4662" t="str">
        <f>VLOOKUP(G4662,[1]OPERADORES!$A:$B,2,0)</f>
        <v>MIRIÃ LOBATO RODRIGUES</v>
      </c>
      <c r="I4662" t="s">
        <v>21</v>
      </c>
      <c r="J4662" t="s">
        <v>1340</v>
      </c>
      <c r="K4662" t="s">
        <v>1341</v>
      </c>
      <c r="L4662">
        <v>10236</v>
      </c>
      <c r="M4662" t="s">
        <v>133</v>
      </c>
      <c r="O4662" t="s">
        <v>11</v>
      </c>
      <c r="P4662">
        <v>5102</v>
      </c>
      <c r="Q4662">
        <v>20</v>
      </c>
      <c r="R4662">
        <v>2.79</v>
      </c>
      <c r="S4662">
        <v>55.8</v>
      </c>
      <c r="T4662">
        <v>46.4</v>
      </c>
      <c r="U4662">
        <v>16.850000000000001</v>
      </c>
      <c r="V4662" t="str">
        <f>VLOOKUP(L4662,'[2]tabela de preços'!$A:$D,4,0)</f>
        <v>NORTON</v>
      </c>
      <c r="W4662" t="str">
        <f>VLOOKUP(L4662,'[2]tabela de preços'!$A:$F,6,0)</f>
        <v xml:space="preserve">DISCOS / LIXAS / ABRASIVOS </v>
      </c>
      <c r="X4662" t="str">
        <f>VLOOKUP(L4662,'[2]tabela de preços'!$A:$G,7,0)</f>
        <v>AUTOMOTIVO</v>
      </c>
    </row>
    <row r="4663" spans="1:24" x14ac:dyDescent="0.3">
      <c r="A4663" t="s">
        <v>1337</v>
      </c>
      <c r="C4663" t="s">
        <v>3957</v>
      </c>
      <c r="D4663" s="1">
        <v>46084</v>
      </c>
      <c r="E4663" t="s">
        <v>3958</v>
      </c>
      <c r="F4663">
        <v>9</v>
      </c>
      <c r="G4663">
        <v>174</v>
      </c>
      <c r="H4663" t="str">
        <f>VLOOKUP(G4663,[1]OPERADORES!$A:$B,2,0)</f>
        <v>MIRIÃ LOBATO RODRIGUES</v>
      </c>
      <c r="I4663" t="s">
        <v>21</v>
      </c>
      <c r="J4663" t="s">
        <v>1340</v>
      </c>
      <c r="K4663" t="s">
        <v>1341</v>
      </c>
      <c r="L4663">
        <v>10226</v>
      </c>
      <c r="M4663" t="s">
        <v>145</v>
      </c>
      <c r="O4663" t="s">
        <v>11</v>
      </c>
      <c r="P4663">
        <v>5102</v>
      </c>
      <c r="Q4663">
        <v>20</v>
      </c>
      <c r="R4663">
        <v>2.79</v>
      </c>
      <c r="S4663">
        <v>55.8</v>
      </c>
      <c r="T4663">
        <v>46.4</v>
      </c>
      <c r="U4663">
        <v>16.850000000000001</v>
      </c>
      <c r="V4663" t="str">
        <f>VLOOKUP(L4663,'[2]tabela de preços'!$A:$D,4,0)</f>
        <v>NORTON</v>
      </c>
      <c r="W4663" t="str">
        <f>VLOOKUP(L4663,'[2]tabela de preços'!$A:$F,6,0)</f>
        <v xml:space="preserve">DISCOS / LIXAS / ABRASIVOS </v>
      </c>
      <c r="X4663" t="str">
        <f>VLOOKUP(L4663,'[2]tabela de preços'!$A:$G,7,0)</f>
        <v>AUTOMOTIVO</v>
      </c>
    </row>
    <row r="4664" spans="1:24" x14ac:dyDescent="0.3">
      <c r="A4664" t="s">
        <v>1337</v>
      </c>
      <c r="C4664" t="s">
        <v>3957</v>
      </c>
      <c r="D4664" s="1">
        <v>46084</v>
      </c>
      <c r="E4664" t="s">
        <v>3958</v>
      </c>
      <c r="F4664">
        <v>9</v>
      </c>
      <c r="G4664">
        <v>174</v>
      </c>
      <c r="H4664" t="str">
        <f>VLOOKUP(G4664,[1]OPERADORES!$A:$B,2,0)</f>
        <v>MIRIÃ LOBATO RODRIGUES</v>
      </c>
      <c r="I4664" t="s">
        <v>21</v>
      </c>
      <c r="J4664" t="s">
        <v>1340</v>
      </c>
      <c r="K4664" t="s">
        <v>1341</v>
      </c>
      <c r="L4664">
        <v>10230</v>
      </c>
      <c r="M4664" t="s">
        <v>193</v>
      </c>
      <c r="O4664" t="s">
        <v>11</v>
      </c>
      <c r="P4664">
        <v>5102</v>
      </c>
      <c r="Q4664">
        <v>20</v>
      </c>
      <c r="R4664">
        <v>2.79</v>
      </c>
      <c r="S4664">
        <v>55.8</v>
      </c>
      <c r="T4664">
        <v>46.4</v>
      </c>
      <c r="U4664">
        <v>16.850000000000001</v>
      </c>
      <c r="V4664" t="str">
        <f>VLOOKUP(L4664,'[2]tabela de preços'!$A:$D,4,0)</f>
        <v>NORTON</v>
      </c>
      <c r="W4664" t="str">
        <f>VLOOKUP(L4664,'[2]tabela de preços'!$A:$F,6,0)</f>
        <v xml:space="preserve">DISCOS / LIXAS / ABRASIVOS </v>
      </c>
      <c r="X4664" t="str">
        <f>VLOOKUP(L4664,'[2]tabela de preços'!$A:$G,7,0)</f>
        <v>AUTOMOTIVO</v>
      </c>
    </row>
    <row r="4665" spans="1:24" x14ac:dyDescent="0.3">
      <c r="A4665" t="s">
        <v>1337</v>
      </c>
      <c r="C4665" t="s">
        <v>3957</v>
      </c>
      <c r="D4665" s="1">
        <v>46084</v>
      </c>
      <c r="E4665" t="s">
        <v>3958</v>
      </c>
      <c r="F4665">
        <v>9</v>
      </c>
      <c r="G4665">
        <v>174</v>
      </c>
      <c r="H4665" t="str">
        <f>VLOOKUP(G4665,[1]OPERADORES!$A:$B,2,0)</f>
        <v>MIRIÃ LOBATO RODRIGUES</v>
      </c>
      <c r="I4665" t="s">
        <v>21</v>
      </c>
      <c r="J4665" t="s">
        <v>1340</v>
      </c>
      <c r="K4665" t="s">
        <v>1341</v>
      </c>
      <c r="L4665">
        <v>10232</v>
      </c>
      <c r="M4665" t="s">
        <v>134</v>
      </c>
      <c r="O4665" t="s">
        <v>11</v>
      </c>
      <c r="P4665">
        <v>5102</v>
      </c>
      <c r="Q4665">
        <v>20</v>
      </c>
      <c r="R4665">
        <v>2.79</v>
      </c>
      <c r="S4665">
        <v>55.8</v>
      </c>
      <c r="T4665">
        <v>45</v>
      </c>
      <c r="U4665">
        <v>19.350000000000001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1337</v>
      </c>
      <c r="C4666" t="s">
        <v>3957</v>
      </c>
      <c r="D4666" s="1">
        <v>46084</v>
      </c>
      <c r="E4666" t="s">
        <v>3958</v>
      </c>
      <c r="F4666">
        <v>9</v>
      </c>
      <c r="G4666">
        <v>174</v>
      </c>
      <c r="H4666" t="str">
        <f>VLOOKUP(G4666,[1]OPERADORES!$A:$B,2,0)</f>
        <v>MIRIÃ LOBATO RODRIGUES</v>
      </c>
      <c r="I4666" t="s">
        <v>21</v>
      </c>
      <c r="J4666" t="s">
        <v>1340</v>
      </c>
      <c r="K4666" t="s">
        <v>1341</v>
      </c>
      <c r="L4666">
        <v>10234</v>
      </c>
      <c r="M4666" t="s">
        <v>157</v>
      </c>
      <c r="O4666" t="s">
        <v>11</v>
      </c>
      <c r="P4666">
        <v>5102</v>
      </c>
      <c r="Q4666">
        <v>20</v>
      </c>
      <c r="R4666">
        <v>2.79</v>
      </c>
      <c r="S4666">
        <v>55.8</v>
      </c>
      <c r="T4666">
        <v>46.4</v>
      </c>
      <c r="U4666">
        <v>16.850000000000001</v>
      </c>
      <c r="V4666" t="str">
        <f>VLOOKUP(L4666,'[2]tabela de preços'!$A:$D,4,0)</f>
        <v>NORTON</v>
      </c>
      <c r="W4666" t="str">
        <f>VLOOKUP(L4666,'[2]tabela de preços'!$A:$F,6,0)</f>
        <v xml:space="preserve">DISCOS / LIXAS / ABRASIVOS </v>
      </c>
      <c r="X4666" t="str">
        <f>VLOOKUP(L4666,'[2]tabela de preços'!$A:$G,7,0)</f>
        <v>AUTOMOTIVO</v>
      </c>
    </row>
    <row r="4667" spans="1:24" x14ac:dyDescent="0.3">
      <c r="A4667" t="s">
        <v>1337</v>
      </c>
      <c r="C4667" t="s">
        <v>3957</v>
      </c>
      <c r="D4667" s="1">
        <v>46084</v>
      </c>
      <c r="E4667" t="s">
        <v>3958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1340</v>
      </c>
      <c r="K4667" t="s">
        <v>1341</v>
      </c>
      <c r="L4667">
        <v>24248</v>
      </c>
      <c r="M4667" t="s">
        <v>107</v>
      </c>
      <c r="O4667" t="s">
        <v>11</v>
      </c>
      <c r="P4667">
        <v>5102</v>
      </c>
      <c r="Q4667">
        <v>12</v>
      </c>
      <c r="R4667">
        <v>8</v>
      </c>
      <c r="S4667">
        <v>96</v>
      </c>
      <c r="T4667">
        <v>78</v>
      </c>
      <c r="U4667">
        <v>18.75</v>
      </c>
      <c r="V4667" t="str">
        <f>VLOOKUP(L4667,'[2]tabela de preços'!$A:$D,4,0)</f>
        <v>SHERWIN WILLIAMS</v>
      </c>
      <c r="W4667" t="str">
        <f>VLOOKUP(L4667,'[2]tabela de preços'!$A:$F,6,0)</f>
        <v>PRIMER AUTOMOTIVO</v>
      </c>
      <c r="X4667" t="str">
        <f>VLOOKUP(L4667,'[2]tabela de preços'!$A:$G,7,0)</f>
        <v>AUTOMOTIVO</v>
      </c>
    </row>
    <row r="4668" spans="1:24" x14ac:dyDescent="0.3">
      <c r="A4668" t="s">
        <v>1337</v>
      </c>
      <c r="C4668" t="s">
        <v>3957</v>
      </c>
      <c r="D4668" s="1">
        <v>46084</v>
      </c>
      <c r="E4668" t="s">
        <v>3958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1340</v>
      </c>
      <c r="K4668" t="s">
        <v>1341</v>
      </c>
      <c r="L4668">
        <v>22684</v>
      </c>
      <c r="M4668" t="s">
        <v>73</v>
      </c>
      <c r="O4668" t="s">
        <v>11</v>
      </c>
      <c r="P4668">
        <v>5102</v>
      </c>
      <c r="Q4668">
        <v>70</v>
      </c>
      <c r="R4668">
        <v>3.65</v>
      </c>
      <c r="S4668">
        <v>255.5</v>
      </c>
      <c r="T4668">
        <v>215.6</v>
      </c>
      <c r="U4668">
        <v>15.62</v>
      </c>
      <c r="V4668" t="str">
        <f>VLOOKUP(L4668,'[2]tabela de preços'!$A:$D,4,0)</f>
        <v>3M</v>
      </c>
      <c r="W4668" t="str">
        <f>VLOOKUP(L4668,'[2]tabela de preços'!$A:$F,6,0)</f>
        <v>FITA AUTOMOTIVA</v>
      </c>
      <c r="X4668" t="str">
        <f>VLOOKUP(L4668,'[2]tabela de preços'!$A:$G,7,0)</f>
        <v>AUTOMOTIVO</v>
      </c>
    </row>
    <row r="4669" spans="1:24" x14ac:dyDescent="0.3">
      <c r="A4669" t="s">
        <v>1337</v>
      </c>
      <c r="C4669" t="s">
        <v>3957</v>
      </c>
      <c r="D4669" s="1">
        <v>46084</v>
      </c>
      <c r="E4669" t="s">
        <v>3958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1340</v>
      </c>
      <c r="K4669" t="s">
        <v>1341</v>
      </c>
      <c r="L4669">
        <v>23076</v>
      </c>
      <c r="M4669" t="s">
        <v>97</v>
      </c>
      <c r="O4669" t="s">
        <v>11</v>
      </c>
      <c r="P4669">
        <v>5405</v>
      </c>
      <c r="Q4669">
        <v>12</v>
      </c>
      <c r="R4669">
        <v>34.89</v>
      </c>
      <c r="S4669">
        <v>418.68</v>
      </c>
      <c r="T4669">
        <v>318.36</v>
      </c>
      <c r="U4669">
        <v>23.96</v>
      </c>
      <c r="V4669" t="str">
        <f>VLOOKUP(L4669,'[2]tabela de preços'!$A:$D,4,0)</f>
        <v>WANDA</v>
      </c>
      <c r="W4669" t="str">
        <f>VLOOKUP(L4669,'[2]tabela de preços'!$A:$F,6,0)</f>
        <v>PRIMER AUTOMOTIVO</v>
      </c>
      <c r="X4669" t="str">
        <f>VLOOKUP(L4669,'[2]tabela de preços'!$A:$G,7,0)</f>
        <v>AUTOMOTIVO</v>
      </c>
    </row>
    <row r="4670" spans="1:24" x14ac:dyDescent="0.3">
      <c r="A4670" t="s">
        <v>1337</v>
      </c>
      <c r="C4670" t="s">
        <v>3957</v>
      </c>
      <c r="D4670" s="1">
        <v>46084</v>
      </c>
      <c r="E4670" t="s">
        <v>3958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1340</v>
      </c>
      <c r="K4670" t="s">
        <v>1341</v>
      </c>
      <c r="L4670">
        <v>20431</v>
      </c>
      <c r="M4670" t="s">
        <v>202</v>
      </c>
      <c r="O4670" t="s">
        <v>11</v>
      </c>
      <c r="P4670">
        <v>5405</v>
      </c>
      <c r="Q4670">
        <v>9</v>
      </c>
      <c r="R4670">
        <v>36.89</v>
      </c>
      <c r="S4670">
        <v>332.01</v>
      </c>
      <c r="T4670">
        <v>272.33999999999997</v>
      </c>
      <c r="U4670">
        <v>17.97</v>
      </c>
      <c r="V4670" t="str">
        <f>VLOOKUP(L4670,'[2]tabela de preços'!$A:$D,4,0)</f>
        <v>SHERWIN WILLIAMS</v>
      </c>
      <c r="W4670" t="str">
        <f>VLOOKUP(L4670,'[2]tabela de preços'!$A:$F,6,0)</f>
        <v>VERNIZ AUTOMOTIVO</v>
      </c>
      <c r="X4670" t="str">
        <f>VLOOKUP(L4670,'[2]tabela de preços'!$A:$G,7,0)</f>
        <v>AUTOMOTIVO</v>
      </c>
    </row>
    <row r="4671" spans="1:24" x14ac:dyDescent="0.3">
      <c r="A4671" t="s">
        <v>1337</v>
      </c>
      <c r="C4671" t="s">
        <v>3957</v>
      </c>
      <c r="D4671" s="1">
        <v>46084</v>
      </c>
      <c r="E4671" t="s">
        <v>3958</v>
      </c>
      <c r="F4671">
        <v>9</v>
      </c>
      <c r="G4671">
        <v>174</v>
      </c>
      <c r="H4671" t="str">
        <f>VLOOKUP(G4671,[1]OPERADORES!$A:$B,2,0)</f>
        <v>MIRIÃ LOBATO RODRIGUES</v>
      </c>
      <c r="I4671" t="s">
        <v>21</v>
      </c>
      <c r="J4671" t="s">
        <v>1340</v>
      </c>
      <c r="K4671" t="s">
        <v>1341</v>
      </c>
      <c r="L4671">
        <v>10238</v>
      </c>
      <c r="M4671" t="s">
        <v>79</v>
      </c>
      <c r="O4671" t="s">
        <v>11</v>
      </c>
      <c r="P4671">
        <v>5102</v>
      </c>
      <c r="Q4671">
        <v>80</v>
      </c>
      <c r="R4671">
        <v>2.79</v>
      </c>
      <c r="S4671">
        <v>223.2</v>
      </c>
      <c r="T4671">
        <v>179.2</v>
      </c>
      <c r="U4671">
        <v>19.71</v>
      </c>
      <c r="V4671" t="str">
        <f>VLOOKUP(L4671,'[2]tabela de preços'!$A:$D,4,0)</f>
        <v>NORTON</v>
      </c>
      <c r="W4671" t="str">
        <f>VLOOKUP(L4671,'[2]tabela de preços'!$A:$F,6,0)</f>
        <v xml:space="preserve">DISCOS / LIXAS / ABRASIVOS </v>
      </c>
      <c r="X4671" t="str">
        <f>VLOOKUP(L4671,'[2]tabela de preços'!$A:$G,7,0)</f>
        <v>AUTOMOTIVO</v>
      </c>
    </row>
    <row r="4672" spans="1:24" x14ac:dyDescent="0.3">
      <c r="A4672" t="s">
        <v>1337</v>
      </c>
      <c r="C4672" t="s">
        <v>3957</v>
      </c>
      <c r="D4672" s="1">
        <v>46084</v>
      </c>
      <c r="E4672" t="s">
        <v>3958</v>
      </c>
      <c r="F4672">
        <v>9</v>
      </c>
      <c r="G4672">
        <v>174</v>
      </c>
      <c r="H4672" t="str">
        <f>VLOOKUP(G4672,[1]OPERADORES!$A:$B,2,0)</f>
        <v>MIRIÃ LOBATO RODRIGUES</v>
      </c>
      <c r="I4672" t="s">
        <v>21</v>
      </c>
      <c r="J4672" t="s">
        <v>1340</v>
      </c>
      <c r="K4672" t="s">
        <v>1341</v>
      </c>
      <c r="L4672">
        <v>10240</v>
      </c>
      <c r="M4672" t="s">
        <v>81</v>
      </c>
      <c r="O4672" t="s">
        <v>11</v>
      </c>
      <c r="P4672">
        <v>5102</v>
      </c>
      <c r="Q4672">
        <v>20</v>
      </c>
      <c r="R4672">
        <v>2.79</v>
      </c>
      <c r="S4672">
        <v>55.8</v>
      </c>
      <c r="T4672">
        <v>44.8</v>
      </c>
      <c r="U4672">
        <v>19.71</v>
      </c>
      <c r="V4672" t="str">
        <f>VLOOKUP(L4672,'[2]tabela de preços'!$A:$D,4,0)</f>
        <v>NORTON</v>
      </c>
      <c r="W4672" t="str">
        <f>VLOOKUP(L4672,'[2]tabela de preços'!$A:$F,6,0)</f>
        <v xml:space="preserve">DISCOS / LIXAS / ABRASIVOS </v>
      </c>
      <c r="X4672" t="str">
        <f>VLOOKUP(L4672,'[2]tabela de preços'!$A:$G,7,0)</f>
        <v>AUTOMOTIVO</v>
      </c>
    </row>
    <row r="4673" spans="1:24" x14ac:dyDescent="0.3">
      <c r="A4673" t="s">
        <v>1337</v>
      </c>
      <c r="C4673" t="s">
        <v>3957</v>
      </c>
      <c r="D4673" s="1">
        <v>46084</v>
      </c>
      <c r="E4673" t="s">
        <v>3958</v>
      </c>
      <c r="F4673">
        <v>9</v>
      </c>
      <c r="G4673">
        <v>174</v>
      </c>
      <c r="H4673" t="str">
        <f>VLOOKUP(G4673,[1]OPERADORES!$A:$B,2,0)</f>
        <v>MIRIÃ LOBATO RODRIGUES</v>
      </c>
      <c r="I4673" t="s">
        <v>21</v>
      </c>
      <c r="J4673" t="s">
        <v>1340</v>
      </c>
      <c r="K4673" t="s">
        <v>1341</v>
      </c>
      <c r="L4673">
        <v>10242</v>
      </c>
      <c r="M4673" t="s">
        <v>82</v>
      </c>
      <c r="O4673" t="s">
        <v>11</v>
      </c>
      <c r="P4673">
        <v>5102</v>
      </c>
      <c r="Q4673">
        <v>20</v>
      </c>
      <c r="R4673">
        <v>2.79</v>
      </c>
      <c r="S4673">
        <v>55.8</v>
      </c>
      <c r="T4673">
        <v>44.8</v>
      </c>
      <c r="U4673">
        <v>19.71</v>
      </c>
      <c r="V4673" t="str">
        <f>VLOOKUP(L4673,'[2]tabela de preços'!$A:$D,4,0)</f>
        <v>NORTON</v>
      </c>
      <c r="W4673" t="str">
        <f>VLOOKUP(L4673,'[2]tabela de preços'!$A:$F,6,0)</f>
        <v xml:space="preserve">DISCOS / LIXAS / ABRASIVOS </v>
      </c>
      <c r="X4673" t="str">
        <f>VLOOKUP(L4673,'[2]tabela de preços'!$A:$G,7,0)</f>
        <v>AUTOMOTIVO</v>
      </c>
    </row>
    <row r="4674" spans="1:24" x14ac:dyDescent="0.3">
      <c r="A4674" t="s">
        <v>1337</v>
      </c>
      <c r="C4674" t="s">
        <v>3957</v>
      </c>
      <c r="D4674" s="1">
        <v>46084</v>
      </c>
      <c r="E4674" t="s">
        <v>3958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21</v>
      </c>
      <c r="J4674" t="s">
        <v>1340</v>
      </c>
      <c r="K4674" t="s">
        <v>1341</v>
      </c>
      <c r="L4674">
        <v>10243</v>
      </c>
      <c r="M4674" t="s">
        <v>83</v>
      </c>
      <c r="O4674" t="s">
        <v>11</v>
      </c>
      <c r="P4674">
        <v>5102</v>
      </c>
      <c r="Q4674">
        <v>30</v>
      </c>
      <c r="R4674">
        <v>2.79</v>
      </c>
      <c r="S4674">
        <v>83.7</v>
      </c>
      <c r="T4674">
        <v>57.9</v>
      </c>
      <c r="U4674">
        <v>30.82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1337</v>
      </c>
      <c r="C4675" t="s">
        <v>3957</v>
      </c>
      <c r="D4675" s="1">
        <v>46084</v>
      </c>
      <c r="E4675" t="s">
        <v>3958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21</v>
      </c>
      <c r="J4675" t="s">
        <v>1340</v>
      </c>
      <c r="K4675" t="s">
        <v>1341</v>
      </c>
      <c r="L4675">
        <v>21077</v>
      </c>
      <c r="M4675" t="s">
        <v>207</v>
      </c>
      <c r="O4675" t="s">
        <v>11</v>
      </c>
      <c r="P4675">
        <v>5102</v>
      </c>
      <c r="Q4675">
        <v>2</v>
      </c>
      <c r="R4675">
        <v>44.68</v>
      </c>
      <c r="S4675">
        <v>89.36</v>
      </c>
      <c r="T4675">
        <v>67.84</v>
      </c>
      <c r="U4675">
        <v>24.08</v>
      </c>
      <c r="V4675" t="str">
        <f>VLOOKUP(L4675,'[2]tabela de preços'!$A:$D,4,0)</f>
        <v>SHERWIN WILLIAMS</v>
      </c>
      <c r="W4675" t="str">
        <f>VLOOKUP(L4675,'[2]tabela de preços'!$A:$F,6,0)</f>
        <v>MASSA POLIÉSTER</v>
      </c>
      <c r="X4675" t="str">
        <f>VLOOKUP(L4675,'[2]tabela de preços'!$A:$G,7,0)</f>
        <v>AUTOMOTIVO</v>
      </c>
    </row>
    <row r="4676" spans="1:24" x14ac:dyDescent="0.3">
      <c r="A4676" t="s">
        <v>1337</v>
      </c>
      <c r="C4676" t="s">
        <v>3957</v>
      </c>
      <c r="D4676" s="1">
        <v>46084</v>
      </c>
      <c r="E4676" t="s">
        <v>3958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1340</v>
      </c>
      <c r="K4676" t="s">
        <v>1341</v>
      </c>
      <c r="L4676">
        <v>24247</v>
      </c>
      <c r="M4676" t="s">
        <v>160</v>
      </c>
      <c r="O4676" t="s">
        <v>11</v>
      </c>
      <c r="P4676">
        <v>5405</v>
      </c>
      <c r="Q4676">
        <v>12</v>
      </c>
      <c r="R4676">
        <v>21</v>
      </c>
      <c r="S4676">
        <v>252</v>
      </c>
      <c r="T4676">
        <v>202.44</v>
      </c>
      <c r="U4676">
        <v>19.670000000000002</v>
      </c>
      <c r="V4676" t="str">
        <f>VLOOKUP(L4676,'[2]tabela de preços'!$A:$D,4,0)</f>
        <v>SHERWIN WILLIAMS</v>
      </c>
      <c r="W4676" t="str">
        <f>VLOOKUP(L4676,'[2]tabela de preços'!$A:$F,6,0)</f>
        <v>PRIMER AUTOMOTIVO</v>
      </c>
      <c r="X4676" t="str">
        <f>VLOOKUP(L4676,'[2]tabela de preços'!$A:$G,7,0)</f>
        <v>AUTOMOTIVO</v>
      </c>
    </row>
    <row r="4677" spans="1:24" x14ac:dyDescent="0.3">
      <c r="A4677" t="s">
        <v>1337</v>
      </c>
      <c r="C4677" t="s">
        <v>3957</v>
      </c>
      <c r="D4677" s="1">
        <v>46084</v>
      </c>
      <c r="E4677" t="s">
        <v>3958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1340</v>
      </c>
      <c r="K4677" t="s">
        <v>1341</v>
      </c>
      <c r="L4677">
        <v>10298</v>
      </c>
      <c r="M4677" t="s">
        <v>85</v>
      </c>
      <c r="O4677" t="s">
        <v>11</v>
      </c>
      <c r="P4677">
        <v>5102</v>
      </c>
      <c r="Q4677">
        <v>15</v>
      </c>
      <c r="R4677">
        <v>54.9</v>
      </c>
      <c r="S4677">
        <v>823.5</v>
      </c>
      <c r="T4677">
        <v>710.7</v>
      </c>
      <c r="U4677">
        <v>13.7</v>
      </c>
      <c r="V4677" t="str">
        <f>VLOOKUP(L4677,'[2]tabela de preços'!$A:$D,4,0)</f>
        <v>ANJO</v>
      </c>
      <c r="W4677" t="str">
        <f>VLOOKUP(L4677,'[2]tabela de preços'!$A:$F,6,0)</f>
        <v>THINNER DE LIMPEZA</v>
      </c>
      <c r="X4677" t="str">
        <f>VLOOKUP(L4677,'[2]tabela de preços'!$A:$G,7,0)</f>
        <v>THINNER</v>
      </c>
    </row>
    <row r="4678" spans="1:24" x14ac:dyDescent="0.3">
      <c r="A4678" t="s">
        <v>1337</v>
      </c>
      <c r="C4678" t="s">
        <v>3957</v>
      </c>
      <c r="D4678" s="1">
        <v>46084</v>
      </c>
      <c r="E4678" t="s">
        <v>3958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1340</v>
      </c>
      <c r="K4678" t="s">
        <v>1341</v>
      </c>
      <c r="L4678">
        <v>20414</v>
      </c>
      <c r="M4678" t="s">
        <v>112</v>
      </c>
      <c r="O4678" t="s">
        <v>11</v>
      </c>
      <c r="P4678">
        <v>5102</v>
      </c>
      <c r="Q4678">
        <v>20</v>
      </c>
      <c r="R4678">
        <v>21.89</v>
      </c>
      <c r="S4678">
        <v>437.8</v>
      </c>
      <c r="T4678">
        <v>360</v>
      </c>
      <c r="U4678">
        <v>17.77</v>
      </c>
      <c r="V4678" t="str">
        <f>VLOOKUP(L4678,'[2]tabela de preços'!$A:$D,4,0)</f>
        <v>SHERWIN WILLIAMS</v>
      </c>
      <c r="W4678" t="str">
        <f>VLOOKUP(L4678,'[2]tabela de preços'!$A:$F,6,0)</f>
        <v>DILUENTE</v>
      </c>
      <c r="X4678" t="str">
        <f>VLOOKUP(L4678,'[2]tabela de preços'!$A:$G,7,0)</f>
        <v>AUTOMOTIVO</v>
      </c>
    </row>
    <row r="4679" spans="1:24" x14ac:dyDescent="0.3">
      <c r="A4679" t="s">
        <v>1411</v>
      </c>
      <c r="C4679" t="s">
        <v>3959</v>
      </c>
      <c r="D4679" s="1">
        <v>46083</v>
      </c>
      <c r="E4679" t="s">
        <v>3960</v>
      </c>
      <c r="F4679">
        <v>9</v>
      </c>
      <c r="G4679">
        <v>197</v>
      </c>
      <c r="H4679" t="str">
        <f>VLOOKUP(G4679,[1]OPERADORES!$A:$B,2,0)</f>
        <v xml:space="preserve">POLIANA LORRANE DE AMORIM </v>
      </c>
      <c r="I4679" t="s">
        <v>21</v>
      </c>
      <c r="J4679" t="s">
        <v>1414</v>
      </c>
      <c r="K4679" t="s">
        <v>1415</v>
      </c>
      <c r="L4679">
        <v>10324</v>
      </c>
      <c r="M4679" t="s">
        <v>3961</v>
      </c>
      <c r="O4679" t="s">
        <v>11</v>
      </c>
      <c r="P4679">
        <v>5403</v>
      </c>
      <c r="Q4679">
        <v>6</v>
      </c>
      <c r="R4679">
        <v>35.04</v>
      </c>
      <c r="S4679">
        <v>210.24</v>
      </c>
      <c r="T4679">
        <v>154.13999999999999</v>
      </c>
      <c r="U4679">
        <v>26.68</v>
      </c>
      <c r="V4679" t="str">
        <f>VLOOKUP(L4679,'[2]tabela de preços'!$A:$D,4,0)</f>
        <v>ANJO</v>
      </c>
      <c r="W4679" t="str">
        <f>VLOOKUP(L4679,'[2]tabela de preços'!$A:$F,6,0)</f>
        <v>TINTAS LACA</v>
      </c>
      <c r="X4679" t="str">
        <f>VLOOKUP(L4679,'[2]tabela de preços'!$A:$G,7,0)</f>
        <v>AUTOMOTIVO</v>
      </c>
    </row>
    <row r="4680" spans="1:24" x14ac:dyDescent="0.3">
      <c r="A4680" t="s">
        <v>1444</v>
      </c>
      <c r="C4680" t="s">
        <v>3962</v>
      </c>
      <c r="D4680" s="1">
        <v>46084</v>
      </c>
      <c r="E4680" t="s">
        <v>3963</v>
      </c>
      <c r="F4680">
        <v>9</v>
      </c>
      <c r="G4680">
        <v>231</v>
      </c>
      <c r="H4680" t="str">
        <f>VLOOKUP(G4680,[1]OPERADORES!$A:$B,2,0)</f>
        <v>EDIJANE</v>
      </c>
      <c r="I4680" t="s">
        <v>21</v>
      </c>
      <c r="J4680" t="s">
        <v>363</v>
      </c>
      <c r="K4680" t="s">
        <v>1447</v>
      </c>
      <c r="L4680">
        <v>10298</v>
      </c>
      <c r="M4680" t="s">
        <v>85</v>
      </c>
      <c r="O4680" t="s">
        <v>11</v>
      </c>
      <c r="P4680">
        <v>5102</v>
      </c>
      <c r="Q4680">
        <v>4</v>
      </c>
      <c r="R4680">
        <v>56.9</v>
      </c>
      <c r="S4680">
        <v>227.6</v>
      </c>
      <c r="T4680">
        <v>189.52</v>
      </c>
      <c r="U4680">
        <v>16.73</v>
      </c>
      <c r="V4680" t="str">
        <f>VLOOKUP(L4680,'[2]tabela de preços'!$A:$D,4,0)</f>
        <v>ANJO</v>
      </c>
      <c r="W4680" t="str">
        <f>VLOOKUP(L4680,'[2]tabela de preços'!$A:$F,6,0)</f>
        <v>THINNER DE LIMPEZA</v>
      </c>
      <c r="X4680" t="str">
        <f>VLOOKUP(L4680,'[2]tabela de preços'!$A:$G,7,0)</f>
        <v>THINNER</v>
      </c>
    </row>
    <row r="4681" spans="1:24" x14ac:dyDescent="0.3">
      <c r="A4681" t="s">
        <v>1444</v>
      </c>
      <c r="C4681" t="s">
        <v>3962</v>
      </c>
      <c r="D4681" s="1">
        <v>46084</v>
      </c>
      <c r="E4681" t="s">
        <v>3963</v>
      </c>
      <c r="F4681">
        <v>9</v>
      </c>
      <c r="G4681">
        <v>231</v>
      </c>
      <c r="H4681" t="str">
        <f>VLOOKUP(G4681,[1]OPERADORES!$A:$B,2,0)</f>
        <v>EDIJANE</v>
      </c>
      <c r="I4681" t="s">
        <v>21</v>
      </c>
      <c r="J4681" t="s">
        <v>363</v>
      </c>
      <c r="K4681" t="s">
        <v>1447</v>
      </c>
      <c r="L4681">
        <v>85321</v>
      </c>
      <c r="M4681" t="s">
        <v>1063</v>
      </c>
      <c r="O4681" t="s">
        <v>11</v>
      </c>
      <c r="P4681">
        <v>5102</v>
      </c>
      <c r="Q4681">
        <v>1</v>
      </c>
      <c r="R4681">
        <v>653.23</v>
      </c>
      <c r="S4681">
        <v>653.23</v>
      </c>
      <c r="T4681">
        <v>465.76</v>
      </c>
      <c r="U4681">
        <v>28.7</v>
      </c>
      <c r="V4681" t="str">
        <f>VLOOKUP(L4681,'[2]tabela de preços'!$A:$D,4,0)</f>
        <v>BRASILUX</v>
      </c>
      <c r="W4681" t="str">
        <f>VLOOKUP(L4681,'[2]tabela de preços'!$A:$F,6,0)</f>
        <v>TINTA EM PÓ</v>
      </c>
      <c r="X4681" t="str">
        <f>VLOOKUP(L4681,'[2]tabela de preços'!$A:$G,7,0)</f>
        <v>INDUSTRIAL</v>
      </c>
    </row>
    <row r="4682" spans="1:24" x14ac:dyDescent="0.3">
      <c r="A4682" t="s">
        <v>1444</v>
      </c>
      <c r="C4682" t="s">
        <v>3962</v>
      </c>
      <c r="D4682" s="1">
        <v>46084</v>
      </c>
      <c r="E4682" t="s">
        <v>3963</v>
      </c>
      <c r="F4682">
        <v>9</v>
      </c>
      <c r="G4682">
        <v>231</v>
      </c>
      <c r="H4682" t="str">
        <f>VLOOKUP(G4682,[1]OPERADORES!$A:$B,2,0)</f>
        <v>EDIJANE</v>
      </c>
      <c r="I4682" t="s">
        <v>21</v>
      </c>
      <c r="J4682" t="s">
        <v>363</v>
      </c>
      <c r="K4682" t="s">
        <v>1447</v>
      </c>
      <c r="L4682">
        <v>85425</v>
      </c>
      <c r="M4682" t="s">
        <v>3964</v>
      </c>
      <c r="O4682" t="s">
        <v>11</v>
      </c>
      <c r="P4682">
        <v>5102</v>
      </c>
      <c r="Q4682">
        <v>1</v>
      </c>
      <c r="R4682">
        <v>812.71</v>
      </c>
      <c r="S4682">
        <v>812.71</v>
      </c>
      <c r="T4682">
        <v>579.47</v>
      </c>
      <c r="U4682">
        <v>28.7</v>
      </c>
      <c r="V4682" t="str">
        <f>VLOOKUP(L4682,'[2]tabela de preços'!$A:$D,4,0)</f>
        <v>BRASILUX</v>
      </c>
      <c r="W4682" t="str">
        <f>VLOOKUP(L4682,'[2]tabela de preços'!$A:$F,6,0)</f>
        <v>TINTA EM PÓ</v>
      </c>
      <c r="X4682" t="str">
        <f>VLOOKUP(L4682,'[2]tabela de preços'!$A:$G,7,0)</f>
        <v>INDUSTRIAL</v>
      </c>
    </row>
    <row r="4683" spans="1:24" x14ac:dyDescent="0.3">
      <c r="A4683" t="s">
        <v>3965</v>
      </c>
      <c r="C4683" t="s">
        <v>3966</v>
      </c>
      <c r="D4683" s="1">
        <v>46084</v>
      </c>
      <c r="E4683" t="s">
        <v>3967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2066</v>
      </c>
      <c r="K4683" t="s">
        <v>3968</v>
      </c>
      <c r="L4683">
        <v>87010</v>
      </c>
      <c r="M4683" t="s">
        <v>3969</v>
      </c>
      <c r="O4683" t="s">
        <v>11</v>
      </c>
      <c r="P4683">
        <v>5102</v>
      </c>
      <c r="Q4683">
        <v>1</v>
      </c>
      <c r="R4683">
        <v>40.24</v>
      </c>
      <c r="S4683">
        <v>40.24</v>
      </c>
      <c r="T4683">
        <v>29.5</v>
      </c>
      <c r="U4683">
        <v>26.69</v>
      </c>
      <c r="V4683" t="str">
        <f>VLOOKUP(L4683,'[2]tabela de preços'!$A:$D,4,0)</f>
        <v>DEWALT</v>
      </c>
      <c r="W4683" t="str">
        <f>VLOOKUP(L4683,'[2]tabela de preços'!$A:$F,6,0)</f>
        <v>OUTRAS FERRAMENTAS / EQUIPAMENTOS</v>
      </c>
      <c r="X4683" t="str">
        <f>VLOOKUP(L4683,'[2]tabela de preços'!$A:$G,7,0)</f>
        <v>AUTOMOTIVO</v>
      </c>
    </row>
    <row r="4684" spans="1:24" x14ac:dyDescent="0.3">
      <c r="A4684" t="s">
        <v>1524</v>
      </c>
      <c r="B4684" t="s">
        <v>1525</v>
      </c>
      <c r="C4684" t="s">
        <v>3970</v>
      </c>
      <c r="D4684" s="1">
        <v>46083</v>
      </c>
      <c r="E4684" t="s">
        <v>3971</v>
      </c>
      <c r="F4684">
        <v>9</v>
      </c>
      <c r="G4684">
        <v>236</v>
      </c>
      <c r="H4684" t="str">
        <f>VLOOKUP(G4684,[1]OPERADORES!$A:$B,2,0)</f>
        <v>DANIEL</v>
      </c>
      <c r="I4684" t="s">
        <v>21</v>
      </c>
      <c r="J4684" t="s">
        <v>762</v>
      </c>
      <c r="K4684" t="s">
        <v>1528</v>
      </c>
      <c r="L4684">
        <v>84111</v>
      </c>
      <c r="M4684" t="s">
        <v>1393</v>
      </c>
      <c r="O4684" t="s">
        <v>11</v>
      </c>
      <c r="P4684">
        <v>5403</v>
      </c>
      <c r="Q4684">
        <v>2</v>
      </c>
      <c r="R4684">
        <v>153.99</v>
      </c>
      <c r="S4684">
        <v>307.98</v>
      </c>
      <c r="T4684">
        <v>233.76</v>
      </c>
      <c r="U4684">
        <v>24.1</v>
      </c>
      <c r="V4684" t="str">
        <f>VLOOKUP(L4684,'[2]tabela de preços'!$A:$D,4,0)</f>
        <v>BRASILUX</v>
      </c>
      <c r="W4684" t="str">
        <f>VLOOKUP(L4684,'[2]tabela de preços'!$A:$F,6,0)</f>
        <v>EPOXI</v>
      </c>
      <c r="X4684" t="str">
        <f>VLOOKUP(L4684,'[2]tabela de preços'!$A:$G,7,0)</f>
        <v>INDUSTRIAL</v>
      </c>
    </row>
    <row r="4685" spans="1:24" x14ac:dyDescent="0.3">
      <c r="A4685" t="s">
        <v>1524</v>
      </c>
      <c r="B4685" t="s">
        <v>1525</v>
      </c>
      <c r="C4685" t="s">
        <v>3970</v>
      </c>
      <c r="D4685" s="1">
        <v>46083</v>
      </c>
      <c r="E4685" t="s">
        <v>3971</v>
      </c>
      <c r="F4685">
        <v>9</v>
      </c>
      <c r="G4685">
        <v>236</v>
      </c>
      <c r="H4685" t="str">
        <f>VLOOKUP(G4685,[1]OPERADORES!$A:$B,2,0)</f>
        <v>DANIEL</v>
      </c>
      <c r="I4685" t="s">
        <v>21</v>
      </c>
      <c r="J4685" t="s">
        <v>762</v>
      </c>
      <c r="K4685" t="s">
        <v>1528</v>
      </c>
      <c r="L4685">
        <v>84200</v>
      </c>
      <c r="M4685" t="s">
        <v>1552</v>
      </c>
      <c r="O4685" t="s">
        <v>11</v>
      </c>
      <c r="P4685">
        <v>5403</v>
      </c>
      <c r="Q4685">
        <v>4</v>
      </c>
      <c r="R4685">
        <v>224.04</v>
      </c>
      <c r="S4685">
        <v>896.16</v>
      </c>
      <c r="T4685">
        <v>680.2</v>
      </c>
      <c r="U4685">
        <v>24.1</v>
      </c>
      <c r="V4685" t="str">
        <f>VLOOKUP(L4685,'[2]tabela de preços'!$A:$D,4,0)</f>
        <v>BRASILUX</v>
      </c>
      <c r="W4685" t="str">
        <f>VLOOKUP(L4685,'[2]tabela de preços'!$A:$F,6,0)</f>
        <v>EPOXI</v>
      </c>
      <c r="X4685" t="str">
        <f>VLOOKUP(L4685,'[2]tabela de preços'!$A:$G,7,0)</f>
        <v>INDUSTRIAL</v>
      </c>
    </row>
    <row r="4686" spans="1:24" x14ac:dyDescent="0.3">
      <c r="A4686" t="s">
        <v>1524</v>
      </c>
      <c r="B4686" t="s">
        <v>1525</v>
      </c>
      <c r="C4686" t="s">
        <v>3972</v>
      </c>
      <c r="D4686" s="1">
        <v>46084</v>
      </c>
      <c r="E4686" t="s">
        <v>3973</v>
      </c>
      <c r="F4686">
        <v>9</v>
      </c>
      <c r="G4686">
        <v>236</v>
      </c>
      <c r="H4686" t="str">
        <f>VLOOKUP(G4686,[1]OPERADORES!$A:$B,2,0)</f>
        <v>DANIEL</v>
      </c>
      <c r="I4686" t="s">
        <v>21</v>
      </c>
      <c r="J4686" t="s">
        <v>762</v>
      </c>
      <c r="K4686" t="s">
        <v>1528</v>
      </c>
      <c r="L4686">
        <v>84024</v>
      </c>
      <c r="M4686" t="s">
        <v>2444</v>
      </c>
      <c r="O4686" t="s">
        <v>11</v>
      </c>
      <c r="P4686">
        <v>5102</v>
      </c>
      <c r="Q4686">
        <v>4</v>
      </c>
      <c r="R4686">
        <v>17.97</v>
      </c>
      <c r="S4686">
        <v>71.88</v>
      </c>
      <c r="T4686">
        <v>52.48</v>
      </c>
      <c r="U4686">
        <v>26.99</v>
      </c>
      <c r="V4686" t="str">
        <f>VLOOKUP(L4686,'[2]tabela de preços'!$A:$D,4,0)</f>
        <v>BRASILUX</v>
      </c>
      <c r="W4686" t="str">
        <f>VLOOKUP(L4686,'[2]tabela de preços'!$A:$F,6,0)</f>
        <v>EPOXI</v>
      </c>
      <c r="X4686" t="str">
        <f>VLOOKUP(L4686,'[2]tabela de preços'!$A:$G,7,0)</f>
        <v>INDUSTRIAL</v>
      </c>
    </row>
    <row r="4687" spans="1:24" x14ac:dyDescent="0.3">
      <c r="A4687" t="s">
        <v>1524</v>
      </c>
      <c r="B4687" t="s">
        <v>1525</v>
      </c>
      <c r="C4687" t="s">
        <v>3972</v>
      </c>
      <c r="D4687" s="1">
        <v>46084</v>
      </c>
      <c r="E4687" t="s">
        <v>3973</v>
      </c>
      <c r="F4687">
        <v>9</v>
      </c>
      <c r="G4687">
        <v>236</v>
      </c>
      <c r="H4687" t="str">
        <f>VLOOKUP(G4687,[1]OPERADORES!$A:$B,2,0)</f>
        <v>DANIEL</v>
      </c>
      <c r="I4687" t="s">
        <v>21</v>
      </c>
      <c r="J4687" t="s">
        <v>762</v>
      </c>
      <c r="K4687" t="s">
        <v>1528</v>
      </c>
      <c r="L4687">
        <v>84111</v>
      </c>
      <c r="M4687" t="s">
        <v>1393</v>
      </c>
      <c r="O4687" t="s">
        <v>11</v>
      </c>
      <c r="P4687">
        <v>5403</v>
      </c>
      <c r="Q4687">
        <v>3</v>
      </c>
      <c r="R4687">
        <v>153.99</v>
      </c>
      <c r="S4687">
        <v>461.97</v>
      </c>
      <c r="T4687">
        <v>350.64</v>
      </c>
      <c r="U4687">
        <v>24.1</v>
      </c>
      <c r="V4687" t="str">
        <f>VLOOKUP(L4687,'[2]tabela de preços'!$A:$D,4,0)</f>
        <v>BRASILUX</v>
      </c>
      <c r="W4687" t="str">
        <f>VLOOKUP(L4687,'[2]tabela de preços'!$A:$F,6,0)</f>
        <v>EPOXI</v>
      </c>
      <c r="X4687" t="str">
        <f>VLOOKUP(L4687,'[2]tabela de preços'!$A:$G,7,0)</f>
        <v>INDUSTRIAL</v>
      </c>
    </row>
    <row r="4688" spans="1:24" x14ac:dyDescent="0.3">
      <c r="A4688" t="s">
        <v>1524</v>
      </c>
      <c r="B4688" t="s">
        <v>1525</v>
      </c>
      <c r="C4688" t="s">
        <v>3972</v>
      </c>
      <c r="D4688" s="1">
        <v>46084</v>
      </c>
      <c r="E4688" t="s">
        <v>3973</v>
      </c>
      <c r="F4688">
        <v>9</v>
      </c>
      <c r="G4688">
        <v>236</v>
      </c>
      <c r="H4688" t="str">
        <f>VLOOKUP(G4688,[1]OPERADORES!$A:$B,2,0)</f>
        <v>DANIEL</v>
      </c>
      <c r="I4688" t="s">
        <v>21</v>
      </c>
      <c r="J4688" t="s">
        <v>762</v>
      </c>
      <c r="K4688" t="s">
        <v>1528</v>
      </c>
      <c r="L4688">
        <v>85164</v>
      </c>
      <c r="M4688" t="s">
        <v>278</v>
      </c>
      <c r="O4688" t="s">
        <v>11</v>
      </c>
      <c r="P4688">
        <v>5102</v>
      </c>
      <c r="Q4688">
        <v>6</v>
      </c>
      <c r="R4688">
        <v>13.29</v>
      </c>
      <c r="S4688">
        <v>79.739999999999995</v>
      </c>
      <c r="T4688">
        <v>60.54</v>
      </c>
      <c r="U4688">
        <v>24.08</v>
      </c>
      <c r="V4688" t="str">
        <f>VLOOKUP(L4688,'[2]tabela de preços'!$A:$D,4,0)</f>
        <v>BRASILUX</v>
      </c>
      <c r="W4688" t="str">
        <f>VLOOKUP(L4688,'[2]tabela de preços'!$A:$F,6,0)</f>
        <v>QUEROSENE</v>
      </c>
      <c r="X4688" t="str">
        <f>VLOOKUP(L4688,'[2]tabela de preços'!$A:$G,7,0)</f>
        <v>AUTOMOTIVO</v>
      </c>
    </row>
    <row r="4689" spans="1:24" x14ac:dyDescent="0.3">
      <c r="A4689" t="s">
        <v>1649</v>
      </c>
      <c r="B4689" t="s">
        <v>1650</v>
      </c>
      <c r="C4689" t="s">
        <v>3974</v>
      </c>
      <c r="D4689" s="1">
        <v>46083</v>
      </c>
      <c r="E4689" t="s">
        <v>3975</v>
      </c>
      <c r="F4689">
        <v>9</v>
      </c>
      <c r="G4689">
        <v>236</v>
      </c>
      <c r="H4689" t="str">
        <f>VLOOKUP(G4689,[1]OPERADORES!$A:$B,2,0)</f>
        <v>DANIEL</v>
      </c>
      <c r="I4689" t="s">
        <v>21</v>
      </c>
      <c r="J4689" t="s">
        <v>1653</v>
      </c>
      <c r="K4689" t="s">
        <v>1654</v>
      </c>
      <c r="L4689">
        <v>10226</v>
      </c>
      <c r="M4689" t="s">
        <v>145</v>
      </c>
      <c r="O4689" t="s">
        <v>11</v>
      </c>
      <c r="P4689">
        <v>5102</v>
      </c>
      <c r="Q4689">
        <v>204</v>
      </c>
      <c r="R4689">
        <v>2.79</v>
      </c>
      <c r="S4689">
        <v>569.16</v>
      </c>
      <c r="T4689">
        <v>473.28</v>
      </c>
      <c r="U4689">
        <v>16.850000000000001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1649</v>
      </c>
      <c r="B4690" t="s">
        <v>1650</v>
      </c>
      <c r="C4690" t="s">
        <v>3974</v>
      </c>
      <c r="D4690" s="1">
        <v>46083</v>
      </c>
      <c r="E4690" t="s">
        <v>3975</v>
      </c>
      <c r="F4690">
        <v>9</v>
      </c>
      <c r="G4690">
        <v>236</v>
      </c>
      <c r="H4690" t="str">
        <f>VLOOKUP(G4690,[1]OPERADORES!$A:$B,2,0)</f>
        <v>DANIEL</v>
      </c>
      <c r="I4690" t="s">
        <v>21</v>
      </c>
      <c r="J4690" t="s">
        <v>1653</v>
      </c>
      <c r="K4690" t="s">
        <v>1654</v>
      </c>
      <c r="L4690">
        <v>10230</v>
      </c>
      <c r="M4690" t="s">
        <v>193</v>
      </c>
      <c r="O4690" t="s">
        <v>11</v>
      </c>
      <c r="P4690">
        <v>5102</v>
      </c>
      <c r="Q4690">
        <v>204</v>
      </c>
      <c r="R4690">
        <v>2.79</v>
      </c>
      <c r="S4690">
        <v>569.16</v>
      </c>
      <c r="T4690">
        <v>473.28</v>
      </c>
      <c r="U4690">
        <v>16.850000000000001</v>
      </c>
      <c r="V4690" t="str">
        <f>VLOOKUP(L4690,'[2]tabela de preços'!$A:$D,4,0)</f>
        <v>NORTON</v>
      </c>
      <c r="W4690" t="str">
        <f>VLOOKUP(L4690,'[2]tabela de preços'!$A:$F,6,0)</f>
        <v xml:space="preserve">DISCOS / LIXAS / ABRASIVOS </v>
      </c>
      <c r="X4690" t="str">
        <f>VLOOKUP(L4690,'[2]tabela de preços'!$A:$G,7,0)</f>
        <v>AUTOMOTIVO</v>
      </c>
    </row>
    <row r="4691" spans="1:24" x14ac:dyDescent="0.3">
      <c r="A4691" t="s">
        <v>1649</v>
      </c>
      <c r="B4691" t="s">
        <v>1650</v>
      </c>
      <c r="C4691" t="s">
        <v>3974</v>
      </c>
      <c r="D4691" s="1">
        <v>46083</v>
      </c>
      <c r="E4691" t="s">
        <v>3975</v>
      </c>
      <c r="F4691">
        <v>9</v>
      </c>
      <c r="G4691">
        <v>236</v>
      </c>
      <c r="H4691" t="str">
        <f>VLOOKUP(G4691,[1]OPERADORES!$A:$B,2,0)</f>
        <v>DANIEL</v>
      </c>
      <c r="I4691" t="s">
        <v>21</v>
      </c>
      <c r="J4691" t="s">
        <v>1653</v>
      </c>
      <c r="K4691" t="s">
        <v>1654</v>
      </c>
      <c r="L4691">
        <v>10232</v>
      </c>
      <c r="M4691" t="s">
        <v>134</v>
      </c>
      <c r="O4691" t="s">
        <v>11</v>
      </c>
      <c r="P4691">
        <v>5102</v>
      </c>
      <c r="Q4691">
        <v>204</v>
      </c>
      <c r="R4691">
        <v>2.79</v>
      </c>
      <c r="S4691">
        <v>569.16</v>
      </c>
      <c r="T4691">
        <v>459</v>
      </c>
      <c r="U4691">
        <v>19.350000000000001</v>
      </c>
      <c r="V4691" t="str">
        <f>VLOOKUP(L4691,'[2]tabela de preços'!$A:$D,4,0)</f>
        <v>NORTON</v>
      </c>
      <c r="W4691" t="str">
        <f>VLOOKUP(L4691,'[2]tabela de preços'!$A:$F,6,0)</f>
        <v xml:space="preserve">DISCOS / LIXAS / ABRASIVOS </v>
      </c>
      <c r="X4691" t="str">
        <f>VLOOKUP(L4691,'[2]tabela de preços'!$A:$G,7,0)</f>
        <v>AUTOMOTIVO</v>
      </c>
    </row>
    <row r="4692" spans="1:24" x14ac:dyDescent="0.3">
      <c r="A4692" t="s">
        <v>1649</v>
      </c>
      <c r="B4692" t="s">
        <v>1650</v>
      </c>
      <c r="C4692" t="s">
        <v>3974</v>
      </c>
      <c r="D4692" s="1">
        <v>46083</v>
      </c>
      <c r="E4692" t="s">
        <v>3975</v>
      </c>
      <c r="F4692">
        <v>9</v>
      </c>
      <c r="G4692">
        <v>236</v>
      </c>
      <c r="H4692" t="str">
        <f>VLOOKUP(G4692,[1]OPERADORES!$A:$B,2,0)</f>
        <v>DANIEL</v>
      </c>
      <c r="I4692" t="s">
        <v>21</v>
      </c>
      <c r="J4692" t="s">
        <v>1653</v>
      </c>
      <c r="K4692" t="s">
        <v>1654</v>
      </c>
      <c r="L4692">
        <v>16</v>
      </c>
      <c r="M4692" t="s">
        <v>122</v>
      </c>
      <c r="O4692" t="s">
        <v>11</v>
      </c>
      <c r="P4692">
        <v>5102</v>
      </c>
      <c r="Q4692">
        <v>50</v>
      </c>
      <c r="R4692">
        <v>2.97</v>
      </c>
      <c r="S4692">
        <v>148.5</v>
      </c>
      <c r="T4692">
        <v>110</v>
      </c>
      <c r="U4692">
        <v>25.93</v>
      </c>
      <c r="V4692" t="str">
        <f>VLOOKUP(L4692,'[2]tabela de preços'!$A:$D,4,0)</f>
        <v>3M</v>
      </c>
      <c r="W4692" t="str">
        <f>VLOOKUP(L4692,'[2]tabela de preços'!$A:$F,6,0)</f>
        <v>LIXA DÁGUA</v>
      </c>
      <c r="X4692" t="str">
        <f>VLOOKUP(L4692,'[2]tabela de preços'!$A:$G,7,0)</f>
        <v>AUTOMOTIVO</v>
      </c>
    </row>
    <row r="4693" spans="1:24" x14ac:dyDescent="0.3">
      <c r="A4693" t="s">
        <v>1688</v>
      </c>
      <c r="C4693" t="s">
        <v>3976</v>
      </c>
      <c r="D4693" s="1">
        <v>46083</v>
      </c>
      <c r="E4693" t="s">
        <v>3977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1691</v>
      </c>
      <c r="K4693" t="s">
        <v>1692</v>
      </c>
      <c r="L4693">
        <v>24248</v>
      </c>
      <c r="M4693" t="s">
        <v>107</v>
      </c>
      <c r="O4693" t="s">
        <v>11</v>
      </c>
      <c r="P4693">
        <v>5102</v>
      </c>
      <c r="Q4693">
        <v>12</v>
      </c>
      <c r="R4693">
        <v>8</v>
      </c>
      <c r="S4693">
        <v>96</v>
      </c>
      <c r="T4693">
        <v>78</v>
      </c>
      <c r="U4693">
        <v>18.75</v>
      </c>
      <c r="V4693" t="str">
        <f>VLOOKUP(L4693,'[2]tabela de preços'!$A:$D,4,0)</f>
        <v>SHERWIN WILLIAMS</v>
      </c>
      <c r="W4693" t="str">
        <f>VLOOKUP(L4693,'[2]tabela de preços'!$A:$F,6,0)</f>
        <v>PRIMER AUTOMOTIVO</v>
      </c>
      <c r="X4693" t="str">
        <f>VLOOKUP(L4693,'[2]tabela de preços'!$A:$G,7,0)</f>
        <v>AUTOMOTIVO</v>
      </c>
    </row>
    <row r="4694" spans="1:24" x14ac:dyDescent="0.3">
      <c r="A4694" t="s">
        <v>1688</v>
      </c>
      <c r="C4694" t="s">
        <v>3976</v>
      </c>
      <c r="D4694" s="1">
        <v>46083</v>
      </c>
      <c r="E4694" t="s">
        <v>3977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1691</v>
      </c>
      <c r="K4694" t="s">
        <v>1692</v>
      </c>
      <c r="L4694">
        <v>22233</v>
      </c>
      <c r="M4694" t="s">
        <v>184</v>
      </c>
      <c r="O4694" t="s">
        <v>11</v>
      </c>
      <c r="P4694">
        <v>5102</v>
      </c>
      <c r="Q4694">
        <v>2</v>
      </c>
      <c r="R4694">
        <v>30.17</v>
      </c>
      <c r="S4694">
        <v>60.34</v>
      </c>
      <c r="T4694">
        <v>45.8</v>
      </c>
      <c r="U4694">
        <v>24.1</v>
      </c>
      <c r="V4694" t="str">
        <f>VLOOKUP(L4694,'[2]tabela de preços'!$A:$D,4,0)</f>
        <v>3M</v>
      </c>
      <c r="W4694" t="str">
        <f>VLOOKUP(L4694,'[2]tabela de preços'!$A:$F,6,0)</f>
        <v>FITA DUPLA FACE</v>
      </c>
      <c r="X4694" t="str">
        <f>VLOOKUP(L4694,'[2]tabela de preços'!$A:$G,7,0)</f>
        <v>AUTOMOTIVO</v>
      </c>
    </row>
    <row r="4695" spans="1:24" x14ac:dyDescent="0.3">
      <c r="A4695" t="s">
        <v>1688</v>
      </c>
      <c r="C4695" t="s">
        <v>3976</v>
      </c>
      <c r="D4695" s="1">
        <v>46083</v>
      </c>
      <c r="E4695" t="s">
        <v>3977</v>
      </c>
      <c r="F4695">
        <v>9</v>
      </c>
      <c r="G4695">
        <v>236</v>
      </c>
      <c r="H4695" t="str">
        <f>VLOOKUP(G4695,[1]OPERADORES!$A:$B,2,0)</f>
        <v>DANIEL</v>
      </c>
      <c r="I4695" t="s">
        <v>21</v>
      </c>
      <c r="J4695" t="s">
        <v>1691</v>
      </c>
      <c r="K4695" t="s">
        <v>1692</v>
      </c>
      <c r="L4695">
        <v>87043</v>
      </c>
      <c r="M4695" t="s">
        <v>217</v>
      </c>
      <c r="O4695" t="s">
        <v>11</v>
      </c>
      <c r="P4695">
        <v>5102</v>
      </c>
      <c r="Q4695">
        <v>8</v>
      </c>
      <c r="R4695">
        <v>21.95</v>
      </c>
      <c r="S4695">
        <v>175.6</v>
      </c>
      <c r="T4695">
        <v>144.16</v>
      </c>
      <c r="U4695">
        <v>17.899999999999999</v>
      </c>
      <c r="V4695" t="str">
        <f>VLOOKUP(L4695,'[2]tabela de preços'!$A:$D,4,0)</f>
        <v>ROBERLO</v>
      </c>
      <c r="W4695" t="str">
        <f>VLOOKUP(L4695,'[2]tabela de preços'!$A:$F,6,0)</f>
        <v>MASSA POLIÉSTER</v>
      </c>
      <c r="X4695" t="str">
        <f>VLOOKUP(L4695,'[2]tabela de preços'!$A:$G,7,0)</f>
        <v>AUTOMOTIVO</v>
      </c>
    </row>
    <row r="4696" spans="1:24" x14ac:dyDescent="0.3">
      <c r="A4696" t="s">
        <v>1688</v>
      </c>
      <c r="C4696" t="s">
        <v>3976</v>
      </c>
      <c r="D4696" s="1">
        <v>46083</v>
      </c>
      <c r="E4696" t="s">
        <v>3977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1691</v>
      </c>
      <c r="K4696" t="s">
        <v>1692</v>
      </c>
      <c r="L4696">
        <v>24247</v>
      </c>
      <c r="M4696" t="s">
        <v>160</v>
      </c>
      <c r="O4696" t="s">
        <v>11</v>
      </c>
      <c r="P4696">
        <v>5403</v>
      </c>
      <c r="Q4696">
        <v>12</v>
      </c>
      <c r="R4696">
        <v>21</v>
      </c>
      <c r="S4696">
        <v>252</v>
      </c>
      <c r="T4696">
        <v>202.44</v>
      </c>
      <c r="U4696">
        <v>19.670000000000002</v>
      </c>
      <c r="V4696" t="str">
        <f>VLOOKUP(L4696,'[2]tabela de preços'!$A:$D,4,0)</f>
        <v>SHERWIN WILLIAMS</v>
      </c>
      <c r="W4696" t="str">
        <f>VLOOKUP(L4696,'[2]tabela de preços'!$A:$F,6,0)</f>
        <v>PRIMER AUTOMOTIVO</v>
      </c>
      <c r="X4696" t="str">
        <f>VLOOKUP(L4696,'[2]tabela de preços'!$A:$G,7,0)</f>
        <v>AUTOMOTIVO</v>
      </c>
    </row>
    <row r="4697" spans="1:24" x14ac:dyDescent="0.3">
      <c r="A4697" t="s">
        <v>1727</v>
      </c>
      <c r="C4697" t="s">
        <v>3978</v>
      </c>
      <c r="D4697" s="1">
        <v>46084</v>
      </c>
      <c r="E4697" t="s">
        <v>3979</v>
      </c>
      <c r="F4697">
        <v>9</v>
      </c>
      <c r="G4697">
        <v>174</v>
      </c>
      <c r="H4697" t="str">
        <f>VLOOKUP(G4697,[1]OPERADORES!$A:$B,2,0)</f>
        <v>MIRIÃ LOBATO RODRIGUES</v>
      </c>
      <c r="I4697" t="s">
        <v>21</v>
      </c>
      <c r="J4697" t="s">
        <v>1173</v>
      </c>
      <c r="K4697" t="s">
        <v>1730</v>
      </c>
      <c r="L4697">
        <v>86951</v>
      </c>
      <c r="M4697" t="s">
        <v>3238</v>
      </c>
      <c r="O4697" t="s">
        <v>11</v>
      </c>
      <c r="P4697">
        <v>5403</v>
      </c>
      <c r="Q4697">
        <v>12</v>
      </c>
      <c r="R4697">
        <v>83.84</v>
      </c>
      <c r="S4697" s="2">
        <v>1006.08</v>
      </c>
      <c r="T4697">
        <v>763.56</v>
      </c>
      <c r="U4697">
        <v>24.11</v>
      </c>
      <c r="V4697" t="str">
        <f>VLOOKUP(L4697,'[2]tabela de preços'!$A:$D,4,0)</f>
        <v>BRASILUX</v>
      </c>
      <c r="W4697" t="str">
        <f>VLOOKUP(L4697,'[2]tabela de preços'!$A:$F,6,0)</f>
        <v>ESMALTES</v>
      </c>
      <c r="X4697" t="str">
        <f>VLOOKUP(L4697,'[2]tabela de preços'!$A:$G,7,0)</f>
        <v>INDUSTRIAL</v>
      </c>
    </row>
    <row r="4698" spans="1:24" x14ac:dyDescent="0.3">
      <c r="A4698" t="s">
        <v>3823</v>
      </c>
      <c r="C4698" t="s">
        <v>3980</v>
      </c>
      <c r="D4698" s="1">
        <v>46083</v>
      </c>
      <c r="E4698" t="s">
        <v>3981</v>
      </c>
      <c r="F4698">
        <v>9</v>
      </c>
      <c r="G4698">
        <v>197</v>
      </c>
      <c r="H4698" t="str">
        <f>VLOOKUP(G4698,[1]OPERADORES!$A:$B,2,0)</f>
        <v xml:space="preserve">POLIANA LORRANE DE AMORIM </v>
      </c>
      <c r="I4698" t="s">
        <v>21</v>
      </c>
      <c r="J4698" t="s">
        <v>397</v>
      </c>
      <c r="K4698" t="s">
        <v>3826</v>
      </c>
      <c r="L4698">
        <v>85622</v>
      </c>
      <c r="M4698" t="s">
        <v>985</v>
      </c>
      <c r="O4698" t="s">
        <v>11</v>
      </c>
      <c r="P4698">
        <v>5102</v>
      </c>
      <c r="Q4698">
        <v>4</v>
      </c>
      <c r="R4698">
        <v>25.06</v>
      </c>
      <c r="S4698">
        <v>100.24</v>
      </c>
      <c r="T4698">
        <v>76.08</v>
      </c>
      <c r="U4698">
        <v>24.1</v>
      </c>
      <c r="V4698" t="str">
        <f>VLOOKUP(L4698,'[2]tabela de preços'!$A:$D,4,0)</f>
        <v>TEK BOND</v>
      </c>
      <c r="W4698" t="str">
        <f>VLOOKUP(L4698,'[2]tabela de preços'!$A:$F,6,0)</f>
        <v>COLA INST./ ADESIVOS COLANTES</v>
      </c>
      <c r="X4698" t="str">
        <f>VLOOKUP(L4698,'[2]tabela de preços'!$A:$G,7,0)</f>
        <v>AUTOMOTIVO</v>
      </c>
    </row>
    <row r="4699" spans="1:24" x14ac:dyDescent="0.3">
      <c r="A4699" t="s">
        <v>3823</v>
      </c>
      <c r="C4699" t="s">
        <v>3980</v>
      </c>
      <c r="D4699" s="1">
        <v>46083</v>
      </c>
      <c r="E4699" t="s">
        <v>3981</v>
      </c>
      <c r="F4699">
        <v>9</v>
      </c>
      <c r="G4699">
        <v>197</v>
      </c>
      <c r="H4699" t="str">
        <f>VLOOKUP(G4699,[1]OPERADORES!$A:$B,2,0)</f>
        <v xml:space="preserve">POLIANA LORRANE DE AMORIM </v>
      </c>
      <c r="I4699" t="s">
        <v>21</v>
      </c>
      <c r="J4699" t="s">
        <v>397</v>
      </c>
      <c r="K4699" t="s">
        <v>3826</v>
      </c>
      <c r="L4699">
        <v>23715</v>
      </c>
      <c r="M4699" t="s">
        <v>978</v>
      </c>
      <c r="O4699" t="s">
        <v>11</v>
      </c>
      <c r="P4699">
        <v>5102</v>
      </c>
      <c r="Q4699">
        <v>2</v>
      </c>
      <c r="R4699">
        <v>40.71</v>
      </c>
      <c r="S4699">
        <v>81.42</v>
      </c>
      <c r="T4699">
        <v>61.8</v>
      </c>
      <c r="U4699">
        <v>24.1</v>
      </c>
      <c r="V4699" t="str">
        <f>VLOOKUP(L4699,'[2]tabela de preços'!$A:$D,4,0)</f>
        <v>NEW PAD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3823</v>
      </c>
      <c r="C4700" t="s">
        <v>3980</v>
      </c>
      <c r="D4700" s="1">
        <v>46083</v>
      </c>
      <c r="E4700" t="s">
        <v>3981</v>
      </c>
      <c r="F4700">
        <v>9</v>
      </c>
      <c r="G4700">
        <v>197</v>
      </c>
      <c r="H4700" t="str">
        <f>VLOOKUP(G4700,[1]OPERADORES!$A:$B,2,0)</f>
        <v xml:space="preserve">POLIANA LORRANE DE AMORIM </v>
      </c>
      <c r="I4700" t="s">
        <v>21</v>
      </c>
      <c r="J4700" t="s">
        <v>397</v>
      </c>
      <c r="K4700" t="s">
        <v>3826</v>
      </c>
      <c r="L4700">
        <v>24371</v>
      </c>
      <c r="M4700" t="s">
        <v>3982</v>
      </c>
      <c r="O4700" t="s">
        <v>11</v>
      </c>
      <c r="P4700">
        <v>5102</v>
      </c>
      <c r="Q4700">
        <v>6</v>
      </c>
      <c r="R4700">
        <v>6.66</v>
      </c>
      <c r="S4700">
        <v>39.96</v>
      </c>
      <c r="T4700">
        <v>30.3</v>
      </c>
      <c r="U4700">
        <v>24.17</v>
      </c>
      <c r="V4700" t="str">
        <f>VLOOKUP(L4700,'[2]tabela de preços'!$A:$D,4,0)</f>
        <v>BRASILUX</v>
      </c>
      <c r="W4700" t="str">
        <f>VLOOKUP(L4700,'[2]tabela de preços'!$A:$F,6,0)</f>
        <v>EMBALAGEM</v>
      </c>
      <c r="X4700" t="str">
        <f>VLOOKUP(L4700,'[2]tabela de preços'!$A:$G,7,0)</f>
        <v>AUTOMOTIVO</v>
      </c>
    </row>
    <row r="4701" spans="1:24" x14ac:dyDescent="0.3">
      <c r="A4701" t="s">
        <v>3823</v>
      </c>
      <c r="C4701" t="s">
        <v>3980</v>
      </c>
      <c r="D4701" s="1">
        <v>46083</v>
      </c>
      <c r="E4701" t="s">
        <v>3981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397</v>
      </c>
      <c r="K4701" t="s">
        <v>3826</v>
      </c>
      <c r="L4701">
        <v>84347</v>
      </c>
      <c r="M4701" t="s">
        <v>1150</v>
      </c>
      <c r="O4701" t="s">
        <v>11</v>
      </c>
      <c r="P4701">
        <v>5403</v>
      </c>
      <c r="Q4701">
        <v>2</v>
      </c>
      <c r="R4701">
        <v>59.98</v>
      </c>
      <c r="S4701">
        <v>119.96</v>
      </c>
      <c r="T4701">
        <v>106.14</v>
      </c>
      <c r="U4701">
        <v>11.52</v>
      </c>
      <c r="V4701" t="str">
        <f>VLOOKUP(L4701,'[2]tabela de preços'!$A:$D,4,0)</f>
        <v>BRASILUX</v>
      </c>
      <c r="W4701" t="str">
        <f>VLOOKUP(L4701,'[2]tabela de preços'!$A:$F,6,0)</f>
        <v>ESMALTES</v>
      </c>
      <c r="X4701" t="str">
        <f>VLOOKUP(L4701,'[2]tabela de preços'!$A:$G,7,0)</f>
        <v>INDUSTRIAL</v>
      </c>
    </row>
    <row r="4702" spans="1:24" x14ac:dyDescent="0.3">
      <c r="A4702" t="s">
        <v>3823</v>
      </c>
      <c r="C4702" t="s">
        <v>3980</v>
      </c>
      <c r="D4702" s="1">
        <v>46083</v>
      </c>
      <c r="E4702" t="s">
        <v>3981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3826</v>
      </c>
      <c r="L4702">
        <v>85280</v>
      </c>
      <c r="M4702" t="s">
        <v>943</v>
      </c>
      <c r="O4702" t="s">
        <v>11</v>
      </c>
      <c r="P4702">
        <v>5102</v>
      </c>
      <c r="Q4702">
        <v>10</v>
      </c>
      <c r="R4702">
        <v>55.72</v>
      </c>
      <c r="S4702">
        <v>557.20000000000005</v>
      </c>
      <c r="T4702">
        <v>422.9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CATALISADORES INDIVIDUAIS</v>
      </c>
      <c r="X4702" t="str">
        <f>VLOOKUP(L4702,'[2]tabela de preços'!$A:$G,7,0)</f>
        <v>IMOBILIÁRIO</v>
      </c>
    </row>
    <row r="4703" spans="1:24" x14ac:dyDescent="0.3">
      <c r="A4703" t="s">
        <v>3823</v>
      </c>
      <c r="C4703" t="s">
        <v>3980</v>
      </c>
      <c r="D4703" s="1">
        <v>46083</v>
      </c>
      <c r="E4703" t="s">
        <v>3981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3826</v>
      </c>
      <c r="L4703">
        <v>85635</v>
      </c>
      <c r="M4703" t="s">
        <v>674</v>
      </c>
      <c r="O4703" t="s">
        <v>11</v>
      </c>
      <c r="P4703">
        <v>5102</v>
      </c>
      <c r="Q4703">
        <v>12</v>
      </c>
      <c r="R4703">
        <v>5.46</v>
      </c>
      <c r="S4703">
        <v>65.52</v>
      </c>
      <c r="T4703">
        <v>48</v>
      </c>
      <c r="U4703">
        <v>26.74</v>
      </c>
      <c r="V4703" t="str">
        <f>VLOOKUP(L4703,'[2]tabela de preços'!$A:$D,4,0)</f>
        <v>UNIPEGA</v>
      </c>
      <c r="W4703" t="str">
        <f>VLOOKUP(L4703,'[2]tabela de preços'!$A:$F,6,0)</f>
        <v>DESENGRIPANTE</v>
      </c>
      <c r="X4703" t="str">
        <f>VLOOKUP(L4703,'[2]tabela de preços'!$A:$G,7,0)</f>
        <v>AUTOMOTIVO</v>
      </c>
    </row>
    <row r="4704" spans="1:24" x14ac:dyDescent="0.3">
      <c r="A4704" t="s">
        <v>3823</v>
      </c>
      <c r="C4704" t="s">
        <v>3980</v>
      </c>
      <c r="D4704" s="1">
        <v>46083</v>
      </c>
      <c r="E4704" t="s">
        <v>3981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3826</v>
      </c>
      <c r="L4704">
        <v>84557</v>
      </c>
      <c r="M4704" t="s">
        <v>116</v>
      </c>
      <c r="O4704" t="s">
        <v>11</v>
      </c>
      <c r="P4704">
        <v>5102</v>
      </c>
      <c r="Q4704">
        <v>6</v>
      </c>
      <c r="R4704">
        <v>17.489999999999998</v>
      </c>
      <c r="S4704">
        <v>104.94</v>
      </c>
      <c r="T4704">
        <v>87.96</v>
      </c>
      <c r="U4704">
        <v>16.18</v>
      </c>
      <c r="V4704" t="str">
        <f>VLOOKUP(L4704,'[2]tabela de preços'!$A:$D,4,0)</f>
        <v>BRASILUX</v>
      </c>
      <c r="W4704" t="str">
        <f>VLOOKUP(L4704,'[2]tabela de preços'!$A:$F,6,0)</f>
        <v>DILUENTE</v>
      </c>
      <c r="X4704" t="str">
        <f>VLOOKUP(L4704,'[2]tabela de preços'!$A:$G,7,0)</f>
        <v>AUTOMOTIVO</v>
      </c>
    </row>
    <row r="4705" spans="1:24" x14ac:dyDescent="0.3">
      <c r="A4705" t="s">
        <v>3823</v>
      </c>
      <c r="C4705" t="s">
        <v>3980</v>
      </c>
      <c r="D4705" s="1">
        <v>46083</v>
      </c>
      <c r="E4705" t="s">
        <v>3981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3826</v>
      </c>
      <c r="L4705">
        <v>84046</v>
      </c>
      <c r="M4705" t="s">
        <v>754</v>
      </c>
      <c r="O4705" t="s">
        <v>11</v>
      </c>
      <c r="P4705">
        <v>5102</v>
      </c>
      <c r="Q4705">
        <v>4</v>
      </c>
      <c r="R4705">
        <v>11.84</v>
      </c>
      <c r="S4705">
        <v>47.36</v>
      </c>
      <c r="T4705">
        <v>35.96</v>
      </c>
      <c r="U4705">
        <v>24.07</v>
      </c>
      <c r="V4705" t="str">
        <f>VLOOKUP(L4705,'[2]tabela de preços'!$A:$D,4,0)</f>
        <v>BRASILUX</v>
      </c>
      <c r="W4705" t="str">
        <f>VLOOKUP(L4705,'[2]tabela de preços'!$A:$F,6,0)</f>
        <v>MASSA DE POLIR</v>
      </c>
      <c r="X4705" t="str">
        <f>VLOOKUP(L4705,'[2]tabela de preços'!$A:$G,7,0)</f>
        <v>AUTOMOTIVO</v>
      </c>
    </row>
    <row r="4706" spans="1:24" x14ac:dyDescent="0.3">
      <c r="A4706" t="s">
        <v>3823</v>
      </c>
      <c r="C4706" t="s">
        <v>3980</v>
      </c>
      <c r="D4706" s="1">
        <v>46083</v>
      </c>
      <c r="E4706" t="s">
        <v>3981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3826</v>
      </c>
      <c r="L4706">
        <v>22180</v>
      </c>
      <c r="M4706" t="s">
        <v>404</v>
      </c>
      <c r="O4706" t="s">
        <v>11</v>
      </c>
      <c r="P4706">
        <v>5102</v>
      </c>
      <c r="Q4706">
        <v>6</v>
      </c>
      <c r="R4706">
        <v>19.29</v>
      </c>
      <c r="S4706">
        <v>115.74</v>
      </c>
      <c r="T4706">
        <v>87.84</v>
      </c>
      <c r="U4706">
        <v>24.11</v>
      </c>
      <c r="V4706" t="str">
        <f>VLOOKUP(L4706,'[2]tabela de preços'!$A:$D,4,0)</f>
        <v>MADRUGA</v>
      </c>
      <c r="W4706" t="str">
        <f>VLOOKUP(L4706,'[2]tabela de preços'!$A:$F,6,0)</f>
        <v>PAPEL DE MASCARAMENTO</v>
      </c>
      <c r="X4706" t="str">
        <f>VLOOKUP(L4706,'[2]tabela de preços'!$A:$G,7,0)</f>
        <v>AUTOMOTIVO</v>
      </c>
    </row>
    <row r="4707" spans="1:24" x14ac:dyDescent="0.3">
      <c r="A4707" t="s">
        <v>3823</v>
      </c>
      <c r="C4707" t="s">
        <v>3980</v>
      </c>
      <c r="D4707" s="1">
        <v>46083</v>
      </c>
      <c r="E4707" t="s">
        <v>3981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3826</v>
      </c>
      <c r="L4707">
        <v>85650</v>
      </c>
      <c r="M4707" t="s">
        <v>439</v>
      </c>
      <c r="O4707" t="s">
        <v>11</v>
      </c>
      <c r="P4707">
        <v>5403</v>
      </c>
      <c r="Q4707">
        <v>12</v>
      </c>
      <c r="R4707">
        <v>9.1199999999999992</v>
      </c>
      <c r="S4707">
        <v>109.44</v>
      </c>
      <c r="T4707">
        <v>83.04</v>
      </c>
      <c r="U4707">
        <v>24.12</v>
      </c>
      <c r="V4707" t="str">
        <f>VLOOKUP(L4707,'[2]tabela de preços'!$A:$D,4,0)</f>
        <v>UNIPEGA</v>
      </c>
      <c r="W4707" t="str">
        <f>VLOOKUP(L4707,'[2]tabela de preços'!$A:$F,6,0)</f>
        <v xml:space="preserve">SPRAYS </v>
      </c>
      <c r="X4707" t="str">
        <f>VLOOKUP(L4707,'[2]tabela de preços'!$A:$G,7,0)</f>
        <v>AUTOMOTIVO</v>
      </c>
    </row>
    <row r="4708" spans="1:24" x14ac:dyDescent="0.3">
      <c r="A4708" t="s">
        <v>2699</v>
      </c>
      <c r="C4708" t="s">
        <v>3983</v>
      </c>
      <c r="D4708" s="1">
        <v>46083</v>
      </c>
      <c r="E4708" t="s">
        <v>3984</v>
      </c>
      <c r="F4708">
        <v>9</v>
      </c>
      <c r="G4708">
        <v>174</v>
      </c>
      <c r="H4708" t="str">
        <f>VLOOKUP(G4708,[1]OPERADORES!$A:$B,2,0)</f>
        <v>MIRIÃ LOBATO RODRIGUES</v>
      </c>
      <c r="I4708" t="s">
        <v>21</v>
      </c>
      <c r="J4708" t="s">
        <v>587</v>
      </c>
      <c r="K4708" t="s">
        <v>2477</v>
      </c>
      <c r="L4708">
        <v>84145</v>
      </c>
      <c r="M4708" t="s">
        <v>301</v>
      </c>
      <c r="O4708" t="s">
        <v>11</v>
      </c>
      <c r="P4708">
        <v>5403</v>
      </c>
      <c r="Q4708">
        <v>1</v>
      </c>
      <c r="R4708">
        <v>59.98</v>
      </c>
      <c r="S4708">
        <v>59.98</v>
      </c>
      <c r="T4708">
        <v>52.01</v>
      </c>
      <c r="U4708">
        <v>13.29</v>
      </c>
      <c r="V4708" t="str">
        <f>VLOOKUP(L4708,'[2]tabela de preços'!$A:$D,4,0)</f>
        <v>BRASILUX</v>
      </c>
      <c r="W4708" t="str">
        <f>VLOOKUP(L4708,'[2]tabela de preços'!$A:$F,6,0)</f>
        <v>ESMALTES</v>
      </c>
      <c r="X4708" t="str">
        <f>VLOOKUP(L4708,'[2]tabela de preços'!$A:$G,7,0)</f>
        <v>INDUSTRIAL</v>
      </c>
    </row>
    <row r="4709" spans="1:24" x14ac:dyDescent="0.3">
      <c r="A4709" t="s">
        <v>2699</v>
      </c>
      <c r="C4709" t="s">
        <v>3983</v>
      </c>
      <c r="D4709" s="1">
        <v>46083</v>
      </c>
      <c r="E4709" t="s">
        <v>3984</v>
      </c>
      <c r="F4709">
        <v>9</v>
      </c>
      <c r="G4709">
        <v>174</v>
      </c>
      <c r="H4709" t="str">
        <f>VLOOKUP(G4709,[1]OPERADORES!$A:$B,2,0)</f>
        <v>MIRIÃ LOBATO RODRIGUES</v>
      </c>
      <c r="I4709" t="s">
        <v>21</v>
      </c>
      <c r="J4709" t="s">
        <v>587</v>
      </c>
      <c r="K4709" t="s">
        <v>2477</v>
      </c>
      <c r="L4709">
        <v>20461</v>
      </c>
      <c r="M4709" t="s">
        <v>1085</v>
      </c>
      <c r="O4709" t="s">
        <v>11</v>
      </c>
      <c r="P4709">
        <v>5102</v>
      </c>
      <c r="Q4709">
        <v>3</v>
      </c>
      <c r="R4709">
        <v>57.23</v>
      </c>
      <c r="S4709">
        <v>171.69</v>
      </c>
      <c r="T4709">
        <v>130.32</v>
      </c>
      <c r="U4709">
        <v>24.1</v>
      </c>
      <c r="V4709" t="str">
        <f>VLOOKUP(L4709,'[2]tabela de preços'!$A:$D,4,0)</f>
        <v>SHERWIN WILLIAMS</v>
      </c>
      <c r="W4709" t="str">
        <f>VLOOKUP(L4709,'[2]tabela de preços'!$A:$F,6,0)</f>
        <v>VERNIZ AUTOMOTIVO</v>
      </c>
      <c r="X4709" t="str">
        <f>VLOOKUP(L4709,'[2]tabela de preços'!$A:$G,7,0)</f>
        <v>AUTOMOTIVO</v>
      </c>
    </row>
    <row r="4710" spans="1:24" x14ac:dyDescent="0.3">
      <c r="A4710" t="s">
        <v>2699</v>
      </c>
      <c r="C4710" t="s">
        <v>3983</v>
      </c>
      <c r="D4710" s="1">
        <v>46083</v>
      </c>
      <c r="E4710" t="s">
        <v>3984</v>
      </c>
      <c r="F4710">
        <v>9</v>
      </c>
      <c r="G4710">
        <v>174</v>
      </c>
      <c r="H4710" t="str">
        <f>VLOOKUP(G4710,[1]OPERADORES!$A:$B,2,0)</f>
        <v>MIRIÃ LOBATO RODRIGUES</v>
      </c>
      <c r="I4710" t="s">
        <v>21</v>
      </c>
      <c r="J4710" t="s">
        <v>587</v>
      </c>
      <c r="K4710" t="s">
        <v>2477</v>
      </c>
      <c r="L4710">
        <v>20431</v>
      </c>
      <c r="M4710" t="s">
        <v>202</v>
      </c>
      <c r="O4710" t="s">
        <v>11</v>
      </c>
      <c r="P4710">
        <v>5403</v>
      </c>
      <c r="Q4710">
        <v>18</v>
      </c>
      <c r="R4710">
        <v>36.89</v>
      </c>
      <c r="S4710">
        <v>664.02</v>
      </c>
      <c r="T4710">
        <v>544.67999999999995</v>
      </c>
      <c r="U4710">
        <v>17.97</v>
      </c>
      <c r="V4710" t="str">
        <f>VLOOKUP(L4710,'[2]tabela de preços'!$A:$D,4,0)</f>
        <v>SHERWIN WILLIAMS</v>
      </c>
      <c r="W4710" t="str">
        <f>VLOOKUP(L4710,'[2]tabela de preços'!$A:$F,6,0)</f>
        <v>VERNIZ AUTOMOTIVO</v>
      </c>
      <c r="X4710" t="str">
        <f>VLOOKUP(L4710,'[2]tabela de preços'!$A:$G,7,0)</f>
        <v>AUTOMOTIVO</v>
      </c>
    </row>
    <row r="4711" spans="1:24" x14ac:dyDescent="0.3">
      <c r="A4711" t="s">
        <v>2699</v>
      </c>
      <c r="C4711" t="s">
        <v>3983</v>
      </c>
      <c r="D4711" s="1">
        <v>46083</v>
      </c>
      <c r="E4711" t="s">
        <v>3984</v>
      </c>
      <c r="F4711">
        <v>9</v>
      </c>
      <c r="G4711">
        <v>174</v>
      </c>
      <c r="H4711" t="str">
        <f>VLOOKUP(G4711,[1]OPERADORES!$A:$B,2,0)</f>
        <v>MIRIÃ LOBATO RODRIGUES</v>
      </c>
      <c r="I4711" t="s">
        <v>21</v>
      </c>
      <c r="J4711" t="s">
        <v>587</v>
      </c>
      <c r="K4711" t="s">
        <v>2477</v>
      </c>
      <c r="L4711">
        <v>10238</v>
      </c>
      <c r="M4711" t="s">
        <v>79</v>
      </c>
      <c r="O4711" t="s">
        <v>11</v>
      </c>
      <c r="P4711">
        <v>5102</v>
      </c>
      <c r="Q4711">
        <v>50</v>
      </c>
      <c r="R4711">
        <v>2.79</v>
      </c>
      <c r="S4711">
        <v>139.5</v>
      </c>
      <c r="T4711">
        <v>112</v>
      </c>
      <c r="U4711">
        <v>19.71</v>
      </c>
      <c r="V4711" t="str">
        <f>VLOOKUP(L4711,'[2]tabela de preços'!$A:$D,4,0)</f>
        <v>NORTON</v>
      </c>
      <c r="W4711" t="str">
        <f>VLOOKUP(L4711,'[2]tabela de preços'!$A:$F,6,0)</f>
        <v xml:space="preserve">DISCOS / LIXAS / ABRASIVOS </v>
      </c>
      <c r="X4711" t="str">
        <f>VLOOKUP(L4711,'[2]tabela de preços'!$A:$G,7,0)</f>
        <v>AUTOMOTIVO</v>
      </c>
    </row>
    <row r="4712" spans="1:24" x14ac:dyDescent="0.3">
      <c r="A4712" t="s">
        <v>2699</v>
      </c>
      <c r="C4712" t="s">
        <v>3983</v>
      </c>
      <c r="D4712" s="1">
        <v>46083</v>
      </c>
      <c r="E4712" t="s">
        <v>3984</v>
      </c>
      <c r="F4712">
        <v>9</v>
      </c>
      <c r="G4712">
        <v>174</v>
      </c>
      <c r="H4712" t="str">
        <f>VLOOKUP(G4712,[1]OPERADORES!$A:$B,2,0)</f>
        <v>MIRIÃ LOBATO RODRIGUES</v>
      </c>
      <c r="I4712" t="s">
        <v>21</v>
      </c>
      <c r="J4712" t="s">
        <v>587</v>
      </c>
      <c r="K4712" t="s">
        <v>2477</v>
      </c>
      <c r="L4712">
        <v>21321</v>
      </c>
      <c r="M4712" t="s">
        <v>272</v>
      </c>
      <c r="O4712" t="s">
        <v>11</v>
      </c>
      <c r="P4712">
        <v>5102</v>
      </c>
      <c r="Q4712">
        <v>1</v>
      </c>
      <c r="R4712">
        <v>20.239999999999998</v>
      </c>
      <c r="S4712">
        <v>20.239999999999998</v>
      </c>
      <c r="T4712">
        <v>15.36</v>
      </c>
      <c r="U4712">
        <v>24.11</v>
      </c>
      <c r="V4712" t="str">
        <f>VLOOKUP(L4712,'[2]tabela de preços'!$A:$D,4,0)</f>
        <v>AUTO AMERICA</v>
      </c>
      <c r="W4712" t="str">
        <f>VLOOKUP(L4712,'[2]tabela de preços'!$A:$F,6,0)</f>
        <v>CERA  / LIMPEZA /  POLIMENTO VEICULAR</v>
      </c>
      <c r="X4712" t="str">
        <f>VLOOKUP(L4712,'[2]tabela de preços'!$A:$G,7,0)</f>
        <v>AUTOMOTIVO</v>
      </c>
    </row>
    <row r="4713" spans="1:24" x14ac:dyDescent="0.3">
      <c r="A4713" t="s">
        <v>2699</v>
      </c>
      <c r="C4713" t="s">
        <v>3983</v>
      </c>
      <c r="D4713" s="1">
        <v>46083</v>
      </c>
      <c r="E4713" t="s">
        <v>3984</v>
      </c>
      <c r="F4713">
        <v>9</v>
      </c>
      <c r="G4713">
        <v>174</v>
      </c>
      <c r="H4713" t="str">
        <f>VLOOKUP(G4713,[1]OPERADORES!$A:$B,2,0)</f>
        <v>MIRIÃ LOBATO RODRIGUES</v>
      </c>
      <c r="I4713" t="s">
        <v>21</v>
      </c>
      <c r="J4713" t="s">
        <v>587</v>
      </c>
      <c r="K4713" t="s">
        <v>2477</v>
      </c>
      <c r="L4713">
        <v>20454</v>
      </c>
      <c r="M4713" t="s">
        <v>1086</v>
      </c>
      <c r="O4713" t="s">
        <v>11</v>
      </c>
      <c r="P4713">
        <v>5403</v>
      </c>
      <c r="Q4713">
        <v>1</v>
      </c>
      <c r="R4713">
        <v>184.14</v>
      </c>
      <c r="S4713">
        <v>184.14</v>
      </c>
      <c r="T4713">
        <v>139.77000000000001</v>
      </c>
      <c r="U4713">
        <v>24.1</v>
      </c>
      <c r="V4713" t="str">
        <f>VLOOKUP(L4713,'[2]tabela de preços'!$A:$D,4,0)</f>
        <v>SHERWIN WILLIAMS</v>
      </c>
      <c r="W4713" t="str">
        <f>VLOOKUP(L4713,'[2]tabela de preços'!$A:$F,6,0)</f>
        <v>VERNIZ AUTOMOTIVO</v>
      </c>
      <c r="X4713" t="str">
        <f>VLOOKUP(L4713,'[2]tabela de preços'!$A:$G,7,0)</f>
        <v>AUTOMOTIVO</v>
      </c>
    </row>
    <row r="4714" spans="1:24" x14ac:dyDescent="0.3">
      <c r="A4714" t="s">
        <v>2699</v>
      </c>
      <c r="C4714" t="s">
        <v>3985</v>
      </c>
      <c r="D4714" s="1">
        <v>46084</v>
      </c>
      <c r="E4714" t="s">
        <v>3986</v>
      </c>
      <c r="F4714">
        <v>9</v>
      </c>
      <c r="G4714">
        <v>174</v>
      </c>
      <c r="H4714" t="str">
        <f>VLOOKUP(G4714,[1]OPERADORES!$A:$B,2,0)</f>
        <v>MIRIÃ LOBATO RODRIGUES</v>
      </c>
      <c r="I4714" t="s">
        <v>21</v>
      </c>
      <c r="J4714" t="s">
        <v>587</v>
      </c>
      <c r="K4714" t="s">
        <v>2477</v>
      </c>
      <c r="L4714">
        <v>24248</v>
      </c>
      <c r="M4714" t="s">
        <v>107</v>
      </c>
      <c r="O4714" t="s">
        <v>11</v>
      </c>
      <c r="P4714">
        <v>5102</v>
      </c>
      <c r="Q4714">
        <v>24</v>
      </c>
      <c r="R4714">
        <v>8</v>
      </c>
      <c r="S4714">
        <v>192</v>
      </c>
      <c r="T4714">
        <v>156</v>
      </c>
      <c r="U4714">
        <v>18.75</v>
      </c>
      <c r="V4714" t="str">
        <f>VLOOKUP(L4714,'[2]tabela de preços'!$A:$D,4,0)</f>
        <v>SHERWIN WILLIAMS</v>
      </c>
      <c r="W4714" t="str">
        <f>VLOOKUP(L4714,'[2]tabela de preços'!$A:$F,6,0)</f>
        <v>PRIMER AUTOMOTIVO</v>
      </c>
      <c r="X4714" t="str">
        <f>VLOOKUP(L4714,'[2]tabela de preços'!$A:$G,7,0)</f>
        <v>AUTOMOTIVO</v>
      </c>
    </row>
    <row r="4715" spans="1:24" x14ac:dyDescent="0.3">
      <c r="A4715" t="s">
        <v>2699</v>
      </c>
      <c r="C4715" t="s">
        <v>3985</v>
      </c>
      <c r="D4715" s="1">
        <v>46084</v>
      </c>
      <c r="E4715" t="s">
        <v>3986</v>
      </c>
      <c r="F4715">
        <v>9</v>
      </c>
      <c r="G4715">
        <v>174</v>
      </c>
      <c r="H4715" t="str">
        <f>VLOOKUP(G4715,[1]OPERADORES!$A:$B,2,0)</f>
        <v>MIRIÃ LOBATO RODRIGUES</v>
      </c>
      <c r="I4715" t="s">
        <v>21</v>
      </c>
      <c r="J4715" t="s">
        <v>587</v>
      </c>
      <c r="K4715" t="s">
        <v>2477</v>
      </c>
      <c r="L4715">
        <v>22684</v>
      </c>
      <c r="M4715" t="s">
        <v>73</v>
      </c>
      <c r="O4715" t="s">
        <v>11</v>
      </c>
      <c r="P4715">
        <v>5102</v>
      </c>
      <c r="Q4715">
        <v>180</v>
      </c>
      <c r="R4715">
        <v>3.65</v>
      </c>
      <c r="S4715">
        <v>657</v>
      </c>
      <c r="T4715">
        <v>554.4</v>
      </c>
      <c r="U4715">
        <v>15.62</v>
      </c>
      <c r="V4715" t="str">
        <f>VLOOKUP(L4715,'[2]tabela de preços'!$A:$D,4,0)</f>
        <v>3M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2699</v>
      </c>
      <c r="C4716" t="s">
        <v>3985</v>
      </c>
      <c r="D4716" s="1">
        <v>46084</v>
      </c>
      <c r="E4716" t="s">
        <v>3986</v>
      </c>
      <c r="F4716">
        <v>9</v>
      </c>
      <c r="G4716">
        <v>174</v>
      </c>
      <c r="H4716" t="str">
        <f>VLOOKUP(G4716,[1]OPERADORES!$A:$B,2,0)</f>
        <v>MIRIÃ LOBATO RODRIGUES</v>
      </c>
      <c r="I4716" t="s">
        <v>21</v>
      </c>
      <c r="J4716" t="s">
        <v>587</v>
      </c>
      <c r="K4716" t="s">
        <v>2477</v>
      </c>
      <c r="L4716">
        <v>10246</v>
      </c>
      <c r="M4716" t="s">
        <v>206</v>
      </c>
      <c r="O4716" t="s">
        <v>11</v>
      </c>
      <c r="P4716">
        <v>5102</v>
      </c>
      <c r="Q4716">
        <v>50</v>
      </c>
      <c r="R4716">
        <v>2.79</v>
      </c>
      <c r="S4716">
        <v>139.5</v>
      </c>
      <c r="T4716">
        <v>96.5</v>
      </c>
      <c r="U4716">
        <v>30.82</v>
      </c>
      <c r="V4716" t="str">
        <f>VLOOKUP(L4716,'[2]tabela de preços'!$A:$D,4,0)</f>
        <v>NORTON</v>
      </c>
      <c r="W4716" t="str">
        <f>VLOOKUP(L4716,'[2]tabela de preços'!$A:$F,6,0)</f>
        <v xml:space="preserve">DISCOS / LIXAS / ABRASIVOS </v>
      </c>
      <c r="X4716" t="str">
        <f>VLOOKUP(L4716,'[2]tabela de preços'!$A:$G,7,0)</f>
        <v>AUTOMOTIVO</v>
      </c>
    </row>
    <row r="4717" spans="1:24" x14ac:dyDescent="0.3">
      <c r="A4717" t="s">
        <v>2699</v>
      </c>
      <c r="C4717" t="s">
        <v>3985</v>
      </c>
      <c r="D4717" s="1">
        <v>46084</v>
      </c>
      <c r="E4717" t="s">
        <v>3986</v>
      </c>
      <c r="F4717">
        <v>9</v>
      </c>
      <c r="G4717">
        <v>174</v>
      </c>
      <c r="H4717" t="str">
        <f>VLOOKUP(G4717,[1]OPERADORES!$A:$B,2,0)</f>
        <v>MIRIÃ LOBATO RODRIGUES</v>
      </c>
      <c r="I4717" t="s">
        <v>21</v>
      </c>
      <c r="J4717" t="s">
        <v>587</v>
      </c>
      <c r="K4717" t="s">
        <v>2477</v>
      </c>
      <c r="L4717">
        <v>24247</v>
      </c>
      <c r="M4717" t="s">
        <v>160</v>
      </c>
      <c r="O4717" t="s">
        <v>11</v>
      </c>
      <c r="P4717">
        <v>5403</v>
      </c>
      <c r="Q4717">
        <v>24</v>
      </c>
      <c r="R4717">
        <v>21</v>
      </c>
      <c r="S4717">
        <v>504</v>
      </c>
      <c r="T4717">
        <v>404.88</v>
      </c>
      <c r="U4717">
        <v>19.670000000000002</v>
      </c>
      <c r="V4717" t="str">
        <f>VLOOKUP(L4717,'[2]tabela de preços'!$A:$D,4,0)</f>
        <v>SHERWIN WILLIAMS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3987</v>
      </c>
      <c r="B4718" t="s">
        <v>3988</v>
      </c>
      <c r="C4718" t="s">
        <v>3989</v>
      </c>
      <c r="D4718" s="1">
        <v>46083</v>
      </c>
      <c r="E4718" t="s">
        <v>3990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621</v>
      </c>
      <c r="K4718" t="s">
        <v>3991</v>
      </c>
      <c r="L4718">
        <v>85300</v>
      </c>
      <c r="M4718" t="s">
        <v>2163</v>
      </c>
      <c r="O4718" t="s">
        <v>11</v>
      </c>
      <c r="P4718">
        <v>5403</v>
      </c>
      <c r="Q4718">
        <v>3</v>
      </c>
      <c r="R4718">
        <v>100.25</v>
      </c>
      <c r="S4718">
        <v>300.75</v>
      </c>
      <c r="T4718">
        <v>223.02</v>
      </c>
      <c r="U4718">
        <v>25.85</v>
      </c>
      <c r="V4718" t="str">
        <f>VLOOKUP(L4718,'[2]tabela de preços'!$A:$D,4,0)</f>
        <v>BRASILUX</v>
      </c>
      <c r="W4718" t="str">
        <f>VLOOKUP(L4718,'[2]tabela de preços'!$A:$F,6,0)</f>
        <v>ESMALTES</v>
      </c>
      <c r="X4718" t="str">
        <f>VLOOKUP(L4718,'[2]tabela de preços'!$A:$G,7,0)</f>
        <v>INDUSTRIAL</v>
      </c>
    </row>
    <row r="4719" spans="1:24" x14ac:dyDescent="0.3">
      <c r="A4719" t="s">
        <v>1824</v>
      </c>
      <c r="B4719" t="s">
        <v>1825</v>
      </c>
      <c r="C4719" t="s">
        <v>3992</v>
      </c>
      <c r="D4719" s="1">
        <v>46083</v>
      </c>
      <c r="E4719" t="s">
        <v>3993</v>
      </c>
      <c r="F4719">
        <v>9</v>
      </c>
      <c r="G4719">
        <v>197</v>
      </c>
      <c r="H4719" t="str">
        <f>VLOOKUP(G4719,[1]OPERADORES!$A:$B,2,0)</f>
        <v xml:space="preserve">POLIANA LORRANE DE AMORIM </v>
      </c>
      <c r="I4719" t="s">
        <v>21</v>
      </c>
      <c r="J4719" t="s">
        <v>1788</v>
      </c>
      <c r="K4719" t="s">
        <v>1828</v>
      </c>
      <c r="L4719">
        <v>21437</v>
      </c>
      <c r="M4719" t="s">
        <v>1832</v>
      </c>
      <c r="O4719" t="s">
        <v>11</v>
      </c>
      <c r="P4719">
        <v>5102</v>
      </c>
      <c r="Q4719">
        <v>6</v>
      </c>
      <c r="R4719">
        <v>8.41</v>
      </c>
      <c r="S4719">
        <v>50.46</v>
      </c>
      <c r="T4719">
        <v>38.28</v>
      </c>
      <c r="U4719">
        <v>24.14</v>
      </c>
      <c r="V4719" t="str">
        <f>VLOOKUP(L4719,'[2]tabela de preços'!$A:$D,4,0)</f>
        <v>ROBERLO</v>
      </c>
      <c r="W4719" t="str">
        <f>VLOOKUP(L4719,'[2]tabela de preços'!$A:$F,6,0)</f>
        <v>PRIMER AUTOMOTIVO</v>
      </c>
      <c r="X4719" t="str">
        <f>VLOOKUP(L4719,'[2]tabela de preços'!$A:$G,7,0)</f>
        <v>AUTOMOTIVO</v>
      </c>
    </row>
    <row r="4720" spans="1:24" x14ac:dyDescent="0.3">
      <c r="A4720" t="s">
        <v>1824</v>
      </c>
      <c r="B4720" t="s">
        <v>1825</v>
      </c>
      <c r="C4720" t="s">
        <v>3992</v>
      </c>
      <c r="D4720" s="1">
        <v>46083</v>
      </c>
      <c r="E4720" t="s">
        <v>3993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21</v>
      </c>
      <c r="J4720" t="s">
        <v>1788</v>
      </c>
      <c r="K4720" t="s">
        <v>1828</v>
      </c>
      <c r="L4720">
        <v>10236</v>
      </c>
      <c r="M4720" t="s">
        <v>133</v>
      </c>
      <c r="O4720" t="s">
        <v>11</v>
      </c>
      <c r="P4720">
        <v>5102</v>
      </c>
      <c r="Q4720">
        <v>10</v>
      </c>
      <c r="R4720">
        <v>2.79</v>
      </c>
      <c r="S4720">
        <v>27.9</v>
      </c>
      <c r="T4720">
        <v>23.2</v>
      </c>
      <c r="U4720">
        <v>16.850000000000001</v>
      </c>
      <c r="V4720" t="str">
        <f>VLOOKUP(L4720,'[2]tabela de preços'!$A:$D,4,0)</f>
        <v>NORTON</v>
      </c>
      <c r="W4720" t="str">
        <f>VLOOKUP(L4720,'[2]tabela de preços'!$A:$F,6,0)</f>
        <v xml:space="preserve">DISCOS / LIXAS / ABRASIVOS </v>
      </c>
      <c r="X4720" t="str">
        <f>VLOOKUP(L4720,'[2]tabela de preços'!$A:$G,7,0)</f>
        <v>AUTOMOTIVO</v>
      </c>
    </row>
    <row r="4721" spans="1:24" x14ac:dyDescent="0.3">
      <c r="A4721" t="s">
        <v>1824</v>
      </c>
      <c r="B4721" t="s">
        <v>1825</v>
      </c>
      <c r="C4721" t="s">
        <v>3992</v>
      </c>
      <c r="D4721" s="1">
        <v>46083</v>
      </c>
      <c r="E4721" t="s">
        <v>3993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21</v>
      </c>
      <c r="J4721" t="s">
        <v>1788</v>
      </c>
      <c r="K4721" t="s">
        <v>1828</v>
      </c>
      <c r="L4721">
        <v>10230</v>
      </c>
      <c r="M4721" t="s">
        <v>193</v>
      </c>
      <c r="O4721" t="s">
        <v>11</v>
      </c>
      <c r="P4721">
        <v>5102</v>
      </c>
      <c r="Q4721">
        <v>15</v>
      </c>
      <c r="R4721">
        <v>2.79</v>
      </c>
      <c r="S4721">
        <v>41.85</v>
      </c>
      <c r="T4721">
        <v>34.799999999999997</v>
      </c>
      <c r="U4721">
        <v>16.850000000000001</v>
      </c>
      <c r="V4721" t="str">
        <f>VLOOKUP(L4721,'[2]tabela de preços'!$A:$D,4,0)</f>
        <v>NORTON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1824</v>
      </c>
      <c r="B4722" t="s">
        <v>1825</v>
      </c>
      <c r="C4722" t="s">
        <v>3992</v>
      </c>
      <c r="D4722" s="1">
        <v>46083</v>
      </c>
      <c r="E4722" t="s">
        <v>3993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21</v>
      </c>
      <c r="J4722" t="s">
        <v>1788</v>
      </c>
      <c r="K4722" t="s">
        <v>1828</v>
      </c>
      <c r="L4722">
        <v>23690</v>
      </c>
      <c r="M4722" t="s">
        <v>98</v>
      </c>
      <c r="O4722" t="s">
        <v>11</v>
      </c>
      <c r="P4722">
        <v>5403</v>
      </c>
      <c r="Q4722">
        <v>6</v>
      </c>
      <c r="R4722">
        <v>39.89</v>
      </c>
      <c r="S4722">
        <v>239.34</v>
      </c>
      <c r="T4722">
        <v>189.66</v>
      </c>
      <c r="U4722">
        <v>20.76</v>
      </c>
      <c r="V4722" t="str">
        <f>VLOOKUP(L4722,'[2]tabela de preços'!$A:$D,4,0)</f>
        <v>WANDA</v>
      </c>
      <c r="W4722" t="str">
        <f>VLOOKUP(L4722,'[2]tabela de preços'!$A:$F,6,0)</f>
        <v>VERNIZ AUTOMOTIVO</v>
      </c>
      <c r="X4722" t="str">
        <f>VLOOKUP(L4722,'[2]tabela de preços'!$A:$G,7,0)</f>
        <v>AUTOMOTIVO</v>
      </c>
    </row>
    <row r="4723" spans="1:24" x14ac:dyDescent="0.3">
      <c r="A4723" t="s">
        <v>1824</v>
      </c>
      <c r="B4723" t="s">
        <v>1825</v>
      </c>
      <c r="C4723" t="s">
        <v>3992</v>
      </c>
      <c r="D4723" s="1">
        <v>46083</v>
      </c>
      <c r="E4723" t="s">
        <v>3993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21</v>
      </c>
      <c r="J4723" t="s">
        <v>1788</v>
      </c>
      <c r="K4723" t="s">
        <v>1828</v>
      </c>
      <c r="L4723">
        <v>10238</v>
      </c>
      <c r="M4723" t="s">
        <v>79</v>
      </c>
      <c r="O4723" t="s">
        <v>11</v>
      </c>
      <c r="P4723">
        <v>5102</v>
      </c>
      <c r="Q4723">
        <v>10</v>
      </c>
      <c r="R4723">
        <v>2.79</v>
      </c>
      <c r="S4723">
        <v>27.9</v>
      </c>
      <c r="T4723">
        <v>22.4</v>
      </c>
      <c r="U4723">
        <v>19.71</v>
      </c>
      <c r="V4723" t="str">
        <f>VLOOKUP(L4723,'[2]tabela de preços'!$A:$D,4,0)</f>
        <v>NORTON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1824</v>
      </c>
      <c r="B4724" t="s">
        <v>1825</v>
      </c>
      <c r="C4724" t="s">
        <v>3992</v>
      </c>
      <c r="D4724" s="1">
        <v>46083</v>
      </c>
      <c r="E4724" t="s">
        <v>3993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21</v>
      </c>
      <c r="J4724" t="s">
        <v>1788</v>
      </c>
      <c r="K4724" t="s">
        <v>1828</v>
      </c>
      <c r="L4724">
        <v>10243</v>
      </c>
      <c r="M4724" t="s">
        <v>83</v>
      </c>
      <c r="O4724" t="s">
        <v>11</v>
      </c>
      <c r="P4724">
        <v>5102</v>
      </c>
      <c r="Q4724">
        <v>10</v>
      </c>
      <c r="R4724">
        <v>2.79</v>
      </c>
      <c r="S4724">
        <v>27.9</v>
      </c>
      <c r="T4724">
        <v>19.3</v>
      </c>
      <c r="U4724">
        <v>30.82</v>
      </c>
      <c r="V4724" t="str">
        <f>VLOOKUP(L4724,'[2]tabela de preços'!$A:$D,4,0)</f>
        <v>NORTON</v>
      </c>
      <c r="W4724" t="str">
        <f>VLOOKUP(L4724,'[2]tabela de preços'!$A:$F,6,0)</f>
        <v xml:space="preserve">DISCOS / LIXAS / ABRASIVOS </v>
      </c>
      <c r="X4724" t="str">
        <f>VLOOKUP(L4724,'[2]tabela de preços'!$A:$G,7,0)</f>
        <v>AUTOMOTIVO</v>
      </c>
    </row>
    <row r="4725" spans="1:24" x14ac:dyDescent="0.3">
      <c r="A4725" t="s">
        <v>1824</v>
      </c>
      <c r="B4725" t="s">
        <v>1825</v>
      </c>
      <c r="C4725" t="s">
        <v>3992</v>
      </c>
      <c r="D4725" s="1">
        <v>46083</v>
      </c>
      <c r="E4725" t="s">
        <v>3993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21</v>
      </c>
      <c r="J4725" t="s">
        <v>1788</v>
      </c>
      <c r="K4725" t="s">
        <v>1828</v>
      </c>
      <c r="L4725">
        <v>10244</v>
      </c>
      <c r="M4725" t="s">
        <v>84</v>
      </c>
      <c r="O4725" t="s">
        <v>11</v>
      </c>
      <c r="P4725">
        <v>5102</v>
      </c>
      <c r="Q4725">
        <v>10</v>
      </c>
      <c r="R4725">
        <v>2.79</v>
      </c>
      <c r="S4725">
        <v>27.9</v>
      </c>
      <c r="T4725">
        <v>19.3</v>
      </c>
      <c r="U4725">
        <v>30.82</v>
      </c>
      <c r="V4725" t="str">
        <f>VLOOKUP(L4725,'[2]tabela de preços'!$A:$D,4,0)</f>
        <v>NORTON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1824</v>
      </c>
      <c r="B4726" t="s">
        <v>1825</v>
      </c>
      <c r="C4726" t="s">
        <v>3992</v>
      </c>
      <c r="D4726" s="1">
        <v>46083</v>
      </c>
      <c r="E4726" t="s">
        <v>3993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21</v>
      </c>
      <c r="J4726" t="s">
        <v>1788</v>
      </c>
      <c r="K4726" t="s">
        <v>1828</v>
      </c>
      <c r="L4726">
        <v>21436</v>
      </c>
      <c r="M4726" t="s">
        <v>1833</v>
      </c>
      <c r="O4726" t="s">
        <v>11</v>
      </c>
      <c r="P4726">
        <v>5102</v>
      </c>
      <c r="Q4726">
        <v>6</v>
      </c>
      <c r="R4726">
        <v>30.59</v>
      </c>
      <c r="S4726">
        <v>183.54</v>
      </c>
      <c r="T4726">
        <v>157.86000000000001</v>
      </c>
      <c r="U4726">
        <v>13.99</v>
      </c>
      <c r="V4726" t="str">
        <f>VLOOKUP(L4726,'[2]tabela de preços'!$A:$D,4,0)</f>
        <v>ROBERLO</v>
      </c>
      <c r="W4726" t="str">
        <f>VLOOKUP(L4726,'[2]tabela de preços'!$A:$F,6,0)</f>
        <v>PRIMER AUTOMOTIVO</v>
      </c>
      <c r="X4726" t="str">
        <f>VLOOKUP(L4726,'[2]tabela de preços'!$A:$G,7,0)</f>
        <v>AUTOMOTIVO</v>
      </c>
    </row>
    <row r="4727" spans="1:24" x14ac:dyDescent="0.3">
      <c r="A4727" t="s">
        <v>1824</v>
      </c>
      <c r="B4727" t="s">
        <v>1825</v>
      </c>
      <c r="C4727" t="s">
        <v>3992</v>
      </c>
      <c r="D4727" s="1">
        <v>46083</v>
      </c>
      <c r="E4727" t="s">
        <v>3993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21</v>
      </c>
      <c r="J4727" t="s">
        <v>1788</v>
      </c>
      <c r="K4727" t="s">
        <v>1828</v>
      </c>
      <c r="L4727">
        <v>84560</v>
      </c>
      <c r="M4727" t="s">
        <v>118</v>
      </c>
      <c r="O4727" t="s">
        <v>11</v>
      </c>
      <c r="P4727">
        <v>5102</v>
      </c>
      <c r="Q4727">
        <v>2</v>
      </c>
      <c r="R4727">
        <v>47.89</v>
      </c>
      <c r="S4727">
        <v>95.78</v>
      </c>
      <c r="T4727">
        <v>82.26</v>
      </c>
      <c r="U4727">
        <v>14.12</v>
      </c>
      <c r="V4727" t="str">
        <f>VLOOKUP(L4727,'[2]tabela de preços'!$A:$D,4,0)</f>
        <v>BRASILUX</v>
      </c>
      <c r="W4727" t="str">
        <f>VLOOKUP(L4727,'[2]tabela de preços'!$A:$F,6,0)</f>
        <v>THINNER DE LIMPEZA</v>
      </c>
      <c r="X4727" t="str">
        <f>VLOOKUP(L4727,'[2]tabela de preços'!$A:$G,7,0)</f>
        <v>THINNER</v>
      </c>
    </row>
    <row r="4728" spans="1:24" x14ac:dyDescent="0.3">
      <c r="A4728" t="s">
        <v>1824</v>
      </c>
      <c r="B4728" t="s">
        <v>1825</v>
      </c>
      <c r="C4728" t="s">
        <v>3992</v>
      </c>
      <c r="D4728" s="1">
        <v>46083</v>
      </c>
      <c r="E4728" t="s">
        <v>3993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21</v>
      </c>
      <c r="J4728" t="s">
        <v>1788</v>
      </c>
      <c r="K4728" t="s">
        <v>1828</v>
      </c>
      <c r="L4728">
        <v>21316</v>
      </c>
      <c r="M4728" t="s">
        <v>1829</v>
      </c>
      <c r="O4728" t="s">
        <v>11</v>
      </c>
      <c r="P4728">
        <v>5102</v>
      </c>
      <c r="Q4728">
        <v>1</v>
      </c>
      <c r="R4728">
        <v>124.15</v>
      </c>
      <c r="S4728">
        <v>124.15</v>
      </c>
      <c r="T4728">
        <v>94.23</v>
      </c>
      <c r="U4728">
        <v>24.1</v>
      </c>
      <c r="V4728" t="str">
        <f>VLOOKUP(L4728,'[2]tabela de preços'!$A:$D,4,0)</f>
        <v>SHERWIN WILLIAMS</v>
      </c>
      <c r="W4728" t="str">
        <f>VLOOKUP(L4728,'[2]tabela de preços'!$A:$F,6,0)</f>
        <v>DILUENTE</v>
      </c>
      <c r="X4728" t="str">
        <f>VLOOKUP(L4728,'[2]tabela de preços'!$A:$G,7,0)</f>
        <v>AUTOMOTIVO</v>
      </c>
    </row>
    <row r="4729" spans="1:24" x14ac:dyDescent="0.3">
      <c r="A4729" t="s">
        <v>3491</v>
      </c>
      <c r="B4729" t="s">
        <v>3492</v>
      </c>
      <c r="C4729" t="s">
        <v>3994</v>
      </c>
      <c r="D4729" s="1">
        <v>46083</v>
      </c>
      <c r="E4729" t="s">
        <v>3995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1340</v>
      </c>
      <c r="K4729" t="s">
        <v>3495</v>
      </c>
      <c r="L4729">
        <v>85904</v>
      </c>
      <c r="M4729" t="s">
        <v>3996</v>
      </c>
      <c r="O4729" t="s">
        <v>11</v>
      </c>
      <c r="P4729">
        <v>5403</v>
      </c>
      <c r="Q4729">
        <v>4</v>
      </c>
      <c r="R4729">
        <v>123.39</v>
      </c>
      <c r="S4729">
        <v>493.56</v>
      </c>
      <c r="T4729">
        <v>374.64</v>
      </c>
      <c r="U4729">
        <v>24.09</v>
      </c>
      <c r="V4729" t="str">
        <f>VLOOKUP(L4729,'[2]tabela de preços'!$A:$D,4,0)</f>
        <v>CORAL</v>
      </c>
      <c r="W4729" t="str">
        <f>VLOOKUP(L4729,'[2]tabela de preços'!$A:$F,6,0)</f>
        <v>ESMALTES</v>
      </c>
      <c r="X4729" t="str">
        <f>VLOOKUP(L4729,'[2]tabela de preços'!$A:$G,7,0)</f>
        <v>INDUSTRIAL</v>
      </c>
    </row>
    <row r="4730" spans="1:24" x14ac:dyDescent="0.3">
      <c r="A4730" t="s">
        <v>3491</v>
      </c>
      <c r="B4730" t="s">
        <v>3492</v>
      </c>
      <c r="C4730" t="s">
        <v>3994</v>
      </c>
      <c r="D4730" s="1">
        <v>46083</v>
      </c>
      <c r="E4730" t="s">
        <v>3995</v>
      </c>
      <c r="F4730">
        <v>9</v>
      </c>
      <c r="G4730">
        <v>231</v>
      </c>
      <c r="H4730" t="str">
        <f>VLOOKUP(G4730,[1]OPERADORES!$A:$B,2,0)</f>
        <v>EDIJANE</v>
      </c>
      <c r="I4730" t="s">
        <v>21</v>
      </c>
      <c r="J4730" t="s">
        <v>1340</v>
      </c>
      <c r="K4730" t="s">
        <v>3495</v>
      </c>
      <c r="L4730">
        <v>85905</v>
      </c>
      <c r="M4730" t="s">
        <v>3997</v>
      </c>
      <c r="O4730" t="s">
        <v>11</v>
      </c>
      <c r="P4730">
        <v>5403</v>
      </c>
      <c r="Q4730">
        <v>2</v>
      </c>
      <c r="R4730">
        <v>35.74</v>
      </c>
      <c r="S4730">
        <v>71.48</v>
      </c>
      <c r="T4730">
        <v>54.26</v>
      </c>
      <c r="U4730">
        <v>24.09</v>
      </c>
      <c r="V4730" t="str">
        <f>VLOOKUP(L4730,'[2]tabela de preços'!$A:$D,4,0)</f>
        <v>CORAL</v>
      </c>
      <c r="W4730" t="str">
        <f>VLOOKUP(L4730,'[2]tabela de preços'!$A:$F,6,0)</f>
        <v>ESMALTES</v>
      </c>
      <c r="X4730" t="str">
        <f>VLOOKUP(L4730,'[2]tabela de preços'!$A:$G,7,0)</f>
        <v>INDUSTRIAL</v>
      </c>
    </row>
    <row r="4731" spans="1:24" x14ac:dyDescent="0.3">
      <c r="A4731" t="s">
        <v>3491</v>
      </c>
      <c r="B4731" t="s">
        <v>3492</v>
      </c>
      <c r="C4731" t="s">
        <v>3994</v>
      </c>
      <c r="D4731" s="1">
        <v>46083</v>
      </c>
      <c r="E4731" t="s">
        <v>3995</v>
      </c>
      <c r="F4731">
        <v>9</v>
      </c>
      <c r="G4731">
        <v>231</v>
      </c>
      <c r="H4731" t="str">
        <f>VLOOKUP(G4731,[1]OPERADORES!$A:$B,2,0)</f>
        <v>EDIJANE</v>
      </c>
      <c r="I4731" t="s">
        <v>21</v>
      </c>
      <c r="J4731" t="s">
        <v>1340</v>
      </c>
      <c r="K4731" t="s">
        <v>3495</v>
      </c>
      <c r="L4731">
        <v>85911</v>
      </c>
      <c r="M4731" t="s">
        <v>3998</v>
      </c>
      <c r="O4731" t="s">
        <v>11</v>
      </c>
      <c r="P4731">
        <v>5403</v>
      </c>
      <c r="Q4731">
        <v>2</v>
      </c>
      <c r="R4731">
        <v>38.83</v>
      </c>
      <c r="S4731">
        <v>77.66</v>
      </c>
      <c r="T4731">
        <v>58.94</v>
      </c>
      <c r="U4731">
        <v>24.11</v>
      </c>
      <c r="V4731" t="str">
        <f>VLOOKUP(L4731,'[2]tabela de preços'!$A:$D,4,0)</f>
        <v>CORAL</v>
      </c>
      <c r="W4731" t="str">
        <f>VLOOKUP(L4731,'[2]tabela de preços'!$A:$F,6,0)</f>
        <v>ESMALTES</v>
      </c>
      <c r="X4731" t="str">
        <f>VLOOKUP(L4731,'[2]tabela de preços'!$A:$G,7,0)</f>
        <v>INDUSTRIAL</v>
      </c>
    </row>
    <row r="4732" spans="1:24" x14ac:dyDescent="0.3">
      <c r="A4732" t="s">
        <v>3491</v>
      </c>
      <c r="B4732" t="s">
        <v>3492</v>
      </c>
      <c r="C4732" t="s">
        <v>3994</v>
      </c>
      <c r="D4732" s="1">
        <v>46083</v>
      </c>
      <c r="E4732" t="s">
        <v>3995</v>
      </c>
      <c r="F4732">
        <v>9</v>
      </c>
      <c r="G4732">
        <v>231</v>
      </c>
      <c r="H4732" t="str">
        <f>VLOOKUP(G4732,[1]OPERADORES!$A:$B,2,0)</f>
        <v>EDIJANE</v>
      </c>
      <c r="I4732" t="s">
        <v>21</v>
      </c>
      <c r="J4732" t="s">
        <v>1340</v>
      </c>
      <c r="K4732" t="s">
        <v>3495</v>
      </c>
      <c r="L4732">
        <v>85975</v>
      </c>
      <c r="M4732" t="s">
        <v>3999</v>
      </c>
      <c r="O4732" t="s">
        <v>11</v>
      </c>
      <c r="P4732">
        <v>5403</v>
      </c>
      <c r="Q4732">
        <v>1</v>
      </c>
      <c r="R4732">
        <v>121.84</v>
      </c>
      <c r="S4732">
        <v>121.84</v>
      </c>
      <c r="T4732">
        <v>92.47</v>
      </c>
      <c r="U4732">
        <v>24.11</v>
      </c>
      <c r="V4732" t="str">
        <f>VLOOKUP(L4732,'[2]tabela de preços'!$A:$D,4,0)</f>
        <v>CORAL</v>
      </c>
      <c r="W4732" t="str">
        <f>VLOOKUP(L4732,'[2]tabela de preços'!$A:$F,6,0)</f>
        <v>ESMALTES</v>
      </c>
      <c r="X4732" t="str">
        <f>VLOOKUP(L4732,'[2]tabela de preços'!$A:$G,7,0)</f>
        <v>INDUSTRIAL</v>
      </c>
    </row>
    <row r="4733" spans="1:24" x14ac:dyDescent="0.3">
      <c r="A4733" t="s">
        <v>3491</v>
      </c>
      <c r="B4733" t="s">
        <v>3492</v>
      </c>
      <c r="C4733" t="s">
        <v>3994</v>
      </c>
      <c r="D4733" s="1">
        <v>46083</v>
      </c>
      <c r="E4733" t="s">
        <v>3995</v>
      </c>
      <c r="F4733">
        <v>9</v>
      </c>
      <c r="G4733">
        <v>231</v>
      </c>
      <c r="H4733" t="str">
        <f>VLOOKUP(G4733,[1]OPERADORES!$A:$B,2,0)</f>
        <v>EDIJANE</v>
      </c>
      <c r="I4733" t="s">
        <v>21</v>
      </c>
      <c r="J4733" t="s">
        <v>1340</v>
      </c>
      <c r="K4733" t="s">
        <v>3495</v>
      </c>
      <c r="L4733">
        <v>85976</v>
      </c>
      <c r="M4733" t="s">
        <v>4000</v>
      </c>
      <c r="O4733" t="s">
        <v>11</v>
      </c>
      <c r="P4733">
        <v>5403</v>
      </c>
      <c r="Q4733">
        <v>2</v>
      </c>
      <c r="R4733">
        <v>36.19</v>
      </c>
      <c r="S4733">
        <v>72.38</v>
      </c>
      <c r="T4733">
        <v>54.94</v>
      </c>
      <c r="U4733">
        <v>24.1</v>
      </c>
      <c r="V4733" t="str">
        <f>VLOOKUP(L4733,'[2]tabela de preços'!$A:$D,4,0)</f>
        <v>CORAL</v>
      </c>
      <c r="W4733" t="str">
        <f>VLOOKUP(L4733,'[2]tabela de preços'!$A:$F,6,0)</f>
        <v>ESMALTES</v>
      </c>
      <c r="X4733" t="str">
        <f>VLOOKUP(L4733,'[2]tabela de preços'!$A:$G,7,0)</f>
        <v>INDUSTRIAL</v>
      </c>
    </row>
    <row r="4734" spans="1:24" x14ac:dyDescent="0.3">
      <c r="A4734" t="s">
        <v>3491</v>
      </c>
      <c r="B4734" t="s">
        <v>3492</v>
      </c>
      <c r="C4734" t="s">
        <v>3994</v>
      </c>
      <c r="D4734" s="1">
        <v>46083</v>
      </c>
      <c r="E4734" t="s">
        <v>3995</v>
      </c>
      <c r="F4734">
        <v>9</v>
      </c>
      <c r="G4734">
        <v>231</v>
      </c>
      <c r="H4734" t="str">
        <f>VLOOKUP(G4734,[1]OPERADORES!$A:$B,2,0)</f>
        <v>EDIJANE</v>
      </c>
      <c r="I4734" t="s">
        <v>21</v>
      </c>
      <c r="J4734" t="s">
        <v>1340</v>
      </c>
      <c r="K4734" t="s">
        <v>3495</v>
      </c>
      <c r="L4734">
        <v>85984</v>
      </c>
      <c r="M4734" t="s">
        <v>4001</v>
      </c>
      <c r="O4734" t="s">
        <v>11</v>
      </c>
      <c r="P4734">
        <v>5403</v>
      </c>
      <c r="Q4734">
        <v>2</v>
      </c>
      <c r="R4734">
        <v>115.59</v>
      </c>
      <c r="S4734">
        <v>231.18</v>
      </c>
      <c r="T4734">
        <v>175.46</v>
      </c>
      <c r="U4734">
        <v>24.1</v>
      </c>
      <c r="V4734" t="str">
        <f>VLOOKUP(L4734,'[2]tabela de preços'!$A:$D,4,0)</f>
        <v>CORAL</v>
      </c>
      <c r="W4734" t="str">
        <f>VLOOKUP(L4734,'[2]tabela de preços'!$A:$F,6,0)</f>
        <v>ESMALTES</v>
      </c>
      <c r="X4734" t="str">
        <f>VLOOKUP(L4734,'[2]tabela de preços'!$A:$G,7,0)</f>
        <v>INDUSTRIAL</v>
      </c>
    </row>
    <row r="4735" spans="1:24" x14ac:dyDescent="0.3">
      <c r="A4735" t="s">
        <v>3491</v>
      </c>
      <c r="B4735" t="s">
        <v>3492</v>
      </c>
      <c r="C4735" t="s">
        <v>3994</v>
      </c>
      <c r="D4735" s="1">
        <v>46083</v>
      </c>
      <c r="E4735" t="s">
        <v>3995</v>
      </c>
      <c r="F4735">
        <v>9</v>
      </c>
      <c r="G4735">
        <v>231</v>
      </c>
      <c r="H4735" t="str">
        <f>VLOOKUP(G4735,[1]OPERADORES!$A:$B,2,0)</f>
        <v>EDIJANE</v>
      </c>
      <c r="I4735" t="s">
        <v>21</v>
      </c>
      <c r="J4735" t="s">
        <v>1340</v>
      </c>
      <c r="K4735" t="s">
        <v>3495</v>
      </c>
      <c r="L4735">
        <v>86188</v>
      </c>
      <c r="M4735" t="s">
        <v>4002</v>
      </c>
      <c r="O4735" t="s">
        <v>11</v>
      </c>
      <c r="P4735">
        <v>5403</v>
      </c>
      <c r="Q4735">
        <v>2</v>
      </c>
      <c r="R4735">
        <v>41.74</v>
      </c>
      <c r="S4735">
        <v>83.48</v>
      </c>
      <c r="T4735">
        <v>63.36</v>
      </c>
      <c r="U4735">
        <v>24.1</v>
      </c>
      <c r="V4735" t="str">
        <f>VLOOKUP(L4735,'[2]tabela de preços'!$A:$D,4,0)</f>
        <v>CORAL</v>
      </c>
      <c r="W4735" t="str">
        <f>VLOOKUP(L4735,'[2]tabela de preços'!$A:$F,6,0)</f>
        <v>BASES IMOBILIÁRIAS</v>
      </c>
      <c r="X4735" t="str">
        <f>VLOOKUP(L4735,'[2]tabela de preços'!$A:$G,7,0)</f>
        <v>IMOBILIÁRIO</v>
      </c>
    </row>
    <row r="4736" spans="1:24" x14ac:dyDescent="0.3">
      <c r="A4736" t="s">
        <v>3491</v>
      </c>
      <c r="B4736" t="s">
        <v>3492</v>
      </c>
      <c r="C4736" t="s">
        <v>3994</v>
      </c>
      <c r="D4736" s="1">
        <v>46083</v>
      </c>
      <c r="E4736" t="s">
        <v>3995</v>
      </c>
      <c r="F4736">
        <v>9</v>
      </c>
      <c r="G4736">
        <v>231</v>
      </c>
      <c r="H4736" t="str">
        <f>VLOOKUP(G4736,[1]OPERADORES!$A:$B,2,0)</f>
        <v>EDIJANE</v>
      </c>
      <c r="I4736" t="s">
        <v>21</v>
      </c>
      <c r="J4736" t="s">
        <v>1340</v>
      </c>
      <c r="K4736" t="s">
        <v>3495</v>
      </c>
      <c r="L4736">
        <v>86192</v>
      </c>
      <c r="M4736" t="s">
        <v>4003</v>
      </c>
      <c r="O4736" t="s">
        <v>11</v>
      </c>
      <c r="P4736">
        <v>5403</v>
      </c>
      <c r="Q4736">
        <v>6</v>
      </c>
      <c r="R4736">
        <v>506.18</v>
      </c>
      <c r="S4736" s="2">
        <v>3037.08</v>
      </c>
      <c r="T4736" s="2">
        <v>2305.1999999999998</v>
      </c>
      <c r="U4736">
        <v>24.1</v>
      </c>
      <c r="V4736" t="str">
        <f>VLOOKUP(L4736,'[2]tabela de preços'!$A:$D,4,0)</f>
        <v>CORAL</v>
      </c>
      <c r="W4736" t="str">
        <f>VLOOKUP(L4736,'[2]tabela de preços'!$A:$F,6,0)</f>
        <v>BASES IMOBILIÁRIAS</v>
      </c>
      <c r="X4736" t="str">
        <f>VLOOKUP(L4736,'[2]tabela de preços'!$A:$G,7,0)</f>
        <v>IMOBILIÁRIO</v>
      </c>
    </row>
    <row r="4737" spans="1:24" x14ac:dyDescent="0.3">
      <c r="A4737" t="s">
        <v>3491</v>
      </c>
      <c r="B4737" t="s">
        <v>3492</v>
      </c>
      <c r="C4737" t="s">
        <v>3994</v>
      </c>
      <c r="D4737" s="1">
        <v>46083</v>
      </c>
      <c r="E4737" t="s">
        <v>3995</v>
      </c>
      <c r="F4737">
        <v>9</v>
      </c>
      <c r="G4737">
        <v>231</v>
      </c>
      <c r="H4737" t="str">
        <f>VLOOKUP(G4737,[1]OPERADORES!$A:$B,2,0)</f>
        <v>EDIJANE</v>
      </c>
      <c r="I4737" t="s">
        <v>21</v>
      </c>
      <c r="J4737" t="s">
        <v>1340</v>
      </c>
      <c r="K4737" t="s">
        <v>3495</v>
      </c>
      <c r="L4737">
        <v>86190</v>
      </c>
      <c r="M4737" t="s">
        <v>4004</v>
      </c>
      <c r="O4737" t="s">
        <v>11</v>
      </c>
      <c r="P4737">
        <v>5403</v>
      </c>
      <c r="Q4737">
        <v>8</v>
      </c>
      <c r="R4737">
        <v>130.44999999999999</v>
      </c>
      <c r="S4737" s="2">
        <v>1043.5999999999999</v>
      </c>
      <c r="T4737">
        <v>792.08</v>
      </c>
      <c r="U4737">
        <v>24.1</v>
      </c>
      <c r="V4737" t="str">
        <f>VLOOKUP(L4737,'[2]tabela de preços'!$A:$D,4,0)</f>
        <v>CORAL</v>
      </c>
      <c r="W4737" t="str">
        <f>VLOOKUP(L4737,'[2]tabela de preços'!$A:$F,6,0)</f>
        <v>BASES IMOBILIÁRIAS</v>
      </c>
      <c r="X4737" t="str">
        <f>VLOOKUP(L4737,'[2]tabela de preços'!$A:$G,7,0)</f>
        <v>IMOBILIÁRIO</v>
      </c>
    </row>
    <row r="4738" spans="1:24" x14ac:dyDescent="0.3">
      <c r="A4738" t="s">
        <v>3491</v>
      </c>
      <c r="B4738" t="s">
        <v>3492</v>
      </c>
      <c r="C4738" t="s">
        <v>3994</v>
      </c>
      <c r="D4738" s="1">
        <v>46083</v>
      </c>
      <c r="E4738" t="s">
        <v>3995</v>
      </c>
      <c r="F4738">
        <v>9</v>
      </c>
      <c r="G4738">
        <v>231</v>
      </c>
      <c r="H4738" t="str">
        <f>VLOOKUP(G4738,[1]OPERADORES!$A:$B,2,0)</f>
        <v>EDIJANE</v>
      </c>
      <c r="I4738" t="s">
        <v>21</v>
      </c>
      <c r="J4738" t="s">
        <v>1340</v>
      </c>
      <c r="K4738" t="s">
        <v>3495</v>
      </c>
      <c r="L4738">
        <v>86598</v>
      </c>
      <c r="M4738" t="s">
        <v>1784</v>
      </c>
      <c r="O4738" t="s">
        <v>11</v>
      </c>
      <c r="P4738">
        <v>5403</v>
      </c>
      <c r="Q4738">
        <v>2</v>
      </c>
      <c r="R4738">
        <v>474.33</v>
      </c>
      <c r="S4738">
        <v>948.66</v>
      </c>
      <c r="T4738">
        <v>720.04</v>
      </c>
      <c r="U4738">
        <v>24.1</v>
      </c>
      <c r="V4738" t="str">
        <f>VLOOKUP(L4738,'[2]tabela de preços'!$A:$D,4,0)</f>
        <v>CORAL</v>
      </c>
      <c r="W4738" t="str">
        <f>VLOOKUP(L4738,'[2]tabela de preços'!$A:$F,6,0)</f>
        <v>TINTA PAREDE</v>
      </c>
      <c r="X4738" t="str">
        <f>VLOOKUP(L4738,'[2]tabela de preços'!$A:$G,7,0)</f>
        <v>IMOBILIÁRIO</v>
      </c>
    </row>
    <row r="4739" spans="1:24" x14ac:dyDescent="0.3">
      <c r="A4739" t="s">
        <v>3491</v>
      </c>
      <c r="B4739" t="s">
        <v>3492</v>
      </c>
      <c r="C4739" t="s">
        <v>3994</v>
      </c>
      <c r="D4739" s="1">
        <v>46083</v>
      </c>
      <c r="E4739" t="s">
        <v>3995</v>
      </c>
      <c r="F4739">
        <v>9</v>
      </c>
      <c r="G4739">
        <v>231</v>
      </c>
      <c r="H4739" t="str">
        <f>VLOOKUP(G4739,[1]OPERADORES!$A:$B,2,0)</f>
        <v>EDIJANE</v>
      </c>
      <c r="I4739" t="s">
        <v>21</v>
      </c>
      <c r="J4739" t="s">
        <v>1340</v>
      </c>
      <c r="K4739" t="s">
        <v>3495</v>
      </c>
      <c r="L4739">
        <v>86195</v>
      </c>
      <c r="M4739" t="s">
        <v>33</v>
      </c>
      <c r="O4739" t="s">
        <v>11</v>
      </c>
      <c r="P4739">
        <v>5403</v>
      </c>
      <c r="Q4739">
        <v>2</v>
      </c>
      <c r="R4739">
        <v>134.26</v>
      </c>
      <c r="S4739">
        <v>268.52</v>
      </c>
      <c r="T4739">
        <v>203.8</v>
      </c>
      <c r="U4739">
        <v>24.1</v>
      </c>
      <c r="V4739" t="str">
        <f>VLOOKUP(L4739,'[2]tabela de preços'!$A:$D,4,0)</f>
        <v>CORAL</v>
      </c>
      <c r="W4739" t="str">
        <f>VLOOKUP(L4739,'[2]tabela de preços'!$A:$F,6,0)</f>
        <v>TINTA PAREDE</v>
      </c>
      <c r="X4739" t="str">
        <f>VLOOKUP(L4739,'[2]tabela de preços'!$A:$G,7,0)</f>
        <v>IMOBILIÁRIO</v>
      </c>
    </row>
    <row r="4740" spans="1:24" x14ac:dyDescent="0.3">
      <c r="A4740" t="s">
        <v>3491</v>
      </c>
      <c r="B4740" t="s">
        <v>3492</v>
      </c>
      <c r="C4740" t="s">
        <v>3994</v>
      </c>
      <c r="D4740" s="1">
        <v>46083</v>
      </c>
      <c r="E4740" t="s">
        <v>3995</v>
      </c>
      <c r="F4740">
        <v>9</v>
      </c>
      <c r="G4740">
        <v>231</v>
      </c>
      <c r="H4740" t="str">
        <f>VLOOKUP(G4740,[1]OPERADORES!$A:$B,2,0)</f>
        <v>EDIJANE</v>
      </c>
      <c r="I4740" t="s">
        <v>21</v>
      </c>
      <c r="J4740" t="s">
        <v>1340</v>
      </c>
      <c r="K4740" t="s">
        <v>3495</v>
      </c>
      <c r="L4740">
        <v>86194</v>
      </c>
      <c r="M4740" t="s">
        <v>4005</v>
      </c>
      <c r="O4740" t="s">
        <v>11</v>
      </c>
      <c r="P4740">
        <v>5403</v>
      </c>
      <c r="Q4740">
        <v>3</v>
      </c>
      <c r="R4740">
        <v>134.26</v>
      </c>
      <c r="S4740">
        <v>402.78</v>
      </c>
      <c r="T4740">
        <v>305.7</v>
      </c>
      <c r="U4740">
        <v>24.1</v>
      </c>
      <c r="V4740" t="str">
        <f>VLOOKUP(L4740,'[2]tabela de preços'!$A:$D,4,0)</f>
        <v>CORAL</v>
      </c>
      <c r="W4740" t="str">
        <f>VLOOKUP(L4740,'[2]tabela de preços'!$A:$F,6,0)</f>
        <v>TINTA PAREDE</v>
      </c>
      <c r="X4740" t="str">
        <f>VLOOKUP(L4740,'[2]tabela de preços'!$A:$G,7,0)</f>
        <v>IMOBILIÁRIO</v>
      </c>
    </row>
    <row r="4741" spans="1:24" x14ac:dyDescent="0.3">
      <c r="A4741" t="s">
        <v>3491</v>
      </c>
      <c r="B4741" t="s">
        <v>3492</v>
      </c>
      <c r="C4741" t="s">
        <v>3994</v>
      </c>
      <c r="D4741" s="1">
        <v>46083</v>
      </c>
      <c r="E4741" t="s">
        <v>3995</v>
      </c>
      <c r="F4741">
        <v>9</v>
      </c>
      <c r="G4741">
        <v>231</v>
      </c>
      <c r="H4741" t="str">
        <f>VLOOKUP(G4741,[1]OPERADORES!$A:$B,2,0)</f>
        <v>EDIJANE</v>
      </c>
      <c r="I4741" t="s">
        <v>21</v>
      </c>
      <c r="J4741" t="s">
        <v>1340</v>
      </c>
      <c r="K4741" t="s">
        <v>3495</v>
      </c>
      <c r="L4741">
        <v>85873</v>
      </c>
      <c r="M4741" t="s">
        <v>4006</v>
      </c>
      <c r="O4741" t="s">
        <v>11</v>
      </c>
      <c r="P4741">
        <v>5102</v>
      </c>
      <c r="Q4741">
        <v>6</v>
      </c>
      <c r="R4741">
        <v>9.6999999999999993</v>
      </c>
      <c r="S4741">
        <v>58.2</v>
      </c>
      <c r="T4741">
        <v>44.16</v>
      </c>
      <c r="U4741">
        <v>24.12</v>
      </c>
      <c r="V4741" t="str">
        <f>VLOOKUP(L4741,'[2]tabela de preços'!$A:$D,4,0)</f>
        <v>CORAL</v>
      </c>
      <c r="W4741" t="str">
        <f>VLOOKUP(L4741,'[2]tabela de preços'!$A:$F,6,0)</f>
        <v>MASSA CORRIDA / ACRÍLICA</v>
      </c>
      <c r="X4741" t="str">
        <f>VLOOKUP(L4741,'[2]tabela de preços'!$A:$G,7,0)</f>
        <v>IMOBILIÁRIO</v>
      </c>
    </row>
    <row r="4742" spans="1:24" x14ac:dyDescent="0.3">
      <c r="A4742" t="s">
        <v>3491</v>
      </c>
      <c r="B4742" t="s">
        <v>3492</v>
      </c>
      <c r="C4742" t="s">
        <v>3994</v>
      </c>
      <c r="D4742" s="1">
        <v>46083</v>
      </c>
      <c r="E4742" t="s">
        <v>3995</v>
      </c>
      <c r="F4742">
        <v>9</v>
      </c>
      <c r="G4742">
        <v>231</v>
      </c>
      <c r="H4742" t="str">
        <f>VLOOKUP(G4742,[1]OPERADORES!$A:$B,2,0)</f>
        <v>EDIJANE</v>
      </c>
      <c r="I4742" t="s">
        <v>21</v>
      </c>
      <c r="J4742" t="s">
        <v>1340</v>
      </c>
      <c r="K4742" t="s">
        <v>3495</v>
      </c>
      <c r="L4742">
        <v>86711</v>
      </c>
      <c r="M4742" t="s">
        <v>34</v>
      </c>
      <c r="O4742" t="s">
        <v>11</v>
      </c>
      <c r="P4742">
        <v>5102</v>
      </c>
      <c r="Q4742">
        <v>4</v>
      </c>
      <c r="R4742">
        <v>25.99</v>
      </c>
      <c r="S4742">
        <v>103.96</v>
      </c>
      <c r="T4742">
        <v>78.92</v>
      </c>
      <c r="U4742">
        <v>24.09</v>
      </c>
      <c r="V4742" t="str">
        <f>VLOOKUP(L4742,'[2]tabela de preços'!$A:$D,4,0)</f>
        <v>CORAL</v>
      </c>
      <c r="W4742" t="str">
        <f>VLOOKUP(L4742,'[2]tabela de preços'!$A:$F,6,0)</f>
        <v>MASSA CORRIDA / ACRÍLICA</v>
      </c>
      <c r="X4742" t="str">
        <f>VLOOKUP(L4742,'[2]tabela de preços'!$A:$G,7,0)</f>
        <v>IMOBILIÁRIO</v>
      </c>
    </row>
    <row r="4743" spans="1:24" x14ac:dyDescent="0.3">
      <c r="A4743" t="s">
        <v>3491</v>
      </c>
      <c r="B4743" t="s">
        <v>3492</v>
      </c>
      <c r="C4743" t="s">
        <v>3994</v>
      </c>
      <c r="D4743" s="1">
        <v>46083</v>
      </c>
      <c r="E4743" t="s">
        <v>3995</v>
      </c>
      <c r="F4743">
        <v>9</v>
      </c>
      <c r="G4743">
        <v>231</v>
      </c>
      <c r="H4743" t="str">
        <f>VLOOKUP(G4743,[1]OPERADORES!$A:$B,2,0)</f>
        <v>EDIJANE</v>
      </c>
      <c r="I4743" t="s">
        <v>21</v>
      </c>
      <c r="J4743" t="s">
        <v>1340</v>
      </c>
      <c r="K4743" t="s">
        <v>3495</v>
      </c>
      <c r="L4743">
        <v>86230</v>
      </c>
      <c r="M4743" t="s">
        <v>375</v>
      </c>
      <c r="O4743" t="s">
        <v>11</v>
      </c>
      <c r="P4743">
        <v>5403</v>
      </c>
      <c r="Q4743">
        <v>7</v>
      </c>
      <c r="R4743">
        <v>290.88</v>
      </c>
      <c r="S4743" s="2">
        <v>2036.16</v>
      </c>
      <c r="T4743" s="2">
        <v>1545.46</v>
      </c>
      <c r="U4743">
        <v>24.1</v>
      </c>
      <c r="V4743" t="str">
        <f>VLOOKUP(L4743,'[2]tabela de preços'!$A:$D,4,0)</f>
        <v>CORAL</v>
      </c>
      <c r="W4743" t="str">
        <f>VLOOKUP(L4743,'[2]tabela de preços'!$A:$F,6,0)</f>
        <v>TINTA PAREDE</v>
      </c>
      <c r="X4743" t="str">
        <f>VLOOKUP(L4743,'[2]tabela de preços'!$A:$G,7,0)</f>
        <v>IMOBILIÁRIO</v>
      </c>
    </row>
    <row r="4744" spans="1:24" x14ac:dyDescent="0.3">
      <c r="A4744" t="s">
        <v>3491</v>
      </c>
      <c r="B4744" t="s">
        <v>3492</v>
      </c>
      <c r="C4744" t="s">
        <v>3994</v>
      </c>
      <c r="D4744" s="1">
        <v>46083</v>
      </c>
      <c r="E4744" t="s">
        <v>3995</v>
      </c>
      <c r="F4744">
        <v>9</v>
      </c>
      <c r="G4744">
        <v>231</v>
      </c>
      <c r="H4744" t="str">
        <f>VLOOKUP(G4744,[1]OPERADORES!$A:$B,2,0)</f>
        <v>EDIJANE</v>
      </c>
      <c r="I4744" t="s">
        <v>21</v>
      </c>
      <c r="J4744" t="s">
        <v>1340</v>
      </c>
      <c r="K4744" t="s">
        <v>3495</v>
      </c>
      <c r="L4744">
        <v>85778</v>
      </c>
      <c r="M4744" t="s">
        <v>4007</v>
      </c>
      <c r="O4744" t="s">
        <v>11</v>
      </c>
      <c r="P4744">
        <v>5403</v>
      </c>
      <c r="Q4744">
        <v>2</v>
      </c>
      <c r="R4744">
        <v>276.14999999999998</v>
      </c>
      <c r="S4744">
        <v>552.29999999999995</v>
      </c>
      <c r="T4744">
        <v>419.2</v>
      </c>
      <c r="U4744">
        <v>24.1</v>
      </c>
      <c r="V4744" t="str">
        <f>VLOOKUP(L4744,'[2]tabela de preços'!$A:$D,4,0)</f>
        <v>CORAL</v>
      </c>
      <c r="W4744" t="str">
        <f>VLOOKUP(L4744,'[2]tabela de preços'!$A:$F,6,0)</f>
        <v>BASES IMOBILIÁRIAS</v>
      </c>
      <c r="X4744" t="str">
        <f>VLOOKUP(L4744,'[2]tabela de preços'!$A:$G,7,0)</f>
        <v>IMOBILIÁRIO</v>
      </c>
    </row>
    <row r="4745" spans="1:24" x14ac:dyDescent="0.3">
      <c r="A4745" t="s">
        <v>3491</v>
      </c>
      <c r="B4745" t="s">
        <v>3492</v>
      </c>
      <c r="C4745" t="s">
        <v>3994</v>
      </c>
      <c r="D4745" s="1">
        <v>46083</v>
      </c>
      <c r="E4745" t="s">
        <v>3995</v>
      </c>
      <c r="F4745">
        <v>9</v>
      </c>
      <c r="G4745">
        <v>231</v>
      </c>
      <c r="H4745" t="str">
        <f>VLOOKUP(G4745,[1]OPERADORES!$A:$B,2,0)</f>
        <v>EDIJANE</v>
      </c>
      <c r="I4745" t="s">
        <v>21</v>
      </c>
      <c r="J4745" t="s">
        <v>1340</v>
      </c>
      <c r="K4745" t="s">
        <v>3495</v>
      </c>
      <c r="L4745">
        <v>85776</v>
      </c>
      <c r="M4745" t="s">
        <v>4008</v>
      </c>
      <c r="O4745" t="s">
        <v>11</v>
      </c>
      <c r="P4745">
        <v>5403</v>
      </c>
      <c r="Q4745">
        <v>2</v>
      </c>
      <c r="R4745">
        <v>73.239999999999995</v>
      </c>
      <c r="S4745">
        <v>146.47999999999999</v>
      </c>
      <c r="T4745">
        <v>111.18</v>
      </c>
      <c r="U4745">
        <v>24.1</v>
      </c>
      <c r="V4745" t="str">
        <f>VLOOKUP(L4745,'[2]tabela de preços'!$A:$D,4,0)</f>
        <v>CORAL</v>
      </c>
      <c r="W4745" t="str">
        <f>VLOOKUP(L4745,'[2]tabela de preços'!$A:$F,6,0)</f>
        <v>BASES IMOBILIÁRIAS</v>
      </c>
      <c r="X4745" t="str">
        <f>VLOOKUP(L4745,'[2]tabela de preços'!$A:$G,7,0)</f>
        <v>IMOBILIÁRIO</v>
      </c>
    </row>
    <row r="4746" spans="1:24" x14ac:dyDescent="0.3">
      <c r="A4746" t="s">
        <v>2970</v>
      </c>
      <c r="C4746" t="s">
        <v>4009</v>
      </c>
      <c r="D4746" s="1">
        <v>46083</v>
      </c>
      <c r="E4746" t="s">
        <v>4010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363</v>
      </c>
      <c r="K4746" t="s">
        <v>2973</v>
      </c>
      <c r="L4746">
        <v>20384</v>
      </c>
      <c r="M4746" t="s">
        <v>648</v>
      </c>
      <c r="O4746" t="s">
        <v>11</v>
      </c>
      <c r="P4746">
        <v>5403</v>
      </c>
      <c r="Q4746">
        <v>1</v>
      </c>
      <c r="R4746">
        <v>32.340000000000003</v>
      </c>
      <c r="S4746">
        <v>32.340000000000003</v>
      </c>
      <c r="T4746">
        <v>23.06</v>
      </c>
      <c r="U4746">
        <v>28.7</v>
      </c>
      <c r="V4746" t="str">
        <f>VLOOKUP(L4746,'[2]tabela de preços'!$A:$D,4,0)</f>
        <v>SHERWIN WILLIAMS</v>
      </c>
      <c r="W4746" t="str">
        <f>VLOOKUP(L4746,'[2]tabela de preços'!$A:$F,6,0)</f>
        <v>TINTAS PU</v>
      </c>
      <c r="X4746" t="str">
        <f>VLOOKUP(L4746,'[2]tabela de preços'!$A:$G,7,0)</f>
        <v>AUTOMOTIVO</v>
      </c>
    </row>
    <row r="4747" spans="1:24" x14ac:dyDescent="0.3">
      <c r="A4747" t="s">
        <v>1947</v>
      </c>
      <c r="B4747" t="s">
        <v>1948</v>
      </c>
      <c r="C4747" t="s">
        <v>4011</v>
      </c>
      <c r="D4747" s="1">
        <v>46084</v>
      </c>
      <c r="E4747" t="s">
        <v>4012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84438</v>
      </c>
      <c r="M4747" t="s">
        <v>1955</v>
      </c>
      <c r="O4747" t="s">
        <v>11</v>
      </c>
      <c r="P4747">
        <v>5102</v>
      </c>
      <c r="Q4747">
        <v>10</v>
      </c>
      <c r="R4747">
        <v>7.16</v>
      </c>
      <c r="S4747">
        <v>71.599999999999994</v>
      </c>
      <c r="T4747">
        <v>54.3</v>
      </c>
      <c r="U4747">
        <v>24.16</v>
      </c>
      <c r="V4747" t="str">
        <f>VLOOKUP(L4747,'[2]tabela de preços'!$A:$D,4,0)</f>
        <v>ATLAS</v>
      </c>
      <c r="W4747" t="str">
        <f>VLOOKUP(L4747,'[2]tabela de preços'!$A:$F,6,0)</f>
        <v>ROLOS / TRINCHAS / PINCÉIS / ESPÁTULAS</v>
      </c>
      <c r="X4747" t="str">
        <f>VLOOKUP(L4747,'[2]tabela de preços'!$A:$G,7,0)</f>
        <v>IMOBILIÁRIO</v>
      </c>
    </row>
    <row r="4748" spans="1:24" x14ac:dyDescent="0.3">
      <c r="A4748" t="s">
        <v>1947</v>
      </c>
      <c r="B4748" t="s">
        <v>1948</v>
      </c>
      <c r="C4748" t="s">
        <v>4011</v>
      </c>
      <c r="D4748" s="1">
        <v>46084</v>
      </c>
      <c r="E4748" t="s">
        <v>4012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86737</v>
      </c>
      <c r="M4748" t="s">
        <v>3676</v>
      </c>
      <c r="O4748" t="s">
        <v>11</v>
      </c>
      <c r="P4748">
        <v>5403</v>
      </c>
      <c r="Q4748">
        <v>1</v>
      </c>
      <c r="R4748">
        <v>177.38</v>
      </c>
      <c r="S4748">
        <v>177.38</v>
      </c>
      <c r="T4748">
        <v>134.63</v>
      </c>
      <c r="U4748">
        <v>24.1</v>
      </c>
      <c r="V4748" t="str">
        <f>VLOOKUP(L4748,'[2]tabela de preços'!$A:$D,4,0)</f>
        <v>CORAL</v>
      </c>
      <c r="W4748" t="str">
        <f>VLOOKUP(L4748,'[2]tabela de preços'!$A:$F,6,0)</f>
        <v>TINTA PAREDE</v>
      </c>
      <c r="X4748" t="str">
        <f>VLOOKUP(L4748,'[2]tabela de preços'!$A:$G,7,0)</f>
        <v>IMOBILIÁRIO</v>
      </c>
    </row>
    <row r="4749" spans="1:24" x14ac:dyDescent="0.3">
      <c r="A4749" t="s">
        <v>1947</v>
      </c>
      <c r="B4749" t="s">
        <v>1948</v>
      </c>
      <c r="C4749" t="s">
        <v>4011</v>
      </c>
      <c r="D4749" s="1">
        <v>46084</v>
      </c>
      <c r="E4749" t="s">
        <v>4012</v>
      </c>
      <c r="F4749">
        <v>9</v>
      </c>
      <c r="G4749">
        <v>236</v>
      </c>
      <c r="H4749" t="str">
        <f>VLOOKUP(G4749,[1]OPERADORES!$A:$B,2,0)</f>
        <v>DANIEL</v>
      </c>
      <c r="I4749" t="s">
        <v>21</v>
      </c>
      <c r="J4749" t="s">
        <v>1951</v>
      </c>
      <c r="K4749" t="s">
        <v>1952</v>
      </c>
      <c r="L4749">
        <v>85670</v>
      </c>
      <c r="M4749" t="s">
        <v>981</v>
      </c>
      <c r="O4749" t="s">
        <v>11</v>
      </c>
      <c r="P4749">
        <v>5102</v>
      </c>
      <c r="Q4749">
        <v>2</v>
      </c>
      <c r="R4749">
        <v>12.2</v>
      </c>
      <c r="S4749">
        <v>24.4</v>
      </c>
      <c r="T4749">
        <v>18.52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>ESPUMA EXPANSIVA</v>
      </c>
      <c r="X4749" t="str">
        <f>VLOOKUP(L4749,'[2]tabela de preços'!$A:$G,7,0)</f>
        <v>IMOBILIÁRIO</v>
      </c>
    </row>
    <row r="4750" spans="1:24" x14ac:dyDescent="0.3">
      <c r="A4750" t="s">
        <v>1947</v>
      </c>
      <c r="B4750" t="s">
        <v>1948</v>
      </c>
      <c r="C4750" t="s">
        <v>4011</v>
      </c>
      <c r="D4750" s="1">
        <v>46084</v>
      </c>
      <c r="E4750" t="s">
        <v>4012</v>
      </c>
      <c r="F4750">
        <v>9</v>
      </c>
      <c r="G4750">
        <v>236</v>
      </c>
      <c r="H4750" t="str">
        <f>VLOOKUP(G4750,[1]OPERADORES!$A:$B,2,0)</f>
        <v>DANIEL</v>
      </c>
      <c r="I4750" t="s">
        <v>21</v>
      </c>
      <c r="J4750" t="s">
        <v>1951</v>
      </c>
      <c r="K4750" t="s">
        <v>1952</v>
      </c>
      <c r="L4750">
        <v>86983</v>
      </c>
      <c r="M4750" t="s">
        <v>3680</v>
      </c>
      <c r="O4750" t="s">
        <v>11</v>
      </c>
      <c r="P4750">
        <v>5403</v>
      </c>
      <c r="Q4750">
        <v>1</v>
      </c>
      <c r="R4750">
        <v>36.56</v>
      </c>
      <c r="S4750">
        <v>36.56</v>
      </c>
      <c r="T4750">
        <v>26.8</v>
      </c>
      <c r="U4750">
        <v>26.7</v>
      </c>
      <c r="V4750" t="str">
        <f>VLOOKUP(L4750,'[2]tabela de preços'!$A:$D,4,0)</f>
        <v>BRASILUX</v>
      </c>
      <c r="W4750" t="str">
        <f>VLOOKUP(L4750,'[2]tabela de preços'!$A:$F,6,0)</f>
        <v>SELADOR ACRÍLICO</v>
      </c>
      <c r="X4750" t="str">
        <f>VLOOKUP(L4750,'[2]tabela de preços'!$A:$G,7,0)</f>
        <v>IMOBILIÁRIO</v>
      </c>
    </row>
    <row r="4751" spans="1:24" x14ac:dyDescent="0.3">
      <c r="A4751" t="s">
        <v>1947</v>
      </c>
      <c r="B4751" t="s">
        <v>1948</v>
      </c>
      <c r="C4751" t="s">
        <v>4011</v>
      </c>
      <c r="D4751" s="1">
        <v>46084</v>
      </c>
      <c r="E4751" t="s">
        <v>4012</v>
      </c>
      <c r="F4751">
        <v>9</v>
      </c>
      <c r="G4751">
        <v>236</v>
      </c>
      <c r="H4751" t="str">
        <f>VLOOKUP(G4751,[1]OPERADORES!$A:$B,2,0)</f>
        <v>DANIEL</v>
      </c>
      <c r="I4751" t="s">
        <v>21</v>
      </c>
      <c r="J4751" t="s">
        <v>1951</v>
      </c>
      <c r="K4751" t="s">
        <v>1952</v>
      </c>
      <c r="L4751">
        <v>84032</v>
      </c>
      <c r="M4751" t="s">
        <v>1573</v>
      </c>
      <c r="O4751" t="s">
        <v>11</v>
      </c>
      <c r="P4751">
        <v>5102</v>
      </c>
      <c r="Q4751">
        <v>1</v>
      </c>
      <c r="R4751">
        <v>99.38</v>
      </c>
      <c r="S4751">
        <v>99.38</v>
      </c>
      <c r="T4751">
        <v>75.430000000000007</v>
      </c>
      <c r="U4751">
        <v>24.1</v>
      </c>
      <c r="V4751" t="str">
        <f>VLOOKUP(L4751,'[2]tabela de preços'!$A:$D,4,0)</f>
        <v>BRASILUX</v>
      </c>
      <c r="W4751" t="str">
        <f>VLOOKUP(L4751,'[2]tabela de preços'!$A:$F,6,0)</f>
        <v>MASSA CORRIDA / ACRÍLICA</v>
      </c>
      <c r="X4751" t="str">
        <f>VLOOKUP(L4751,'[2]tabela de preços'!$A:$G,7,0)</f>
        <v>IMOBILIÁRIO</v>
      </c>
    </row>
    <row r="4752" spans="1:24" x14ac:dyDescent="0.3">
      <c r="A4752" t="s">
        <v>1947</v>
      </c>
      <c r="B4752" t="s">
        <v>1948</v>
      </c>
      <c r="C4752" t="s">
        <v>4011</v>
      </c>
      <c r="D4752" s="1">
        <v>46084</v>
      </c>
      <c r="E4752" t="s">
        <v>4012</v>
      </c>
      <c r="F4752">
        <v>9</v>
      </c>
      <c r="G4752">
        <v>236</v>
      </c>
      <c r="H4752" t="str">
        <f>VLOOKUP(G4752,[1]OPERADORES!$A:$B,2,0)</f>
        <v>DANIEL</v>
      </c>
      <c r="I4752" t="s">
        <v>21</v>
      </c>
      <c r="J4752" t="s">
        <v>1951</v>
      </c>
      <c r="K4752" t="s">
        <v>1952</v>
      </c>
      <c r="L4752">
        <v>84435</v>
      </c>
      <c r="M4752" t="s">
        <v>1956</v>
      </c>
      <c r="O4752" t="s">
        <v>11</v>
      </c>
      <c r="P4752">
        <v>5102</v>
      </c>
      <c r="Q4752">
        <v>5</v>
      </c>
      <c r="R4752">
        <v>17.7</v>
      </c>
      <c r="S4752">
        <v>88.5</v>
      </c>
      <c r="T4752">
        <v>67.150000000000006</v>
      </c>
      <c r="U4752">
        <v>24.12</v>
      </c>
      <c r="V4752" t="str">
        <f>VLOOKUP(L4752,'[2]tabela de preços'!$A:$D,4,0)</f>
        <v>ATLAS</v>
      </c>
      <c r="W4752" t="str">
        <f>VLOOKUP(L4752,'[2]tabela de preços'!$A:$F,6,0)</f>
        <v>ROLOS / TRINCHAS / PINCÉIS / ESPÁTULAS</v>
      </c>
      <c r="X4752" t="str">
        <f>VLOOKUP(L4752,'[2]tabela de preços'!$A:$G,7,0)</f>
        <v>IMOBILIÁRIO</v>
      </c>
    </row>
    <row r="4753" spans="1:24" x14ac:dyDescent="0.3">
      <c r="A4753" t="s">
        <v>1947</v>
      </c>
      <c r="B4753" t="s">
        <v>1948</v>
      </c>
      <c r="C4753" t="s">
        <v>4011</v>
      </c>
      <c r="D4753" s="1">
        <v>46084</v>
      </c>
      <c r="E4753" t="s">
        <v>4012</v>
      </c>
      <c r="F4753">
        <v>9</v>
      </c>
      <c r="G4753">
        <v>236</v>
      </c>
      <c r="H4753" t="str">
        <f>VLOOKUP(G4753,[1]OPERADORES!$A:$B,2,0)</f>
        <v>DANIEL</v>
      </c>
      <c r="I4753" t="s">
        <v>21</v>
      </c>
      <c r="J4753" t="s">
        <v>1951</v>
      </c>
      <c r="K4753" t="s">
        <v>1952</v>
      </c>
      <c r="L4753">
        <v>84425</v>
      </c>
      <c r="M4753" t="s">
        <v>616</v>
      </c>
      <c r="O4753" t="s">
        <v>11</v>
      </c>
      <c r="P4753">
        <v>5102</v>
      </c>
      <c r="Q4753">
        <v>10</v>
      </c>
      <c r="R4753">
        <v>3.52</v>
      </c>
      <c r="S4753">
        <v>35.200000000000003</v>
      </c>
      <c r="T4753">
        <v>26.7</v>
      </c>
      <c r="U4753">
        <v>24.15</v>
      </c>
      <c r="V4753" t="str">
        <f>VLOOKUP(L4753,'[2]tabela de preços'!$A:$D,4,0)</f>
        <v>ATLAS</v>
      </c>
      <c r="W4753" t="str">
        <f>VLOOKUP(L4753,'[2]tabela de preços'!$A:$F,6,0)</f>
        <v>ROLOS / TRINCHAS / PINCÉIS / ESPÁTULAS</v>
      </c>
      <c r="X4753" t="str">
        <f>VLOOKUP(L4753,'[2]tabela de preços'!$A:$G,7,0)</f>
        <v>IMOBILIÁRIO</v>
      </c>
    </row>
    <row r="4754" spans="1:24" x14ac:dyDescent="0.3">
      <c r="A4754" t="s">
        <v>1947</v>
      </c>
      <c r="B4754" t="s">
        <v>1948</v>
      </c>
      <c r="C4754" t="s">
        <v>4011</v>
      </c>
      <c r="D4754" s="1">
        <v>46084</v>
      </c>
      <c r="E4754" t="s">
        <v>4012</v>
      </c>
      <c r="F4754">
        <v>9</v>
      </c>
      <c r="G4754">
        <v>236</v>
      </c>
      <c r="H4754" t="str">
        <f>VLOOKUP(G4754,[1]OPERADORES!$A:$B,2,0)</f>
        <v>DANIEL</v>
      </c>
      <c r="I4754" t="s">
        <v>21</v>
      </c>
      <c r="J4754" t="s">
        <v>1951</v>
      </c>
      <c r="K4754" t="s">
        <v>1952</v>
      </c>
      <c r="L4754">
        <v>21316</v>
      </c>
      <c r="M4754" t="s">
        <v>1829</v>
      </c>
      <c r="O4754" t="s">
        <v>11</v>
      </c>
      <c r="P4754">
        <v>5102</v>
      </c>
      <c r="Q4754">
        <v>1</v>
      </c>
      <c r="R4754">
        <v>128.53</v>
      </c>
      <c r="S4754">
        <v>128.53</v>
      </c>
      <c r="T4754">
        <v>94.23</v>
      </c>
      <c r="U4754">
        <v>26.69</v>
      </c>
      <c r="V4754" t="str">
        <f>VLOOKUP(L4754,'[2]tabela de preços'!$A:$D,4,0)</f>
        <v>SHERWIN WILLIAMS</v>
      </c>
      <c r="W4754" t="str">
        <f>VLOOKUP(L4754,'[2]tabela de preços'!$A:$F,6,0)</f>
        <v>DILUENTE</v>
      </c>
      <c r="X4754" t="str">
        <f>VLOOKUP(L4754,'[2]tabela de preços'!$A:$G,7,0)</f>
        <v>AUTOMOTIVO</v>
      </c>
    </row>
    <row r="4755" spans="1:24" x14ac:dyDescent="0.3">
      <c r="A4755" t="s">
        <v>2001</v>
      </c>
      <c r="C4755" t="s">
        <v>4013</v>
      </c>
      <c r="D4755" s="1">
        <v>46084</v>
      </c>
      <c r="E4755" t="s">
        <v>4014</v>
      </c>
      <c r="F4755">
        <v>9</v>
      </c>
      <c r="G4755">
        <v>174</v>
      </c>
      <c r="H4755" t="str">
        <f>VLOOKUP(G4755,[1]OPERADORES!$A:$B,2,0)</f>
        <v>MIRIÃ LOBATO RODRIGUES</v>
      </c>
      <c r="I4755" t="s">
        <v>21</v>
      </c>
      <c r="J4755" t="s">
        <v>1427</v>
      </c>
      <c r="K4755" t="s">
        <v>2004</v>
      </c>
      <c r="L4755">
        <v>84385</v>
      </c>
      <c r="M4755" t="s">
        <v>2012</v>
      </c>
      <c r="O4755" t="s">
        <v>11</v>
      </c>
      <c r="P4755">
        <v>5403</v>
      </c>
      <c r="Q4755">
        <v>1</v>
      </c>
      <c r="R4755">
        <v>159.9</v>
      </c>
      <c r="S4755">
        <v>159.9</v>
      </c>
      <c r="T4755">
        <v>137.61000000000001</v>
      </c>
      <c r="U4755">
        <v>13.94</v>
      </c>
      <c r="V4755" t="str">
        <f>VLOOKUP(L4755,'[2]tabela de preços'!$A:$D,4,0)</f>
        <v>BRASILUX</v>
      </c>
      <c r="W4755" t="str">
        <f>VLOOKUP(L4755,'[2]tabela de preços'!$A:$F,6,0)</f>
        <v>TINTA PARA PISO</v>
      </c>
      <c r="X4755" t="str">
        <f>VLOOKUP(L4755,'[2]tabela de preços'!$A:$G,7,0)</f>
        <v>IMOBILIÁRIO</v>
      </c>
    </row>
    <row r="4756" spans="1:24" x14ac:dyDescent="0.3">
      <c r="A4756" t="s">
        <v>2001</v>
      </c>
      <c r="C4756" t="s">
        <v>4013</v>
      </c>
      <c r="D4756" s="1">
        <v>46084</v>
      </c>
      <c r="E4756" t="s">
        <v>4014</v>
      </c>
      <c r="F4756">
        <v>9</v>
      </c>
      <c r="G4756">
        <v>174</v>
      </c>
      <c r="H4756" t="str">
        <f>VLOOKUP(G4756,[1]OPERADORES!$A:$B,2,0)</f>
        <v>MIRIÃ LOBATO RODRIGUES</v>
      </c>
      <c r="I4756" t="s">
        <v>21</v>
      </c>
      <c r="J4756" t="s">
        <v>1427</v>
      </c>
      <c r="K4756" t="s">
        <v>2004</v>
      </c>
      <c r="L4756">
        <v>84899</v>
      </c>
      <c r="M4756" t="s">
        <v>854</v>
      </c>
      <c r="O4756" t="s">
        <v>11</v>
      </c>
      <c r="P4756">
        <v>5403</v>
      </c>
      <c r="Q4756">
        <v>2</v>
      </c>
      <c r="R4756">
        <v>169.39</v>
      </c>
      <c r="S4756">
        <v>338.78</v>
      </c>
      <c r="T4756">
        <v>257.14</v>
      </c>
      <c r="U4756">
        <v>24.1</v>
      </c>
      <c r="V4756" t="str">
        <f>VLOOKUP(L4756,'[2]tabela de preços'!$A:$D,4,0)</f>
        <v>BRASILUX</v>
      </c>
      <c r="W4756" t="str">
        <f>VLOOKUP(L4756,'[2]tabela de preços'!$A:$F,6,0)</f>
        <v>EPOXI</v>
      </c>
      <c r="X4756" t="str">
        <f>VLOOKUP(L4756,'[2]tabela de preços'!$A:$G,7,0)</f>
        <v>INDUSTRIAL</v>
      </c>
    </row>
    <row r="4757" spans="1:24" x14ac:dyDescent="0.3">
      <c r="A4757" t="s">
        <v>2025</v>
      </c>
      <c r="C4757" t="s">
        <v>4015</v>
      </c>
      <c r="D4757" s="1">
        <v>46084</v>
      </c>
      <c r="E4757" t="s">
        <v>4016</v>
      </c>
      <c r="F4757">
        <v>9</v>
      </c>
      <c r="G4757">
        <v>174</v>
      </c>
      <c r="H4757" t="str">
        <f>VLOOKUP(G4757,[1]OPERADORES!$A:$B,2,0)</f>
        <v>MIRIÃ LOBATO RODRIGUES</v>
      </c>
      <c r="I4757" t="s">
        <v>21</v>
      </c>
      <c r="J4757" t="s">
        <v>762</v>
      </c>
      <c r="K4757" t="s">
        <v>2028</v>
      </c>
      <c r="L4757">
        <v>20135</v>
      </c>
      <c r="M4757" t="s">
        <v>459</v>
      </c>
      <c r="O4757" t="s">
        <v>11</v>
      </c>
      <c r="P4757">
        <v>5102</v>
      </c>
      <c r="Q4757">
        <v>4</v>
      </c>
      <c r="R4757">
        <v>25.37</v>
      </c>
      <c r="S4757">
        <v>101.48</v>
      </c>
      <c r="T4757">
        <v>77.040000000000006</v>
      </c>
      <c r="U4757">
        <v>24.08</v>
      </c>
      <c r="V4757" t="str">
        <f>VLOOKUP(L4757,'[2]tabela de preços'!$A:$D,4,0)</f>
        <v>3M</v>
      </c>
      <c r="W4757" t="str">
        <f>VLOOKUP(L4757,'[2]tabela de preços'!$A:$F,6,0)</f>
        <v>DISCO TRIZACT</v>
      </c>
      <c r="X4757" t="str">
        <f>VLOOKUP(L4757,'[2]tabela de preços'!$A:$G,7,0)</f>
        <v>AUTOMOTIVO</v>
      </c>
    </row>
    <row r="4758" spans="1:24" x14ac:dyDescent="0.3">
      <c r="A4758" t="s">
        <v>2025</v>
      </c>
      <c r="C4758" t="s">
        <v>4015</v>
      </c>
      <c r="D4758" s="1">
        <v>46084</v>
      </c>
      <c r="E4758" t="s">
        <v>4016</v>
      </c>
      <c r="F4758">
        <v>9</v>
      </c>
      <c r="G4758">
        <v>174</v>
      </c>
      <c r="H4758" t="str">
        <f>VLOOKUP(G4758,[1]OPERADORES!$A:$B,2,0)</f>
        <v>MIRIÃ LOBATO RODRIGUES</v>
      </c>
      <c r="I4758" t="s">
        <v>21</v>
      </c>
      <c r="J4758" t="s">
        <v>762</v>
      </c>
      <c r="K4758" t="s">
        <v>2028</v>
      </c>
      <c r="L4758">
        <v>22173</v>
      </c>
      <c r="M4758" t="s">
        <v>194</v>
      </c>
      <c r="O4758" t="s">
        <v>11</v>
      </c>
      <c r="P4758">
        <v>5102</v>
      </c>
      <c r="Q4758">
        <v>10</v>
      </c>
      <c r="R4758">
        <v>4.58</v>
      </c>
      <c r="S4758">
        <v>45.8</v>
      </c>
      <c r="T4758">
        <v>34.799999999999997</v>
      </c>
      <c r="U4758">
        <v>24.02</v>
      </c>
      <c r="V4758" t="str">
        <f>VLOOKUP(L4758,'[2]tabela de preços'!$A:$D,4,0)</f>
        <v>3M</v>
      </c>
      <c r="W4758" t="str">
        <f>VLOOKUP(L4758,'[2]tabela de preços'!$A:$F,6,0)</f>
        <v>FITA AUTOMOTIVA</v>
      </c>
      <c r="X4758" t="str">
        <f>VLOOKUP(L4758,'[2]tabela de preços'!$A:$G,7,0)</f>
        <v>AUTOMOTIVO</v>
      </c>
    </row>
    <row r="4759" spans="1:24" x14ac:dyDescent="0.3">
      <c r="A4759" t="s">
        <v>2025</v>
      </c>
      <c r="C4759" t="s">
        <v>4015</v>
      </c>
      <c r="D4759" s="1">
        <v>46084</v>
      </c>
      <c r="E4759" t="s">
        <v>4016</v>
      </c>
      <c r="F4759">
        <v>9</v>
      </c>
      <c r="G4759">
        <v>174</v>
      </c>
      <c r="H4759" t="str">
        <f>VLOOKUP(G4759,[1]OPERADORES!$A:$B,2,0)</f>
        <v>MIRIÃ LOBATO RODRIGUES</v>
      </c>
      <c r="I4759" t="s">
        <v>21</v>
      </c>
      <c r="J4759" t="s">
        <v>762</v>
      </c>
      <c r="K4759" t="s">
        <v>2028</v>
      </c>
      <c r="L4759">
        <v>22188</v>
      </c>
      <c r="M4759" t="s">
        <v>78</v>
      </c>
      <c r="O4759" t="s">
        <v>11</v>
      </c>
      <c r="P4759">
        <v>5102</v>
      </c>
      <c r="Q4759">
        <v>10</v>
      </c>
      <c r="R4759">
        <v>14.35</v>
      </c>
      <c r="S4759">
        <v>143.5</v>
      </c>
      <c r="T4759">
        <v>108.9</v>
      </c>
      <c r="U4759">
        <v>24.11</v>
      </c>
      <c r="V4759" t="str">
        <f>VLOOKUP(L4759,'[2]tabela de preços'!$A:$D,4,0)</f>
        <v>3M</v>
      </c>
      <c r="W4759" t="str">
        <f>VLOOKUP(L4759,'[2]tabela de preços'!$A:$F,6,0)</f>
        <v>FITA AUTOMOTIVA</v>
      </c>
      <c r="X4759" t="str">
        <f>VLOOKUP(L4759,'[2]tabela de preços'!$A:$G,7,0)</f>
        <v>AUTOMOTIVO</v>
      </c>
    </row>
    <row r="4760" spans="1:24" x14ac:dyDescent="0.3">
      <c r="A4760" t="s">
        <v>2025</v>
      </c>
      <c r="C4760" t="s">
        <v>4015</v>
      </c>
      <c r="D4760" s="1">
        <v>46084</v>
      </c>
      <c r="E4760" t="s">
        <v>4016</v>
      </c>
      <c r="F4760">
        <v>9</v>
      </c>
      <c r="G4760">
        <v>174</v>
      </c>
      <c r="H4760" t="str">
        <f>VLOOKUP(G4760,[1]OPERADORES!$A:$B,2,0)</f>
        <v>MIRIÃ LOBATO RODRIGUES</v>
      </c>
      <c r="I4760" t="s">
        <v>21</v>
      </c>
      <c r="J4760" t="s">
        <v>762</v>
      </c>
      <c r="K4760" t="s">
        <v>2028</v>
      </c>
      <c r="L4760">
        <v>23653</v>
      </c>
      <c r="M4760" t="s">
        <v>644</v>
      </c>
      <c r="O4760" t="s">
        <v>11</v>
      </c>
      <c r="P4760">
        <v>5102</v>
      </c>
      <c r="Q4760">
        <v>2</v>
      </c>
      <c r="R4760">
        <v>67.150000000000006</v>
      </c>
      <c r="S4760">
        <v>134.30000000000001</v>
      </c>
      <c r="T4760">
        <v>101.94</v>
      </c>
      <c r="U4760">
        <v>24.1</v>
      </c>
      <c r="V4760" t="str">
        <f>VLOOKUP(L4760,'[2]tabela de preços'!$A:$D,4,0)</f>
        <v>SIKKENS</v>
      </c>
      <c r="W4760" t="str">
        <f>VLOOKUP(L4760,'[2]tabela de preços'!$A:$F,6,0)</f>
        <v>CATALISADORES INDIVIDUAS</v>
      </c>
      <c r="X4760" t="str">
        <f>VLOOKUP(L4760,'[2]tabela de preços'!$A:$G,7,0)</f>
        <v>AUTOMOTIVO</v>
      </c>
    </row>
    <row r="4761" spans="1:24" x14ac:dyDescent="0.3">
      <c r="A4761" t="s">
        <v>2025</v>
      </c>
      <c r="C4761" t="s">
        <v>4015</v>
      </c>
      <c r="D4761" s="1">
        <v>46084</v>
      </c>
      <c r="E4761" t="s">
        <v>4016</v>
      </c>
      <c r="F4761">
        <v>9</v>
      </c>
      <c r="G4761">
        <v>174</v>
      </c>
      <c r="H4761" t="str">
        <f>VLOOKUP(G4761,[1]OPERADORES!$A:$B,2,0)</f>
        <v>MIRIÃ LOBATO RODRIGUES</v>
      </c>
      <c r="I4761" t="s">
        <v>21</v>
      </c>
      <c r="J4761" t="s">
        <v>762</v>
      </c>
      <c r="K4761" t="s">
        <v>2028</v>
      </c>
      <c r="L4761">
        <v>23624</v>
      </c>
      <c r="M4761" t="s">
        <v>1312</v>
      </c>
      <c r="O4761" t="s">
        <v>11</v>
      </c>
      <c r="P4761">
        <v>5102</v>
      </c>
      <c r="Q4761">
        <v>2</v>
      </c>
      <c r="R4761">
        <v>46.09</v>
      </c>
      <c r="S4761">
        <v>92.18</v>
      </c>
      <c r="T4761">
        <v>69.959999999999994</v>
      </c>
      <c r="U4761">
        <v>24.11</v>
      </c>
      <c r="V4761" t="str">
        <f>VLOOKUP(L4761,'[2]tabela de preços'!$A:$D,4,0)</f>
        <v>MAXI RUBBER</v>
      </c>
      <c r="W4761" t="str">
        <f>VLOOKUP(L4761,'[2]tabela de preços'!$A:$F,6,0)</f>
        <v>VEDADORES / SELANTES</v>
      </c>
      <c r="X4761" t="str">
        <f>VLOOKUP(L4761,'[2]tabela de preços'!$A:$G,7,0)</f>
        <v>AUTOMOTIVO</v>
      </c>
    </row>
    <row r="4762" spans="1:24" x14ac:dyDescent="0.3">
      <c r="A4762" t="s">
        <v>2046</v>
      </c>
      <c r="C4762" t="s">
        <v>4017</v>
      </c>
      <c r="D4762" s="1">
        <v>46083</v>
      </c>
      <c r="E4762" t="s">
        <v>4018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614</v>
      </c>
      <c r="K4762" t="s">
        <v>2049</v>
      </c>
      <c r="L4762">
        <v>86995</v>
      </c>
      <c r="M4762" t="s">
        <v>2817</v>
      </c>
      <c r="O4762" t="s">
        <v>11</v>
      </c>
      <c r="P4762">
        <v>5102</v>
      </c>
      <c r="Q4762">
        <v>10</v>
      </c>
      <c r="R4762">
        <v>7.29</v>
      </c>
      <c r="S4762">
        <v>72.900000000000006</v>
      </c>
      <c r="T4762">
        <v>58.3</v>
      </c>
      <c r="U4762">
        <v>20.03</v>
      </c>
      <c r="V4762" t="str">
        <f>VLOOKUP(L4762,'[2]tabela de preços'!$A:$D,4,0)</f>
        <v>AUTOAMERICA</v>
      </c>
      <c r="W4762" t="str">
        <f>VLOOKUP(L4762,'[2]tabela de preços'!$A:$F,6,0)</f>
        <v>FLANELAS / PANOS</v>
      </c>
      <c r="X4762" t="str">
        <f>VLOOKUP(L4762,'[2]tabela de preços'!$A:$G,7,0)</f>
        <v>AUTOMOTIVO</v>
      </c>
    </row>
    <row r="4763" spans="1:24" x14ac:dyDescent="0.3">
      <c r="A4763" t="s">
        <v>2046</v>
      </c>
      <c r="C4763" t="s">
        <v>4017</v>
      </c>
      <c r="D4763" s="1">
        <v>46083</v>
      </c>
      <c r="E4763" t="s">
        <v>4018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614</v>
      </c>
      <c r="K4763" t="s">
        <v>2049</v>
      </c>
      <c r="L4763">
        <v>10277</v>
      </c>
      <c r="M4763" t="s">
        <v>135</v>
      </c>
      <c r="O4763" t="s">
        <v>11</v>
      </c>
      <c r="P4763">
        <v>5102</v>
      </c>
      <c r="Q4763">
        <v>24</v>
      </c>
      <c r="R4763">
        <v>15.89</v>
      </c>
      <c r="S4763">
        <v>381.36</v>
      </c>
      <c r="T4763">
        <v>309.12</v>
      </c>
      <c r="U4763">
        <v>18.940000000000001</v>
      </c>
      <c r="V4763" t="str">
        <f>VLOOKUP(L4763,'[2]tabela de preços'!$A:$D,4,0)</f>
        <v>RETOQUE</v>
      </c>
      <c r="W4763" t="str">
        <f>VLOOKUP(L4763,'[2]tabela de preços'!$A:$F,6,0)</f>
        <v xml:space="preserve">COLA  PLÁSTICA </v>
      </c>
      <c r="X4763" t="str">
        <f>VLOOKUP(L4763,'[2]tabela de preços'!$A:$G,7,0)</f>
        <v>AUTOMOTIVO</v>
      </c>
    </row>
    <row r="4764" spans="1:24" x14ac:dyDescent="0.3">
      <c r="A4764" t="s">
        <v>2046</v>
      </c>
      <c r="C4764" t="s">
        <v>4017</v>
      </c>
      <c r="D4764" s="1">
        <v>46083</v>
      </c>
      <c r="E4764" t="s">
        <v>4018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614</v>
      </c>
      <c r="K4764" t="s">
        <v>2049</v>
      </c>
      <c r="L4764">
        <v>23076</v>
      </c>
      <c r="M4764" t="s">
        <v>97</v>
      </c>
      <c r="O4764" t="s">
        <v>11</v>
      </c>
      <c r="P4764">
        <v>5403</v>
      </c>
      <c r="Q4764">
        <v>24</v>
      </c>
      <c r="R4764">
        <v>34.89</v>
      </c>
      <c r="S4764">
        <v>837.36</v>
      </c>
      <c r="T4764">
        <v>636.72</v>
      </c>
      <c r="U4764">
        <v>23.96</v>
      </c>
      <c r="V4764" t="str">
        <f>VLOOKUP(L4764,'[2]tabela de preços'!$A:$D,4,0)</f>
        <v>WANDA</v>
      </c>
      <c r="W4764" t="str">
        <f>VLOOKUP(L4764,'[2]tabela de preços'!$A:$F,6,0)</f>
        <v>PRIMER AUTOMOTIVO</v>
      </c>
      <c r="X4764" t="str">
        <f>VLOOKUP(L4764,'[2]tabela de preços'!$A:$G,7,0)</f>
        <v>AUTOMOTIVO</v>
      </c>
    </row>
    <row r="4765" spans="1:24" x14ac:dyDescent="0.3">
      <c r="A4765" t="s">
        <v>2046</v>
      </c>
      <c r="C4765" t="s">
        <v>4017</v>
      </c>
      <c r="D4765" s="1">
        <v>46083</v>
      </c>
      <c r="E4765" t="s">
        <v>4018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614</v>
      </c>
      <c r="K4765" t="s">
        <v>2049</v>
      </c>
      <c r="L4765">
        <v>23690</v>
      </c>
      <c r="M4765" t="s">
        <v>98</v>
      </c>
      <c r="O4765" t="s">
        <v>11</v>
      </c>
      <c r="P4765">
        <v>5403</v>
      </c>
      <c r="Q4765">
        <v>6</v>
      </c>
      <c r="R4765">
        <v>39.89</v>
      </c>
      <c r="S4765">
        <v>239.34</v>
      </c>
      <c r="T4765">
        <v>189.66</v>
      </c>
      <c r="U4765">
        <v>20.76</v>
      </c>
      <c r="V4765" t="str">
        <f>VLOOKUP(L4765,'[2]tabela de preços'!$A:$D,4,0)</f>
        <v>WANDA</v>
      </c>
      <c r="W4765" t="str">
        <f>VLOOKUP(L4765,'[2]tabela de preços'!$A:$F,6,0)</f>
        <v>VERNIZ AUTOMOTIVO</v>
      </c>
      <c r="X4765" t="str">
        <f>VLOOKUP(L4765,'[2]tabela de preços'!$A:$G,7,0)</f>
        <v>AUTOMOTIVO</v>
      </c>
    </row>
    <row r="4766" spans="1:24" x14ac:dyDescent="0.3">
      <c r="A4766" t="s">
        <v>2046</v>
      </c>
      <c r="C4766" t="s">
        <v>4017</v>
      </c>
      <c r="D4766" s="1">
        <v>46083</v>
      </c>
      <c r="E4766" t="s">
        <v>4018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614</v>
      </c>
      <c r="K4766" t="s">
        <v>2049</v>
      </c>
      <c r="L4766">
        <v>23602</v>
      </c>
      <c r="M4766" t="s">
        <v>215</v>
      </c>
      <c r="O4766" t="s">
        <v>11</v>
      </c>
      <c r="P4766">
        <v>5403</v>
      </c>
      <c r="Q4766">
        <v>18</v>
      </c>
      <c r="R4766">
        <v>35.89</v>
      </c>
      <c r="S4766">
        <v>646.02</v>
      </c>
      <c r="T4766">
        <v>526.5</v>
      </c>
      <c r="U4766">
        <v>18.5</v>
      </c>
      <c r="V4766" t="str">
        <f>VLOOKUP(L4766,'[2]tabela de preços'!$A:$D,4,0)</f>
        <v>SHERWIN WILLIAMS</v>
      </c>
      <c r="W4766" t="str">
        <f>VLOOKUP(L4766,'[2]tabela de preços'!$A:$F,6,0)</f>
        <v>VERNIZ AUTOMOTIVO</v>
      </c>
      <c r="X4766" t="str">
        <f>VLOOKUP(L4766,'[2]tabela de preços'!$A:$G,7,0)</f>
        <v>AUTOMOTIVO</v>
      </c>
    </row>
    <row r="4767" spans="1:24" x14ac:dyDescent="0.3">
      <c r="A4767" t="s">
        <v>2046</v>
      </c>
      <c r="C4767" t="s">
        <v>4017</v>
      </c>
      <c r="D4767" s="1">
        <v>46083</v>
      </c>
      <c r="E4767" t="s">
        <v>4018</v>
      </c>
      <c r="F4767">
        <v>9</v>
      </c>
      <c r="G4767">
        <v>236</v>
      </c>
      <c r="H4767" t="str">
        <f>VLOOKUP(G4767,[1]OPERADORES!$A:$B,2,0)</f>
        <v>DANIEL</v>
      </c>
      <c r="I4767" t="s">
        <v>21</v>
      </c>
      <c r="J4767" t="s">
        <v>614</v>
      </c>
      <c r="K4767" t="s">
        <v>2049</v>
      </c>
      <c r="L4767">
        <v>20431</v>
      </c>
      <c r="M4767" t="s">
        <v>202</v>
      </c>
      <c r="O4767" t="s">
        <v>11</v>
      </c>
      <c r="P4767">
        <v>5403</v>
      </c>
      <c r="Q4767">
        <v>18</v>
      </c>
      <c r="R4767">
        <v>36.89</v>
      </c>
      <c r="S4767">
        <v>664.02</v>
      </c>
      <c r="T4767">
        <v>544.67999999999995</v>
      </c>
      <c r="U4767">
        <v>17.97</v>
      </c>
      <c r="V4767" t="str">
        <f>VLOOKUP(L4767,'[2]tabela de preços'!$A:$D,4,0)</f>
        <v>SHERWIN WILLIAMS</v>
      </c>
      <c r="W4767" t="str">
        <f>VLOOKUP(L4767,'[2]tabela de preços'!$A:$F,6,0)</f>
        <v>VERNIZ AUTOMOTIVO</v>
      </c>
      <c r="X4767" t="str">
        <f>VLOOKUP(L4767,'[2]tabela de preços'!$A:$G,7,0)</f>
        <v>AUTOMOTIVO</v>
      </c>
    </row>
    <row r="4768" spans="1:24" x14ac:dyDescent="0.3">
      <c r="A4768" t="s">
        <v>2046</v>
      </c>
      <c r="C4768" t="s">
        <v>4017</v>
      </c>
      <c r="D4768" s="1">
        <v>46083</v>
      </c>
      <c r="E4768" t="s">
        <v>4018</v>
      </c>
      <c r="F4768">
        <v>9</v>
      </c>
      <c r="G4768">
        <v>236</v>
      </c>
      <c r="H4768" t="str">
        <f>VLOOKUP(G4768,[1]OPERADORES!$A:$B,2,0)</f>
        <v>DANIEL</v>
      </c>
      <c r="I4768" t="s">
        <v>21</v>
      </c>
      <c r="J4768" t="s">
        <v>614</v>
      </c>
      <c r="K4768" t="s">
        <v>2049</v>
      </c>
      <c r="L4768">
        <v>13</v>
      </c>
      <c r="M4768" t="s">
        <v>152</v>
      </c>
      <c r="O4768" t="s">
        <v>11</v>
      </c>
      <c r="P4768">
        <v>5102</v>
      </c>
      <c r="Q4768">
        <v>50</v>
      </c>
      <c r="R4768">
        <v>5.79</v>
      </c>
      <c r="S4768">
        <v>289.5</v>
      </c>
      <c r="T4768">
        <v>208</v>
      </c>
      <c r="U4768">
        <v>28.15</v>
      </c>
      <c r="V4768" t="str">
        <f>VLOOKUP(L4768,'[2]tabela de preços'!$A:$D,4,0)</f>
        <v>3M</v>
      </c>
      <c r="W4768" t="str">
        <f>VLOOKUP(L4768,'[2]tabela de preços'!$A:$F,6,0)</f>
        <v>LIXA DÁGUA</v>
      </c>
      <c r="X4768" t="str">
        <f>VLOOKUP(L4768,'[2]tabela de preços'!$A:$G,7,0)</f>
        <v>AUTOMOTIVO</v>
      </c>
    </row>
    <row r="4769" spans="1:24" x14ac:dyDescent="0.3">
      <c r="A4769" t="s">
        <v>2046</v>
      </c>
      <c r="C4769" t="s">
        <v>4017</v>
      </c>
      <c r="D4769" s="1">
        <v>46083</v>
      </c>
      <c r="E4769" t="s">
        <v>4018</v>
      </c>
      <c r="F4769">
        <v>9</v>
      </c>
      <c r="G4769">
        <v>236</v>
      </c>
      <c r="H4769" t="str">
        <f>VLOOKUP(G4769,[1]OPERADORES!$A:$B,2,0)</f>
        <v>DANIEL</v>
      </c>
      <c r="I4769" t="s">
        <v>21</v>
      </c>
      <c r="J4769" t="s">
        <v>614</v>
      </c>
      <c r="K4769" t="s">
        <v>2049</v>
      </c>
      <c r="L4769">
        <v>10297</v>
      </c>
      <c r="M4769" t="s">
        <v>41</v>
      </c>
      <c r="O4769" t="s">
        <v>11</v>
      </c>
      <c r="P4769">
        <v>5102</v>
      </c>
      <c r="Q4769">
        <v>36</v>
      </c>
      <c r="R4769">
        <v>10.49</v>
      </c>
      <c r="S4769">
        <v>377.64</v>
      </c>
      <c r="T4769">
        <v>330.12</v>
      </c>
      <c r="U4769">
        <v>12.58</v>
      </c>
      <c r="V4769" t="str">
        <f>VLOOKUP(L4769,'[2]tabela de preços'!$A:$D,4,0)</f>
        <v>ANJO</v>
      </c>
      <c r="W4769" t="str">
        <f>VLOOKUP(L4769,'[2]tabela de preços'!$A:$F,6,0)</f>
        <v>THINNER DE LIMPEZA</v>
      </c>
      <c r="X4769" t="str">
        <f>VLOOKUP(L4769,'[2]tabela de preços'!$A:$G,7,0)</f>
        <v>THINNER</v>
      </c>
    </row>
    <row r="4770" spans="1:24" x14ac:dyDescent="0.3">
      <c r="A4770" t="s">
        <v>3856</v>
      </c>
      <c r="C4770" t="s">
        <v>4019</v>
      </c>
      <c r="D4770" s="1">
        <v>46083</v>
      </c>
      <c r="E4770" t="s">
        <v>4020</v>
      </c>
      <c r="F4770">
        <v>9</v>
      </c>
      <c r="G4770">
        <v>236</v>
      </c>
      <c r="H4770" t="str">
        <f>VLOOKUP(G4770,[1]OPERADORES!$A:$B,2,0)</f>
        <v>DANIEL</v>
      </c>
      <c r="I4770" t="s">
        <v>21</v>
      </c>
      <c r="J4770" t="s">
        <v>211</v>
      </c>
      <c r="K4770" t="s">
        <v>3859</v>
      </c>
      <c r="L4770">
        <v>84333</v>
      </c>
      <c r="M4770" t="s">
        <v>1025</v>
      </c>
      <c r="O4770" t="s">
        <v>11</v>
      </c>
      <c r="P4770">
        <v>5102</v>
      </c>
      <c r="Q4770">
        <v>1</v>
      </c>
      <c r="R4770">
        <v>59.98</v>
      </c>
      <c r="S4770">
        <v>59.98</v>
      </c>
      <c r="T4770">
        <v>47.04</v>
      </c>
      <c r="U4770">
        <v>21.57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3856</v>
      </c>
      <c r="C4771" t="s">
        <v>4019</v>
      </c>
      <c r="D4771" s="1">
        <v>46083</v>
      </c>
      <c r="E4771" t="s">
        <v>4020</v>
      </c>
      <c r="F4771">
        <v>9</v>
      </c>
      <c r="G4771">
        <v>236</v>
      </c>
      <c r="H4771" t="str">
        <f>VLOOKUP(G4771,[1]OPERADORES!$A:$B,2,0)</f>
        <v>DANIEL</v>
      </c>
      <c r="I4771" t="s">
        <v>21</v>
      </c>
      <c r="J4771" t="s">
        <v>211</v>
      </c>
      <c r="K4771" t="s">
        <v>3859</v>
      </c>
      <c r="L4771">
        <v>86230</v>
      </c>
      <c r="M4771" t="s">
        <v>375</v>
      </c>
      <c r="O4771" t="s">
        <v>11</v>
      </c>
      <c r="P4771">
        <v>5102</v>
      </c>
      <c r="Q4771">
        <v>1</v>
      </c>
      <c r="R4771">
        <v>307.99</v>
      </c>
      <c r="S4771">
        <v>307.99</v>
      </c>
      <c r="T4771">
        <v>220.78</v>
      </c>
      <c r="U4771">
        <v>28.32</v>
      </c>
      <c r="V4771" t="str">
        <f>VLOOKUP(L4771,'[2]tabela de preços'!$A:$D,4,0)</f>
        <v>CORAL</v>
      </c>
      <c r="W4771" t="str">
        <f>VLOOKUP(L4771,'[2]tabela de preços'!$A:$F,6,0)</f>
        <v>TINTA PAREDE</v>
      </c>
      <c r="X4771" t="str">
        <f>VLOOKUP(L4771,'[2]tabela de preços'!$A:$G,7,0)</f>
        <v>IMOBILIÁRIO</v>
      </c>
    </row>
    <row r="4772" spans="1:24" x14ac:dyDescent="0.3">
      <c r="A4772" t="s">
        <v>3856</v>
      </c>
      <c r="C4772" t="s">
        <v>4019</v>
      </c>
      <c r="D4772" s="1">
        <v>46083</v>
      </c>
      <c r="E4772" t="s">
        <v>4020</v>
      </c>
      <c r="F4772">
        <v>9</v>
      </c>
      <c r="G4772">
        <v>236</v>
      </c>
      <c r="H4772" t="str">
        <f>VLOOKUP(G4772,[1]OPERADORES!$A:$B,2,0)</f>
        <v>DANIEL</v>
      </c>
      <c r="I4772" t="s">
        <v>21</v>
      </c>
      <c r="J4772" t="s">
        <v>211</v>
      </c>
      <c r="K4772" t="s">
        <v>3859</v>
      </c>
      <c r="L4772">
        <v>10298</v>
      </c>
      <c r="M4772" t="s">
        <v>85</v>
      </c>
      <c r="O4772" t="s">
        <v>11</v>
      </c>
      <c r="P4772">
        <v>5102</v>
      </c>
      <c r="Q4772">
        <v>1</v>
      </c>
      <c r="R4772">
        <v>56.89</v>
      </c>
      <c r="S4772">
        <v>56.89</v>
      </c>
      <c r="T4772">
        <v>47.38</v>
      </c>
      <c r="U4772">
        <v>16.72</v>
      </c>
      <c r="V4772" t="str">
        <f>VLOOKUP(L4772,'[2]tabela de preços'!$A:$D,4,0)</f>
        <v>ANJO</v>
      </c>
      <c r="W4772" t="str">
        <f>VLOOKUP(L4772,'[2]tabela de preços'!$A:$F,6,0)</f>
        <v>THINNER DE LIMPEZA</v>
      </c>
      <c r="X4772" t="str">
        <f>VLOOKUP(L4772,'[2]tabela de preços'!$A:$G,7,0)</f>
        <v>THINNER</v>
      </c>
    </row>
    <row r="4773" spans="1:24" x14ac:dyDescent="0.3">
      <c r="A4773" t="s">
        <v>3856</v>
      </c>
      <c r="C4773" t="s">
        <v>4019</v>
      </c>
      <c r="D4773" s="1">
        <v>46083</v>
      </c>
      <c r="E4773" t="s">
        <v>4020</v>
      </c>
      <c r="F4773">
        <v>9</v>
      </c>
      <c r="G4773">
        <v>236</v>
      </c>
      <c r="H4773" t="str">
        <f>VLOOKUP(G4773,[1]OPERADORES!$A:$B,2,0)</f>
        <v>DANIEL</v>
      </c>
      <c r="I4773" t="s">
        <v>21</v>
      </c>
      <c r="J4773" t="s">
        <v>211</v>
      </c>
      <c r="K4773" t="s">
        <v>3859</v>
      </c>
      <c r="L4773">
        <v>84300</v>
      </c>
      <c r="M4773" t="s">
        <v>4021</v>
      </c>
      <c r="O4773" t="s">
        <v>11</v>
      </c>
      <c r="P4773">
        <v>5102</v>
      </c>
      <c r="Q4773">
        <v>1</v>
      </c>
      <c r="R4773">
        <v>86.63</v>
      </c>
      <c r="S4773">
        <v>86.63</v>
      </c>
      <c r="T4773">
        <v>62.09</v>
      </c>
      <c r="U4773">
        <v>28.33</v>
      </c>
      <c r="V4773" t="str">
        <f>VLOOKUP(L4773,'[2]tabela de preços'!$A:$D,4,0)</f>
        <v>BRASILUX</v>
      </c>
      <c r="W4773" t="str">
        <f>VLOOKUP(L4773,'[2]tabela de preços'!$A:$F,6,0)</f>
        <v>TINTA PARA PISO</v>
      </c>
      <c r="X4773" t="str">
        <f>VLOOKUP(L4773,'[2]tabela de preços'!$A:$G,7,0)</f>
        <v>IMOBILIÁRIO</v>
      </c>
    </row>
    <row r="4774" spans="1:24" x14ac:dyDescent="0.3">
      <c r="A4774" t="s">
        <v>2095</v>
      </c>
      <c r="C4774" t="s">
        <v>4022</v>
      </c>
      <c r="D4774" s="1">
        <v>46084</v>
      </c>
      <c r="E4774" t="s">
        <v>4023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126</v>
      </c>
      <c r="J4774" t="s">
        <v>127</v>
      </c>
      <c r="K4774" t="s">
        <v>2098</v>
      </c>
      <c r="L4774">
        <v>13</v>
      </c>
      <c r="M4774" t="s">
        <v>152</v>
      </c>
      <c r="O4774" t="s">
        <v>11</v>
      </c>
      <c r="P4774">
        <v>6102</v>
      </c>
      <c r="Q4774">
        <v>50</v>
      </c>
      <c r="R4774">
        <v>5.79</v>
      </c>
      <c r="S4774">
        <v>289.5</v>
      </c>
      <c r="T4774">
        <v>208</v>
      </c>
      <c r="U4774">
        <v>28.15</v>
      </c>
      <c r="V4774" t="str">
        <f>VLOOKUP(L4774,'[2]tabela de preços'!$A:$D,4,0)</f>
        <v>3M</v>
      </c>
      <c r="W4774" t="str">
        <f>VLOOKUP(L4774,'[2]tabela de preços'!$A:$F,6,0)</f>
        <v>LIXA DÁGUA</v>
      </c>
      <c r="X4774" t="str">
        <f>VLOOKUP(L4774,'[2]tabela de preços'!$A:$G,7,0)</f>
        <v>AUTOMOTIVO</v>
      </c>
    </row>
    <row r="4775" spans="1:24" x14ac:dyDescent="0.3">
      <c r="A4775" t="s">
        <v>2095</v>
      </c>
      <c r="C4775" t="s">
        <v>4022</v>
      </c>
      <c r="D4775" s="1">
        <v>46084</v>
      </c>
      <c r="E4775" t="s">
        <v>4023</v>
      </c>
      <c r="F4775">
        <v>9</v>
      </c>
      <c r="G4775">
        <v>197</v>
      </c>
      <c r="H4775" t="str">
        <f>VLOOKUP(G4775,[1]OPERADORES!$A:$B,2,0)</f>
        <v xml:space="preserve">POLIANA LORRANE DE AMORIM </v>
      </c>
      <c r="I4775" t="s">
        <v>126</v>
      </c>
      <c r="J4775" t="s">
        <v>127</v>
      </c>
      <c r="K4775" t="s">
        <v>2098</v>
      </c>
      <c r="L4775">
        <v>84499</v>
      </c>
      <c r="M4775" t="s">
        <v>534</v>
      </c>
      <c r="O4775" t="s">
        <v>11</v>
      </c>
      <c r="P4775">
        <v>6102</v>
      </c>
      <c r="Q4775">
        <v>5</v>
      </c>
      <c r="R4775">
        <v>185.45</v>
      </c>
      <c r="S4775">
        <v>927.25</v>
      </c>
      <c r="T4775">
        <v>703.8</v>
      </c>
      <c r="U4775">
        <v>24.1</v>
      </c>
      <c r="V4775" t="str">
        <f>VLOOKUP(L4775,'[2]tabela de preços'!$A:$D,4,0)</f>
        <v>BRASILUX</v>
      </c>
      <c r="W4775" t="str">
        <f>VLOOKUP(L4775,'[2]tabela de preços'!$A:$F,6,0)</f>
        <v>THINNER DE LIMPEZA</v>
      </c>
      <c r="X4775" t="str">
        <f>VLOOKUP(L4775,'[2]tabela de preços'!$A:$G,7,0)</f>
        <v>THINNER</v>
      </c>
    </row>
    <row r="4776" spans="1:24" x14ac:dyDescent="0.3">
      <c r="A4776" t="s">
        <v>2100</v>
      </c>
      <c r="C4776" t="s">
        <v>4024</v>
      </c>
      <c r="D4776" s="1">
        <v>46084</v>
      </c>
      <c r="E4776" t="s">
        <v>4025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1788</v>
      </c>
      <c r="K4776" t="s">
        <v>2103</v>
      </c>
      <c r="L4776">
        <v>23671</v>
      </c>
      <c r="M4776" t="s">
        <v>4026</v>
      </c>
      <c r="O4776" t="s">
        <v>11</v>
      </c>
      <c r="P4776">
        <v>5102</v>
      </c>
      <c r="Q4776">
        <v>2</v>
      </c>
      <c r="R4776">
        <v>12.41</v>
      </c>
      <c r="S4776">
        <v>24.82</v>
      </c>
      <c r="T4776">
        <v>18.84</v>
      </c>
      <c r="U4776">
        <v>24.09</v>
      </c>
      <c r="V4776" t="str">
        <f>VLOOKUP(L4776,'[2]tabela de preços'!$A:$D,4,0)</f>
        <v>3M</v>
      </c>
      <c r="W4776" t="str">
        <f>VLOOKUP(L4776,'[2]tabela de preços'!$A:$F,6,0)</f>
        <v>COLA INST./ ADESIVOS COLANTES</v>
      </c>
      <c r="X4776" t="str">
        <f>VLOOKUP(L4776,'[2]tabela de preços'!$A:$G,7,0)</f>
        <v>AUTOMOTIVO</v>
      </c>
    </row>
    <row r="4777" spans="1:24" x14ac:dyDescent="0.3">
      <c r="A4777" t="s">
        <v>2100</v>
      </c>
      <c r="C4777" t="s">
        <v>4024</v>
      </c>
      <c r="D4777" s="1">
        <v>46084</v>
      </c>
      <c r="E4777" t="s">
        <v>4025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1788</v>
      </c>
      <c r="K4777" t="s">
        <v>2103</v>
      </c>
      <c r="L4777">
        <v>23580</v>
      </c>
      <c r="M4777" t="s">
        <v>115</v>
      </c>
      <c r="O4777" t="s">
        <v>11</v>
      </c>
      <c r="P4777">
        <v>5102</v>
      </c>
      <c r="Q4777">
        <v>100</v>
      </c>
      <c r="R4777">
        <v>0.48</v>
      </c>
      <c r="S4777">
        <v>48</v>
      </c>
      <c r="T4777">
        <v>36</v>
      </c>
      <c r="U4777">
        <v>25</v>
      </c>
      <c r="V4777" t="str">
        <f>VLOOKUP(L4777,'[2]tabela de preços'!$A:$D,4,0)</f>
        <v>RENOVA COADORES</v>
      </c>
      <c r="W4777" t="str">
        <f>VLOOKUP(L4777,'[2]tabela de preços'!$A:$F,6,0)</f>
        <v>COADORES</v>
      </c>
      <c r="X4777" t="str">
        <f>VLOOKUP(L4777,'[2]tabela de preços'!$A:$G,7,0)</f>
        <v>AUTOMOTIVO</v>
      </c>
    </row>
    <row r="4778" spans="1:24" x14ac:dyDescent="0.3">
      <c r="A4778" t="s">
        <v>2100</v>
      </c>
      <c r="C4778" t="s">
        <v>4024</v>
      </c>
      <c r="D4778" s="1">
        <v>46084</v>
      </c>
      <c r="E4778" t="s">
        <v>4025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1788</v>
      </c>
      <c r="K4778" t="s">
        <v>2103</v>
      </c>
      <c r="L4778">
        <v>21741</v>
      </c>
      <c r="M4778" t="s">
        <v>1509</v>
      </c>
      <c r="O4778" t="s">
        <v>11</v>
      </c>
      <c r="P4778">
        <v>5102</v>
      </c>
      <c r="Q4778">
        <v>3</v>
      </c>
      <c r="R4778">
        <v>20.89</v>
      </c>
      <c r="S4778">
        <v>62.67</v>
      </c>
      <c r="T4778">
        <v>47.58</v>
      </c>
      <c r="U4778">
        <v>24.08</v>
      </c>
      <c r="V4778" t="str">
        <f>VLOOKUP(L4778,'[2]tabela de preços'!$A:$D,4,0)</f>
        <v>SOLUFIX</v>
      </c>
      <c r="W4778" t="str">
        <f>VLOOKUP(L4778,'[2]tabela de preços'!$A:$F,6,0)</f>
        <v>COLA INST./ ADESIVOS COLANTES</v>
      </c>
      <c r="X4778" t="str">
        <f>VLOOKUP(L4778,'[2]tabela de preços'!$A:$G,7,0)</f>
        <v>AUTOMOTIVO</v>
      </c>
    </row>
    <row r="4779" spans="1:24" x14ac:dyDescent="0.3">
      <c r="A4779" t="s">
        <v>2100</v>
      </c>
      <c r="C4779" t="s">
        <v>4024</v>
      </c>
      <c r="D4779" s="1">
        <v>46084</v>
      </c>
      <c r="E4779" t="s">
        <v>4025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1788</v>
      </c>
      <c r="K4779" t="s">
        <v>2103</v>
      </c>
      <c r="L4779">
        <v>10316</v>
      </c>
      <c r="M4779" t="s">
        <v>582</v>
      </c>
      <c r="O4779" t="s">
        <v>11</v>
      </c>
      <c r="P4779">
        <v>5102</v>
      </c>
      <c r="Q4779">
        <v>4</v>
      </c>
      <c r="R4779">
        <v>13.89</v>
      </c>
      <c r="S4779">
        <v>55.56</v>
      </c>
      <c r="T4779">
        <v>46.52</v>
      </c>
      <c r="U4779">
        <v>16.27</v>
      </c>
      <c r="V4779" t="str">
        <f>VLOOKUP(L4779,'[2]tabela de preços'!$A:$D,4,0)</f>
        <v>ANJO</v>
      </c>
      <c r="W4779" t="str">
        <f>VLOOKUP(L4779,'[2]tabela de preços'!$A:$F,6,0)</f>
        <v xml:space="preserve">COLA  PLÁSTICA </v>
      </c>
      <c r="X4779" t="str">
        <f>VLOOKUP(L4779,'[2]tabela de preços'!$A:$G,7,0)</f>
        <v>AUTOMOTIVO</v>
      </c>
    </row>
    <row r="4780" spans="1:24" x14ac:dyDescent="0.3">
      <c r="A4780" t="s">
        <v>2100</v>
      </c>
      <c r="C4780" t="s">
        <v>4024</v>
      </c>
      <c r="D4780" s="1">
        <v>46084</v>
      </c>
      <c r="E4780" t="s">
        <v>4025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1788</v>
      </c>
      <c r="K4780" t="s">
        <v>2103</v>
      </c>
      <c r="L4780">
        <v>84557</v>
      </c>
      <c r="M4780" t="s">
        <v>116</v>
      </c>
      <c r="O4780" t="s">
        <v>11</v>
      </c>
      <c r="P4780">
        <v>5102</v>
      </c>
      <c r="Q4780">
        <v>6</v>
      </c>
      <c r="R4780">
        <v>17.489999999999998</v>
      </c>
      <c r="S4780">
        <v>104.94</v>
      </c>
      <c r="T4780">
        <v>87.96</v>
      </c>
      <c r="U4780">
        <v>16.18</v>
      </c>
      <c r="V4780" t="str">
        <f>VLOOKUP(L4780,'[2]tabela de preços'!$A:$D,4,0)</f>
        <v>BRASILUX</v>
      </c>
      <c r="W4780" t="str">
        <f>VLOOKUP(L4780,'[2]tabela de preços'!$A:$F,6,0)</f>
        <v>DILUENTE</v>
      </c>
      <c r="X4780" t="str">
        <f>VLOOKUP(L4780,'[2]tabela de preços'!$A:$G,7,0)</f>
        <v>AUTOMOTIVO</v>
      </c>
    </row>
    <row r="4781" spans="1:24" x14ac:dyDescent="0.3">
      <c r="A4781" t="s">
        <v>2100</v>
      </c>
      <c r="C4781" t="s">
        <v>4024</v>
      </c>
      <c r="D4781" s="1">
        <v>46084</v>
      </c>
      <c r="E4781" t="s">
        <v>4025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1788</v>
      </c>
      <c r="K4781" t="s">
        <v>2103</v>
      </c>
      <c r="L4781">
        <v>83825</v>
      </c>
      <c r="M4781" t="s">
        <v>332</v>
      </c>
      <c r="O4781" t="s">
        <v>11</v>
      </c>
      <c r="P4781">
        <v>5102</v>
      </c>
      <c r="Q4781">
        <v>20</v>
      </c>
      <c r="R4781">
        <v>2.64</v>
      </c>
      <c r="S4781">
        <v>52.8</v>
      </c>
      <c r="T4781">
        <v>40.200000000000003</v>
      </c>
      <c r="U4781">
        <v>23.86</v>
      </c>
      <c r="V4781" t="str">
        <f>VLOOKUP(L4781,'[2]tabela de preços'!$A:$D,4,0)</f>
        <v>NORTON</v>
      </c>
      <c r="W4781" t="str">
        <f>VLOOKUP(L4781,'[2]tabela de preços'!$A:$F,6,0)</f>
        <v xml:space="preserve">DISCOS / LIXAS / ABRASIVOS </v>
      </c>
      <c r="X4781" t="str">
        <f>VLOOKUP(L4781,'[2]tabela de preços'!$A:$G,7,0)</f>
        <v>AUTOMOTIVO</v>
      </c>
    </row>
    <row r="4782" spans="1:24" x14ac:dyDescent="0.3">
      <c r="A4782" t="s">
        <v>2100</v>
      </c>
      <c r="C4782" t="s">
        <v>4024</v>
      </c>
      <c r="D4782" s="1">
        <v>46084</v>
      </c>
      <c r="E4782" t="s">
        <v>4025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1788</v>
      </c>
      <c r="K4782" t="s">
        <v>2103</v>
      </c>
      <c r="L4782">
        <v>10236</v>
      </c>
      <c r="M4782" t="s">
        <v>133</v>
      </c>
      <c r="O4782" t="s">
        <v>11</v>
      </c>
      <c r="P4782">
        <v>5102</v>
      </c>
      <c r="Q4782">
        <v>20</v>
      </c>
      <c r="R4782">
        <v>2.79</v>
      </c>
      <c r="S4782">
        <v>55.8</v>
      </c>
      <c r="T4782">
        <v>46.4</v>
      </c>
      <c r="U4782">
        <v>16.850000000000001</v>
      </c>
      <c r="V4782" t="str">
        <f>VLOOKUP(L4782,'[2]tabela de preços'!$A:$D,4,0)</f>
        <v>NORTON</v>
      </c>
      <c r="W4782" t="str">
        <f>VLOOKUP(L4782,'[2]tabela de preços'!$A:$F,6,0)</f>
        <v xml:space="preserve">DISCOS / LIXAS / ABRASIVOS </v>
      </c>
      <c r="X4782" t="str">
        <f>VLOOKUP(L4782,'[2]tabela de preços'!$A:$G,7,0)</f>
        <v>AUTOMOTIVO</v>
      </c>
    </row>
    <row r="4783" spans="1:24" x14ac:dyDescent="0.3">
      <c r="A4783" t="s">
        <v>2100</v>
      </c>
      <c r="C4783" t="s">
        <v>4024</v>
      </c>
      <c r="D4783" s="1">
        <v>46084</v>
      </c>
      <c r="E4783" t="s">
        <v>4025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1788</v>
      </c>
      <c r="K4783" t="s">
        <v>2103</v>
      </c>
      <c r="L4783">
        <v>10226</v>
      </c>
      <c r="M4783" t="s">
        <v>145</v>
      </c>
      <c r="O4783" t="s">
        <v>11</v>
      </c>
      <c r="P4783">
        <v>5102</v>
      </c>
      <c r="Q4783">
        <v>20</v>
      </c>
      <c r="R4783">
        <v>2.79</v>
      </c>
      <c r="S4783">
        <v>55.8</v>
      </c>
      <c r="T4783">
        <v>46.4</v>
      </c>
      <c r="U4783">
        <v>16.850000000000001</v>
      </c>
      <c r="V4783" t="str">
        <f>VLOOKUP(L4783,'[2]tabela de preços'!$A:$D,4,0)</f>
        <v>NORTON</v>
      </c>
      <c r="W4783" t="str">
        <f>VLOOKUP(L4783,'[2]tabela de preços'!$A:$F,6,0)</f>
        <v xml:space="preserve">DISCOS / LIXAS / ABRASIVOS </v>
      </c>
      <c r="X4783" t="str">
        <f>VLOOKUP(L4783,'[2]tabela de preços'!$A:$G,7,0)</f>
        <v>AUTOMOTIVO</v>
      </c>
    </row>
    <row r="4784" spans="1:24" x14ac:dyDescent="0.3">
      <c r="A4784" t="s">
        <v>2100</v>
      </c>
      <c r="C4784" t="s">
        <v>4024</v>
      </c>
      <c r="D4784" s="1">
        <v>46084</v>
      </c>
      <c r="E4784" t="s">
        <v>4025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1788</v>
      </c>
      <c r="K4784" t="s">
        <v>2103</v>
      </c>
      <c r="L4784">
        <v>20135</v>
      </c>
      <c r="M4784" t="s">
        <v>459</v>
      </c>
      <c r="O4784" t="s">
        <v>11</v>
      </c>
      <c r="P4784">
        <v>5102</v>
      </c>
      <c r="Q4784">
        <v>2</v>
      </c>
      <c r="R4784">
        <v>25.37</v>
      </c>
      <c r="S4784">
        <v>50.74</v>
      </c>
      <c r="T4784">
        <v>38.520000000000003</v>
      </c>
      <c r="U4784">
        <v>24.08</v>
      </c>
      <c r="V4784" t="str">
        <f>VLOOKUP(L4784,'[2]tabela de preços'!$A:$D,4,0)</f>
        <v>3M</v>
      </c>
      <c r="W4784" t="str">
        <f>VLOOKUP(L4784,'[2]tabela de preços'!$A:$F,6,0)</f>
        <v>DISCO TRIZACT</v>
      </c>
      <c r="X4784" t="str">
        <f>VLOOKUP(L4784,'[2]tabela de preços'!$A:$G,7,0)</f>
        <v>AUTOMOTIVO</v>
      </c>
    </row>
    <row r="4785" spans="1:24" x14ac:dyDescent="0.3">
      <c r="A4785" t="s">
        <v>2100</v>
      </c>
      <c r="C4785" t="s">
        <v>4024</v>
      </c>
      <c r="D4785" s="1">
        <v>46084</v>
      </c>
      <c r="E4785" t="s">
        <v>4025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1788</v>
      </c>
      <c r="K4785" t="s">
        <v>2103</v>
      </c>
      <c r="L4785">
        <v>9913</v>
      </c>
      <c r="M4785" t="s">
        <v>1510</v>
      </c>
      <c r="O4785" t="s">
        <v>11</v>
      </c>
      <c r="P4785">
        <v>5102</v>
      </c>
      <c r="Q4785">
        <v>3</v>
      </c>
      <c r="R4785">
        <v>5.31</v>
      </c>
      <c r="S4785">
        <v>15.93</v>
      </c>
      <c r="T4785">
        <v>12.09</v>
      </c>
      <c r="U4785">
        <v>24.11</v>
      </c>
      <c r="V4785" t="str">
        <f>VLOOKUP(L4785,'[2]tabela de preços'!$A:$D,4,0)</f>
        <v>WANDA</v>
      </c>
      <c r="W4785" t="str">
        <f>VLOOKUP(L4785,'[2]tabela de preços'!$A:$F,6,0)</f>
        <v>EMBALAGEM</v>
      </c>
      <c r="X4785" t="str">
        <f>VLOOKUP(L4785,'[2]tabela de preços'!$A:$G,7,0)</f>
        <v>AUTOMOTIVO</v>
      </c>
    </row>
    <row r="4786" spans="1:24" x14ac:dyDescent="0.3">
      <c r="A4786" t="s">
        <v>2100</v>
      </c>
      <c r="C4786" t="s">
        <v>4024</v>
      </c>
      <c r="D4786" s="1">
        <v>46084</v>
      </c>
      <c r="E4786" t="s">
        <v>4025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1788</v>
      </c>
      <c r="K4786" t="s">
        <v>2103</v>
      </c>
      <c r="L4786">
        <v>24248</v>
      </c>
      <c r="M4786" t="s">
        <v>107</v>
      </c>
      <c r="O4786" t="s">
        <v>11</v>
      </c>
      <c r="P4786">
        <v>5102</v>
      </c>
      <c r="Q4786">
        <v>8</v>
      </c>
      <c r="R4786">
        <v>8</v>
      </c>
      <c r="S4786">
        <v>64</v>
      </c>
      <c r="T4786">
        <v>52</v>
      </c>
      <c r="U4786">
        <v>18.75</v>
      </c>
      <c r="V4786" t="str">
        <f>VLOOKUP(L4786,'[2]tabela de preços'!$A:$D,4,0)</f>
        <v>SHERWIN WILLIAMS</v>
      </c>
      <c r="W4786" t="str">
        <f>VLOOKUP(L4786,'[2]tabela de preços'!$A:$F,6,0)</f>
        <v>PRIMER AUTOMOTIVO</v>
      </c>
      <c r="X4786" t="str">
        <f>VLOOKUP(L4786,'[2]tabela de preços'!$A:$G,7,0)</f>
        <v>AUTOMOTIVO</v>
      </c>
    </row>
    <row r="4787" spans="1:24" x14ac:dyDescent="0.3">
      <c r="A4787" t="s">
        <v>2100</v>
      </c>
      <c r="C4787" t="s">
        <v>4024</v>
      </c>
      <c r="D4787" s="1">
        <v>46084</v>
      </c>
      <c r="E4787" t="s">
        <v>4025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1788</v>
      </c>
      <c r="K4787" t="s">
        <v>2103</v>
      </c>
      <c r="L4787">
        <v>24240</v>
      </c>
      <c r="M4787" t="s">
        <v>240</v>
      </c>
      <c r="O4787" t="s">
        <v>11</v>
      </c>
      <c r="P4787">
        <v>5102</v>
      </c>
      <c r="Q4787">
        <v>96</v>
      </c>
      <c r="R4787">
        <v>3.81</v>
      </c>
      <c r="S4787">
        <v>365.76</v>
      </c>
      <c r="T4787">
        <v>314.88</v>
      </c>
      <c r="U4787">
        <v>13.91</v>
      </c>
      <c r="V4787" t="str">
        <f>VLOOKUP(L4787,'[2]tabela de preços'!$A:$D,4,0)</f>
        <v>ADERE</v>
      </c>
      <c r="W4787" t="str">
        <f>VLOOKUP(L4787,'[2]tabela de preços'!$A:$F,6,0)</f>
        <v>FITA AUTOMOTIVA</v>
      </c>
      <c r="X4787" t="str">
        <f>VLOOKUP(L4787,'[2]tabela de preços'!$A:$G,7,0)</f>
        <v>AUTOMOTIVO</v>
      </c>
    </row>
    <row r="4788" spans="1:24" x14ac:dyDescent="0.3">
      <c r="A4788" t="s">
        <v>2100</v>
      </c>
      <c r="C4788" t="s">
        <v>4024</v>
      </c>
      <c r="D4788" s="1">
        <v>46084</v>
      </c>
      <c r="E4788" t="s">
        <v>4025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1788</v>
      </c>
      <c r="K4788" t="s">
        <v>2103</v>
      </c>
      <c r="L4788">
        <v>87184</v>
      </c>
      <c r="M4788" t="s">
        <v>3799</v>
      </c>
      <c r="O4788" t="s">
        <v>11</v>
      </c>
      <c r="P4788">
        <v>5102</v>
      </c>
      <c r="Q4788">
        <v>6</v>
      </c>
      <c r="R4788">
        <v>7.49</v>
      </c>
      <c r="S4788">
        <v>44.94</v>
      </c>
      <c r="T4788">
        <v>28.98</v>
      </c>
      <c r="U4788">
        <v>35.51</v>
      </c>
      <c r="V4788" t="str">
        <f>VLOOKUP(L4788,'[2]tabela de preços'!$A:$D,4,0)</f>
        <v>KERS</v>
      </c>
      <c r="W4788" t="str">
        <f>VLOOKUP(L4788,'[2]tabela de preços'!$A:$F,6,0)</f>
        <v>FLANELAS / PANOS</v>
      </c>
      <c r="X4788" t="str">
        <f>VLOOKUP(L4788,'[2]tabela de preços'!$A:$G,7,0)</f>
        <v>AUTOMOTIVO</v>
      </c>
    </row>
    <row r="4789" spans="1:24" x14ac:dyDescent="0.3">
      <c r="A4789" t="s">
        <v>2100</v>
      </c>
      <c r="C4789" t="s">
        <v>4024</v>
      </c>
      <c r="D4789" s="1">
        <v>46084</v>
      </c>
      <c r="E4789" t="s">
        <v>4025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1788</v>
      </c>
      <c r="K4789" t="s">
        <v>2103</v>
      </c>
      <c r="L4789">
        <v>23602</v>
      </c>
      <c r="M4789" t="s">
        <v>215</v>
      </c>
      <c r="O4789" t="s">
        <v>11</v>
      </c>
      <c r="P4789">
        <v>5403</v>
      </c>
      <c r="Q4789">
        <v>15</v>
      </c>
      <c r="R4789">
        <v>35.89</v>
      </c>
      <c r="S4789">
        <v>538.35</v>
      </c>
      <c r="T4789">
        <v>438.75</v>
      </c>
      <c r="U4789">
        <v>18.5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2100</v>
      </c>
      <c r="C4790" t="s">
        <v>4024</v>
      </c>
      <c r="D4790" s="1">
        <v>46084</v>
      </c>
      <c r="E4790" t="s">
        <v>4025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1788</v>
      </c>
      <c r="K4790" t="s">
        <v>2103</v>
      </c>
      <c r="L4790">
        <v>20384</v>
      </c>
      <c r="M4790" t="s">
        <v>648</v>
      </c>
      <c r="O4790" t="s">
        <v>11</v>
      </c>
      <c r="P4790">
        <v>5403</v>
      </c>
      <c r="Q4790">
        <v>6</v>
      </c>
      <c r="R4790">
        <v>32.340000000000003</v>
      </c>
      <c r="S4790">
        <v>194.04</v>
      </c>
      <c r="T4790">
        <v>138.36000000000001</v>
      </c>
      <c r="U4790">
        <v>28.7</v>
      </c>
      <c r="V4790" t="str">
        <f>VLOOKUP(L4790,'[2]tabela de preços'!$A:$D,4,0)</f>
        <v>SHERWIN WILLIAMS</v>
      </c>
      <c r="W4790" t="str">
        <f>VLOOKUP(L4790,'[2]tabela de preços'!$A:$F,6,0)</f>
        <v>TINTAS PU</v>
      </c>
      <c r="X4790" t="str">
        <f>VLOOKUP(L4790,'[2]tabela de preços'!$A:$G,7,0)</f>
        <v>AUTOMOTIVO</v>
      </c>
    </row>
    <row r="4791" spans="1:24" x14ac:dyDescent="0.3">
      <c r="A4791" t="s">
        <v>2100</v>
      </c>
      <c r="C4791" t="s">
        <v>4024</v>
      </c>
      <c r="D4791" s="1">
        <v>46084</v>
      </c>
      <c r="E4791" t="s">
        <v>4025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1788</v>
      </c>
      <c r="K4791" t="s">
        <v>2103</v>
      </c>
      <c r="L4791">
        <v>10238</v>
      </c>
      <c r="M4791" t="s">
        <v>79</v>
      </c>
      <c r="O4791" t="s">
        <v>11</v>
      </c>
      <c r="P4791">
        <v>5102</v>
      </c>
      <c r="Q4791">
        <v>50</v>
      </c>
      <c r="R4791">
        <v>2.79</v>
      </c>
      <c r="S4791">
        <v>139.5</v>
      </c>
      <c r="T4791">
        <v>112</v>
      </c>
      <c r="U4791">
        <v>19.71</v>
      </c>
      <c r="V4791" t="str">
        <f>VLOOKUP(L4791,'[2]tabela de preços'!$A:$D,4,0)</f>
        <v>NORTON</v>
      </c>
      <c r="W4791" t="str">
        <f>VLOOKUP(L4791,'[2]tabela de preços'!$A:$F,6,0)</f>
        <v xml:space="preserve">DISCOS / LIXAS / ABRASIVOS </v>
      </c>
      <c r="X4791" t="str">
        <f>VLOOKUP(L4791,'[2]tabela de preços'!$A:$G,7,0)</f>
        <v>AUTOMOTIVO</v>
      </c>
    </row>
    <row r="4792" spans="1:24" x14ac:dyDescent="0.3">
      <c r="A4792" t="s">
        <v>2100</v>
      </c>
      <c r="C4792" t="s">
        <v>4024</v>
      </c>
      <c r="D4792" s="1">
        <v>46084</v>
      </c>
      <c r="E4792" t="s">
        <v>4025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1788</v>
      </c>
      <c r="K4792" t="s">
        <v>2103</v>
      </c>
      <c r="L4792">
        <v>10242</v>
      </c>
      <c r="M4792" t="s">
        <v>82</v>
      </c>
      <c r="O4792" t="s">
        <v>11</v>
      </c>
      <c r="P4792">
        <v>5102</v>
      </c>
      <c r="Q4792">
        <v>50</v>
      </c>
      <c r="R4792">
        <v>2.79</v>
      </c>
      <c r="S4792">
        <v>139.5</v>
      </c>
      <c r="T4792">
        <v>112</v>
      </c>
      <c r="U4792">
        <v>19.71</v>
      </c>
      <c r="V4792" t="str">
        <f>VLOOKUP(L4792,'[2]tabela de preços'!$A:$D,4,0)</f>
        <v>NORTON</v>
      </c>
      <c r="W4792" t="str">
        <f>VLOOKUP(L4792,'[2]tabela de preços'!$A:$F,6,0)</f>
        <v xml:space="preserve">DISCOS / LIXAS / ABRASIVOS </v>
      </c>
      <c r="X4792" t="str">
        <f>VLOOKUP(L4792,'[2]tabela de preços'!$A:$G,7,0)</f>
        <v>AUTOMOTIVO</v>
      </c>
    </row>
    <row r="4793" spans="1:24" x14ac:dyDescent="0.3">
      <c r="A4793" t="s">
        <v>2100</v>
      </c>
      <c r="C4793" t="s">
        <v>4024</v>
      </c>
      <c r="D4793" s="1">
        <v>46084</v>
      </c>
      <c r="E4793" t="s">
        <v>4025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1788</v>
      </c>
      <c r="K4793" t="s">
        <v>2103</v>
      </c>
      <c r="L4793">
        <v>10243</v>
      </c>
      <c r="M4793" t="s">
        <v>83</v>
      </c>
      <c r="O4793" t="s">
        <v>11</v>
      </c>
      <c r="P4793">
        <v>5102</v>
      </c>
      <c r="Q4793">
        <v>50</v>
      </c>
      <c r="R4793">
        <v>2.79</v>
      </c>
      <c r="S4793">
        <v>139.5</v>
      </c>
      <c r="T4793">
        <v>96.5</v>
      </c>
      <c r="U4793">
        <v>30.82</v>
      </c>
      <c r="V4793" t="str">
        <f>VLOOKUP(L4793,'[2]tabela de preços'!$A:$D,4,0)</f>
        <v>NORTON</v>
      </c>
      <c r="W4793" t="str">
        <f>VLOOKUP(L4793,'[2]tabela de preços'!$A:$F,6,0)</f>
        <v xml:space="preserve">DISCOS / LIXAS / ABRASIVOS </v>
      </c>
      <c r="X4793" t="str">
        <f>VLOOKUP(L4793,'[2]tabela de preços'!$A:$G,7,0)</f>
        <v>AUTOMOTIVO</v>
      </c>
    </row>
    <row r="4794" spans="1:24" x14ac:dyDescent="0.3">
      <c r="A4794" t="s">
        <v>2100</v>
      </c>
      <c r="C4794" t="s">
        <v>4024</v>
      </c>
      <c r="D4794" s="1">
        <v>46084</v>
      </c>
      <c r="E4794" t="s">
        <v>4025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1788</v>
      </c>
      <c r="K4794" t="s">
        <v>2103</v>
      </c>
      <c r="L4794">
        <v>10244</v>
      </c>
      <c r="M4794" t="s">
        <v>84</v>
      </c>
      <c r="O4794" t="s">
        <v>11</v>
      </c>
      <c r="P4794">
        <v>5102</v>
      </c>
      <c r="Q4794">
        <v>50</v>
      </c>
      <c r="R4794">
        <v>2.79</v>
      </c>
      <c r="S4794">
        <v>139.5</v>
      </c>
      <c r="T4794">
        <v>96.5</v>
      </c>
      <c r="U4794">
        <v>30.82</v>
      </c>
      <c r="V4794" t="str">
        <f>VLOOKUP(L4794,'[2]tabela de preços'!$A:$D,4,0)</f>
        <v>NORTON</v>
      </c>
      <c r="W4794" t="str">
        <f>VLOOKUP(L4794,'[2]tabela de preços'!$A:$F,6,0)</f>
        <v xml:space="preserve">DISCOS / LIXAS / ABRASIVOS </v>
      </c>
      <c r="X4794" t="str">
        <f>VLOOKUP(L4794,'[2]tabela de preços'!$A:$G,7,0)</f>
        <v>AUTOMOTIVO</v>
      </c>
    </row>
    <row r="4795" spans="1:24" x14ac:dyDescent="0.3">
      <c r="A4795" t="s">
        <v>2100</v>
      </c>
      <c r="C4795" t="s">
        <v>4024</v>
      </c>
      <c r="D4795" s="1">
        <v>46084</v>
      </c>
      <c r="E4795" t="s">
        <v>4025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1788</v>
      </c>
      <c r="K4795" t="s">
        <v>2103</v>
      </c>
      <c r="L4795">
        <v>10245</v>
      </c>
      <c r="M4795" t="s">
        <v>195</v>
      </c>
      <c r="O4795" t="s">
        <v>11</v>
      </c>
      <c r="P4795">
        <v>5102</v>
      </c>
      <c r="Q4795">
        <v>50</v>
      </c>
      <c r="R4795">
        <v>2.79</v>
      </c>
      <c r="S4795">
        <v>139.5</v>
      </c>
      <c r="T4795">
        <v>96.5</v>
      </c>
      <c r="U4795">
        <v>30.82</v>
      </c>
      <c r="V4795" t="str">
        <f>VLOOKUP(L4795,'[2]tabela de preços'!$A:$D,4,0)</f>
        <v>NORTON</v>
      </c>
      <c r="W4795" t="str">
        <f>VLOOKUP(L4795,'[2]tabela de preços'!$A:$F,6,0)</f>
        <v xml:space="preserve">DISCOS / LIXAS / ABRASIVOS </v>
      </c>
      <c r="X4795" t="str">
        <f>VLOOKUP(L4795,'[2]tabela de preços'!$A:$G,7,0)</f>
        <v>AUTOMOTIVO</v>
      </c>
    </row>
    <row r="4796" spans="1:24" x14ac:dyDescent="0.3">
      <c r="A4796" t="s">
        <v>2100</v>
      </c>
      <c r="C4796" t="s">
        <v>4024</v>
      </c>
      <c r="D4796" s="1">
        <v>46084</v>
      </c>
      <c r="E4796" t="s">
        <v>4025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1788</v>
      </c>
      <c r="K4796" t="s">
        <v>2103</v>
      </c>
      <c r="L4796">
        <v>10246</v>
      </c>
      <c r="M4796" t="s">
        <v>206</v>
      </c>
      <c r="O4796" t="s">
        <v>11</v>
      </c>
      <c r="P4796">
        <v>5102</v>
      </c>
      <c r="Q4796">
        <v>50</v>
      </c>
      <c r="R4796">
        <v>2.79</v>
      </c>
      <c r="S4796">
        <v>139.5</v>
      </c>
      <c r="T4796">
        <v>96.5</v>
      </c>
      <c r="U4796">
        <v>30.82</v>
      </c>
      <c r="V4796" t="str">
        <f>VLOOKUP(L4796,'[2]tabela de preços'!$A:$D,4,0)</f>
        <v>NORTON</v>
      </c>
      <c r="W4796" t="str">
        <f>VLOOKUP(L4796,'[2]tabela de preços'!$A:$F,6,0)</f>
        <v xml:space="preserve">DISCOS / LIXAS / ABRASIVOS </v>
      </c>
      <c r="X4796" t="str">
        <f>VLOOKUP(L4796,'[2]tabela de preços'!$A:$G,7,0)</f>
        <v>AUTOMOTIVO</v>
      </c>
    </row>
    <row r="4797" spans="1:24" x14ac:dyDescent="0.3">
      <c r="A4797" t="s">
        <v>2100</v>
      </c>
      <c r="C4797" t="s">
        <v>4024</v>
      </c>
      <c r="D4797" s="1">
        <v>46084</v>
      </c>
      <c r="E4797" t="s">
        <v>4025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1788</v>
      </c>
      <c r="K4797" t="s">
        <v>2103</v>
      </c>
      <c r="L4797">
        <v>20817</v>
      </c>
      <c r="M4797" t="s">
        <v>153</v>
      </c>
      <c r="O4797" t="s">
        <v>11</v>
      </c>
      <c r="P4797">
        <v>5102</v>
      </c>
      <c r="Q4797">
        <v>4</v>
      </c>
      <c r="R4797">
        <v>22.89</v>
      </c>
      <c r="S4797">
        <v>91.56</v>
      </c>
      <c r="T4797">
        <v>74.48</v>
      </c>
      <c r="U4797">
        <v>18.649999999999999</v>
      </c>
      <c r="V4797" t="str">
        <f>VLOOKUP(L4797,'[2]tabela de preços'!$A:$D,4,0)</f>
        <v>AUTO AMERICA</v>
      </c>
      <c r="W4797" t="str">
        <f>VLOOKUP(L4797,'[2]tabela de preços'!$A:$F,6,0)</f>
        <v>MASSA DE POLIR</v>
      </c>
      <c r="X4797" t="str">
        <f>VLOOKUP(L4797,'[2]tabela de preços'!$A:$G,7,0)</f>
        <v>AUTOMOTIVO</v>
      </c>
    </row>
    <row r="4798" spans="1:24" x14ac:dyDescent="0.3">
      <c r="A4798" t="s">
        <v>2100</v>
      </c>
      <c r="C4798" t="s">
        <v>4024</v>
      </c>
      <c r="D4798" s="1">
        <v>46084</v>
      </c>
      <c r="E4798" t="s">
        <v>4025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1788</v>
      </c>
      <c r="K4798" t="s">
        <v>2103</v>
      </c>
      <c r="L4798">
        <v>20817</v>
      </c>
      <c r="M4798" t="s">
        <v>153</v>
      </c>
      <c r="O4798" t="s">
        <v>11</v>
      </c>
      <c r="P4798">
        <v>5102</v>
      </c>
      <c r="Q4798">
        <v>4</v>
      </c>
      <c r="R4798">
        <v>22.89</v>
      </c>
      <c r="S4798">
        <v>91.56</v>
      </c>
      <c r="T4798">
        <v>74.48</v>
      </c>
      <c r="U4798">
        <v>18.649999999999999</v>
      </c>
      <c r="V4798" t="str">
        <f>VLOOKUP(L4798,'[2]tabela de preços'!$A:$D,4,0)</f>
        <v>AUTO AMERICA</v>
      </c>
      <c r="W4798" t="str">
        <f>VLOOKUP(L4798,'[2]tabela de preços'!$A:$F,6,0)</f>
        <v>MASSA DE POLIR</v>
      </c>
      <c r="X4798" t="str">
        <f>VLOOKUP(L4798,'[2]tabela de preços'!$A:$G,7,0)</f>
        <v>AUTOMOTIVO</v>
      </c>
    </row>
    <row r="4799" spans="1:24" x14ac:dyDescent="0.3">
      <c r="A4799" t="s">
        <v>2100</v>
      </c>
      <c r="C4799" t="s">
        <v>4024</v>
      </c>
      <c r="D4799" s="1">
        <v>46084</v>
      </c>
      <c r="E4799" t="s">
        <v>4025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1788</v>
      </c>
      <c r="K4799" t="s">
        <v>2103</v>
      </c>
      <c r="L4799">
        <v>21077</v>
      </c>
      <c r="M4799" t="s">
        <v>207</v>
      </c>
      <c r="O4799" t="s">
        <v>11</v>
      </c>
      <c r="P4799">
        <v>5102</v>
      </c>
      <c r="Q4799">
        <v>6</v>
      </c>
      <c r="R4799">
        <v>44.68</v>
      </c>
      <c r="S4799">
        <v>268.08</v>
      </c>
      <c r="T4799">
        <v>203.52</v>
      </c>
      <c r="U4799">
        <v>24.08</v>
      </c>
      <c r="V4799" t="str">
        <f>VLOOKUP(L4799,'[2]tabela de preços'!$A:$D,4,0)</f>
        <v>SHERWIN WILLIAMS</v>
      </c>
      <c r="W4799" t="str">
        <f>VLOOKUP(L4799,'[2]tabela de preços'!$A:$F,6,0)</f>
        <v>MASSA POLIÉSTER</v>
      </c>
      <c r="X4799" t="str">
        <f>VLOOKUP(L4799,'[2]tabela de preços'!$A:$G,7,0)</f>
        <v>AUTOMOTIVO</v>
      </c>
    </row>
    <row r="4800" spans="1:24" x14ac:dyDescent="0.3">
      <c r="A4800" t="s">
        <v>2100</v>
      </c>
      <c r="C4800" t="s">
        <v>4024</v>
      </c>
      <c r="D4800" s="1">
        <v>46084</v>
      </c>
      <c r="E4800" t="s">
        <v>4025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1788</v>
      </c>
      <c r="K4800" t="s">
        <v>2103</v>
      </c>
      <c r="L4800">
        <v>87043</v>
      </c>
      <c r="M4800" t="s">
        <v>217</v>
      </c>
      <c r="O4800" t="s">
        <v>11</v>
      </c>
      <c r="P4800">
        <v>5102</v>
      </c>
      <c r="Q4800">
        <v>16</v>
      </c>
      <c r="R4800">
        <v>21.95</v>
      </c>
      <c r="S4800">
        <v>351.2</v>
      </c>
      <c r="T4800">
        <v>288.32</v>
      </c>
      <c r="U4800">
        <v>17.899999999999999</v>
      </c>
      <c r="V4800" t="str">
        <f>VLOOKUP(L4800,'[2]tabela de preços'!$A:$D,4,0)</f>
        <v>ROBERLO</v>
      </c>
      <c r="W4800" t="str">
        <f>VLOOKUP(L4800,'[2]tabela de preços'!$A:$F,6,0)</f>
        <v>MASSA POLIÉSTER</v>
      </c>
      <c r="X4800" t="str">
        <f>VLOOKUP(L4800,'[2]tabela de preços'!$A:$G,7,0)</f>
        <v>AUTOMOTIVO</v>
      </c>
    </row>
    <row r="4801" spans="1:24" x14ac:dyDescent="0.3">
      <c r="A4801" t="s">
        <v>2100</v>
      </c>
      <c r="C4801" t="s">
        <v>4024</v>
      </c>
      <c r="D4801" s="1">
        <v>46084</v>
      </c>
      <c r="E4801" t="s">
        <v>4025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1788</v>
      </c>
      <c r="K4801" t="s">
        <v>2103</v>
      </c>
      <c r="L4801">
        <v>24247</v>
      </c>
      <c r="M4801" t="s">
        <v>160</v>
      </c>
      <c r="O4801" t="s">
        <v>11</v>
      </c>
      <c r="P4801">
        <v>5403</v>
      </c>
      <c r="Q4801">
        <v>8</v>
      </c>
      <c r="R4801">
        <v>21</v>
      </c>
      <c r="S4801">
        <v>168</v>
      </c>
      <c r="T4801">
        <v>134.96</v>
      </c>
      <c r="U4801">
        <v>19.670000000000002</v>
      </c>
      <c r="V4801" t="str">
        <f>VLOOKUP(L4801,'[2]tabela de preços'!$A:$D,4,0)</f>
        <v>SHERWIN WILLIAMS</v>
      </c>
      <c r="W4801" t="str">
        <f>VLOOKUP(L4801,'[2]tabela de preços'!$A:$F,6,0)</f>
        <v>PRIMER AUTOMOTIVO</v>
      </c>
      <c r="X4801" t="str">
        <f>VLOOKUP(L4801,'[2]tabela de preços'!$A:$G,7,0)</f>
        <v>AUTOMOTIVO</v>
      </c>
    </row>
    <row r="4802" spans="1:24" x14ac:dyDescent="0.3">
      <c r="A4802" t="s">
        <v>2100</v>
      </c>
      <c r="C4802" t="s">
        <v>4024</v>
      </c>
      <c r="D4802" s="1">
        <v>46084</v>
      </c>
      <c r="E4802" t="s">
        <v>4025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1788</v>
      </c>
      <c r="K4802" t="s">
        <v>2103</v>
      </c>
      <c r="L4802">
        <v>10402</v>
      </c>
      <c r="M4802" t="s">
        <v>138</v>
      </c>
      <c r="O4802" t="s">
        <v>11</v>
      </c>
      <c r="P4802">
        <v>5102</v>
      </c>
      <c r="Q4802">
        <v>2</v>
      </c>
      <c r="R4802">
        <v>26.21</v>
      </c>
      <c r="S4802">
        <v>52.42</v>
      </c>
      <c r="T4802">
        <v>39.799999999999997</v>
      </c>
      <c r="U4802">
        <v>24.07</v>
      </c>
      <c r="V4802" t="str">
        <f>VLOOKUP(L4802,'[2]tabela de preços'!$A:$D,4,0)</f>
        <v>MAXI RUBBER</v>
      </c>
      <c r="W4802" t="str">
        <f>VLOOKUP(L4802,'[2]tabela de preços'!$A:$F,6,0)</f>
        <v>REMOVEDOR PASTOSO</v>
      </c>
      <c r="X4802" t="str">
        <f>VLOOKUP(L4802,'[2]tabela de preços'!$A:$G,7,0)</f>
        <v>AUTOMOTIVO</v>
      </c>
    </row>
    <row r="4803" spans="1:24" x14ac:dyDescent="0.3">
      <c r="A4803" t="s">
        <v>2100</v>
      </c>
      <c r="C4803" t="s">
        <v>4024</v>
      </c>
      <c r="D4803" s="1">
        <v>46084</v>
      </c>
      <c r="E4803" t="s">
        <v>4025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1788</v>
      </c>
      <c r="K4803" t="s">
        <v>2103</v>
      </c>
      <c r="L4803">
        <v>20264</v>
      </c>
      <c r="M4803" t="s">
        <v>4027</v>
      </c>
      <c r="O4803" t="s">
        <v>11</v>
      </c>
      <c r="P4803">
        <v>5403</v>
      </c>
      <c r="Q4803">
        <v>5</v>
      </c>
      <c r="R4803">
        <v>18.899999999999999</v>
      </c>
      <c r="S4803">
        <v>94.5</v>
      </c>
      <c r="T4803">
        <v>71.7</v>
      </c>
      <c r="U4803">
        <v>24.13</v>
      </c>
      <c r="V4803" t="str">
        <f>VLOOKUP(L4803,'[2]tabela de preços'!$A:$D,4,0)</f>
        <v>MAXI RUBBER</v>
      </c>
      <c r="W4803" t="str">
        <f>VLOOKUP(L4803,'[2]tabela de preços'!$A:$F,6,0)</f>
        <v>SELADORA P/ PLASTICO</v>
      </c>
      <c r="X4803" t="str">
        <f>VLOOKUP(L4803,'[2]tabela de preços'!$A:$G,7,0)</f>
        <v>AUTOMOTIVO</v>
      </c>
    </row>
    <row r="4804" spans="1:24" x14ac:dyDescent="0.3">
      <c r="A4804" t="s">
        <v>2100</v>
      </c>
      <c r="C4804" t="s">
        <v>4024</v>
      </c>
      <c r="D4804" s="1">
        <v>46084</v>
      </c>
      <c r="E4804" t="s">
        <v>4025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1788</v>
      </c>
      <c r="K4804" t="s">
        <v>2103</v>
      </c>
      <c r="L4804">
        <v>20239</v>
      </c>
      <c r="M4804" t="s">
        <v>2847</v>
      </c>
      <c r="O4804" t="s">
        <v>11</v>
      </c>
      <c r="P4804">
        <v>5102</v>
      </c>
      <c r="Q4804">
        <v>3</v>
      </c>
      <c r="R4804">
        <v>27.31</v>
      </c>
      <c r="S4804">
        <v>81.93</v>
      </c>
      <c r="T4804">
        <v>62.19</v>
      </c>
      <c r="U4804">
        <v>24.09</v>
      </c>
      <c r="V4804" t="str">
        <f>VLOOKUP(L4804,'[2]tabela de preços'!$A:$D,4,0)</f>
        <v>SIKA</v>
      </c>
      <c r="W4804" t="str">
        <f>VLOOKUP(L4804,'[2]tabela de preços'!$A:$F,6,0)</f>
        <v>VEDADORES / SELANTES</v>
      </c>
      <c r="X4804" t="str">
        <f>VLOOKUP(L4804,'[2]tabela de preços'!$A:$G,7,0)</f>
        <v>AUTOMOTIVO</v>
      </c>
    </row>
    <row r="4805" spans="1:24" x14ac:dyDescent="0.3">
      <c r="A4805" t="s">
        <v>2100</v>
      </c>
      <c r="C4805" t="s">
        <v>4024</v>
      </c>
      <c r="D4805" s="1">
        <v>46084</v>
      </c>
      <c r="E4805" t="s">
        <v>4025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1788</v>
      </c>
      <c r="K4805" t="s">
        <v>2103</v>
      </c>
      <c r="L4805">
        <v>10298</v>
      </c>
      <c r="M4805" t="s">
        <v>85</v>
      </c>
      <c r="O4805" t="s">
        <v>11</v>
      </c>
      <c r="P4805">
        <v>5102</v>
      </c>
      <c r="Q4805">
        <v>1</v>
      </c>
      <c r="R4805">
        <v>56.89</v>
      </c>
      <c r="S4805">
        <v>56.89</v>
      </c>
      <c r="T4805">
        <v>47.38</v>
      </c>
      <c r="U4805">
        <v>16.72</v>
      </c>
      <c r="V4805" t="str">
        <f>VLOOKUP(L4805,'[2]tabela de preços'!$A:$D,4,0)</f>
        <v>ANJO</v>
      </c>
      <c r="W4805" t="str">
        <f>VLOOKUP(L4805,'[2]tabela de preços'!$A:$F,6,0)</f>
        <v>THINNER DE LIMPEZA</v>
      </c>
      <c r="X4805" t="str">
        <f>VLOOKUP(L4805,'[2]tabela de preços'!$A:$G,7,0)</f>
        <v>THINNER</v>
      </c>
    </row>
    <row r="4806" spans="1:24" x14ac:dyDescent="0.3">
      <c r="A4806" t="s">
        <v>2100</v>
      </c>
      <c r="C4806" t="s">
        <v>4024</v>
      </c>
      <c r="D4806" s="1">
        <v>46084</v>
      </c>
      <c r="E4806" t="s">
        <v>4025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1788</v>
      </c>
      <c r="K4806" t="s">
        <v>2103</v>
      </c>
      <c r="L4806">
        <v>10297</v>
      </c>
      <c r="M4806" t="s">
        <v>41</v>
      </c>
      <c r="O4806" t="s">
        <v>11</v>
      </c>
      <c r="P4806">
        <v>5102</v>
      </c>
      <c r="Q4806">
        <v>20</v>
      </c>
      <c r="R4806">
        <v>10.89</v>
      </c>
      <c r="S4806">
        <v>217.8</v>
      </c>
      <c r="T4806">
        <v>183.4</v>
      </c>
      <c r="U4806">
        <v>15.79</v>
      </c>
      <c r="V4806" t="str">
        <f>VLOOKUP(L4806,'[2]tabela de preços'!$A:$D,4,0)</f>
        <v>ANJO</v>
      </c>
      <c r="W4806" t="str">
        <f>VLOOKUP(L4806,'[2]tabela de preços'!$A:$F,6,0)</f>
        <v>THINNER DE LIMPEZA</v>
      </c>
      <c r="X4806" t="str">
        <f>VLOOKUP(L4806,'[2]tabela de preços'!$A:$G,7,0)</f>
        <v>THINNER</v>
      </c>
    </row>
    <row r="4807" spans="1:24" x14ac:dyDescent="0.3">
      <c r="A4807" t="s">
        <v>2100</v>
      </c>
      <c r="C4807" t="s">
        <v>4024</v>
      </c>
      <c r="D4807" s="1">
        <v>46084</v>
      </c>
      <c r="E4807" t="s">
        <v>4025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1788</v>
      </c>
      <c r="K4807" t="s">
        <v>2103</v>
      </c>
      <c r="L4807">
        <v>84560</v>
      </c>
      <c r="M4807" t="s">
        <v>118</v>
      </c>
      <c r="O4807" t="s">
        <v>11</v>
      </c>
      <c r="P4807">
        <v>5102</v>
      </c>
      <c r="Q4807">
        <v>2</v>
      </c>
      <c r="R4807">
        <v>47.89</v>
      </c>
      <c r="S4807">
        <v>95.78</v>
      </c>
      <c r="T4807">
        <v>82.26</v>
      </c>
      <c r="U4807">
        <v>14.12</v>
      </c>
      <c r="V4807" t="str">
        <f>VLOOKUP(L4807,'[2]tabela de preços'!$A:$D,4,0)</f>
        <v>BRASILUX</v>
      </c>
      <c r="W4807" t="str">
        <f>VLOOKUP(L4807,'[2]tabela de preços'!$A:$F,6,0)</f>
        <v>THINNER DE LIMPEZA</v>
      </c>
      <c r="X4807" t="str">
        <f>VLOOKUP(L4807,'[2]tabela de preços'!$A:$G,7,0)</f>
        <v>THINNER</v>
      </c>
    </row>
    <row r="4808" spans="1:24" x14ac:dyDescent="0.3">
      <c r="A4808" t="s">
        <v>2100</v>
      </c>
      <c r="C4808" t="s">
        <v>4024</v>
      </c>
      <c r="D4808" s="1">
        <v>46084</v>
      </c>
      <c r="E4808" t="s">
        <v>4025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1788</v>
      </c>
      <c r="K4808" t="s">
        <v>2103</v>
      </c>
      <c r="L4808">
        <v>10404</v>
      </c>
      <c r="M4808" t="s">
        <v>130</v>
      </c>
      <c r="O4808" t="s">
        <v>11</v>
      </c>
      <c r="P4808">
        <v>5102</v>
      </c>
      <c r="Q4808">
        <v>6</v>
      </c>
      <c r="R4808">
        <v>16.29</v>
      </c>
      <c r="S4808">
        <v>97.74</v>
      </c>
      <c r="T4808">
        <v>82.5</v>
      </c>
      <c r="U4808">
        <v>15.59</v>
      </c>
      <c r="V4808" t="str">
        <f>VLOOKUP(L4808,'[2]tabela de preços'!$A:$D,4,0)</f>
        <v>MAXI RUBBER</v>
      </c>
      <c r="W4808" t="str">
        <f>VLOOKUP(L4808,'[2]tabela de preços'!$A:$F,6,0)</f>
        <v>VEDADORES / SELANTES</v>
      </c>
      <c r="X4808" t="str">
        <f>VLOOKUP(L4808,'[2]tabela de preços'!$A:$G,7,0)</f>
        <v>AUTOMOTIVO</v>
      </c>
    </row>
    <row r="4809" spans="1:24" x14ac:dyDescent="0.3">
      <c r="A4809" t="s">
        <v>2857</v>
      </c>
      <c r="C4809" t="s">
        <v>4028</v>
      </c>
      <c r="D4809" s="1">
        <v>46084</v>
      </c>
      <c r="E4809" t="s">
        <v>4029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730</v>
      </c>
      <c r="K4809" t="s">
        <v>2860</v>
      </c>
      <c r="L4809">
        <v>84248</v>
      </c>
      <c r="M4809" t="s">
        <v>4030</v>
      </c>
      <c r="O4809" t="s">
        <v>11</v>
      </c>
      <c r="P4809">
        <v>5403</v>
      </c>
      <c r="Q4809">
        <v>2</v>
      </c>
      <c r="R4809">
        <v>112.9</v>
      </c>
      <c r="S4809">
        <v>225.8</v>
      </c>
      <c r="T4809">
        <v>196.94</v>
      </c>
      <c r="U4809">
        <v>12.78</v>
      </c>
      <c r="V4809" t="str">
        <f>VLOOKUP(L4809,'[2]tabela de preços'!$A:$D,4,0)</f>
        <v>BRASILUX</v>
      </c>
      <c r="W4809" t="str">
        <f>VLOOKUP(L4809,'[2]tabela de preços'!$A:$F,6,0)</f>
        <v>TINTA PAREDE</v>
      </c>
      <c r="X4809" t="str">
        <f>VLOOKUP(L4809,'[2]tabela de preços'!$A:$G,7,0)</f>
        <v>IMOBILIÁRIO</v>
      </c>
    </row>
    <row r="4810" spans="1:24" x14ac:dyDescent="0.3">
      <c r="A4810" t="s">
        <v>2857</v>
      </c>
      <c r="C4810" t="s">
        <v>4028</v>
      </c>
      <c r="D4810" s="1">
        <v>46084</v>
      </c>
      <c r="E4810" t="s">
        <v>4029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730</v>
      </c>
      <c r="K4810" t="s">
        <v>2860</v>
      </c>
      <c r="L4810">
        <v>85339</v>
      </c>
      <c r="M4810" t="s">
        <v>1410</v>
      </c>
      <c r="O4810" t="s">
        <v>11</v>
      </c>
      <c r="P4810">
        <v>5403</v>
      </c>
      <c r="Q4810">
        <v>8</v>
      </c>
      <c r="R4810">
        <v>59.9</v>
      </c>
      <c r="S4810">
        <v>479.2</v>
      </c>
      <c r="T4810">
        <v>393.6</v>
      </c>
      <c r="U4810">
        <v>17.86</v>
      </c>
      <c r="V4810" t="str">
        <f>VLOOKUP(L4810,'[2]tabela de preços'!$A:$D,4,0)</f>
        <v>DÁVILA  INOVE</v>
      </c>
      <c r="W4810" t="str">
        <f>VLOOKUP(L4810,'[2]tabela de preços'!$A:$F,6,0)</f>
        <v>TEXTURA</v>
      </c>
      <c r="X4810" t="str">
        <f>VLOOKUP(L4810,'[2]tabela de preços'!$A:$G,7,0)</f>
        <v>IMOBILIÁRIO</v>
      </c>
    </row>
    <row r="4811" spans="1:24" x14ac:dyDescent="0.3">
      <c r="A4811" t="s">
        <v>2136</v>
      </c>
      <c r="C4811" t="s">
        <v>4031</v>
      </c>
      <c r="D4811" s="1">
        <v>46084</v>
      </c>
      <c r="E4811" t="s">
        <v>4032</v>
      </c>
      <c r="F4811">
        <v>9</v>
      </c>
      <c r="G4811">
        <v>145</v>
      </c>
      <c r="H4811" t="str">
        <f>VLOOKUP(G4811,[1]OPERADORES!$A:$B,2,0)</f>
        <v xml:space="preserve">FABRICIA </v>
      </c>
      <c r="I4811" t="s">
        <v>21</v>
      </c>
      <c r="J4811" t="s">
        <v>450</v>
      </c>
      <c r="K4811" t="s">
        <v>2139</v>
      </c>
      <c r="L4811">
        <v>10298</v>
      </c>
      <c r="M4811" t="s">
        <v>85</v>
      </c>
      <c r="O4811" t="s">
        <v>11</v>
      </c>
      <c r="P4811">
        <v>5102</v>
      </c>
      <c r="Q4811">
        <v>4</v>
      </c>
      <c r="R4811">
        <v>56.89</v>
      </c>
      <c r="S4811">
        <v>227.56</v>
      </c>
      <c r="T4811">
        <v>189.52</v>
      </c>
      <c r="U4811">
        <v>16.72</v>
      </c>
      <c r="V4811" t="str">
        <f>VLOOKUP(L4811,'[2]tabela de preços'!$A:$D,4,0)</f>
        <v>ANJO</v>
      </c>
      <c r="W4811" t="str">
        <f>VLOOKUP(L4811,'[2]tabela de preços'!$A:$F,6,0)</f>
        <v>THINNER DE LIMPEZA</v>
      </c>
      <c r="X4811" t="str">
        <f>VLOOKUP(L4811,'[2]tabela de preços'!$A:$G,7,0)</f>
        <v>THINNER</v>
      </c>
    </row>
    <row r="4812" spans="1:24" x14ac:dyDescent="0.3">
      <c r="A4812" t="s">
        <v>2155</v>
      </c>
      <c r="C4812" t="s">
        <v>4033</v>
      </c>
      <c r="D4812" s="1">
        <v>46083</v>
      </c>
      <c r="E4812" t="s">
        <v>4034</v>
      </c>
      <c r="F4812">
        <v>9</v>
      </c>
      <c r="G4812">
        <v>174</v>
      </c>
      <c r="H4812" t="str">
        <f>VLOOKUP(G4812,[1]OPERADORES!$A:$B,2,0)</f>
        <v>MIRIÃ LOBATO RODRIGUES</v>
      </c>
      <c r="I4812" t="s">
        <v>21</v>
      </c>
      <c r="J4812" t="s">
        <v>66</v>
      </c>
      <c r="K4812" t="s">
        <v>2158</v>
      </c>
      <c r="L4812">
        <v>10238</v>
      </c>
      <c r="M4812" t="s">
        <v>79</v>
      </c>
      <c r="O4812" t="s">
        <v>11</v>
      </c>
      <c r="P4812">
        <v>5102</v>
      </c>
      <c r="Q4812">
        <v>100</v>
      </c>
      <c r="R4812">
        <v>2.79</v>
      </c>
      <c r="S4812">
        <v>279</v>
      </c>
      <c r="T4812">
        <v>224</v>
      </c>
      <c r="U4812">
        <v>19.71</v>
      </c>
      <c r="V4812" t="str">
        <f>VLOOKUP(L4812,'[2]tabela de preços'!$A:$D,4,0)</f>
        <v>NORTON</v>
      </c>
      <c r="W4812" t="str">
        <f>VLOOKUP(L4812,'[2]tabela de preços'!$A:$F,6,0)</f>
        <v xml:space="preserve">DISCOS / LIXAS / ABRASIVOS </v>
      </c>
      <c r="X4812" t="str">
        <f>VLOOKUP(L4812,'[2]tabela de preços'!$A:$G,7,0)</f>
        <v>AUTOMOTIVO</v>
      </c>
    </row>
    <row r="4813" spans="1:24" x14ac:dyDescent="0.3">
      <c r="A4813" t="s">
        <v>2155</v>
      </c>
      <c r="C4813" t="s">
        <v>4033</v>
      </c>
      <c r="D4813" s="1">
        <v>46083</v>
      </c>
      <c r="E4813" t="s">
        <v>4034</v>
      </c>
      <c r="F4813">
        <v>9</v>
      </c>
      <c r="G4813">
        <v>174</v>
      </c>
      <c r="H4813" t="str">
        <f>VLOOKUP(G4813,[1]OPERADORES!$A:$B,2,0)</f>
        <v>MIRIÃ LOBATO RODRIGUES</v>
      </c>
      <c r="I4813" t="s">
        <v>21</v>
      </c>
      <c r="J4813" t="s">
        <v>66</v>
      </c>
      <c r="K4813" t="s">
        <v>2158</v>
      </c>
      <c r="L4813">
        <v>10240</v>
      </c>
      <c r="M4813" t="s">
        <v>81</v>
      </c>
      <c r="O4813" t="s">
        <v>11</v>
      </c>
      <c r="P4813">
        <v>5102</v>
      </c>
      <c r="Q4813">
        <v>100</v>
      </c>
      <c r="R4813">
        <v>2.79</v>
      </c>
      <c r="S4813">
        <v>279</v>
      </c>
      <c r="T4813">
        <v>224</v>
      </c>
      <c r="U4813">
        <v>19.71</v>
      </c>
      <c r="V4813" t="str">
        <f>VLOOKUP(L4813,'[2]tabela de preços'!$A:$D,4,0)</f>
        <v>NORTON</v>
      </c>
      <c r="W4813" t="str">
        <f>VLOOKUP(L4813,'[2]tabela de preços'!$A:$F,6,0)</f>
        <v xml:space="preserve">DISCOS / LIXAS / ABRASIVOS </v>
      </c>
      <c r="X4813" t="str">
        <f>VLOOKUP(L4813,'[2]tabela de preços'!$A:$G,7,0)</f>
        <v>AUTOMOTIVO</v>
      </c>
    </row>
    <row r="4814" spans="1:24" x14ac:dyDescent="0.3">
      <c r="A4814" t="s">
        <v>2155</v>
      </c>
      <c r="C4814" t="s">
        <v>4033</v>
      </c>
      <c r="D4814" s="1">
        <v>46083</v>
      </c>
      <c r="E4814" t="s">
        <v>4034</v>
      </c>
      <c r="F4814">
        <v>9</v>
      </c>
      <c r="G4814">
        <v>174</v>
      </c>
      <c r="H4814" t="str">
        <f>VLOOKUP(G4814,[1]OPERADORES!$A:$B,2,0)</f>
        <v>MIRIÃ LOBATO RODRIGUES</v>
      </c>
      <c r="I4814" t="s">
        <v>21</v>
      </c>
      <c r="J4814" t="s">
        <v>66</v>
      </c>
      <c r="K4814" t="s">
        <v>2158</v>
      </c>
      <c r="L4814">
        <v>10245</v>
      </c>
      <c r="M4814" t="s">
        <v>195</v>
      </c>
      <c r="O4814" t="s">
        <v>11</v>
      </c>
      <c r="P4814">
        <v>5102</v>
      </c>
      <c r="Q4814">
        <v>150</v>
      </c>
      <c r="R4814">
        <v>2.79</v>
      </c>
      <c r="S4814">
        <v>418.5</v>
      </c>
      <c r="T4814">
        <v>289.5</v>
      </c>
      <c r="U4814">
        <v>30.82</v>
      </c>
      <c r="V4814" t="str">
        <f>VLOOKUP(L4814,'[2]tabela de preços'!$A:$D,4,0)</f>
        <v>NORTON</v>
      </c>
      <c r="W4814" t="str">
        <f>VLOOKUP(L4814,'[2]tabela de preços'!$A:$F,6,0)</f>
        <v xml:space="preserve">DISCOS / LIXAS / ABRASIVOS </v>
      </c>
      <c r="X4814" t="str">
        <f>VLOOKUP(L4814,'[2]tabela de preços'!$A:$G,7,0)</f>
        <v>AUTOMOTIVO</v>
      </c>
    </row>
    <row r="4815" spans="1:24" x14ac:dyDescent="0.3">
      <c r="A4815" t="s">
        <v>2155</v>
      </c>
      <c r="C4815" t="s">
        <v>4033</v>
      </c>
      <c r="D4815" s="1">
        <v>46083</v>
      </c>
      <c r="E4815" t="s">
        <v>4034</v>
      </c>
      <c r="F4815">
        <v>9</v>
      </c>
      <c r="G4815">
        <v>174</v>
      </c>
      <c r="H4815" t="str">
        <f>VLOOKUP(G4815,[1]OPERADORES!$A:$B,2,0)</f>
        <v>MIRIÃ LOBATO RODRIGUES</v>
      </c>
      <c r="I4815" t="s">
        <v>21</v>
      </c>
      <c r="J4815" t="s">
        <v>66</v>
      </c>
      <c r="K4815" t="s">
        <v>2158</v>
      </c>
      <c r="L4815">
        <v>10246</v>
      </c>
      <c r="M4815" t="s">
        <v>206</v>
      </c>
      <c r="O4815" t="s">
        <v>11</v>
      </c>
      <c r="P4815">
        <v>5102</v>
      </c>
      <c r="Q4815">
        <v>150</v>
      </c>
      <c r="R4815">
        <v>2.79</v>
      </c>
      <c r="S4815">
        <v>418.5</v>
      </c>
      <c r="T4815">
        <v>289.5</v>
      </c>
      <c r="U4815">
        <v>30.82</v>
      </c>
      <c r="V4815" t="str">
        <f>VLOOKUP(L4815,'[2]tabela de preços'!$A:$D,4,0)</f>
        <v>NORTON</v>
      </c>
      <c r="W4815" t="str">
        <f>VLOOKUP(L4815,'[2]tabela de preços'!$A:$F,6,0)</f>
        <v xml:space="preserve">DISCOS / LIXAS / ABRASIVOS </v>
      </c>
      <c r="X4815" t="str">
        <f>VLOOKUP(L4815,'[2]tabela de preços'!$A:$G,7,0)</f>
        <v>AUTOMOTIVO</v>
      </c>
    </row>
    <row r="4816" spans="1:24" x14ac:dyDescent="0.3">
      <c r="A4816" t="s">
        <v>2164</v>
      </c>
      <c r="C4816" t="s">
        <v>4035</v>
      </c>
      <c r="D4816" s="1">
        <v>46083</v>
      </c>
      <c r="E4816" t="s">
        <v>4036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2167</v>
      </c>
      <c r="K4816" t="s">
        <v>2168</v>
      </c>
      <c r="L4816">
        <v>85318</v>
      </c>
      <c r="M4816" t="s">
        <v>258</v>
      </c>
      <c r="O4816" t="s">
        <v>11</v>
      </c>
      <c r="P4816">
        <v>5102</v>
      </c>
      <c r="Q4816">
        <v>1</v>
      </c>
      <c r="R4816">
        <v>819</v>
      </c>
      <c r="S4816">
        <v>819</v>
      </c>
      <c r="T4816">
        <v>583.96</v>
      </c>
      <c r="U4816">
        <v>28.7</v>
      </c>
      <c r="V4816" t="str">
        <f>VLOOKUP(L4816,'[2]tabela de preços'!$A:$D,4,0)</f>
        <v>BRASILUX</v>
      </c>
      <c r="W4816" t="str">
        <f>VLOOKUP(L4816,'[2]tabela de preços'!$A:$F,6,0)</f>
        <v>TINTA EM PÓ</v>
      </c>
      <c r="X4816" t="str">
        <f>VLOOKUP(L4816,'[2]tabela de preços'!$A:$G,7,0)</f>
        <v>INDUSTRIAL</v>
      </c>
    </row>
    <row r="4817" spans="1:24" x14ac:dyDescent="0.3">
      <c r="A4817" t="s">
        <v>2164</v>
      </c>
      <c r="C4817" t="s">
        <v>4037</v>
      </c>
      <c r="D4817" s="1">
        <v>46084</v>
      </c>
      <c r="E4817" t="s">
        <v>4038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2167</v>
      </c>
      <c r="K4817" t="s">
        <v>2168</v>
      </c>
      <c r="L4817">
        <v>84043</v>
      </c>
      <c r="M4817" t="s">
        <v>738</v>
      </c>
      <c r="O4817" t="s">
        <v>11</v>
      </c>
      <c r="P4817">
        <v>5102</v>
      </c>
      <c r="Q4817">
        <v>2</v>
      </c>
      <c r="R4817">
        <v>70.69</v>
      </c>
      <c r="S4817">
        <v>141.38</v>
      </c>
      <c r="T4817">
        <v>107.3</v>
      </c>
      <c r="U4817">
        <v>24.11</v>
      </c>
      <c r="V4817" t="str">
        <f>VLOOKUP(L4817,'[2]tabela de preços'!$A:$D,4,0)</f>
        <v>BRASILUX</v>
      </c>
      <c r="W4817" t="str">
        <f>VLOOKUP(L4817,'[2]tabela de preços'!$A:$F,6,0)</f>
        <v>REMOVEDOR PASTOSO</v>
      </c>
      <c r="X4817" t="str">
        <f>VLOOKUP(L4817,'[2]tabela de preços'!$A:$G,7,0)</f>
        <v>AUTOMOTIVO</v>
      </c>
    </row>
    <row r="4818" spans="1:24" x14ac:dyDescent="0.3">
      <c r="A4818" t="s">
        <v>2231</v>
      </c>
      <c r="C4818" t="s">
        <v>4039</v>
      </c>
      <c r="D4818" s="1">
        <v>46083</v>
      </c>
      <c r="E4818" t="s">
        <v>4040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494</v>
      </c>
      <c r="K4818" t="s">
        <v>2234</v>
      </c>
      <c r="L4818">
        <v>84344</v>
      </c>
      <c r="M4818" t="s">
        <v>1000</v>
      </c>
      <c r="O4818" t="s">
        <v>11</v>
      </c>
      <c r="P4818">
        <v>5403</v>
      </c>
      <c r="Q4818">
        <v>4</v>
      </c>
      <c r="R4818">
        <v>59.98</v>
      </c>
      <c r="S4818">
        <v>239.92</v>
      </c>
      <c r="T4818">
        <v>198.64</v>
      </c>
      <c r="U4818">
        <v>17.21</v>
      </c>
      <c r="V4818" t="str">
        <f>VLOOKUP(L4818,'[2]tabela de preços'!$A:$D,4,0)</f>
        <v>BRASILUX</v>
      </c>
      <c r="W4818" t="str">
        <f>VLOOKUP(L4818,'[2]tabela de preços'!$A:$F,6,0)</f>
        <v>ESMALTES</v>
      </c>
      <c r="X4818" t="str">
        <f>VLOOKUP(L4818,'[2]tabela de preços'!$A:$G,7,0)</f>
        <v>INDUSTRIAL</v>
      </c>
    </row>
    <row r="4819" spans="1:24" x14ac:dyDescent="0.3">
      <c r="A4819" t="s">
        <v>2236</v>
      </c>
      <c r="B4819" t="s">
        <v>2237</v>
      </c>
      <c r="C4819" t="s">
        <v>4041</v>
      </c>
      <c r="D4819" s="1">
        <v>46084</v>
      </c>
      <c r="E4819" t="s">
        <v>4042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2240</v>
      </c>
      <c r="K4819" t="s">
        <v>2241</v>
      </c>
      <c r="L4819">
        <v>21860</v>
      </c>
      <c r="M4819" t="s">
        <v>2038</v>
      </c>
      <c r="O4819" t="s">
        <v>11</v>
      </c>
      <c r="P4819">
        <v>5403</v>
      </c>
      <c r="Q4819">
        <v>2</v>
      </c>
      <c r="R4819">
        <v>63.48</v>
      </c>
      <c r="S4819">
        <v>126.96</v>
      </c>
      <c r="T4819">
        <v>93.08</v>
      </c>
      <c r="U4819">
        <v>26.69</v>
      </c>
      <c r="V4819" t="str">
        <f>VLOOKUP(L4819,'[2]tabela de preços'!$A:$D,4,0)</f>
        <v>SIKKENS</v>
      </c>
      <c r="W4819" t="str">
        <f>VLOOKUP(L4819,'[2]tabela de preços'!$A:$F,6,0)</f>
        <v>VERNIZ AUTOMOTIVO</v>
      </c>
      <c r="X4819" t="str">
        <f>VLOOKUP(L4819,'[2]tabela de preços'!$A:$G,7,0)</f>
        <v>AUTOMOTIVO</v>
      </c>
    </row>
    <row r="4820" spans="1:24" x14ac:dyDescent="0.3">
      <c r="A4820" t="s">
        <v>2236</v>
      </c>
      <c r="B4820" t="s">
        <v>2237</v>
      </c>
      <c r="C4820" t="s">
        <v>4041</v>
      </c>
      <c r="D4820" s="1">
        <v>46084</v>
      </c>
      <c r="E4820" t="s">
        <v>4042</v>
      </c>
      <c r="F4820">
        <v>9</v>
      </c>
      <c r="G4820">
        <v>236</v>
      </c>
      <c r="H4820" t="str">
        <f>VLOOKUP(G4820,[1]OPERADORES!$A:$B,2,0)</f>
        <v>DANIEL</v>
      </c>
      <c r="I4820" t="s">
        <v>21</v>
      </c>
      <c r="J4820" t="s">
        <v>2240</v>
      </c>
      <c r="K4820" t="s">
        <v>2241</v>
      </c>
      <c r="L4820">
        <v>20099</v>
      </c>
      <c r="M4820" t="s">
        <v>1308</v>
      </c>
      <c r="O4820" t="s">
        <v>11</v>
      </c>
      <c r="P4820">
        <v>5403</v>
      </c>
      <c r="Q4820">
        <v>2</v>
      </c>
      <c r="R4820">
        <v>16.239999999999998</v>
      </c>
      <c r="S4820">
        <v>32.479999999999997</v>
      </c>
      <c r="T4820">
        <v>23.82</v>
      </c>
      <c r="U4820">
        <v>26.66</v>
      </c>
      <c r="V4820" t="str">
        <f>VLOOKUP(L4820,'[2]tabela de preços'!$A:$D,4,0)</f>
        <v>MAXI RUBBER</v>
      </c>
      <c r="W4820" t="str">
        <f>VLOOKUP(L4820,'[2]tabela de preços'!$A:$F,6,0)</f>
        <v>BATIDA DE PEDRA</v>
      </c>
      <c r="X4820" t="str">
        <f>VLOOKUP(L4820,'[2]tabela de preços'!$A:$G,7,0)</f>
        <v>AUTOMOTIVO</v>
      </c>
    </row>
    <row r="4821" spans="1:24" x14ac:dyDescent="0.3">
      <c r="A4821" t="s">
        <v>2236</v>
      </c>
      <c r="B4821" t="s">
        <v>2237</v>
      </c>
      <c r="C4821" t="s">
        <v>4041</v>
      </c>
      <c r="D4821" s="1">
        <v>46084</v>
      </c>
      <c r="E4821" t="s">
        <v>4042</v>
      </c>
      <c r="F4821">
        <v>9</v>
      </c>
      <c r="G4821">
        <v>236</v>
      </c>
      <c r="H4821" t="str">
        <f>VLOOKUP(G4821,[1]OPERADORES!$A:$B,2,0)</f>
        <v>DANIEL</v>
      </c>
      <c r="I4821" t="s">
        <v>21</v>
      </c>
      <c r="J4821" t="s">
        <v>2240</v>
      </c>
      <c r="K4821" t="s">
        <v>2241</v>
      </c>
      <c r="L4821">
        <v>23714</v>
      </c>
      <c r="M4821" t="s">
        <v>213</v>
      </c>
      <c r="O4821" t="s">
        <v>11</v>
      </c>
      <c r="P4821">
        <v>5102</v>
      </c>
      <c r="Q4821">
        <v>2</v>
      </c>
      <c r="R4821">
        <v>43.1</v>
      </c>
      <c r="S4821">
        <v>86.2</v>
      </c>
      <c r="T4821">
        <v>61.8</v>
      </c>
      <c r="U4821">
        <v>28.31</v>
      </c>
      <c r="V4821" t="str">
        <f>VLOOKUP(L4821,'[2]tabela de preços'!$A:$D,4,0)</f>
        <v>NEW PAD</v>
      </c>
      <c r="W4821" t="str">
        <f>VLOOKUP(L4821,'[2]tabela de preços'!$A:$F,6,0)</f>
        <v>BOINAS PARA POLIMENTO</v>
      </c>
      <c r="X4821" t="str">
        <f>VLOOKUP(L4821,'[2]tabela de preços'!$A:$G,7,0)</f>
        <v>AUTOMOTIVO</v>
      </c>
    </row>
    <row r="4822" spans="1:24" x14ac:dyDescent="0.3">
      <c r="A4822" t="s">
        <v>2236</v>
      </c>
      <c r="B4822" t="s">
        <v>2237</v>
      </c>
      <c r="C4822" t="s">
        <v>4041</v>
      </c>
      <c r="D4822" s="1">
        <v>46084</v>
      </c>
      <c r="E4822" t="s">
        <v>4042</v>
      </c>
      <c r="F4822">
        <v>9</v>
      </c>
      <c r="G4822">
        <v>236</v>
      </c>
      <c r="H4822" t="str">
        <f>VLOOKUP(G4822,[1]OPERADORES!$A:$B,2,0)</f>
        <v>DANIEL</v>
      </c>
      <c r="I4822" t="s">
        <v>21</v>
      </c>
      <c r="J4822" t="s">
        <v>2240</v>
      </c>
      <c r="K4822" t="s">
        <v>2241</v>
      </c>
      <c r="L4822">
        <v>84543</v>
      </c>
      <c r="M4822" t="s">
        <v>2671</v>
      </c>
      <c r="O4822" t="s">
        <v>11</v>
      </c>
      <c r="P4822">
        <v>5102</v>
      </c>
      <c r="Q4822">
        <v>1</v>
      </c>
      <c r="R4822">
        <v>81.87</v>
      </c>
      <c r="S4822">
        <v>81.87</v>
      </c>
      <c r="T4822">
        <v>62.14</v>
      </c>
      <c r="U4822">
        <v>24.1</v>
      </c>
      <c r="V4822" t="str">
        <f>VLOOKUP(L4822,'[2]tabela de preços'!$A:$D,4,0)</f>
        <v>VONIXX</v>
      </c>
      <c r="W4822" t="str">
        <f>VLOOKUP(L4822,'[2]tabela de preços'!$A:$F,6,0)</f>
        <v>LINHA DE HIGENIZAÇÃO E ESTÉTICA  AUTOMOTIVA</v>
      </c>
      <c r="X4822" t="str">
        <f>VLOOKUP(L4822,'[2]tabela de preços'!$A:$G,7,0)</f>
        <v>AUTOMOTIVO</v>
      </c>
    </row>
    <row r="4823" spans="1:24" x14ac:dyDescent="0.3">
      <c r="A4823" t="s">
        <v>2236</v>
      </c>
      <c r="B4823" t="s">
        <v>2237</v>
      </c>
      <c r="C4823" t="s">
        <v>4041</v>
      </c>
      <c r="D4823" s="1">
        <v>46084</v>
      </c>
      <c r="E4823" t="s">
        <v>4042</v>
      </c>
      <c r="F4823">
        <v>9</v>
      </c>
      <c r="G4823">
        <v>236</v>
      </c>
      <c r="H4823" t="str">
        <f>VLOOKUP(G4823,[1]OPERADORES!$A:$B,2,0)</f>
        <v>DANIEL</v>
      </c>
      <c r="I4823" t="s">
        <v>21</v>
      </c>
      <c r="J4823" t="s">
        <v>2240</v>
      </c>
      <c r="K4823" t="s">
        <v>2241</v>
      </c>
      <c r="L4823">
        <v>20135</v>
      </c>
      <c r="M4823" t="s">
        <v>459</v>
      </c>
      <c r="O4823" t="s">
        <v>11</v>
      </c>
      <c r="P4823">
        <v>5102</v>
      </c>
      <c r="Q4823">
        <v>2</v>
      </c>
      <c r="R4823">
        <v>29.85</v>
      </c>
      <c r="S4823">
        <v>59.7</v>
      </c>
      <c r="T4823">
        <v>38.520000000000003</v>
      </c>
      <c r="U4823">
        <v>35.479999999999997</v>
      </c>
      <c r="V4823" t="str">
        <f>VLOOKUP(L4823,'[2]tabela de preços'!$A:$D,4,0)</f>
        <v>3M</v>
      </c>
      <c r="W4823" t="str">
        <f>VLOOKUP(L4823,'[2]tabela de preços'!$A:$F,6,0)</f>
        <v>DISCO TRIZACT</v>
      </c>
      <c r="X4823" t="str">
        <f>VLOOKUP(L4823,'[2]tabela de preços'!$A:$G,7,0)</f>
        <v>AUTOMOTIVO</v>
      </c>
    </row>
    <row r="4824" spans="1:24" x14ac:dyDescent="0.3">
      <c r="A4824" t="s">
        <v>2236</v>
      </c>
      <c r="B4824" t="s">
        <v>2237</v>
      </c>
      <c r="C4824" t="s">
        <v>4041</v>
      </c>
      <c r="D4824" s="1">
        <v>46084</v>
      </c>
      <c r="E4824" t="s">
        <v>4042</v>
      </c>
      <c r="F4824">
        <v>9</v>
      </c>
      <c r="G4824">
        <v>236</v>
      </c>
      <c r="H4824" t="str">
        <f>VLOOKUP(G4824,[1]OPERADORES!$A:$B,2,0)</f>
        <v>DANIEL</v>
      </c>
      <c r="I4824" t="s">
        <v>21</v>
      </c>
      <c r="J4824" t="s">
        <v>2240</v>
      </c>
      <c r="K4824" t="s">
        <v>2241</v>
      </c>
      <c r="L4824">
        <v>24248</v>
      </c>
      <c r="M4824" t="s">
        <v>107</v>
      </c>
      <c r="O4824" t="s">
        <v>11</v>
      </c>
      <c r="P4824">
        <v>5102</v>
      </c>
      <c r="Q4824">
        <v>6</v>
      </c>
      <c r="R4824">
        <v>8</v>
      </c>
      <c r="S4824">
        <v>48</v>
      </c>
      <c r="T4824">
        <v>39</v>
      </c>
      <c r="U4824">
        <v>18.75</v>
      </c>
      <c r="V4824" t="str">
        <f>VLOOKUP(L4824,'[2]tabela de preços'!$A:$D,4,0)</f>
        <v>SHERWIN WILLIAMS</v>
      </c>
      <c r="W4824" t="str">
        <f>VLOOKUP(L4824,'[2]tabela de preços'!$A:$F,6,0)</f>
        <v>PRIMER AUTOMOTIVO</v>
      </c>
      <c r="X4824" t="str">
        <f>VLOOKUP(L4824,'[2]tabela de preços'!$A:$G,7,0)</f>
        <v>AUTOMOTIVO</v>
      </c>
    </row>
    <row r="4825" spans="1:24" x14ac:dyDescent="0.3">
      <c r="A4825" t="s">
        <v>2236</v>
      </c>
      <c r="B4825" t="s">
        <v>2237</v>
      </c>
      <c r="C4825" t="s">
        <v>4041</v>
      </c>
      <c r="D4825" s="1">
        <v>46084</v>
      </c>
      <c r="E4825" t="s">
        <v>4042</v>
      </c>
      <c r="F4825">
        <v>9</v>
      </c>
      <c r="G4825">
        <v>236</v>
      </c>
      <c r="H4825" t="str">
        <f>VLOOKUP(G4825,[1]OPERADORES!$A:$B,2,0)</f>
        <v>DANIEL</v>
      </c>
      <c r="I4825" t="s">
        <v>21</v>
      </c>
      <c r="J4825" t="s">
        <v>2240</v>
      </c>
      <c r="K4825" t="s">
        <v>2241</v>
      </c>
      <c r="L4825">
        <v>21859</v>
      </c>
      <c r="M4825" t="s">
        <v>2245</v>
      </c>
      <c r="O4825" t="s">
        <v>11</v>
      </c>
      <c r="P4825">
        <v>5102</v>
      </c>
      <c r="Q4825">
        <v>4</v>
      </c>
      <c r="R4825">
        <v>26.23</v>
      </c>
      <c r="S4825">
        <v>104.92</v>
      </c>
      <c r="T4825">
        <v>76.92</v>
      </c>
      <c r="U4825">
        <v>26.69</v>
      </c>
      <c r="V4825" t="str">
        <f>VLOOKUP(L4825,'[2]tabela de preços'!$A:$D,4,0)</f>
        <v>SIKKENS</v>
      </c>
      <c r="W4825" t="str">
        <f>VLOOKUP(L4825,'[2]tabela de preços'!$A:$F,6,0)</f>
        <v>CATALISADORES INDIVIDUAS</v>
      </c>
      <c r="X4825" t="str">
        <f>VLOOKUP(L4825,'[2]tabela de preços'!$A:$G,7,0)</f>
        <v>AUTOMOTIVO</v>
      </c>
    </row>
    <row r="4826" spans="1:24" x14ac:dyDescent="0.3">
      <c r="A4826" t="s">
        <v>2236</v>
      </c>
      <c r="B4826" t="s">
        <v>2237</v>
      </c>
      <c r="C4826" t="s">
        <v>4041</v>
      </c>
      <c r="D4826" s="1">
        <v>46084</v>
      </c>
      <c r="E4826" t="s">
        <v>4042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2240</v>
      </c>
      <c r="K4826" t="s">
        <v>2241</v>
      </c>
      <c r="L4826">
        <v>21862</v>
      </c>
      <c r="M4826" t="s">
        <v>2040</v>
      </c>
      <c r="O4826" t="s">
        <v>11</v>
      </c>
      <c r="P4826">
        <v>5102</v>
      </c>
      <c r="Q4826">
        <v>2</v>
      </c>
      <c r="R4826">
        <v>30.3</v>
      </c>
      <c r="S4826">
        <v>60.6</v>
      </c>
      <c r="T4826">
        <v>43.44</v>
      </c>
      <c r="U4826">
        <v>28.32</v>
      </c>
      <c r="V4826" t="str">
        <f>VLOOKUP(L4826,'[2]tabela de preços'!$A:$D,4,0)</f>
        <v>SIKKENS</v>
      </c>
      <c r="W4826" t="str">
        <f>VLOOKUP(L4826,'[2]tabela de preços'!$A:$F,6,0)</f>
        <v>CATALISADORES INDIVIDUAS</v>
      </c>
      <c r="X4826" t="str">
        <f>VLOOKUP(L4826,'[2]tabela de preços'!$A:$G,7,0)</f>
        <v>AUTOMOTIVO</v>
      </c>
    </row>
    <row r="4827" spans="1:24" x14ac:dyDescent="0.3">
      <c r="A4827" t="s">
        <v>2236</v>
      </c>
      <c r="B4827" t="s">
        <v>2237</v>
      </c>
      <c r="C4827" t="s">
        <v>4041</v>
      </c>
      <c r="D4827" s="1">
        <v>46084</v>
      </c>
      <c r="E4827" t="s">
        <v>4042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2240</v>
      </c>
      <c r="K4827" t="s">
        <v>2241</v>
      </c>
      <c r="L4827">
        <v>21861</v>
      </c>
      <c r="M4827" t="s">
        <v>2246</v>
      </c>
      <c r="O4827" t="s">
        <v>11</v>
      </c>
      <c r="P4827">
        <v>5403</v>
      </c>
      <c r="Q4827">
        <v>4</v>
      </c>
      <c r="R4827">
        <v>59.22</v>
      </c>
      <c r="S4827">
        <v>236.88</v>
      </c>
      <c r="T4827">
        <v>173.64</v>
      </c>
      <c r="U4827">
        <v>26.7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2236</v>
      </c>
      <c r="B4828" t="s">
        <v>2237</v>
      </c>
      <c r="C4828" t="s">
        <v>4041</v>
      </c>
      <c r="D4828" s="1">
        <v>46084</v>
      </c>
      <c r="E4828" t="s">
        <v>4042</v>
      </c>
      <c r="F4828">
        <v>9</v>
      </c>
      <c r="G4828">
        <v>236</v>
      </c>
      <c r="H4828" t="str">
        <f>VLOOKUP(G4828,[1]OPERADORES!$A:$B,2,0)</f>
        <v>DANIEL</v>
      </c>
      <c r="I4828" t="s">
        <v>21</v>
      </c>
      <c r="J4828" t="s">
        <v>2240</v>
      </c>
      <c r="K4828" t="s">
        <v>2241</v>
      </c>
      <c r="L4828">
        <v>24247</v>
      </c>
      <c r="M4828" t="s">
        <v>160</v>
      </c>
      <c r="O4828" t="s">
        <v>11</v>
      </c>
      <c r="P4828">
        <v>5403</v>
      </c>
      <c r="Q4828">
        <v>6</v>
      </c>
      <c r="R4828">
        <v>21</v>
      </c>
      <c r="S4828">
        <v>126</v>
      </c>
      <c r="T4828">
        <v>101.22</v>
      </c>
      <c r="U4828">
        <v>19.670000000000002</v>
      </c>
      <c r="V4828" t="str">
        <f>VLOOKUP(L4828,'[2]tabela de preços'!$A:$D,4,0)</f>
        <v>SHERWIN WILLIAMS</v>
      </c>
      <c r="W4828" t="str">
        <f>VLOOKUP(L4828,'[2]tabela de preços'!$A:$F,6,0)</f>
        <v>PRIMER AUTOMOTIVO</v>
      </c>
      <c r="X4828" t="str">
        <f>VLOOKUP(L4828,'[2]tabela de preços'!$A:$G,7,0)</f>
        <v>AUTOMOTIVO</v>
      </c>
    </row>
    <row r="4829" spans="1:24" x14ac:dyDescent="0.3">
      <c r="A4829" t="s">
        <v>2236</v>
      </c>
      <c r="B4829" t="s">
        <v>2237</v>
      </c>
      <c r="C4829" t="s">
        <v>4041</v>
      </c>
      <c r="D4829" s="1">
        <v>46084</v>
      </c>
      <c r="E4829" t="s">
        <v>4042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2240</v>
      </c>
      <c r="K4829" t="s">
        <v>2241</v>
      </c>
      <c r="L4829">
        <v>84045</v>
      </c>
      <c r="M4829" t="s">
        <v>527</v>
      </c>
      <c r="O4829" t="s">
        <v>11</v>
      </c>
      <c r="P4829">
        <v>5102</v>
      </c>
      <c r="Q4829">
        <v>2</v>
      </c>
      <c r="R4829">
        <v>19.48</v>
      </c>
      <c r="S4829">
        <v>38.96</v>
      </c>
      <c r="T4829">
        <v>29.58</v>
      </c>
      <c r="U4829">
        <v>24.08</v>
      </c>
      <c r="V4829" t="str">
        <f>VLOOKUP(L4829,'[2]tabela de preços'!$A:$D,4,0)</f>
        <v>BRASILUX</v>
      </c>
      <c r="W4829" t="str">
        <f>VLOOKUP(L4829,'[2]tabela de preços'!$A:$F,6,0)</f>
        <v>REMOVEDOR PASTOSO</v>
      </c>
      <c r="X4829" t="str">
        <f>VLOOKUP(L4829,'[2]tabela de preços'!$A:$G,7,0)</f>
        <v>AUTOMOTIVO</v>
      </c>
    </row>
    <row r="4830" spans="1:24" x14ac:dyDescent="0.3">
      <c r="A4830" t="s">
        <v>2259</v>
      </c>
      <c r="B4830" t="s">
        <v>2260</v>
      </c>
      <c r="C4830" t="s">
        <v>4043</v>
      </c>
      <c r="D4830" s="1">
        <v>46084</v>
      </c>
      <c r="E4830" t="s">
        <v>4044</v>
      </c>
      <c r="F4830">
        <v>9</v>
      </c>
      <c r="G4830">
        <v>174</v>
      </c>
      <c r="H4830" t="str">
        <f>VLOOKUP(G4830,[1]OPERADORES!$A:$B,2,0)</f>
        <v>MIRIÃ LOBATO RODRIGUES</v>
      </c>
      <c r="I4830" t="s">
        <v>21</v>
      </c>
      <c r="J4830" t="s">
        <v>762</v>
      </c>
      <c r="K4830" t="s">
        <v>2263</v>
      </c>
      <c r="L4830">
        <v>23364</v>
      </c>
      <c r="M4830" t="s">
        <v>3548</v>
      </c>
      <c r="O4830" t="s">
        <v>11</v>
      </c>
      <c r="P4830">
        <v>5102</v>
      </c>
      <c r="Q4830">
        <v>30</v>
      </c>
      <c r="R4830">
        <v>6.19</v>
      </c>
      <c r="S4830">
        <v>185.7</v>
      </c>
      <c r="T4830">
        <v>147.30000000000001</v>
      </c>
      <c r="U4830">
        <v>20.68</v>
      </c>
      <c r="V4830" t="str">
        <f>VLOOKUP(L4830,'[2]tabela de preços'!$A:$D,4,0)</f>
        <v>AUTO AMERICA</v>
      </c>
      <c r="W4830" t="str">
        <f>VLOOKUP(L4830,'[2]tabela de preços'!$A:$F,6,0)</f>
        <v>FLANELAS / PANOS</v>
      </c>
      <c r="X4830" t="str">
        <f>VLOOKUP(L4830,'[2]tabela de preços'!$A:$G,7,0)</f>
        <v>AUTOMOTIVO</v>
      </c>
    </row>
    <row r="4831" spans="1:24" x14ac:dyDescent="0.3">
      <c r="A4831" t="s">
        <v>2259</v>
      </c>
      <c r="B4831" t="s">
        <v>2260</v>
      </c>
      <c r="C4831" t="s">
        <v>4045</v>
      </c>
      <c r="D4831" s="1">
        <v>46084</v>
      </c>
      <c r="E4831" t="s">
        <v>4046</v>
      </c>
      <c r="F4831">
        <v>9</v>
      </c>
      <c r="G4831">
        <v>174</v>
      </c>
      <c r="H4831" t="str">
        <f>VLOOKUP(G4831,[1]OPERADORES!$A:$B,2,0)</f>
        <v>MIRIÃ LOBATO RODRIGUES</v>
      </c>
      <c r="I4831" t="s">
        <v>21</v>
      </c>
      <c r="J4831" t="s">
        <v>762</v>
      </c>
      <c r="K4831" t="s">
        <v>2263</v>
      </c>
      <c r="L4831">
        <v>23482</v>
      </c>
      <c r="M4831" t="s">
        <v>4047</v>
      </c>
      <c r="O4831" t="s">
        <v>11</v>
      </c>
      <c r="P4831">
        <v>5102</v>
      </c>
      <c r="Q4831">
        <v>1</v>
      </c>
      <c r="R4831">
        <v>52.18</v>
      </c>
      <c r="S4831">
        <v>52.18</v>
      </c>
      <c r="T4831">
        <v>38.26</v>
      </c>
      <c r="U4831">
        <v>26.68</v>
      </c>
      <c r="V4831" t="str">
        <f>VLOOKUP(L4831,'[2]tabela de preços'!$A:$D,4,0)</f>
        <v>VONIXX</v>
      </c>
      <c r="W4831" t="str">
        <f>VLOOKUP(L4831,'[2]tabela de preços'!$A:$F,6,0)</f>
        <v>LINHA DE HIGENIZAÇÃO E ESTÉTICA  AUTOMOTIVA</v>
      </c>
      <c r="X4831" t="str">
        <f>VLOOKUP(L4831,'[2]tabela de preços'!$A:$G,7,0)</f>
        <v>AUTOMOTIVO</v>
      </c>
    </row>
    <row r="4832" spans="1:24" x14ac:dyDescent="0.3">
      <c r="A4832" t="s">
        <v>2306</v>
      </c>
      <c r="C4832" t="s">
        <v>4048</v>
      </c>
      <c r="D4832" s="1">
        <v>46083</v>
      </c>
      <c r="E4832" t="s">
        <v>4049</v>
      </c>
      <c r="F4832">
        <v>9</v>
      </c>
      <c r="G4832">
        <v>231</v>
      </c>
      <c r="H4832" t="str">
        <f>VLOOKUP(G4832,[1]OPERADORES!$A:$B,2,0)</f>
        <v>EDIJANE</v>
      </c>
      <c r="I4832" t="s">
        <v>21</v>
      </c>
      <c r="J4832" t="s">
        <v>2309</v>
      </c>
      <c r="K4832" t="s">
        <v>2310</v>
      </c>
      <c r="L4832">
        <v>84806</v>
      </c>
      <c r="M4832" t="s">
        <v>4050</v>
      </c>
      <c r="O4832" t="s">
        <v>11</v>
      </c>
      <c r="P4832">
        <v>5403</v>
      </c>
      <c r="Q4832">
        <v>2</v>
      </c>
      <c r="R4832">
        <v>154.84</v>
      </c>
      <c r="S4832">
        <v>309.68</v>
      </c>
      <c r="T4832">
        <v>235.06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2026-03-03T21:06:48Z</dcterms:modified>
</cp:coreProperties>
</file>