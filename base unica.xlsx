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 2\"/>
    </mc:Choice>
  </mc:AlternateContent>
  <xr:revisionPtr revIDLastSave="0" documentId="13_ncr:1_{37063289-11FB-4BCC-B0A2-F065B3F00812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" i="1"/>
  <c r="H2" i="1" l="1"/>
</calcChain>
</file>

<file path=xl/sharedStrings.xml><?xml version="1.0" encoding="utf-8"?>
<sst xmlns="http://schemas.openxmlformats.org/spreadsheetml/2006/main" count="20206" uniqueCount="2418">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</sst>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........................................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>.....................................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ATLAS</v>
          </cell>
          <cell r="F5450" t="str">
            <v>ROLOS / TRINCHAS / PINCÉIS / ESPÁTULAS</v>
          </cell>
          <cell r="G5450" t="str">
            <v>AUTOMOTIVO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2455" totalsRowShown="0">
  <autoFilter ref="A1:X2455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2455"/>
  <sheetViews>
    <sheetView tabSelected="1" topLeftCell="N1" zoomScale="90" zoomScaleNormal="90" workbookViewId="0">
      <selection activeCell="X2" sqref="X2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18</v>
      </c>
      <c r="C2" t="s">
        <v>19</v>
      </c>
      <c r="D2" s="1">
        <v>46035</v>
      </c>
      <c r="E2" t="s">
        <v>20</v>
      </c>
      <c r="F2">
        <v>9</v>
      </c>
      <c r="G2">
        <v>236</v>
      </c>
      <c r="H2" t="str">
        <f>VLOOKUP(G2,[1]OPERADORES!$A:$B,2,0)</f>
        <v>DANIEL</v>
      </c>
      <c r="I2" t="s">
        <v>21</v>
      </c>
      <c r="J2" t="s">
        <v>22</v>
      </c>
      <c r="K2" t="s">
        <v>23</v>
      </c>
      <c r="L2">
        <v>86735</v>
      </c>
      <c r="M2" t="s">
        <v>24</v>
      </c>
      <c r="O2" t="s">
        <v>11</v>
      </c>
      <c r="P2">
        <v>5403</v>
      </c>
      <c r="Q2">
        <v>1</v>
      </c>
      <c r="R2">
        <v>112.63</v>
      </c>
      <c r="S2">
        <v>112.63</v>
      </c>
      <c r="T2">
        <v>85.49</v>
      </c>
      <c r="U2">
        <v>24.1</v>
      </c>
      <c r="V2" t="str">
        <f>VLOOKUP(L2,'[2]tabela de preços'!$A:$D,4,0)</f>
        <v>CORAL</v>
      </c>
      <c r="W2" t="str">
        <f>VLOOKUP(L2,'[2]tabela de preços'!$A:$F,6,0)</f>
        <v>ESMALTES</v>
      </c>
      <c r="X2" t="str">
        <f>VLOOKUP(L2,'[2]tabela de preços'!$A:$G,7,0)</f>
        <v>INDUSTRIAL</v>
      </c>
    </row>
    <row r="3" spans="1:24" x14ac:dyDescent="0.3">
      <c r="A3" t="s">
        <v>18</v>
      </c>
      <c r="C3" t="s">
        <v>19</v>
      </c>
      <c r="D3" s="1">
        <v>46035</v>
      </c>
      <c r="E3" t="s">
        <v>20</v>
      </c>
      <c r="F3">
        <v>9</v>
      </c>
      <c r="G3">
        <v>236</v>
      </c>
      <c r="H3" t="str">
        <f>VLOOKUP(G3,[1]OPERADORES!$A:$B,2,0)</f>
        <v>DANIEL</v>
      </c>
      <c r="I3" t="s">
        <v>21</v>
      </c>
      <c r="J3" t="s">
        <v>22</v>
      </c>
      <c r="K3" t="s">
        <v>23</v>
      </c>
      <c r="L3">
        <v>86735</v>
      </c>
      <c r="M3" t="s">
        <v>24</v>
      </c>
      <c r="O3" t="s">
        <v>11</v>
      </c>
      <c r="P3">
        <v>5403</v>
      </c>
      <c r="Q3">
        <v>1</v>
      </c>
      <c r="R3">
        <v>112.63</v>
      </c>
      <c r="S3">
        <v>112.63</v>
      </c>
      <c r="T3">
        <v>85.49</v>
      </c>
      <c r="U3">
        <v>24.1</v>
      </c>
      <c r="V3" t="str">
        <f>VLOOKUP(L3,'[2]tabela de preços'!$A:$D,4,0)</f>
        <v>CORAL</v>
      </c>
      <c r="W3" t="str">
        <f>VLOOKUP(L3,'[2]tabela de preços'!$A:$F,6,0)</f>
        <v>ESMALTES</v>
      </c>
      <c r="X3" t="str">
        <f>VLOOKUP(L3,'[2]tabela de preços'!$A:$G,7,0)</f>
        <v>INDUSTRIAL</v>
      </c>
    </row>
    <row r="4" spans="1:24" x14ac:dyDescent="0.3">
      <c r="A4" t="s">
        <v>18</v>
      </c>
      <c r="C4" t="s">
        <v>19</v>
      </c>
      <c r="D4" s="1">
        <v>46035</v>
      </c>
      <c r="E4" t="s">
        <v>25</v>
      </c>
      <c r="F4">
        <v>9</v>
      </c>
      <c r="G4">
        <v>236</v>
      </c>
      <c r="H4" t="str">
        <f>VLOOKUP(G4,[1]OPERADORES!$A:$B,2,0)</f>
        <v>DANIEL</v>
      </c>
      <c r="I4" t="s">
        <v>21</v>
      </c>
      <c r="J4" t="s">
        <v>22</v>
      </c>
      <c r="K4" t="s">
        <v>23</v>
      </c>
      <c r="L4">
        <v>83801</v>
      </c>
      <c r="M4" t="s">
        <v>26</v>
      </c>
      <c r="O4" t="s">
        <v>11</v>
      </c>
      <c r="P4">
        <v>5102</v>
      </c>
      <c r="Q4">
        <v>1</v>
      </c>
      <c r="R4">
        <v>60.16</v>
      </c>
      <c r="S4">
        <v>60.16</v>
      </c>
      <c r="T4">
        <v>44.1</v>
      </c>
      <c r="U4">
        <v>26.7</v>
      </c>
      <c r="V4" t="str">
        <f>VLOOKUP(L4,'[2]tabela de preços'!$A:$D,4,0)</f>
        <v>VONIXX</v>
      </c>
      <c r="W4" t="str">
        <f>VLOOKUP(L4,'[2]tabela de preços'!$A:$F,6,0)</f>
        <v>LINHA DE HIGENIZAÇÃO E ESTÉTICA  AUTOMOTIVA</v>
      </c>
      <c r="X4" t="str">
        <f>VLOOKUP(L4,'[2]tabela de preços'!$A:$G,7,0)</f>
        <v>AUTOMOTIVO</v>
      </c>
    </row>
    <row r="5" spans="1:24" x14ac:dyDescent="0.3">
      <c r="A5" t="s">
        <v>18</v>
      </c>
      <c r="C5" t="s">
        <v>27</v>
      </c>
      <c r="D5" s="1">
        <v>46035</v>
      </c>
      <c r="E5" t="s">
        <v>28</v>
      </c>
      <c r="F5">
        <v>9</v>
      </c>
      <c r="G5">
        <v>236</v>
      </c>
      <c r="H5" t="str">
        <f>VLOOKUP(G5,[1]OPERADORES!$A:$B,2,0)</f>
        <v>DANIEL</v>
      </c>
      <c r="I5" t="s">
        <v>21</v>
      </c>
      <c r="J5" t="s">
        <v>22</v>
      </c>
      <c r="K5" t="s">
        <v>23</v>
      </c>
      <c r="L5">
        <v>84029</v>
      </c>
      <c r="M5" t="s">
        <v>29</v>
      </c>
      <c r="O5" t="s">
        <v>11</v>
      </c>
      <c r="P5">
        <v>5102</v>
      </c>
      <c r="Q5">
        <v>1</v>
      </c>
      <c r="R5">
        <v>11.45</v>
      </c>
      <c r="S5">
        <v>11.45</v>
      </c>
      <c r="T5">
        <v>8.69</v>
      </c>
      <c r="U5">
        <v>24.1</v>
      </c>
      <c r="V5" t="str">
        <f>VLOOKUP(L5,'[2]tabela de preços'!$A:$D,4,0)</f>
        <v>BRASILUX</v>
      </c>
      <c r="W5" t="str">
        <f>VLOOKUP(L5,'[2]tabela de preços'!$A:$F,6,0)</f>
        <v>AGUARRAS</v>
      </c>
      <c r="X5" t="str">
        <f>VLOOKUP(L5,'[2]tabela de preços'!$A:$G,7,0)</f>
        <v>IMOBILIÁRIO</v>
      </c>
    </row>
    <row r="6" spans="1:24" x14ac:dyDescent="0.3">
      <c r="A6" t="s">
        <v>18</v>
      </c>
      <c r="C6" t="s">
        <v>27</v>
      </c>
      <c r="D6" s="1">
        <v>46035</v>
      </c>
      <c r="E6" t="s">
        <v>28</v>
      </c>
      <c r="F6">
        <v>9</v>
      </c>
      <c r="G6">
        <v>236</v>
      </c>
      <c r="H6" t="str">
        <f>VLOOKUP(G6,[1]OPERADORES!$A:$B,2,0)</f>
        <v>DANIEL</v>
      </c>
      <c r="I6" t="s">
        <v>21</v>
      </c>
      <c r="J6" t="s">
        <v>22</v>
      </c>
      <c r="K6" t="s">
        <v>23</v>
      </c>
      <c r="L6">
        <v>84076</v>
      </c>
      <c r="M6" t="s">
        <v>30</v>
      </c>
      <c r="O6" t="s">
        <v>11</v>
      </c>
      <c r="P6">
        <v>5403</v>
      </c>
      <c r="Q6">
        <v>1</v>
      </c>
      <c r="R6">
        <v>21.36</v>
      </c>
      <c r="S6">
        <v>21.36</v>
      </c>
      <c r="T6">
        <v>16.21</v>
      </c>
      <c r="U6">
        <v>24.11</v>
      </c>
      <c r="V6" t="str">
        <f>VLOOKUP(L6,'[2]tabela de preços'!$A:$D,4,0)</f>
        <v>BRASILUX</v>
      </c>
      <c r="W6" t="str">
        <f>VLOOKUP(L6,'[2]tabela de preços'!$A:$F,6,0)</f>
        <v>LINHA MOVELEIRA</v>
      </c>
      <c r="X6" t="str">
        <f>VLOOKUP(L6,'[2]tabela de preços'!$A:$G,7,0)</f>
        <v>MOVELEIRA</v>
      </c>
    </row>
    <row r="7" spans="1:24" x14ac:dyDescent="0.3">
      <c r="A7" t="s">
        <v>18</v>
      </c>
      <c r="C7" t="s">
        <v>27</v>
      </c>
      <c r="D7" s="1">
        <v>46035</v>
      </c>
      <c r="E7" t="s">
        <v>28</v>
      </c>
      <c r="F7">
        <v>9</v>
      </c>
      <c r="G7">
        <v>236</v>
      </c>
      <c r="H7" t="str">
        <f>VLOOKUP(G7,[1]OPERADORES!$A:$B,2,0)</f>
        <v>DANIEL</v>
      </c>
      <c r="I7" t="s">
        <v>21</v>
      </c>
      <c r="J7" t="s">
        <v>22</v>
      </c>
      <c r="K7" t="s">
        <v>23</v>
      </c>
      <c r="L7">
        <v>84501</v>
      </c>
      <c r="M7" t="s">
        <v>31</v>
      </c>
      <c r="O7" t="s">
        <v>11</v>
      </c>
      <c r="P7">
        <v>5403</v>
      </c>
      <c r="Q7">
        <v>1</v>
      </c>
      <c r="R7">
        <v>46.33</v>
      </c>
      <c r="S7">
        <v>46.33</v>
      </c>
      <c r="T7">
        <v>35.159999999999997</v>
      </c>
      <c r="U7">
        <v>24.11</v>
      </c>
      <c r="V7" t="str">
        <f>VLOOKUP(L7,'[2]tabela de preços'!$A:$D,4,0)</f>
        <v>BRASILUX</v>
      </c>
      <c r="W7" t="str">
        <f>VLOOKUP(L7,'[2]tabela de preços'!$A:$F,6,0)</f>
        <v>CIMENTO QUEIMADO / EFEITOS DECORATIVOS</v>
      </c>
      <c r="X7" t="str">
        <f>VLOOKUP(L7,'[2]tabela de preços'!$A:$G,7,0)</f>
        <v>IMOBILIÁRIO</v>
      </c>
    </row>
    <row r="8" spans="1:24" x14ac:dyDescent="0.3">
      <c r="A8" t="s">
        <v>18</v>
      </c>
      <c r="C8" t="s">
        <v>27</v>
      </c>
      <c r="D8" s="1">
        <v>46035</v>
      </c>
      <c r="E8" t="s">
        <v>28</v>
      </c>
      <c r="F8">
        <v>9</v>
      </c>
      <c r="G8">
        <v>236</v>
      </c>
      <c r="H8" t="str">
        <f>VLOOKUP(G8,[1]OPERADORES!$A:$B,2,0)</f>
        <v>DANIEL</v>
      </c>
      <c r="I8" t="s">
        <v>21</v>
      </c>
      <c r="J8" t="s">
        <v>22</v>
      </c>
      <c r="K8" t="s">
        <v>23</v>
      </c>
      <c r="L8">
        <v>86567</v>
      </c>
      <c r="M8" t="s">
        <v>32</v>
      </c>
      <c r="O8" t="s">
        <v>11</v>
      </c>
      <c r="P8">
        <v>5403</v>
      </c>
      <c r="Q8">
        <v>2</v>
      </c>
      <c r="R8">
        <v>122.45</v>
      </c>
      <c r="S8">
        <v>244.9</v>
      </c>
      <c r="T8">
        <v>185.88</v>
      </c>
      <c r="U8">
        <v>24.1</v>
      </c>
      <c r="V8" t="str">
        <f>VLOOKUP(L8,'[2]tabela de preços'!$A:$D,4,0)</f>
        <v>CORAL</v>
      </c>
      <c r="W8" t="str">
        <f>VLOOKUP(L8,'[2]tabela de preços'!$A:$F,6,0)</f>
        <v>CIMENTO QUEIMADO / EFEITOS DECORATIVOS</v>
      </c>
      <c r="X8" t="str">
        <f>VLOOKUP(L8,'[2]tabela de preços'!$A:$G,7,0)</f>
        <v>IMOBILIÁRIO</v>
      </c>
    </row>
    <row r="9" spans="1:24" x14ac:dyDescent="0.3">
      <c r="A9" t="s">
        <v>18</v>
      </c>
      <c r="C9" t="s">
        <v>27</v>
      </c>
      <c r="D9" s="1">
        <v>46035</v>
      </c>
      <c r="E9" t="s">
        <v>28</v>
      </c>
      <c r="F9">
        <v>9</v>
      </c>
      <c r="G9">
        <v>236</v>
      </c>
      <c r="H9" t="str">
        <f>VLOOKUP(G9,[1]OPERADORES!$A:$B,2,0)</f>
        <v>DANIEL</v>
      </c>
      <c r="I9" t="s">
        <v>21</v>
      </c>
      <c r="J9" t="s">
        <v>22</v>
      </c>
      <c r="K9" t="s">
        <v>23</v>
      </c>
      <c r="L9">
        <v>86195</v>
      </c>
      <c r="M9" t="s">
        <v>33</v>
      </c>
      <c r="O9" t="s">
        <v>11</v>
      </c>
      <c r="P9">
        <v>5403</v>
      </c>
      <c r="Q9">
        <v>2</v>
      </c>
      <c r="R9">
        <v>134.26</v>
      </c>
      <c r="S9">
        <v>268.52</v>
      </c>
      <c r="T9">
        <v>203.8</v>
      </c>
      <c r="U9">
        <v>24.1</v>
      </c>
      <c r="V9" t="str">
        <f>VLOOKUP(L9,'[2]tabela de preços'!$A:$D,4,0)</f>
        <v>CORAL</v>
      </c>
      <c r="W9" t="str">
        <f>VLOOKUP(L9,'[2]tabela de preços'!$A:$F,6,0)</f>
        <v>TINTA PAREDE</v>
      </c>
      <c r="X9" t="str">
        <f>VLOOKUP(L9,'[2]tabela de preços'!$A:$G,7,0)</f>
        <v>IMOBILIÁRIO</v>
      </c>
    </row>
    <row r="10" spans="1:24" x14ac:dyDescent="0.3">
      <c r="A10" t="s">
        <v>18</v>
      </c>
      <c r="C10" t="s">
        <v>27</v>
      </c>
      <c r="D10" s="1">
        <v>46035</v>
      </c>
      <c r="E10" t="s">
        <v>28</v>
      </c>
      <c r="F10">
        <v>9</v>
      </c>
      <c r="G10">
        <v>236</v>
      </c>
      <c r="H10" t="str">
        <f>VLOOKUP(G10,[1]OPERADORES!$A:$B,2,0)</f>
        <v>DANIEL</v>
      </c>
      <c r="I10" t="s">
        <v>21</v>
      </c>
      <c r="J10" t="s">
        <v>22</v>
      </c>
      <c r="K10" t="s">
        <v>23</v>
      </c>
      <c r="L10">
        <v>86711</v>
      </c>
      <c r="M10" t="s">
        <v>34</v>
      </c>
      <c r="O10" t="s">
        <v>11</v>
      </c>
      <c r="P10">
        <v>5102</v>
      </c>
      <c r="Q10">
        <v>1</v>
      </c>
      <c r="R10">
        <v>25.99</v>
      </c>
      <c r="S10">
        <v>25.99</v>
      </c>
      <c r="T10">
        <v>19.73</v>
      </c>
      <c r="U10">
        <v>24.09</v>
      </c>
      <c r="V10" t="str">
        <f>VLOOKUP(L10,'[2]tabela de preços'!$A:$D,4,0)</f>
        <v>CORAL</v>
      </c>
      <c r="W10" t="str">
        <f>VLOOKUP(L10,'[2]tabela de preços'!$A:$F,6,0)</f>
        <v>MASSA CORRIDA / ACRÍLICA</v>
      </c>
      <c r="X10" t="str">
        <f>VLOOKUP(L10,'[2]tabela de preços'!$A:$G,7,0)</f>
        <v>IMOBILIÁRIO</v>
      </c>
    </row>
    <row r="11" spans="1:24" x14ac:dyDescent="0.3">
      <c r="A11" t="s">
        <v>18</v>
      </c>
      <c r="C11" t="s">
        <v>27</v>
      </c>
      <c r="D11" s="1">
        <v>46035</v>
      </c>
      <c r="E11" t="s">
        <v>28</v>
      </c>
      <c r="F11">
        <v>9</v>
      </c>
      <c r="G11">
        <v>236</v>
      </c>
      <c r="H11" t="str">
        <f>VLOOKUP(G11,[1]OPERADORES!$A:$B,2,0)</f>
        <v>DANIEL</v>
      </c>
      <c r="I11" t="s">
        <v>21</v>
      </c>
      <c r="J11" t="s">
        <v>22</v>
      </c>
      <c r="K11" t="s">
        <v>23</v>
      </c>
      <c r="L11">
        <v>84411</v>
      </c>
      <c r="M11" t="s">
        <v>35</v>
      </c>
      <c r="O11" t="s">
        <v>11</v>
      </c>
      <c r="P11">
        <v>5102</v>
      </c>
      <c r="Q11">
        <v>2</v>
      </c>
      <c r="R11">
        <v>4.29</v>
      </c>
      <c r="S11">
        <v>8.58</v>
      </c>
      <c r="T11">
        <v>7.08</v>
      </c>
      <c r="U11">
        <v>17.48</v>
      </c>
      <c r="V11" t="str">
        <f>VLOOKUP(L11,'[2]tabela de preços'!$A:$D,4,0)</f>
        <v>ADERE</v>
      </c>
      <c r="W11" t="str">
        <f>VLOOKUP(L11,'[2]tabela de preços'!$A:$F,6,0)</f>
        <v xml:space="preserve">FITA DE USO GERAL </v>
      </c>
      <c r="X11" t="str">
        <f>VLOOKUP(L11,'[2]tabela de preços'!$A:$G,7,0)</f>
        <v>IMOBILIÁRIO</v>
      </c>
    </row>
    <row r="12" spans="1:24" x14ac:dyDescent="0.3">
      <c r="A12" t="s">
        <v>18</v>
      </c>
      <c r="C12" t="s">
        <v>27</v>
      </c>
      <c r="D12" s="1">
        <v>46035</v>
      </c>
      <c r="E12" t="s">
        <v>28</v>
      </c>
      <c r="F12">
        <v>9</v>
      </c>
      <c r="G12">
        <v>236</v>
      </c>
      <c r="H12" t="str">
        <f>VLOOKUP(G12,[1]OPERADORES!$A:$B,2,0)</f>
        <v>DANIEL</v>
      </c>
      <c r="I12" t="s">
        <v>21</v>
      </c>
      <c r="J12" t="s">
        <v>22</v>
      </c>
      <c r="K12" t="s">
        <v>23</v>
      </c>
      <c r="L12">
        <v>84928</v>
      </c>
      <c r="M12" t="s">
        <v>36</v>
      </c>
      <c r="O12" t="s">
        <v>11</v>
      </c>
      <c r="P12">
        <v>5102</v>
      </c>
      <c r="Q12">
        <v>7</v>
      </c>
      <c r="R12">
        <v>9.39</v>
      </c>
      <c r="S12">
        <v>65.73</v>
      </c>
      <c r="T12">
        <v>49.91</v>
      </c>
      <c r="U12">
        <v>24.07</v>
      </c>
      <c r="V12" t="str">
        <f>VLOOKUP(L12,'[2]tabela de preços'!$A:$D,4,0)</f>
        <v>ADERE</v>
      </c>
      <c r="W12" t="str">
        <f>VLOOKUP(L12,'[2]tabela de preços'!$A:$F,6,0)</f>
        <v xml:space="preserve">FITA DE USO GERAL </v>
      </c>
      <c r="X12" t="str">
        <f>VLOOKUP(L12,'[2]tabela de preços'!$A:$G,7,0)</f>
        <v>IMOBILIÁRIO</v>
      </c>
    </row>
    <row r="13" spans="1:24" x14ac:dyDescent="0.3">
      <c r="A13" t="s">
        <v>18</v>
      </c>
      <c r="C13" t="s">
        <v>27</v>
      </c>
      <c r="D13" s="1">
        <v>46035</v>
      </c>
      <c r="E13" t="s">
        <v>28</v>
      </c>
      <c r="F13">
        <v>9</v>
      </c>
      <c r="G13">
        <v>236</v>
      </c>
      <c r="H13" t="str">
        <f>VLOOKUP(G13,[1]OPERADORES!$A:$B,2,0)</f>
        <v>DANIEL</v>
      </c>
      <c r="I13" t="s">
        <v>21</v>
      </c>
      <c r="J13" t="s">
        <v>22</v>
      </c>
      <c r="K13" t="s">
        <v>23</v>
      </c>
      <c r="L13">
        <v>86995</v>
      </c>
      <c r="M13" t="s">
        <v>37</v>
      </c>
      <c r="O13" t="s">
        <v>11</v>
      </c>
      <c r="P13">
        <v>5102</v>
      </c>
      <c r="Q13">
        <v>3</v>
      </c>
      <c r="R13">
        <v>7.29</v>
      </c>
      <c r="S13">
        <v>21.87</v>
      </c>
      <c r="T13">
        <v>17.489999999999998</v>
      </c>
      <c r="U13">
        <v>20.03</v>
      </c>
      <c r="V13" t="str">
        <f>VLOOKUP(L13,'[2]tabela de preços'!$A:$D,4,0)</f>
        <v>AUTOAMERICA</v>
      </c>
      <c r="W13" t="str">
        <f>VLOOKUP(L13,'[2]tabela de preços'!$A:$F,6,0)</f>
        <v>FLANELAS / PANOS</v>
      </c>
      <c r="X13" t="str">
        <f>VLOOKUP(L13,'[2]tabela de preços'!$A:$G,7,0)</f>
        <v>AUTOMOTIVO</v>
      </c>
    </row>
    <row r="14" spans="1:24" x14ac:dyDescent="0.3">
      <c r="A14" t="s">
        <v>18</v>
      </c>
      <c r="C14" t="s">
        <v>27</v>
      </c>
      <c r="D14" s="1">
        <v>46035</v>
      </c>
      <c r="E14" t="s">
        <v>28</v>
      </c>
      <c r="F14">
        <v>9</v>
      </c>
      <c r="G14">
        <v>236</v>
      </c>
      <c r="H14" t="str">
        <f>VLOOKUP(G14,[1]OPERADORES!$A:$B,2,0)</f>
        <v>DANIEL</v>
      </c>
      <c r="I14" t="s">
        <v>21</v>
      </c>
      <c r="J14" t="s">
        <v>22</v>
      </c>
      <c r="K14" t="s">
        <v>23</v>
      </c>
      <c r="L14">
        <v>85599</v>
      </c>
      <c r="M14" t="s">
        <v>38</v>
      </c>
      <c r="O14" t="s">
        <v>11</v>
      </c>
      <c r="P14">
        <v>5102</v>
      </c>
      <c r="Q14">
        <v>2</v>
      </c>
      <c r="R14">
        <v>2.58</v>
      </c>
      <c r="S14">
        <v>5.16</v>
      </c>
      <c r="T14">
        <v>3.92</v>
      </c>
      <c r="U14">
        <v>24.03</v>
      </c>
      <c r="V14" t="str">
        <f>VLOOKUP(L14,'[2]tabela de preços'!$A:$D,4,0)</f>
        <v>REJUMASSA</v>
      </c>
      <c r="W14" t="str">
        <f>VLOOKUP(L14,'[2]tabela de preços'!$A:$F,6,0)</f>
        <v>GESSO</v>
      </c>
      <c r="X14" t="str">
        <f>VLOOKUP(L14,'[2]tabela de preços'!$A:$G,7,0)</f>
        <v>IMOBILIÁRIO</v>
      </c>
    </row>
    <row r="15" spans="1:24" x14ac:dyDescent="0.3">
      <c r="A15" t="s">
        <v>18</v>
      </c>
      <c r="C15" t="s">
        <v>27</v>
      </c>
      <c r="D15" s="1">
        <v>46035</v>
      </c>
      <c r="E15" t="s">
        <v>28</v>
      </c>
      <c r="F15">
        <v>9</v>
      </c>
      <c r="G15">
        <v>236</v>
      </c>
      <c r="H15" t="str">
        <f>VLOOKUP(G15,[1]OPERADORES!$A:$B,2,0)</f>
        <v>DANIEL</v>
      </c>
      <c r="I15" t="s">
        <v>21</v>
      </c>
      <c r="J15" t="s">
        <v>22</v>
      </c>
      <c r="K15" t="s">
        <v>23</v>
      </c>
      <c r="L15">
        <v>85210</v>
      </c>
      <c r="M15" t="s">
        <v>39</v>
      </c>
      <c r="O15" t="s">
        <v>11</v>
      </c>
      <c r="P15">
        <v>5102</v>
      </c>
      <c r="Q15">
        <v>1</v>
      </c>
      <c r="R15">
        <v>34.82</v>
      </c>
      <c r="S15">
        <v>34.82</v>
      </c>
      <c r="T15">
        <v>26.43</v>
      </c>
      <c r="U15">
        <v>24.1</v>
      </c>
      <c r="V15" t="str">
        <f>VLOOKUP(L15,'[2]tabela de preços'!$A:$D,4,0)</f>
        <v>VONIXX</v>
      </c>
      <c r="W15" t="str">
        <f>VLOOKUP(L15,'[2]tabela de preços'!$A:$F,6,0)</f>
        <v>LINHA DE HIGENIZAÇÃO E ESTÉTICA  AUTOMOTIVA</v>
      </c>
      <c r="X15" t="str">
        <f>VLOOKUP(L15,'[2]tabela de preços'!$A:$G,7,0)</f>
        <v>AUTOMOTIVO</v>
      </c>
    </row>
    <row r="16" spans="1:24" x14ac:dyDescent="0.3">
      <c r="A16" t="s">
        <v>18</v>
      </c>
      <c r="C16" t="s">
        <v>27</v>
      </c>
      <c r="D16" s="1">
        <v>46035</v>
      </c>
      <c r="E16" t="s">
        <v>28</v>
      </c>
      <c r="F16">
        <v>9</v>
      </c>
      <c r="G16">
        <v>236</v>
      </c>
      <c r="H16" t="str">
        <f>VLOOKUP(G16,[1]OPERADORES!$A:$B,2,0)</f>
        <v>DANIEL</v>
      </c>
      <c r="I16" t="s">
        <v>21</v>
      </c>
      <c r="J16" t="s">
        <v>22</v>
      </c>
      <c r="K16" t="s">
        <v>23</v>
      </c>
      <c r="L16">
        <v>24331</v>
      </c>
      <c r="M16" t="s">
        <v>40</v>
      </c>
      <c r="O16" t="s">
        <v>11</v>
      </c>
      <c r="P16">
        <v>5102</v>
      </c>
      <c r="Q16">
        <v>1</v>
      </c>
      <c r="R16">
        <v>66.14</v>
      </c>
      <c r="S16">
        <v>66.14</v>
      </c>
      <c r="T16">
        <v>50.2</v>
      </c>
      <c r="U16">
        <v>24.1</v>
      </c>
      <c r="V16" t="str">
        <f>VLOOKUP(L16,'[2]tabela de preços'!$A:$D,4,0)</f>
        <v>VONIXX</v>
      </c>
      <c r="W16" t="str">
        <f>VLOOKUP(L16,'[2]tabela de preços'!$A:$F,6,0)</f>
        <v>LINHA DE HIGENIZAÇÃO E ESTÉTICA  AUTOMOTIVA</v>
      </c>
      <c r="X16" t="str">
        <f>VLOOKUP(L16,'[2]tabela de preços'!$A:$G,7,0)</f>
        <v>AUTOMOTIVO</v>
      </c>
    </row>
    <row r="17" spans="1:24" x14ac:dyDescent="0.3">
      <c r="A17" t="s">
        <v>18</v>
      </c>
      <c r="C17" t="s">
        <v>27</v>
      </c>
      <c r="D17" s="1">
        <v>46035</v>
      </c>
      <c r="E17" t="s">
        <v>28</v>
      </c>
      <c r="F17">
        <v>9</v>
      </c>
      <c r="G17">
        <v>236</v>
      </c>
      <c r="H17" t="str">
        <f>VLOOKUP(G17,[1]OPERADORES!$A:$B,2,0)</f>
        <v>DANIEL</v>
      </c>
      <c r="I17" t="s">
        <v>21</v>
      </c>
      <c r="J17" t="s">
        <v>22</v>
      </c>
      <c r="K17" t="s">
        <v>23</v>
      </c>
      <c r="L17">
        <v>10297</v>
      </c>
      <c r="M17" t="s">
        <v>41</v>
      </c>
      <c r="O17" t="s">
        <v>11</v>
      </c>
      <c r="P17">
        <v>5102</v>
      </c>
      <c r="Q17">
        <v>1</v>
      </c>
      <c r="R17">
        <v>10.89</v>
      </c>
      <c r="S17">
        <v>10.89</v>
      </c>
      <c r="T17">
        <v>9.17</v>
      </c>
      <c r="U17">
        <v>15.79</v>
      </c>
      <c r="V17" t="str">
        <f>VLOOKUP(L17,'[2]tabela de preços'!$A:$D,4,0)</f>
        <v>ANJO</v>
      </c>
      <c r="W17" t="str">
        <f>VLOOKUP(L17,'[2]tabela de preços'!$A:$F,6,0)</f>
        <v>THINNER DE LIMPEZA</v>
      </c>
      <c r="X17" t="str">
        <f>VLOOKUP(L17,'[2]tabela de preços'!$A:$G,7,0)</f>
        <v>THINNER</v>
      </c>
    </row>
    <row r="18" spans="1:24" x14ac:dyDescent="0.3">
      <c r="A18" t="s">
        <v>18</v>
      </c>
      <c r="C18" t="s">
        <v>27</v>
      </c>
      <c r="D18" s="1">
        <v>46035</v>
      </c>
      <c r="E18" t="s">
        <v>28</v>
      </c>
      <c r="F18">
        <v>9</v>
      </c>
      <c r="G18">
        <v>236</v>
      </c>
      <c r="H18" t="str">
        <f>VLOOKUP(G18,[1]OPERADORES!$A:$B,2,0)</f>
        <v>DANIEL</v>
      </c>
      <c r="I18" t="s">
        <v>21</v>
      </c>
      <c r="J18" t="s">
        <v>22</v>
      </c>
      <c r="K18" t="s">
        <v>23</v>
      </c>
      <c r="L18">
        <v>85206</v>
      </c>
      <c r="M18" t="s">
        <v>42</v>
      </c>
      <c r="O18" t="s">
        <v>11</v>
      </c>
      <c r="P18">
        <v>5102</v>
      </c>
      <c r="Q18">
        <v>1</v>
      </c>
      <c r="R18">
        <v>81.040000000000006</v>
      </c>
      <c r="S18">
        <v>81.040000000000006</v>
      </c>
      <c r="T18">
        <v>61.51</v>
      </c>
      <c r="U18">
        <v>24.1</v>
      </c>
      <c r="V18" t="str">
        <f>VLOOKUP(L18,'[2]tabela de preços'!$A:$D,4,0)</f>
        <v>VONIXX</v>
      </c>
      <c r="W18" t="str">
        <f>VLOOKUP(L18,'[2]tabela de preços'!$A:$F,6,0)</f>
        <v>LINHA DE HIGENIZAÇÃO E ESTÉTICA  AUTOMOTIVA</v>
      </c>
      <c r="X18" t="str">
        <f>VLOOKUP(L18,'[2]tabela de preços'!$A:$G,7,0)</f>
        <v>AUTOMOTIVO</v>
      </c>
    </row>
    <row r="19" spans="1:24" x14ac:dyDescent="0.3">
      <c r="A19" t="s">
        <v>18</v>
      </c>
      <c r="C19" t="s">
        <v>43</v>
      </c>
      <c r="D19" s="1">
        <v>46037</v>
      </c>
      <c r="E19" t="s">
        <v>44</v>
      </c>
      <c r="F19">
        <v>9</v>
      </c>
      <c r="G19">
        <v>236</v>
      </c>
      <c r="H19" t="str">
        <f>VLOOKUP(G19,[1]OPERADORES!$A:$B,2,0)</f>
        <v>DANIEL</v>
      </c>
      <c r="I19" t="s">
        <v>21</v>
      </c>
      <c r="J19" t="s">
        <v>22</v>
      </c>
      <c r="K19" t="s">
        <v>23</v>
      </c>
      <c r="L19">
        <v>85139</v>
      </c>
      <c r="M19" t="s">
        <v>45</v>
      </c>
      <c r="O19" t="s">
        <v>46</v>
      </c>
      <c r="P19">
        <v>5403</v>
      </c>
      <c r="Q19">
        <v>1</v>
      </c>
      <c r="R19">
        <v>103.27</v>
      </c>
      <c r="S19">
        <v>103.27</v>
      </c>
      <c r="T19">
        <v>78.38</v>
      </c>
      <c r="U19">
        <v>24.1</v>
      </c>
      <c r="V19" t="str">
        <f>VLOOKUP(L19,'[2]tabela de preços'!$A:$D,4,0)</f>
        <v>MULTILONA</v>
      </c>
      <c r="W19" t="str">
        <f>VLOOKUP(L19,'[2]tabela de preços'!$A:$F,6,0)</f>
        <v>LONAS</v>
      </c>
      <c r="X19" t="str">
        <f>VLOOKUP(L19,'[2]tabela de preços'!$A:$G,7,0)</f>
        <v>IMOBILIÁRIO</v>
      </c>
    </row>
    <row r="20" spans="1:24" x14ac:dyDescent="0.3">
      <c r="A20" t="s">
        <v>18</v>
      </c>
      <c r="C20" t="s">
        <v>47</v>
      </c>
      <c r="D20" s="1">
        <v>46038</v>
      </c>
      <c r="E20" t="s">
        <v>48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22</v>
      </c>
      <c r="K20" t="s">
        <v>23</v>
      </c>
      <c r="L20">
        <v>86711</v>
      </c>
      <c r="M20" t="s">
        <v>34</v>
      </c>
      <c r="O20" t="s">
        <v>11</v>
      </c>
      <c r="P20">
        <v>5102</v>
      </c>
      <c r="Q20">
        <v>1</v>
      </c>
      <c r="R20">
        <v>25.99</v>
      </c>
      <c r="S20">
        <v>25.99</v>
      </c>
      <c r="T20">
        <v>19.73</v>
      </c>
      <c r="U20">
        <v>24.09</v>
      </c>
      <c r="V20" t="str">
        <f>VLOOKUP(L20,'[2]tabela de preços'!$A:$D,4,0)</f>
        <v>CORAL</v>
      </c>
      <c r="W20" t="str">
        <f>VLOOKUP(L20,'[2]tabela de preços'!$A:$F,6,0)</f>
        <v>MASSA CORRIDA / ACRÍLICA</v>
      </c>
      <c r="X20" t="str">
        <f>VLOOKUP(L20,'[2]tabela de preços'!$A:$G,7,0)</f>
        <v>IMOBILIÁRIO</v>
      </c>
    </row>
    <row r="21" spans="1:24" x14ac:dyDescent="0.3">
      <c r="A21" t="s">
        <v>18</v>
      </c>
      <c r="C21" t="s">
        <v>49</v>
      </c>
      <c r="D21" s="1">
        <v>46038</v>
      </c>
      <c r="E21" t="s">
        <v>50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22</v>
      </c>
      <c r="K21" t="s">
        <v>23</v>
      </c>
      <c r="L21">
        <v>84411</v>
      </c>
      <c r="M21" t="s">
        <v>35</v>
      </c>
      <c r="O21" t="s">
        <v>11</v>
      </c>
      <c r="P21">
        <v>5102</v>
      </c>
      <c r="Q21">
        <v>1</v>
      </c>
      <c r="R21">
        <v>4.29</v>
      </c>
      <c r="S21">
        <v>4.29</v>
      </c>
      <c r="T21">
        <v>3.54</v>
      </c>
      <c r="U21">
        <v>17.48</v>
      </c>
      <c r="V21" t="str">
        <f>VLOOKUP(L21,'[2]tabela de preços'!$A:$D,4,0)</f>
        <v>ADERE</v>
      </c>
      <c r="W21" t="str">
        <f>VLOOKUP(L21,'[2]tabela de preços'!$A:$F,6,0)</f>
        <v xml:space="preserve">FITA DE USO GERAL </v>
      </c>
      <c r="X21" t="str">
        <f>VLOOKUP(L21,'[2]tabela de preços'!$A:$G,7,0)</f>
        <v>IMOBILIÁRIO</v>
      </c>
    </row>
    <row r="22" spans="1:24" x14ac:dyDescent="0.3">
      <c r="A22" t="s">
        <v>18</v>
      </c>
      <c r="C22" t="s">
        <v>49</v>
      </c>
      <c r="D22" s="1">
        <v>46038</v>
      </c>
      <c r="E22" t="s">
        <v>50</v>
      </c>
      <c r="F22">
        <v>9</v>
      </c>
      <c r="G22">
        <v>236</v>
      </c>
      <c r="H22" t="str">
        <f>VLOOKUP(G22,[1]OPERADORES!$A:$B,2,0)</f>
        <v>DANIEL</v>
      </c>
      <c r="I22" t="s">
        <v>21</v>
      </c>
      <c r="J22" t="s">
        <v>22</v>
      </c>
      <c r="K22" t="s">
        <v>23</v>
      </c>
      <c r="L22">
        <v>84928</v>
      </c>
      <c r="M22" t="s">
        <v>36</v>
      </c>
      <c r="O22" t="s">
        <v>11</v>
      </c>
      <c r="P22">
        <v>5102</v>
      </c>
      <c r="Q22">
        <v>8</v>
      </c>
      <c r="R22">
        <v>9.39</v>
      </c>
      <c r="S22">
        <v>75.12</v>
      </c>
      <c r="T22">
        <v>57.04</v>
      </c>
      <c r="U22">
        <v>24.07</v>
      </c>
      <c r="V22" t="str">
        <f>VLOOKUP(L22,'[2]tabela de preços'!$A:$D,4,0)</f>
        <v>ADERE</v>
      </c>
      <c r="W22" t="str">
        <f>VLOOKUP(L22,'[2]tabela de preços'!$A:$F,6,0)</f>
        <v xml:space="preserve">FITA DE USO GERAL </v>
      </c>
      <c r="X22" t="str">
        <f>VLOOKUP(L22,'[2]tabela de preços'!$A:$G,7,0)</f>
        <v>IMOBILIÁRIO</v>
      </c>
    </row>
    <row r="23" spans="1:24" x14ac:dyDescent="0.3">
      <c r="A23" t="s">
        <v>18</v>
      </c>
      <c r="C23" t="s">
        <v>51</v>
      </c>
      <c r="D23" s="1">
        <v>46043</v>
      </c>
      <c r="E23" t="s">
        <v>52</v>
      </c>
      <c r="F23">
        <v>9</v>
      </c>
      <c r="G23">
        <v>236</v>
      </c>
      <c r="H23" t="str">
        <f>VLOOKUP(G23,[1]OPERADORES!$A:$B,2,0)</f>
        <v>DANIEL</v>
      </c>
      <c r="I23" t="s">
        <v>21</v>
      </c>
      <c r="J23" t="s">
        <v>22</v>
      </c>
      <c r="K23" t="s">
        <v>23</v>
      </c>
      <c r="L23">
        <v>84761</v>
      </c>
      <c r="M23" t="s">
        <v>53</v>
      </c>
      <c r="O23" t="s">
        <v>11</v>
      </c>
      <c r="P23">
        <v>5403</v>
      </c>
      <c r="Q23">
        <v>2</v>
      </c>
      <c r="R23">
        <v>46.31</v>
      </c>
      <c r="S23">
        <v>92.62</v>
      </c>
      <c r="T23">
        <v>70.3</v>
      </c>
      <c r="U23">
        <v>24.1</v>
      </c>
      <c r="V23" t="str">
        <f>VLOOKUP(L23,'[2]tabela de preços'!$A:$D,4,0)</f>
        <v>BRASILUX</v>
      </c>
      <c r="W23" t="str">
        <f>VLOOKUP(L23,'[2]tabela de preços'!$A:$F,6,0)</f>
        <v>CIMENTO QUEIMADO / EFEITOS DECORATIVOS</v>
      </c>
      <c r="X23" t="str">
        <f>VLOOKUP(L23,'[2]tabela de preços'!$A:$G,7,0)</f>
        <v>IMOBILIÁRIO</v>
      </c>
    </row>
    <row r="24" spans="1:24" x14ac:dyDescent="0.3">
      <c r="A24" t="s">
        <v>18</v>
      </c>
      <c r="C24" t="s">
        <v>51</v>
      </c>
      <c r="D24" s="1">
        <v>46043</v>
      </c>
      <c r="E24" t="s">
        <v>52</v>
      </c>
      <c r="F24">
        <v>9</v>
      </c>
      <c r="G24">
        <v>236</v>
      </c>
      <c r="H24" t="str">
        <f>VLOOKUP(G24,[1]OPERADORES!$A:$B,2,0)</f>
        <v>DANIEL</v>
      </c>
      <c r="I24" t="s">
        <v>21</v>
      </c>
      <c r="J24" t="s">
        <v>22</v>
      </c>
      <c r="K24" t="s">
        <v>23</v>
      </c>
      <c r="L24">
        <v>85772</v>
      </c>
      <c r="M24" t="s">
        <v>54</v>
      </c>
      <c r="O24" t="s">
        <v>11</v>
      </c>
      <c r="P24">
        <v>5403</v>
      </c>
      <c r="Q24">
        <v>1</v>
      </c>
      <c r="R24">
        <v>78.11</v>
      </c>
      <c r="S24">
        <v>78.11</v>
      </c>
      <c r="T24">
        <v>59.28</v>
      </c>
      <c r="U24">
        <v>24.11</v>
      </c>
      <c r="V24" t="str">
        <f>VLOOKUP(L24,'[2]tabela de preços'!$A:$D,4,0)</f>
        <v>CORAL</v>
      </c>
      <c r="W24" t="str">
        <f>VLOOKUP(L24,'[2]tabela de preços'!$A:$F,6,0)</f>
        <v>TINTA PAREDE</v>
      </c>
      <c r="X24" t="str">
        <f>VLOOKUP(L24,'[2]tabela de preços'!$A:$G,7,0)</f>
        <v>IMOBILIÁRIO</v>
      </c>
    </row>
    <row r="25" spans="1:24" x14ac:dyDescent="0.3">
      <c r="A25" t="s">
        <v>18</v>
      </c>
      <c r="C25" t="s">
        <v>51</v>
      </c>
      <c r="D25" s="1">
        <v>46043</v>
      </c>
      <c r="E25" t="s">
        <v>52</v>
      </c>
      <c r="F25">
        <v>9</v>
      </c>
      <c r="G25">
        <v>236</v>
      </c>
      <c r="H25" t="str">
        <f>VLOOKUP(G25,[1]OPERADORES!$A:$B,2,0)</f>
        <v>DANIEL</v>
      </c>
      <c r="I25" t="s">
        <v>21</v>
      </c>
      <c r="J25" t="s">
        <v>22</v>
      </c>
      <c r="K25" t="s">
        <v>23</v>
      </c>
      <c r="L25">
        <v>23364</v>
      </c>
      <c r="M25" t="s">
        <v>55</v>
      </c>
      <c r="O25" t="s">
        <v>11</v>
      </c>
      <c r="P25">
        <v>5102</v>
      </c>
      <c r="Q25">
        <v>4</v>
      </c>
      <c r="R25">
        <v>6.19</v>
      </c>
      <c r="S25">
        <v>24.76</v>
      </c>
      <c r="T25">
        <v>19.64</v>
      </c>
      <c r="U25">
        <v>20.68</v>
      </c>
      <c r="V25" t="str">
        <f>VLOOKUP(L25,'[2]tabela de preços'!$A:$D,4,0)</f>
        <v>AUTO AMERICA</v>
      </c>
      <c r="W25" t="str">
        <f>VLOOKUP(L25,'[2]tabela de preços'!$A:$F,6,0)</f>
        <v>FLANELAS / PANOS</v>
      </c>
      <c r="X25" t="str">
        <f>VLOOKUP(L25,'[2]tabela de preços'!$A:$G,7,0)</f>
        <v>AUTOMOTIVO</v>
      </c>
    </row>
    <row r="26" spans="1:24" x14ac:dyDescent="0.3">
      <c r="A26" t="s">
        <v>18</v>
      </c>
      <c r="C26" t="s">
        <v>51</v>
      </c>
      <c r="D26" s="1">
        <v>46043</v>
      </c>
      <c r="E26" t="s">
        <v>52</v>
      </c>
      <c r="F26">
        <v>9</v>
      </c>
      <c r="G26">
        <v>236</v>
      </c>
      <c r="H26" t="str">
        <f>VLOOKUP(G26,[1]OPERADORES!$A:$B,2,0)</f>
        <v>DANIEL</v>
      </c>
      <c r="I26" t="s">
        <v>21</v>
      </c>
      <c r="J26" t="s">
        <v>22</v>
      </c>
      <c r="K26" t="s">
        <v>23</v>
      </c>
      <c r="L26">
        <v>86188</v>
      </c>
      <c r="M26" t="s">
        <v>56</v>
      </c>
      <c r="O26" t="s">
        <v>11</v>
      </c>
      <c r="P26">
        <v>5403</v>
      </c>
      <c r="Q26">
        <v>1</v>
      </c>
      <c r="R26">
        <v>55.98</v>
      </c>
      <c r="S26">
        <v>55.98</v>
      </c>
      <c r="T26">
        <v>31.81</v>
      </c>
      <c r="U26">
        <v>43.18</v>
      </c>
      <c r="V26" t="str">
        <f>VLOOKUP(L26,'[2]tabela de preços'!$A:$D,4,0)</f>
        <v>CORAL</v>
      </c>
      <c r="W26" t="str">
        <f>VLOOKUP(L26,'[2]tabela de preços'!$A:$F,6,0)</f>
        <v>BASES IMOBILIÁRIAS</v>
      </c>
      <c r="X26" t="str">
        <f>VLOOKUP(L26,'[2]tabela de preços'!$A:$G,7,0)</f>
        <v>IMOBILIÁRIO</v>
      </c>
    </row>
    <row r="27" spans="1:24" x14ac:dyDescent="0.3">
      <c r="A27" t="s">
        <v>18</v>
      </c>
      <c r="C27" t="s">
        <v>51</v>
      </c>
      <c r="D27" s="1">
        <v>46043</v>
      </c>
      <c r="E27" t="s">
        <v>52</v>
      </c>
      <c r="F27">
        <v>9</v>
      </c>
      <c r="G27">
        <v>236</v>
      </c>
      <c r="H27" t="str">
        <f>VLOOKUP(G27,[1]OPERADORES!$A:$B,2,0)</f>
        <v>DANIEL</v>
      </c>
      <c r="I27" t="s">
        <v>21</v>
      </c>
      <c r="J27" t="s">
        <v>22</v>
      </c>
      <c r="K27" t="s">
        <v>23</v>
      </c>
      <c r="L27">
        <v>86188</v>
      </c>
      <c r="M27" t="s">
        <v>57</v>
      </c>
      <c r="O27" t="s">
        <v>11</v>
      </c>
      <c r="P27">
        <v>5403</v>
      </c>
      <c r="Q27">
        <v>1</v>
      </c>
      <c r="R27">
        <v>61.2</v>
      </c>
      <c r="S27">
        <v>61.2</v>
      </c>
      <c r="T27">
        <v>34.78</v>
      </c>
      <c r="U27">
        <v>43.17</v>
      </c>
      <c r="V27" t="str">
        <f>VLOOKUP(L27,'[2]tabela de preços'!$A:$D,4,0)</f>
        <v>CORAL</v>
      </c>
      <c r="W27" t="str">
        <f>VLOOKUP(L27,'[2]tabela de preços'!$A:$F,6,0)</f>
        <v>BASES IMOBILIÁRIAS</v>
      </c>
      <c r="X27" t="str">
        <f>VLOOKUP(L27,'[2]tabela de preços'!$A:$G,7,0)</f>
        <v>IMOBILIÁRIO</v>
      </c>
    </row>
    <row r="28" spans="1:24" x14ac:dyDescent="0.3">
      <c r="A28" t="s">
        <v>18</v>
      </c>
      <c r="C28" t="s">
        <v>58</v>
      </c>
      <c r="D28" s="1">
        <v>46050</v>
      </c>
      <c r="E28" t="s">
        <v>59</v>
      </c>
      <c r="F28">
        <v>9</v>
      </c>
      <c r="G28">
        <v>236</v>
      </c>
      <c r="H28" t="str">
        <f>VLOOKUP(G28,[1]OPERADORES!$A:$B,2,0)</f>
        <v>DANIEL</v>
      </c>
      <c r="I28" t="s">
        <v>21</v>
      </c>
      <c r="J28" t="s">
        <v>22</v>
      </c>
      <c r="K28" t="s">
        <v>23</v>
      </c>
      <c r="L28">
        <v>85139</v>
      </c>
      <c r="M28" t="s">
        <v>45</v>
      </c>
      <c r="O28" t="s">
        <v>46</v>
      </c>
      <c r="P28">
        <v>5403</v>
      </c>
      <c r="Q28">
        <v>1</v>
      </c>
      <c r="R28">
        <v>103.27</v>
      </c>
      <c r="S28">
        <v>103.27</v>
      </c>
      <c r="T28">
        <v>78.38</v>
      </c>
      <c r="U28">
        <v>24.1</v>
      </c>
      <c r="V28" t="str">
        <f>VLOOKUP(L28,'[2]tabela de preços'!$A:$D,4,0)</f>
        <v>MULTILONA</v>
      </c>
      <c r="W28" t="str">
        <f>VLOOKUP(L28,'[2]tabela de preços'!$A:$F,6,0)</f>
        <v>LONAS</v>
      </c>
      <c r="X28" t="str">
        <f>VLOOKUP(L28,'[2]tabela de preços'!$A:$G,7,0)</f>
        <v>IMOBILIÁRIO</v>
      </c>
    </row>
    <row r="29" spans="1:24" x14ac:dyDescent="0.3">
      <c r="A29" t="s">
        <v>18</v>
      </c>
      <c r="C29" t="s">
        <v>58</v>
      </c>
      <c r="D29" s="1">
        <v>46050</v>
      </c>
      <c r="E29" t="s">
        <v>59</v>
      </c>
      <c r="F29">
        <v>9</v>
      </c>
      <c r="G29">
        <v>236</v>
      </c>
      <c r="H29" t="str">
        <f>VLOOKUP(G29,[1]OPERADORES!$A:$B,2,0)</f>
        <v>DANIEL</v>
      </c>
      <c r="I29" t="s">
        <v>21</v>
      </c>
      <c r="J29" t="s">
        <v>22</v>
      </c>
      <c r="K29" t="s">
        <v>23</v>
      </c>
      <c r="L29">
        <v>85037</v>
      </c>
      <c r="M29" t="s">
        <v>60</v>
      </c>
      <c r="O29" t="s">
        <v>11</v>
      </c>
      <c r="P29">
        <v>5102</v>
      </c>
      <c r="Q29">
        <v>10</v>
      </c>
      <c r="R29">
        <v>6</v>
      </c>
      <c r="S29">
        <v>60</v>
      </c>
      <c r="T29">
        <v>47.8</v>
      </c>
      <c r="U29">
        <v>20.329999999999998</v>
      </c>
      <c r="V29" t="str">
        <f>VLOOKUP(L29,'[2]tabela de preços'!$A:$D,4,0)</f>
        <v>ATLAS</v>
      </c>
      <c r="W29" t="str">
        <f>VLOOKUP(L29,'[2]tabela de preços'!$A:$F,6,0)</f>
        <v>ROLOS / TRINCHAS / PINCÉIS / ESPÁTULAS</v>
      </c>
      <c r="X29" t="str">
        <f>VLOOKUP(L29,'[2]tabela de preços'!$A:$G,7,0)</f>
        <v>IMOBILIÁRIO</v>
      </c>
    </row>
    <row r="30" spans="1:24" x14ac:dyDescent="0.3">
      <c r="A30" t="s">
        <v>18</v>
      </c>
      <c r="C30" t="s">
        <v>61</v>
      </c>
      <c r="D30" s="1">
        <v>46051</v>
      </c>
      <c r="E30" t="s">
        <v>62</v>
      </c>
      <c r="F30">
        <v>9</v>
      </c>
      <c r="G30">
        <v>236</v>
      </c>
      <c r="H30" t="str">
        <f>VLOOKUP(G30,[1]OPERADORES!$A:$B,2,0)</f>
        <v>DANIEL</v>
      </c>
      <c r="I30" t="s">
        <v>21</v>
      </c>
      <c r="J30" t="s">
        <v>22</v>
      </c>
      <c r="K30" t="s">
        <v>23</v>
      </c>
      <c r="L30">
        <v>84761</v>
      </c>
      <c r="M30" t="s">
        <v>53</v>
      </c>
      <c r="O30" t="s">
        <v>11</v>
      </c>
      <c r="P30">
        <v>5403</v>
      </c>
      <c r="Q30">
        <v>1</v>
      </c>
      <c r="R30">
        <v>46.31</v>
      </c>
      <c r="S30">
        <v>46.31</v>
      </c>
      <c r="T30">
        <v>35.15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CIMENTO QUEIMADO / EFEITOS DECORATIVOS</v>
      </c>
      <c r="X30" t="str">
        <f>VLOOKUP(L30,'[2]tabela de preços'!$A:$G,7,0)</f>
        <v>IMOBILIÁRIO</v>
      </c>
    </row>
    <row r="31" spans="1:24" x14ac:dyDescent="0.3">
      <c r="A31" t="s">
        <v>18</v>
      </c>
      <c r="C31" t="s">
        <v>2367</v>
      </c>
      <c r="D31" s="1">
        <v>46052</v>
      </c>
      <c r="E31" t="s">
        <v>2368</v>
      </c>
      <c r="F31">
        <v>9</v>
      </c>
      <c r="G31">
        <v>236</v>
      </c>
      <c r="H31" t="str">
        <f>VLOOKUP(G31,[1]OPERADORES!$A:$B,2,0)</f>
        <v>DANIEL</v>
      </c>
      <c r="I31" t="s">
        <v>21</v>
      </c>
      <c r="J31" t="s">
        <v>22</v>
      </c>
      <c r="K31" t="s">
        <v>23</v>
      </c>
      <c r="L31">
        <v>86195</v>
      </c>
      <c r="M31" t="s">
        <v>33</v>
      </c>
      <c r="O31" t="s">
        <v>11</v>
      </c>
      <c r="P31">
        <v>5403</v>
      </c>
      <c r="Q31">
        <v>1</v>
      </c>
      <c r="R31">
        <v>134.26</v>
      </c>
      <c r="S31">
        <v>134.26</v>
      </c>
      <c r="T31">
        <v>101.9</v>
      </c>
      <c r="U31">
        <v>24.1</v>
      </c>
      <c r="V31" t="str">
        <f>VLOOKUP(L31,'[2]tabela de preços'!$A:$D,4,0)</f>
        <v>CORAL</v>
      </c>
      <c r="W31" t="str">
        <f>VLOOKUP(L31,'[2]tabela de preços'!$A:$F,6,0)</f>
        <v>TINTA PAREDE</v>
      </c>
      <c r="X31" t="str">
        <f>VLOOKUP(L31,'[2]tabela de preços'!$A:$G,7,0)</f>
        <v>IMOBILIÁRIO</v>
      </c>
    </row>
    <row r="32" spans="1:24" x14ac:dyDescent="0.3">
      <c r="A32" t="s">
        <v>63</v>
      </c>
      <c r="C32" t="s">
        <v>64</v>
      </c>
      <c r="D32" s="1">
        <v>46027</v>
      </c>
      <c r="E32" t="s">
        <v>65</v>
      </c>
      <c r="F32">
        <v>9</v>
      </c>
      <c r="G32">
        <v>236</v>
      </c>
      <c r="H32" t="str">
        <f>VLOOKUP(G32,[1]OPERADORES!$A:$B,2,0)</f>
        <v>DANIEL</v>
      </c>
      <c r="I32" t="s">
        <v>21</v>
      </c>
      <c r="J32" t="s">
        <v>66</v>
      </c>
      <c r="K32" t="s">
        <v>67</v>
      </c>
      <c r="L32">
        <v>10333</v>
      </c>
      <c r="M32" t="s">
        <v>68</v>
      </c>
      <c r="O32" t="s">
        <v>11</v>
      </c>
      <c r="P32">
        <v>5102</v>
      </c>
      <c r="Q32">
        <v>6</v>
      </c>
      <c r="R32">
        <v>28.65</v>
      </c>
      <c r="S32">
        <v>171.9</v>
      </c>
      <c r="T32">
        <v>130.44</v>
      </c>
      <c r="U32">
        <v>24.12</v>
      </c>
      <c r="V32" t="str">
        <f>VLOOKUP(L32,'[2]tabela de preços'!$A:$D,4,0)</f>
        <v>ANJO</v>
      </c>
      <c r="W32" t="str">
        <f>VLOOKUP(L32,'[2]tabela de preços'!$A:$F,6,0)</f>
        <v>REMOVEDOR PASTOSO</v>
      </c>
      <c r="X32" t="str">
        <f>VLOOKUP(L32,'[2]tabela de preços'!$A:$G,7,0)</f>
        <v>AUTOMOTIVO</v>
      </c>
    </row>
    <row r="33" spans="1:24" x14ac:dyDescent="0.3">
      <c r="A33" t="s">
        <v>63</v>
      </c>
      <c r="C33" t="s">
        <v>69</v>
      </c>
      <c r="D33" s="1">
        <v>46035</v>
      </c>
      <c r="E33" t="s">
        <v>70</v>
      </c>
      <c r="F33">
        <v>9</v>
      </c>
      <c r="G33">
        <v>236</v>
      </c>
      <c r="H33" t="str">
        <f>VLOOKUP(G33,[1]OPERADORES!$A:$B,2,0)</f>
        <v>DANIEL</v>
      </c>
      <c r="I33" t="s">
        <v>21</v>
      </c>
      <c r="J33" t="s">
        <v>66</v>
      </c>
      <c r="K33" t="s">
        <v>67</v>
      </c>
      <c r="L33">
        <v>23656</v>
      </c>
      <c r="M33" t="s">
        <v>71</v>
      </c>
      <c r="O33" t="s">
        <v>11</v>
      </c>
      <c r="P33">
        <v>5403</v>
      </c>
      <c r="Q33">
        <v>2</v>
      </c>
      <c r="R33">
        <v>104.45</v>
      </c>
      <c r="S33">
        <v>208.9</v>
      </c>
      <c r="T33">
        <v>158.56</v>
      </c>
      <c r="U33">
        <v>24.1</v>
      </c>
      <c r="V33" t="str">
        <f>VLOOKUP(L33,'[2]tabela de preços'!$A:$D,4,0)</f>
        <v>SHERWIN WILLIAMS</v>
      </c>
      <c r="W33" t="str">
        <f>VLOOKUP(L33,'[2]tabela de preços'!$A:$F,6,0)</f>
        <v>CATALISADORES INDIVIDUAS</v>
      </c>
      <c r="X33" t="str">
        <f>VLOOKUP(L33,'[2]tabela de preços'!$A:$G,7,0)</f>
        <v>AUTOMOTIVO</v>
      </c>
    </row>
    <row r="34" spans="1:24" x14ac:dyDescent="0.3">
      <c r="A34" t="s">
        <v>63</v>
      </c>
      <c r="C34" t="s">
        <v>69</v>
      </c>
      <c r="D34" s="1">
        <v>46035</v>
      </c>
      <c r="E34" t="s">
        <v>72</v>
      </c>
      <c r="F34">
        <v>9</v>
      </c>
      <c r="G34">
        <v>236</v>
      </c>
      <c r="H34" t="str">
        <f>VLOOKUP(G34,[1]OPERADORES!$A:$B,2,0)</f>
        <v>DANIEL</v>
      </c>
      <c r="I34" t="s">
        <v>21</v>
      </c>
      <c r="J34" t="s">
        <v>66</v>
      </c>
      <c r="K34" t="s">
        <v>67</v>
      </c>
      <c r="L34">
        <v>22684</v>
      </c>
      <c r="M34" t="s">
        <v>73</v>
      </c>
      <c r="O34" t="s">
        <v>11</v>
      </c>
      <c r="P34">
        <v>5102</v>
      </c>
      <c r="Q34">
        <v>10</v>
      </c>
      <c r="R34">
        <v>3.65</v>
      </c>
      <c r="S34">
        <v>36.5</v>
      </c>
      <c r="T34">
        <v>30.8</v>
      </c>
      <c r="U34">
        <v>15.62</v>
      </c>
      <c r="V34" t="str">
        <f>VLOOKUP(L34,'[2]tabela de preços'!$A:$D,4,0)</f>
        <v>3M</v>
      </c>
      <c r="W34" t="str">
        <f>VLOOKUP(L34,'[2]tabela de preços'!$A:$F,6,0)</f>
        <v>FITA AUTOMOTIVA</v>
      </c>
      <c r="X34" t="str">
        <f>VLOOKUP(L34,'[2]tabela de preços'!$A:$G,7,0)</f>
        <v>AUTOMOTIVO</v>
      </c>
    </row>
    <row r="35" spans="1:24" x14ac:dyDescent="0.3">
      <c r="A35" t="s">
        <v>63</v>
      </c>
      <c r="C35" t="s">
        <v>69</v>
      </c>
      <c r="D35" s="1">
        <v>46035</v>
      </c>
      <c r="E35" t="s">
        <v>70</v>
      </c>
      <c r="F35">
        <v>9</v>
      </c>
      <c r="G35">
        <v>236</v>
      </c>
      <c r="H35" t="str">
        <f>VLOOKUP(G35,[1]OPERADORES!$A:$B,2,0)</f>
        <v>DANIEL</v>
      </c>
      <c r="I35" t="s">
        <v>21</v>
      </c>
      <c r="J35" t="s">
        <v>66</v>
      </c>
      <c r="K35" t="s">
        <v>67</v>
      </c>
      <c r="L35">
        <v>21721</v>
      </c>
      <c r="M35" t="s">
        <v>74</v>
      </c>
      <c r="O35" t="s">
        <v>11</v>
      </c>
      <c r="P35">
        <v>5403</v>
      </c>
      <c r="Q35">
        <v>1</v>
      </c>
      <c r="R35">
        <v>27.04</v>
      </c>
      <c r="S35">
        <v>27.04</v>
      </c>
      <c r="T35">
        <v>20.52</v>
      </c>
      <c r="U35">
        <v>24.11</v>
      </c>
      <c r="V35" t="str">
        <f>VLOOKUP(L35,'[2]tabela de preços'!$A:$D,4,0)</f>
        <v>WANDA</v>
      </c>
      <c r="W35" t="str">
        <f>VLOOKUP(L35,'[2]tabela de preços'!$A:$F,6,0)</f>
        <v xml:space="preserve">MASCARAMENTO </v>
      </c>
      <c r="X35" t="str">
        <f>VLOOKUP(L35,'[2]tabela de preços'!$A:$G,7,0)</f>
        <v>AUTOMOTIVO</v>
      </c>
    </row>
    <row r="36" spans="1:24" x14ac:dyDescent="0.3">
      <c r="A36" t="s">
        <v>63</v>
      </c>
      <c r="C36" t="s">
        <v>69</v>
      </c>
      <c r="D36" s="1">
        <v>46035</v>
      </c>
      <c r="E36" t="s">
        <v>70</v>
      </c>
      <c r="F36">
        <v>9</v>
      </c>
      <c r="G36">
        <v>236</v>
      </c>
      <c r="H36" t="str">
        <f>VLOOKUP(G36,[1]OPERADORES!$A:$B,2,0)</f>
        <v>DANIEL</v>
      </c>
      <c r="I36" t="s">
        <v>21</v>
      </c>
      <c r="J36" t="s">
        <v>66</v>
      </c>
      <c r="K36" t="s">
        <v>67</v>
      </c>
      <c r="L36">
        <v>10333</v>
      </c>
      <c r="M36" t="s">
        <v>68</v>
      </c>
      <c r="O36" t="s">
        <v>11</v>
      </c>
      <c r="P36">
        <v>5102</v>
      </c>
      <c r="Q36">
        <v>6</v>
      </c>
      <c r="R36">
        <v>28.65</v>
      </c>
      <c r="S36">
        <v>171.9</v>
      </c>
      <c r="T36">
        <v>130.44</v>
      </c>
      <c r="U36">
        <v>24.12</v>
      </c>
      <c r="V36" t="str">
        <f>VLOOKUP(L36,'[2]tabela de preços'!$A:$D,4,0)</f>
        <v>ANJO</v>
      </c>
      <c r="W36" t="str">
        <f>VLOOKUP(L36,'[2]tabela de preços'!$A:$F,6,0)</f>
        <v>REMOVEDOR PASTOSO</v>
      </c>
      <c r="X36" t="str">
        <f>VLOOKUP(L36,'[2]tabela de preços'!$A:$G,7,0)</f>
        <v>AUTOMOTIVO</v>
      </c>
    </row>
    <row r="37" spans="1:24" x14ac:dyDescent="0.3">
      <c r="A37" t="s">
        <v>63</v>
      </c>
      <c r="C37" t="s">
        <v>75</v>
      </c>
      <c r="D37" s="1">
        <v>46043</v>
      </c>
      <c r="E37" t="s">
        <v>76</v>
      </c>
      <c r="F37">
        <v>9</v>
      </c>
      <c r="G37">
        <v>236</v>
      </c>
      <c r="H37" t="str">
        <f>VLOOKUP(G37,[1]OPERADORES!$A:$B,2,0)</f>
        <v>DANIEL</v>
      </c>
      <c r="I37" t="s">
        <v>21</v>
      </c>
      <c r="J37" t="s">
        <v>66</v>
      </c>
      <c r="K37" t="s">
        <v>67</v>
      </c>
      <c r="L37">
        <v>84644</v>
      </c>
      <c r="M37" t="s">
        <v>77</v>
      </c>
      <c r="O37" t="s">
        <v>11</v>
      </c>
      <c r="P37">
        <v>5403</v>
      </c>
      <c r="Q37">
        <v>1</v>
      </c>
      <c r="R37">
        <v>38.119999999999997</v>
      </c>
      <c r="S37">
        <v>38.119999999999997</v>
      </c>
      <c r="T37">
        <v>27.33</v>
      </c>
      <c r="U37">
        <v>28.31</v>
      </c>
      <c r="V37" t="str">
        <f>VLOOKUP(L37,'[2]tabela de preços'!$A:$D,4,0)</f>
        <v>BRASILUX</v>
      </c>
      <c r="W37" t="str">
        <f>VLOOKUP(L37,'[2]tabela de preços'!$A:$F,6,0)</f>
        <v xml:space="preserve">BASES SISTEMA NO MACHINE </v>
      </c>
      <c r="X37" t="str">
        <f>VLOOKUP(L37,'[2]tabela de preços'!$A:$G,7,0)</f>
        <v>INDUSTRIAL</v>
      </c>
    </row>
    <row r="38" spans="1:24" x14ac:dyDescent="0.3">
      <c r="A38" t="s">
        <v>63</v>
      </c>
      <c r="C38" t="s">
        <v>75</v>
      </c>
      <c r="D38" s="1">
        <v>46043</v>
      </c>
      <c r="E38" t="s">
        <v>76</v>
      </c>
      <c r="F38">
        <v>9</v>
      </c>
      <c r="G38">
        <v>236</v>
      </c>
      <c r="H38" t="str">
        <f>VLOOKUP(G38,[1]OPERADORES!$A:$B,2,0)</f>
        <v>DANIEL</v>
      </c>
      <c r="I38" t="s">
        <v>21</v>
      </c>
      <c r="J38" t="s">
        <v>66</v>
      </c>
      <c r="K38" t="s">
        <v>67</v>
      </c>
      <c r="L38">
        <v>22188</v>
      </c>
      <c r="M38" t="s">
        <v>78</v>
      </c>
      <c r="O38" t="s">
        <v>11</v>
      </c>
      <c r="P38">
        <v>5102</v>
      </c>
      <c r="Q38">
        <v>3</v>
      </c>
      <c r="R38">
        <v>14.35</v>
      </c>
      <c r="S38">
        <v>43.05</v>
      </c>
      <c r="T38">
        <v>32.67</v>
      </c>
      <c r="U38">
        <v>24.11</v>
      </c>
      <c r="V38" t="str">
        <f>VLOOKUP(L38,'[2]tabela de preços'!$A:$D,4,0)</f>
        <v>3M</v>
      </c>
      <c r="W38" t="str">
        <f>VLOOKUP(L38,'[2]tabela de preços'!$A:$F,6,0)</f>
        <v>FITA AUTOMOTIVA</v>
      </c>
      <c r="X38" t="str">
        <f>VLOOKUP(L38,'[2]tabela de preços'!$A:$G,7,0)</f>
        <v>AUTOMOTIVO</v>
      </c>
    </row>
    <row r="39" spans="1:24" x14ac:dyDescent="0.3">
      <c r="A39" t="s">
        <v>63</v>
      </c>
      <c r="C39" t="s">
        <v>75</v>
      </c>
      <c r="D39" s="1">
        <v>46043</v>
      </c>
      <c r="E39" t="s">
        <v>76</v>
      </c>
      <c r="F39">
        <v>9</v>
      </c>
      <c r="G39">
        <v>236</v>
      </c>
      <c r="H39" t="str">
        <f>VLOOKUP(G39,[1]OPERADORES!$A:$B,2,0)</f>
        <v>DANIEL</v>
      </c>
      <c r="I39" t="s">
        <v>21</v>
      </c>
      <c r="J39" t="s">
        <v>66</v>
      </c>
      <c r="K39" t="s">
        <v>67</v>
      </c>
      <c r="L39">
        <v>10238</v>
      </c>
      <c r="M39" t="s">
        <v>79</v>
      </c>
      <c r="O39" t="s">
        <v>11</v>
      </c>
      <c r="P39">
        <v>5102</v>
      </c>
      <c r="Q39">
        <v>6</v>
      </c>
      <c r="R39">
        <v>2.79</v>
      </c>
      <c r="S39">
        <v>16.739999999999998</v>
      </c>
      <c r="T39">
        <v>13.44</v>
      </c>
      <c r="U39">
        <v>19.71</v>
      </c>
      <c r="V39" t="str">
        <f>VLOOKUP(L39,'[2]tabela de preços'!$A:$D,4,0)</f>
        <v>NORTON</v>
      </c>
      <c r="W39" t="str">
        <f>VLOOKUP(L39,'[2]tabela de preços'!$A:$F,6,0)</f>
        <v xml:space="preserve">DISCOS / LIXAS / ABRASIVOS </v>
      </c>
      <c r="X39" t="str">
        <f>VLOOKUP(L39,'[2]tabela de preços'!$A:$G,7,0)</f>
        <v>AUTOMOTIVO</v>
      </c>
    </row>
    <row r="40" spans="1:24" x14ac:dyDescent="0.3">
      <c r="A40" t="s">
        <v>63</v>
      </c>
      <c r="C40" t="s">
        <v>75</v>
      </c>
      <c r="D40" s="1">
        <v>46043</v>
      </c>
      <c r="E40" t="s">
        <v>76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10239</v>
      </c>
      <c r="M40" t="s">
        <v>80</v>
      </c>
      <c r="O40" t="s">
        <v>11</v>
      </c>
      <c r="P40">
        <v>5102</v>
      </c>
      <c r="Q40">
        <v>6</v>
      </c>
      <c r="R40">
        <v>2.79</v>
      </c>
      <c r="S40">
        <v>16.739999999999998</v>
      </c>
      <c r="T40">
        <v>14.04</v>
      </c>
      <c r="U40">
        <v>16.13</v>
      </c>
      <c r="V40" t="str">
        <f>VLOOKUP(L40,'[2]tabela de preços'!$A:$D,4,0)</f>
        <v>NORTON</v>
      </c>
      <c r="W40" t="str">
        <f>VLOOKUP(L40,'[2]tabela de preços'!$A:$F,6,0)</f>
        <v xml:space="preserve">DISCOS / LIXAS / ABRASIVOS </v>
      </c>
      <c r="X40" t="str">
        <f>VLOOKUP(L40,'[2]tabela de preços'!$A:$G,7,0)</f>
        <v>AUTOMOTIVO</v>
      </c>
    </row>
    <row r="41" spans="1:24" x14ac:dyDescent="0.3">
      <c r="A41" t="s">
        <v>63</v>
      </c>
      <c r="C41" t="s">
        <v>75</v>
      </c>
      <c r="D41" s="1">
        <v>46043</v>
      </c>
      <c r="E41" t="s">
        <v>76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66</v>
      </c>
      <c r="K41" t="s">
        <v>67</v>
      </c>
      <c r="L41">
        <v>10240</v>
      </c>
      <c r="M41" t="s">
        <v>81</v>
      </c>
      <c r="O41" t="s">
        <v>11</v>
      </c>
      <c r="P41">
        <v>5102</v>
      </c>
      <c r="Q41">
        <v>6</v>
      </c>
      <c r="R41">
        <v>2.79</v>
      </c>
      <c r="S41">
        <v>16.739999999999998</v>
      </c>
      <c r="T41">
        <v>13.44</v>
      </c>
      <c r="U41">
        <v>19.71</v>
      </c>
      <c r="V41" t="str">
        <f>VLOOKUP(L41,'[2]tabela de preços'!$A:$D,4,0)</f>
        <v>NORTON</v>
      </c>
      <c r="W41" t="str">
        <f>VLOOKUP(L41,'[2]tabela de preços'!$A:$F,6,0)</f>
        <v xml:space="preserve">DISCOS / LIXAS / ABRASIVOS </v>
      </c>
      <c r="X41" t="str">
        <f>VLOOKUP(L41,'[2]tabela de preços'!$A:$G,7,0)</f>
        <v>AUTOMOTIVO</v>
      </c>
    </row>
    <row r="42" spans="1:24" x14ac:dyDescent="0.3">
      <c r="A42" t="s">
        <v>63</v>
      </c>
      <c r="C42" t="s">
        <v>75</v>
      </c>
      <c r="D42" s="1">
        <v>46043</v>
      </c>
      <c r="E42" t="s">
        <v>76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66</v>
      </c>
      <c r="K42" t="s">
        <v>67</v>
      </c>
      <c r="L42">
        <v>10242</v>
      </c>
      <c r="M42" t="s">
        <v>82</v>
      </c>
      <c r="O42" t="s">
        <v>11</v>
      </c>
      <c r="P42">
        <v>5102</v>
      </c>
      <c r="Q42">
        <v>6</v>
      </c>
      <c r="R42">
        <v>2.79</v>
      </c>
      <c r="S42">
        <v>16.739999999999998</v>
      </c>
      <c r="T42">
        <v>13.44</v>
      </c>
      <c r="U42">
        <v>19.71</v>
      </c>
      <c r="V42" t="str">
        <f>VLOOKUP(L42,'[2]tabela de preços'!$A:$D,4,0)</f>
        <v>NORTON</v>
      </c>
      <c r="W42" t="str">
        <f>VLOOKUP(L42,'[2]tabela de preços'!$A:$F,6,0)</f>
        <v xml:space="preserve">DISCOS / LIXAS / ABRASIVOS </v>
      </c>
      <c r="X42" t="str">
        <f>VLOOKUP(L42,'[2]tabela de preços'!$A:$G,7,0)</f>
        <v>AUTOMOTIVO</v>
      </c>
    </row>
    <row r="43" spans="1:24" x14ac:dyDescent="0.3">
      <c r="A43" t="s">
        <v>63</v>
      </c>
      <c r="C43" t="s">
        <v>75</v>
      </c>
      <c r="D43" s="1">
        <v>46043</v>
      </c>
      <c r="E43" t="s">
        <v>76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66</v>
      </c>
      <c r="K43" t="s">
        <v>67</v>
      </c>
      <c r="L43">
        <v>10243</v>
      </c>
      <c r="M43" t="s">
        <v>83</v>
      </c>
      <c r="O43" t="s">
        <v>11</v>
      </c>
      <c r="P43">
        <v>5102</v>
      </c>
      <c r="Q43">
        <v>6</v>
      </c>
      <c r="R43">
        <v>2.79</v>
      </c>
      <c r="S43">
        <v>16.739999999999998</v>
      </c>
      <c r="T43">
        <v>11.58</v>
      </c>
      <c r="U43">
        <v>30.82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63</v>
      </c>
      <c r="C44" t="s">
        <v>75</v>
      </c>
      <c r="D44" s="1">
        <v>46043</v>
      </c>
      <c r="E44" t="s">
        <v>76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66</v>
      </c>
      <c r="K44" t="s">
        <v>67</v>
      </c>
      <c r="L44">
        <v>10244</v>
      </c>
      <c r="M44" t="s">
        <v>84</v>
      </c>
      <c r="O44" t="s">
        <v>11</v>
      </c>
      <c r="P44">
        <v>5102</v>
      </c>
      <c r="Q44">
        <v>6</v>
      </c>
      <c r="R44">
        <v>2.79</v>
      </c>
      <c r="S44">
        <v>16.739999999999998</v>
      </c>
      <c r="T44">
        <v>11.58</v>
      </c>
      <c r="U44">
        <v>30.82</v>
      </c>
      <c r="V44" t="str">
        <f>VLOOKUP(L44,'[2]tabela de preços'!$A:$D,4,0)</f>
        <v>NORTON</v>
      </c>
      <c r="W44" t="str">
        <f>VLOOKUP(L44,'[2]tabela de preços'!$A:$F,6,0)</f>
        <v xml:space="preserve">DISCOS / LIXAS / ABRASIVOS </v>
      </c>
      <c r="X44" t="str">
        <f>VLOOKUP(L44,'[2]tabela de preços'!$A:$G,7,0)</f>
        <v>AUTOMOTIVO</v>
      </c>
    </row>
    <row r="45" spans="1:24" x14ac:dyDescent="0.3">
      <c r="A45" t="s">
        <v>63</v>
      </c>
      <c r="C45" t="s">
        <v>75</v>
      </c>
      <c r="D45" s="1">
        <v>46043</v>
      </c>
      <c r="E45" t="s">
        <v>76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66</v>
      </c>
      <c r="K45" t="s">
        <v>67</v>
      </c>
      <c r="L45">
        <v>10298</v>
      </c>
      <c r="M45" t="s">
        <v>85</v>
      </c>
      <c r="O45" t="s">
        <v>11</v>
      </c>
      <c r="P45">
        <v>5102</v>
      </c>
      <c r="Q45">
        <v>1</v>
      </c>
      <c r="R45">
        <v>56.89</v>
      </c>
      <c r="S45">
        <v>56.89</v>
      </c>
      <c r="T45">
        <v>47.38</v>
      </c>
      <c r="U45">
        <v>16.72</v>
      </c>
      <c r="V45" t="str">
        <f>VLOOKUP(L45,'[2]tabela de preços'!$A:$D,4,0)</f>
        <v>ANJO</v>
      </c>
      <c r="W45" t="str">
        <f>VLOOKUP(L45,'[2]tabela de preços'!$A:$F,6,0)</f>
        <v>THINNER DE LIMPEZA</v>
      </c>
      <c r="X45" t="str">
        <f>VLOOKUP(L45,'[2]tabela de preços'!$A:$G,7,0)</f>
        <v>THINNER</v>
      </c>
    </row>
    <row r="46" spans="1:24" x14ac:dyDescent="0.3">
      <c r="A46" t="s">
        <v>86</v>
      </c>
      <c r="C46" t="s">
        <v>87</v>
      </c>
      <c r="D46" s="1">
        <v>46038</v>
      </c>
      <c r="E46" t="s">
        <v>88</v>
      </c>
      <c r="F46">
        <v>9</v>
      </c>
      <c r="G46">
        <v>230</v>
      </c>
      <c r="H46" t="str">
        <f>VLOOKUP(G46,[1]OPERADORES!$A:$B,2,0)</f>
        <v>SÔNIA</v>
      </c>
      <c r="I46" t="s">
        <v>21</v>
      </c>
      <c r="J46" t="s">
        <v>89</v>
      </c>
      <c r="K46" t="s">
        <v>90</v>
      </c>
      <c r="L46">
        <v>84381</v>
      </c>
      <c r="M46" t="s">
        <v>91</v>
      </c>
      <c r="O46" t="s">
        <v>11</v>
      </c>
      <c r="P46">
        <v>5403</v>
      </c>
      <c r="Q46">
        <v>1</v>
      </c>
      <c r="R46">
        <v>159.9</v>
      </c>
      <c r="S46">
        <v>159.9</v>
      </c>
      <c r="T46">
        <v>137.61000000000001</v>
      </c>
      <c r="U46">
        <v>13.94</v>
      </c>
      <c r="V46" t="str">
        <f>VLOOKUP(L46,'[2]tabela de preços'!$A:$D,4,0)</f>
        <v>BRASILUX</v>
      </c>
      <c r="W46" t="str">
        <f>VLOOKUP(L46,'[2]tabela de preços'!$A:$F,6,0)</f>
        <v>TINTA PARA PISO</v>
      </c>
      <c r="X46" t="str">
        <f>VLOOKUP(L46,'[2]tabela de preços'!$A:$G,7,0)</f>
        <v>IMOBILIÁRIO</v>
      </c>
    </row>
    <row r="47" spans="1:24" x14ac:dyDescent="0.3">
      <c r="A47" t="s">
        <v>92</v>
      </c>
      <c r="C47" t="s">
        <v>93</v>
      </c>
      <c r="D47" s="1">
        <v>46043</v>
      </c>
      <c r="E47" t="s">
        <v>94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95</v>
      </c>
      <c r="K47" t="s">
        <v>96</v>
      </c>
      <c r="L47">
        <v>23076</v>
      </c>
      <c r="M47" t="s">
        <v>97</v>
      </c>
      <c r="O47" t="s">
        <v>11</v>
      </c>
      <c r="P47">
        <v>5403</v>
      </c>
      <c r="Q47">
        <v>12</v>
      </c>
      <c r="R47">
        <v>34.89</v>
      </c>
      <c r="S47">
        <v>418.68</v>
      </c>
      <c r="T47">
        <v>318.36</v>
      </c>
      <c r="U47">
        <v>23.96</v>
      </c>
      <c r="V47" t="str">
        <f>VLOOKUP(L47,'[2]tabela de preços'!$A:$D,4,0)</f>
        <v>WANDA</v>
      </c>
      <c r="W47" t="str">
        <f>VLOOKUP(L47,'[2]tabela de preços'!$A:$F,6,0)</f>
        <v>PRIMER AUTOMOTIVO</v>
      </c>
      <c r="X47" t="str">
        <f>VLOOKUP(L47,'[2]tabela de preços'!$A:$G,7,0)</f>
        <v>AUTOMOTIVO</v>
      </c>
    </row>
    <row r="48" spans="1:24" x14ac:dyDescent="0.3">
      <c r="A48" t="s">
        <v>92</v>
      </c>
      <c r="C48" t="s">
        <v>93</v>
      </c>
      <c r="D48" s="1">
        <v>46043</v>
      </c>
      <c r="E48" t="s">
        <v>94</v>
      </c>
      <c r="F48">
        <v>9</v>
      </c>
      <c r="G48">
        <v>174</v>
      </c>
      <c r="H48" t="str">
        <f>VLOOKUP(G48,[1]OPERADORES!$A:$B,2,0)</f>
        <v>MIRIÃ LOBATO RODRIGUES</v>
      </c>
      <c r="I48" t="s">
        <v>21</v>
      </c>
      <c r="J48" t="s">
        <v>95</v>
      </c>
      <c r="K48" t="s">
        <v>96</v>
      </c>
      <c r="L48">
        <v>23690</v>
      </c>
      <c r="M48" t="s">
        <v>98</v>
      </c>
      <c r="O48" t="s">
        <v>11</v>
      </c>
      <c r="P48">
        <v>5403</v>
      </c>
      <c r="Q48">
        <v>12</v>
      </c>
      <c r="R48">
        <v>39.89</v>
      </c>
      <c r="S48">
        <v>478.68</v>
      </c>
      <c r="T48">
        <v>379.32</v>
      </c>
      <c r="U48">
        <v>20.76</v>
      </c>
      <c r="V48" t="str">
        <f>VLOOKUP(L48,'[2]tabela de preços'!$A:$D,4,0)</f>
        <v>WANDA</v>
      </c>
      <c r="W48" t="str">
        <f>VLOOKUP(L48,'[2]tabela de preços'!$A:$F,6,0)</f>
        <v>VERNIZ AUTOMOTIVO</v>
      </c>
      <c r="X48" t="str">
        <f>VLOOKUP(L48,'[2]tabela de preços'!$A:$G,7,0)</f>
        <v>AUTOMOTIVO</v>
      </c>
    </row>
    <row r="49" spans="1:24" x14ac:dyDescent="0.3">
      <c r="A49" t="s">
        <v>92</v>
      </c>
      <c r="C49" t="s">
        <v>93</v>
      </c>
      <c r="D49" s="1">
        <v>46043</v>
      </c>
      <c r="E49" t="s">
        <v>94</v>
      </c>
      <c r="F49">
        <v>9</v>
      </c>
      <c r="G49">
        <v>174</v>
      </c>
      <c r="H49" t="str">
        <f>VLOOKUP(G49,[1]OPERADORES!$A:$B,2,0)</f>
        <v>MIRIÃ LOBATO RODRIGUES</v>
      </c>
      <c r="I49" t="s">
        <v>21</v>
      </c>
      <c r="J49" t="s">
        <v>95</v>
      </c>
      <c r="K49" t="s">
        <v>96</v>
      </c>
      <c r="L49">
        <v>23100</v>
      </c>
      <c r="M49" t="s">
        <v>99</v>
      </c>
      <c r="O49" t="s">
        <v>11</v>
      </c>
      <c r="P49">
        <v>5102</v>
      </c>
      <c r="Q49">
        <v>50</v>
      </c>
      <c r="R49">
        <v>2.35</v>
      </c>
      <c r="S49">
        <v>117.5</v>
      </c>
      <c r="T49">
        <v>84.5</v>
      </c>
      <c r="U49">
        <v>28.09</v>
      </c>
      <c r="V49" t="str">
        <f>VLOOKUP(L49,'[2]tabela de preços'!$A:$D,4,0)</f>
        <v>3M</v>
      </c>
      <c r="W49" t="str">
        <f>VLOOKUP(L49,'[2]tabela de preços'!$A:$F,6,0)</f>
        <v xml:space="preserve">DISCOS / LIXAS / ABRASIVOS </v>
      </c>
      <c r="X49" t="str">
        <f>VLOOKUP(L49,'[2]tabela de preços'!$A:$G,7,0)</f>
        <v>AUTOMOTIVO</v>
      </c>
    </row>
    <row r="50" spans="1:24" x14ac:dyDescent="0.3">
      <c r="A50" t="s">
        <v>92</v>
      </c>
      <c r="C50" t="s">
        <v>93</v>
      </c>
      <c r="D50" s="1">
        <v>46043</v>
      </c>
      <c r="E50" t="s">
        <v>94</v>
      </c>
      <c r="F50">
        <v>9</v>
      </c>
      <c r="G50">
        <v>174</v>
      </c>
      <c r="H50" t="str">
        <f>VLOOKUP(G50,[1]OPERADORES!$A:$B,2,0)</f>
        <v>MIRIÃ LOBATO RODRIGUES</v>
      </c>
      <c r="I50" t="s">
        <v>21</v>
      </c>
      <c r="J50" t="s">
        <v>95</v>
      </c>
      <c r="K50" t="s">
        <v>96</v>
      </c>
      <c r="L50">
        <v>84658</v>
      </c>
      <c r="M50" t="s">
        <v>100</v>
      </c>
      <c r="O50" t="s">
        <v>11</v>
      </c>
      <c r="P50">
        <v>5102</v>
      </c>
      <c r="Q50">
        <v>6</v>
      </c>
      <c r="R50">
        <v>40.840000000000003</v>
      </c>
      <c r="S50">
        <v>245.04</v>
      </c>
      <c r="T50">
        <v>186</v>
      </c>
      <c r="U50">
        <v>24.09</v>
      </c>
      <c r="V50" t="str">
        <f>VLOOKUP(L50,'[2]tabela de preços'!$A:$D,4,0)</f>
        <v>ANJO</v>
      </c>
      <c r="W50" t="str">
        <f>VLOOKUP(L50,'[2]tabela de preços'!$A:$F,6,0)</f>
        <v>MASSA POLIÉSTER</v>
      </c>
      <c r="X50" t="str">
        <f>VLOOKUP(L50,'[2]tabela de preços'!$A:$G,7,0)</f>
        <v>AUTOMOTIVO</v>
      </c>
    </row>
    <row r="51" spans="1:24" x14ac:dyDescent="0.3">
      <c r="A51" t="s">
        <v>101</v>
      </c>
      <c r="C51" t="s">
        <v>102</v>
      </c>
      <c r="D51" s="1">
        <v>46037</v>
      </c>
      <c r="E51" t="s">
        <v>103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104</v>
      </c>
      <c r="K51" t="s">
        <v>105</v>
      </c>
      <c r="L51">
        <v>20217</v>
      </c>
      <c r="M51" t="s">
        <v>106</v>
      </c>
      <c r="O51" t="s">
        <v>11</v>
      </c>
      <c r="P51">
        <v>5102</v>
      </c>
      <c r="Q51">
        <v>1</v>
      </c>
      <c r="R51">
        <v>5.18</v>
      </c>
      <c r="S51">
        <v>5.18</v>
      </c>
      <c r="T51">
        <v>3.93</v>
      </c>
      <c r="U51">
        <v>24.13</v>
      </c>
      <c r="V51" t="str">
        <f>VLOOKUP(L51,'[2]tabela de preços'!$A:$D,4,0)</f>
        <v>WANDA</v>
      </c>
      <c r="W51" t="str">
        <f>VLOOKUP(L51,'[2]tabela de preços'!$A:$F,6,0)</f>
        <v>APLICADORES / ADAPTADORES / ENGATES / SUPORTES</v>
      </c>
      <c r="X51" t="str">
        <f>VLOOKUP(L51,'[2]tabela de preços'!$A:$G,7,0)</f>
        <v>AUTOMOTIVO</v>
      </c>
    </row>
    <row r="52" spans="1:24" x14ac:dyDescent="0.3">
      <c r="A52" t="s">
        <v>101</v>
      </c>
      <c r="C52" t="s">
        <v>102</v>
      </c>
      <c r="D52" s="1">
        <v>46037</v>
      </c>
      <c r="E52" t="s">
        <v>103</v>
      </c>
      <c r="F52">
        <v>9</v>
      </c>
      <c r="G52">
        <v>236</v>
      </c>
      <c r="H52" t="str">
        <f>VLOOKUP(G52,[1]OPERADORES!$A:$B,2,0)</f>
        <v>DANIEL</v>
      </c>
      <c r="I52" t="s">
        <v>21</v>
      </c>
      <c r="J52" t="s">
        <v>104</v>
      </c>
      <c r="K52" t="s">
        <v>105</v>
      </c>
      <c r="L52">
        <v>24248</v>
      </c>
      <c r="M52" t="s">
        <v>107</v>
      </c>
      <c r="O52" t="s">
        <v>11</v>
      </c>
      <c r="P52">
        <v>5102</v>
      </c>
      <c r="Q52">
        <v>4</v>
      </c>
      <c r="R52">
        <v>8</v>
      </c>
      <c r="S52">
        <v>32</v>
      </c>
      <c r="T52">
        <v>25.64</v>
      </c>
      <c r="U52">
        <v>19.88</v>
      </c>
      <c r="V52" t="str">
        <f>VLOOKUP(L52,'[2]tabela de preços'!$A:$D,4,0)</f>
        <v>SHERWIN WILLIAMS</v>
      </c>
      <c r="W52" t="str">
        <f>VLOOKUP(L52,'[2]tabela de preços'!$A:$F,6,0)</f>
        <v>PRIMER AUTOMOTIVO</v>
      </c>
      <c r="X52" t="str">
        <f>VLOOKUP(L52,'[2]tabela de preços'!$A:$G,7,0)</f>
        <v>AUTOMOTIVO</v>
      </c>
    </row>
    <row r="53" spans="1:24" x14ac:dyDescent="0.3">
      <c r="A53" t="s">
        <v>101</v>
      </c>
      <c r="C53" t="s">
        <v>102</v>
      </c>
      <c r="D53" s="1">
        <v>46037</v>
      </c>
      <c r="E53" t="s">
        <v>103</v>
      </c>
      <c r="F53">
        <v>9</v>
      </c>
      <c r="G53">
        <v>236</v>
      </c>
      <c r="H53" t="str">
        <f>VLOOKUP(G53,[1]OPERADORES!$A:$B,2,0)</f>
        <v>DANIEL</v>
      </c>
      <c r="I53" t="s">
        <v>21</v>
      </c>
      <c r="J53" t="s">
        <v>104</v>
      </c>
      <c r="K53" t="s">
        <v>105</v>
      </c>
      <c r="L53">
        <v>21037</v>
      </c>
      <c r="M53" t="s">
        <v>108</v>
      </c>
      <c r="O53" t="s">
        <v>11</v>
      </c>
      <c r="P53">
        <v>5102</v>
      </c>
      <c r="Q53">
        <v>5</v>
      </c>
      <c r="R53">
        <v>17.03</v>
      </c>
      <c r="S53">
        <v>85.15</v>
      </c>
      <c r="T53">
        <v>64.599999999999994</v>
      </c>
      <c r="U53">
        <v>24.13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101</v>
      </c>
      <c r="C54" t="s">
        <v>102</v>
      </c>
      <c r="D54" s="1">
        <v>46037</v>
      </c>
      <c r="E54" t="s">
        <v>103</v>
      </c>
      <c r="F54">
        <v>9</v>
      </c>
      <c r="G54">
        <v>236</v>
      </c>
      <c r="H54" t="str">
        <f>VLOOKUP(G54,[1]OPERADORES!$A:$B,2,0)</f>
        <v>DANIEL</v>
      </c>
      <c r="I54" t="s">
        <v>21</v>
      </c>
      <c r="J54" t="s">
        <v>104</v>
      </c>
      <c r="K54" t="s">
        <v>105</v>
      </c>
      <c r="L54">
        <v>21033</v>
      </c>
      <c r="M54" t="s">
        <v>109</v>
      </c>
      <c r="O54" t="s">
        <v>11</v>
      </c>
      <c r="P54">
        <v>5102</v>
      </c>
      <c r="Q54">
        <v>5</v>
      </c>
      <c r="R54">
        <v>27.77</v>
      </c>
      <c r="S54">
        <v>138.85</v>
      </c>
      <c r="T54">
        <v>105.4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101</v>
      </c>
      <c r="C55" t="s">
        <v>102</v>
      </c>
      <c r="D55" s="1">
        <v>46037</v>
      </c>
      <c r="E55" t="s">
        <v>103</v>
      </c>
      <c r="F55">
        <v>9</v>
      </c>
      <c r="G55">
        <v>236</v>
      </c>
      <c r="H55" t="str">
        <f>VLOOKUP(G55,[1]OPERADORES!$A:$B,2,0)</f>
        <v>DANIEL</v>
      </c>
      <c r="I55" t="s">
        <v>21</v>
      </c>
      <c r="J55" t="s">
        <v>104</v>
      </c>
      <c r="K55" t="s">
        <v>105</v>
      </c>
      <c r="L55">
        <v>23465</v>
      </c>
      <c r="M55" t="s">
        <v>110</v>
      </c>
      <c r="O55" t="s">
        <v>11</v>
      </c>
      <c r="P55">
        <v>5102</v>
      </c>
      <c r="Q55">
        <v>5</v>
      </c>
      <c r="R55">
        <v>3.76</v>
      </c>
      <c r="S55">
        <v>18.8</v>
      </c>
      <c r="T55">
        <v>14.25</v>
      </c>
      <c r="U55">
        <v>24.2</v>
      </c>
      <c r="V55" t="str">
        <f>VLOOKUP(L55,'[2]tabela de preços'!$A:$D,4,0)</f>
        <v>3M</v>
      </c>
      <c r="W55" t="str">
        <f>VLOOKUP(L55,'[2]tabela de preços'!$A:$F,6,0)</f>
        <v>EPI´S</v>
      </c>
      <c r="X55" t="str">
        <f>VLOOKUP(L55,'[2]tabela de preços'!$A:$G,7,0)</f>
        <v>AUTOMOTIVO</v>
      </c>
    </row>
    <row r="56" spans="1:24" x14ac:dyDescent="0.3">
      <c r="A56" t="s">
        <v>101</v>
      </c>
      <c r="C56" t="s">
        <v>102</v>
      </c>
      <c r="D56" s="1">
        <v>46037</v>
      </c>
      <c r="E56" t="s">
        <v>103</v>
      </c>
      <c r="F56">
        <v>9</v>
      </c>
      <c r="G56">
        <v>236</v>
      </c>
      <c r="H56" t="str">
        <f>VLOOKUP(G56,[1]OPERADORES!$A:$B,2,0)</f>
        <v>DANIEL</v>
      </c>
      <c r="I56" t="s">
        <v>21</v>
      </c>
      <c r="J56" t="s">
        <v>104</v>
      </c>
      <c r="K56" t="s">
        <v>105</v>
      </c>
      <c r="L56">
        <v>24247</v>
      </c>
      <c r="M56" t="s">
        <v>111</v>
      </c>
      <c r="O56" t="s">
        <v>11</v>
      </c>
      <c r="P56">
        <v>5403</v>
      </c>
      <c r="Q56">
        <v>4</v>
      </c>
      <c r="R56">
        <v>21</v>
      </c>
      <c r="S56">
        <v>84</v>
      </c>
      <c r="T56">
        <v>66.400000000000006</v>
      </c>
      <c r="U56">
        <v>20.95</v>
      </c>
      <c r="V56" t="str">
        <f>VLOOKUP(L56,'[2]tabela de preços'!$A:$D,4,0)</f>
        <v>SHERWIN WILLIAMS</v>
      </c>
      <c r="W56" t="str">
        <f>VLOOKUP(L56,'[2]tabela de preços'!$A:$F,6,0)</f>
        <v>PRIMER AUTOMOTIVO</v>
      </c>
      <c r="X56" t="str">
        <f>VLOOKUP(L56,'[2]tabela de preços'!$A:$G,7,0)</f>
        <v>AUTOMOTIVO</v>
      </c>
    </row>
    <row r="57" spans="1:24" x14ac:dyDescent="0.3">
      <c r="A57" t="s">
        <v>101</v>
      </c>
      <c r="C57" t="s">
        <v>102</v>
      </c>
      <c r="D57" s="1">
        <v>46037</v>
      </c>
      <c r="E57" t="s">
        <v>103</v>
      </c>
      <c r="F57">
        <v>9</v>
      </c>
      <c r="G57">
        <v>236</v>
      </c>
      <c r="H57" t="str">
        <f>VLOOKUP(G57,[1]OPERADORES!$A:$B,2,0)</f>
        <v>DANIEL</v>
      </c>
      <c r="I57" t="s">
        <v>21</v>
      </c>
      <c r="J57" t="s">
        <v>104</v>
      </c>
      <c r="K57" t="s">
        <v>105</v>
      </c>
      <c r="L57">
        <v>20414</v>
      </c>
      <c r="M57" t="s">
        <v>112</v>
      </c>
      <c r="O57" t="s">
        <v>11</v>
      </c>
      <c r="P57">
        <v>5102</v>
      </c>
      <c r="Q57">
        <v>1</v>
      </c>
      <c r="R57">
        <v>21.89</v>
      </c>
      <c r="S57">
        <v>21.89</v>
      </c>
      <c r="T57">
        <v>18</v>
      </c>
      <c r="U57">
        <v>17.77</v>
      </c>
      <c r="V57" t="str">
        <f>VLOOKUP(L57,'[2]tabela de preços'!$A:$D,4,0)</f>
        <v>SHERWIN WILLIAMS</v>
      </c>
      <c r="W57" t="str">
        <f>VLOOKUP(L57,'[2]tabela de preços'!$A:$F,6,0)</f>
        <v>DILUENTE</v>
      </c>
      <c r="X57" t="str">
        <f>VLOOKUP(L57,'[2]tabela de preços'!$A:$G,7,0)</f>
        <v>AUTOMOTIVO</v>
      </c>
    </row>
    <row r="58" spans="1:24" x14ac:dyDescent="0.3">
      <c r="A58" t="s">
        <v>101</v>
      </c>
      <c r="C58" t="s">
        <v>113</v>
      </c>
      <c r="D58" s="1">
        <v>46044</v>
      </c>
      <c r="E58" t="s">
        <v>114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104</v>
      </c>
      <c r="K58" t="s">
        <v>105</v>
      </c>
      <c r="L58">
        <v>23580</v>
      </c>
      <c r="M58" t="s">
        <v>115</v>
      </c>
      <c r="O58" t="s">
        <v>11</v>
      </c>
      <c r="P58">
        <v>5102</v>
      </c>
      <c r="Q58">
        <v>5</v>
      </c>
      <c r="R58">
        <v>0.56000000000000005</v>
      </c>
      <c r="S58">
        <v>2.8</v>
      </c>
      <c r="T58">
        <v>1.8</v>
      </c>
      <c r="U58">
        <v>35.71</v>
      </c>
      <c r="V58" t="str">
        <f>VLOOKUP(L58,'[2]tabela de preços'!$A:$D,4,0)</f>
        <v>RENOVA COADORES</v>
      </c>
      <c r="W58" t="str">
        <f>VLOOKUP(L58,'[2]tabela de preços'!$A:$F,6,0)</f>
        <v>COADORES</v>
      </c>
      <c r="X58" t="str">
        <f>VLOOKUP(L58,'[2]tabela de preços'!$A:$G,7,0)</f>
        <v>AUTOMOTIVO</v>
      </c>
    </row>
    <row r="59" spans="1:24" x14ac:dyDescent="0.3">
      <c r="A59" t="s">
        <v>101</v>
      </c>
      <c r="C59" t="s">
        <v>113</v>
      </c>
      <c r="D59" s="1">
        <v>46044</v>
      </c>
      <c r="E59" t="s">
        <v>114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104</v>
      </c>
      <c r="K59" t="s">
        <v>105</v>
      </c>
      <c r="L59">
        <v>20217</v>
      </c>
      <c r="M59" t="s">
        <v>106</v>
      </c>
      <c r="O59" t="s">
        <v>11</v>
      </c>
      <c r="P59">
        <v>5102</v>
      </c>
      <c r="Q59">
        <v>1</v>
      </c>
      <c r="R59">
        <v>5.18</v>
      </c>
      <c r="S59">
        <v>5.18</v>
      </c>
      <c r="T59">
        <v>3.93</v>
      </c>
      <c r="U59">
        <v>24.13</v>
      </c>
      <c r="V59" t="str">
        <f>VLOOKUP(L59,'[2]tabela de preços'!$A:$D,4,0)</f>
        <v>WANDA</v>
      </c>
      <c r="W59" t="str">
        <f>VLOOKUP(L59,'[2]tabela de preços'!$A:$F,6,0)</f>
        <v>APLICADORES / ADAPTADORES / ENGATES / SUPORTES</v>
      </c>
      <c r="X59" t="str">
        <f>VLOOKUP(L59,'[2]tabela de preços'!$A:$G,7,0)</f>
        <v>AUTOMOTIVO</v>
      </c>
    </row>
    <row r="60" spans="1:24" x14ac:dyDescent="0.3">
      <c r="A60" t="s">
        <v>101</v>
      </c>
      <c r="C60" t="s">
        <v>113</v>
      </c>
      <c r="D60" s="1">
        <v>46044</v>
      </c>
      <c r="E60" t="s">
        <v>114</v>
      </c>
      <c r="F60">
        <v>9</v>
      </c>
      <c r="G60">
        <v>236</v>
      </c>
      <c r="H60" t="str">
        <f>VLOOKUP(G60,[1]OPERADORES!$A:$B,2,0)</f>
        <v>DANIEL</v>
      </c>
      <c r="I60" t="s">
        <v>21</v>
      </c>
      <c r="J60" t="s">
        <v>104</v>
      </c>
      <c r="K60" t="s">
        <v>105</v>
      </c>
      <c r="L60">
        <v>84557</v>
      </c>
      <c r="M60" t="s">
        <v>116</v>
      </c>
      <c r="O60" t="s">
        <v>11</v>
      </c>
      <c r="P60">
        <v>5102</v>
      </c>
      <c r="Q60">
        <v>1</v>
      </c>
      <c r="R60">
        <v>17.489999999999998</v>
      </c>
      <c r="S60">
        <v>17.489999999999998</v>
      </c>
      <c r="T60">
        <v>13.96</v>
      </c>
      <c r="U60">
        <v>20.18</v>
      </c>
      <c r="V60" t="str">
        <f>VLOOKUP(L60,'[2]tabela de preços'!$A:$D,4,0)</f>
        <v>BRASILUX</v>
      </c>
      <c r="W60" t="str">
        <f>VLOOKUP(L60,'[2]tabela de preços'!$A:$F,6,0)</f>
        <v>DILUENTE</v>
      </c>
      <c r="X60" t="str">
        <f>VLOOKUP(L60,'[2]tabela de preços'!$A:$G,7,0)</f>
        <v>AUTOMOTIVO</v>
      </c>
    </row>
    <row r="61" spans="1:24" x14ac:dyDescent="0.3">
      <c r="A61" t="s">
        <v>101</v>
      </c>
      <c r="C61" t="s">
        <v>113</v>
      </c>
      <c r="D61" s="1">
        <v>46044</v>
      </c>
      <c r="E61" t="s">
        <v>114</v>
      </c>
      <c r="F61">
        <v>9</v>
      </c>
      <c r="G61">
        <v>236</v>
      </c>
      <c r="H61" t="str">
        <f>VLOOKUP(G61,[1]OPERADORES!$A:$B,2,0)</f>
        <v>DANIEL</v>
      </c>
      <c r="I61" t="s">
        <v>21</v>
      </c>
      <c r="J61" t="s">
        <v>104</v>
      </c>
      <c r="K61" t="s">
        <v>105</v>
      </c>
      <c r="L61">
        <v>10266</v>
      </c>
      <c r="M61" t="s">
        <v>117</v>
      </c>
      <c r="O61" t="s">
        <v>11</v>
      </c>
      <c r="P61">
        <v>5102</v>
      </c>
      <c r="Q61">
        <v>3</v>
      </c>
      <c r="R61">
        <v>11.41</v>
      </c>
      <c r="S61">
        <v>34.229999999999997</v>
      </c>
      <c r="T61">
        <v>25.98</v>
      </c>
      <c r="U61">
        <v>24.1</v>
      </c>
      <c r="V61" t="str">
        <f>VLOOKUP(L61,'[2]tabela de preços'!$A:$D,4,0)</f>
        <v>NORTON</v>
      </c>
      <c r="W61" t="str">
        <f>VLOOKUP(L61,'[2]tabela de preços'!$A:$F,6,0)</f>
        <v xml:space="preserve">DISCOS / LIXAS / ABRASIVOS </v>
      </c>
      <c r="X61" t="str">
        <f>VLOOKUP(L61,'[2]tabela de preços'!$A:$G,7,0)</f>
        <v>AUTOMOTIVO</v>
      </c>
    </row>
    <row r="62" spans="1:24" x14ac:dyDescent="0.3">
      <c r="A62" t="s">
        <v>101</v>
      </c>
      <c r="C62" t="s">
        <v>113</v>
      </c>
      <c r="D62" s="1">
        <v>46044</v>
      </c>
      <c r="E62" t="s">
        <v>114</v>
      </c>
      <c r="F62">
        <v>9</v>
      </c>
      <c r="G62">
        <v>236</v>
      </c>
      <c r="H62" t="str">
        <f>VLOOKUP(G62,[1]OPERADORES!$A:$B,2,0)</f>
        <v>DANIEL</v>
      </c>
      <c r="I62" t="s">
        <v>21</v>
      </c>
      <c r="J62" t="s">
        <v>104</v>
      </c>
      <c r="K62" t="s">
        <v>105</v>
      </c>
      <c r="L62">
        <v>23465</v>
      </c>
      <c r="M62" t="s">
        <v>110</v>
      </c>
      <c r="O62" t="s">
        <v>11</v>
      </c>
      <c r="P62">
        <v>5102</v>
      </c>
      <c r="Q62">
        <v>5</v>
      </c>
      <c r="R62">
        <v>3.76</v>
      </c>
      <c r="S62">
        <v>18.8</v>
      </c>
      <c r="T62">
        <v>14.25</v>
      </c>
      <c r="U62">
        <v>24.2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101</v>
      </c>
      <c r="C63" t="s">
        <v>113</v>
      </c>
      <c r="D63" s="1">
        <v>46044</v>
      </c>
      <c r="E63" t="s">
        <v>114</v>
      </c>
      <c r="F63">
        <v>9</v>
      </c>
      <c r="G63">
        <v>236</v>
      </c>
      <c r="H63" t="str">
        <f>VLOOKUP(G63,[1]OPERADORES!$A:$B,2,0)</f>
        <v>DANIEL</v>
      </c>
      <c r="I63" t="s">
        <v>21</v>
      </c>
      <c r="J63" t="s">
        <v>104</v>
      </c>
      <c r="K63" t="s">
        <v>105</v>
      </c>
      <c r="L63">
        <v>84560</v>
      </c>
      <c r="M63" t="s">
        <v>118</v>
      </c>
      <c r="O63" t="s">
        <v>11</v>
      </c>
      <c r="P63">
        <v>5102</v>
      </c>
      <c r="Q63">
        <v>1</v>
      </c>
      <c r="R63">
        <v>47.89</v>
      </c>
      <c r="S63">
        <v>47.89</v>
      </c>
      <c r="T63">
        <v>39.159999999999997</v>
      </c>
      <c r="U63">
        <v>18.23</v>
      </c>
      <c r="V63" t="str">
        <f>VLOOKUP(L63,'[2]tabela de preços'!$A:$D,4,0)</f>
        <v>BRASILUX</v>
      </c>
      <c r="W63" t="str">
        <f>VLOOKUP(L63,'[2]tabela de preços'!$A:$F,6,0)</f>
        <v>THINNER DE LIMPEZA</v>
      </c>
      <c r="X63" t="str">
        <f>VLOOKUP(L63,'[2]tabela de preços'!$A:$G,7,0)</f>
        <v>THINNER</v>
      </c>
    </row>
    <row r="64" spans="1:24" x14ac:dyDescent="0.3">
      <c r="A64" t="s">
        <v>101</v>
      </c>
      <c r="C64" t="s">
        <v>119</v>
      </c>
      <c r="D64" s="1">
        <v>46050</v>
      </c>
      <c r="E64" t="s">
        <v>120</v>
      </c>
      <c r="F64">
        <v>9</v>
      </c>
      <c r="G64">
        <v>236</v>
      </c>
      <c r="H64" t="str">
        <f>VLOOKUP(G64,[1]OPERADORES!$A:$B,2,0)</f>
        <v>DANIEL</v>
      </c>
      <c r="I64" t="s">
        <v>21</v>
      </c>
      <c r="J64" t="s">
        <v>104</v>
      </c>
      <c r="K64" t="s">
        <v>105</v>
      </c>
      <c r="L64">
        <v>84609</v>
      </c>
      <c r="M64" t="s">
        <v>121</v>
      </c>
      <c r="O64" t="s">
        <v>11</v>
      </c>
      <c r="P64">
        <v>5403</v>
      </c>
      <c r="Q64">
        <v>1</v>
      </c>
      <c r="R64">
        <v>73.39</v>
      </c>
      <c r="S64">
        <v>73.39</v>
      </c>
      <c r="T64">
        <v>39.24</v>
      </c>
      <c r="U64">
        <v>46.53</v>
      </c>
      <c r="V64" t="str">
        <f>VLOOKUP(L64,'[2]tabela de preços'!$A:$D,4,0)</f>
        <v>BRASILUX</v>
      </c>
      <c r="W64" t="str">
        <f>VLOOKUP(L64,'[2]tabela de preços'!$A:$F,6,0)</f>
        <v>BASES IMOBILIÁRIAS</v>
      </c>
      <c r="X64" t="str">
        <f>VLOOKUP(L64,'[2]tabela de preços'!$A:$G,7,0)</f>
        <v>IMOBILIÁRIO</v>
      </c>
    </row>
    <row r="65" spans="1:24" x14ac:dyDescent="0.3">
      <c r="A65" t="s">
        <v>101</v>
      </c>
      <c r="C65" t="s">
        <v>119</v>
      </c>
      <c r="D65" s="1">
        <v>46050</v>
      </c>
      <c r="E65" t="s">
        <v>120</v>
      </c>
      <c r="F65">
        <v>9</v>
      </c>
      <c r="G65">
        <v>236</v>
      </c>
      <c r="H65" t="str">
        <f>VLOOKUP(G65,[1]OPERADORES!$A:$B,2,0)</f>
        <v>DANIEL</v>
      </c>
      <c r="I65" t="s">
        <v>21</v>
      </c>
      <c r="J65" t="s">
        <v>104</v>
      </c>
      <c r="K65" t="s">
        <v>105</v>
      </c>
      <c r="L65">
        <v>21037</v>
      </c>
      <c r="M65" t="s">
        <v>108</v>
      </c>
      <c r="O65" t="s">
        <v>11</v>
      </c>
      <c r="P65">
        <v>5102</v>
      </c>
      <c r="Q65">
        <v>2</v>
      </c>
      <c r="R65">
        <v>17.03</v>
      </c>
      <c r="S65">
        <v>34.06</v>
      </c>
      <c r="T65">
        <v>25.84</v>
      </c>
      <c r="U65">
        <v>24.13</v>
      </c>
      <c r="V65" t="str">
        <f>VLOOKUP(L65,'[2]tabela de preços'!$A:$D,4,0)</f>
        <v>SHERWIN WILLIAMS</v>
      </c>
      <c r="W65" t="str">
        <f>VLOOKUP(L65,'[2]tabela de preços'!$A:$F,6,0)</f>
        <v>CATALISADORES INDIVIDUAS</v>
      </c>
      <c r="X65" t="str">
        <f>VLOOKUP(L65,'[2]tabela de preços'!$A:$G,7,0)</f>
        <v>AUTOMOTIVO</v>
      </c>
    </row>
    <row r="66" spans="1:24" x14ac:dyDescent="0.3">
      <c r="A66" t="s">
        <v>101</v>
      </c>
      <c r="C66" t="s">
        <v>119</v>
      </c>
      <c r="D66" s="1">
        <v>46050</v>
      </c>
      <c r="E66" t="s">
        <v>120</v>
      </c>
      <c r="F66">
        <v>9</v>
      </c>
      <c r="G66">
        <v>236</v>
      </c>
      <c r="H66" t="str">
        <f>VLOOKUP(G66,[1]OPERADORES!$A:$B,2,0)</f>
        <v>DANIEL</v>
      </c>
      <c r="I66" t="s">
        <v>21</v>
      </c>
      <c r="J66" t="s">
        <v>104</v>
      </c>
      <c r="K66" t="s">
        <v>105</v>
      </c>
      <c r="L66">
        <v>21033</v>
      </c>
      <c r="M66" t="s">
        <v>109</v>
      </c>
      <c r="O66" t="s">
        <v>11</v>
      </c>
      <c r="P66">
        <v>5102</v>
      </c>
      <c r="Q66">
        <v>2</v>
      </c>
      <c r="R66">
        <v>27.77</v>
      </c>
      <c r="S66">
        <v>55.54</v>
      </c>
      <c r="T66">
        <v>42.16</v>
      </c>
      <c r="U66">
        <v>24.09</v>
      </c>
      <c r="V66" t="str">
        <f>VLOOKUP(L66,'[2]tabela de preços'!$A:$D,4,0)</f>
        <v>SHERWIN WILLIAMS</v>
      </c>
      <c r="W66" t="str">
        <f>VLOOKUP(L66,'[2]tabela de preços'!$A:$F,6,0)</f>
        <v>TINTAS PU</v>
      </c>
      <c r="X66" t="str">
        <f>VLOOKUP(L66,'[2]tabela de preços'!$A:$G,7,0)</f>
        <v>AUTOMOTIVO</v>
      </c>
    </row>
    <row r="67" spans="1:24" x14ac:dyDescent="0.3">
      <c r="A67" t="s">
        <v>101</v>
      </c>
      <c r="C67" t="s">
        <v>119</v>
      </c>
      <c r="D67" s="1">
        <v>46050</v>
      </c>
      <c r="E67" t="s">
        <v>120</v>
      </c>
      <c r="F67">
        <v>9</v>
      </c>
      <c r="G67">
        <v>236</v>
      </c>
      <c r="H67" t="str">
        <f>VLOOKUP(G67,[1]OPERADORES!$A:$B,2,0)</f>
        <v>DANIEL</v>
      </c>
      <c r="I67" t="s">
        <v>21</v>
      </c>
      <c r="J67" t="s">
        <v>104</v>
      </c>
      <c r="K67" t="s">
        <v>105</v>
      </c>
      <c r="L67">
        <v>16</v>
      </c>
      <c r="M67" t="s">
        <v>122</v>
      </c>
      <c r="O67" t="s">
        <v>11</v>
      </c>
      <c r="P67">
        <v>5102</v>
      </c>
      <c r="Q67">
        <v>2</v>
      </c>
      <c r="R67">
        <v>3</v>
      </c>
      <c r="S67">
        <v>6</v>
      </c>
      <c r="T67">
        <v>4.4000000000000004</v>
      </c>
      <c r="U67">
        <v>26.67</v>
      </c>
      <c r="V67" t="str">
        <f>VLOOKUP(L67,'[2]tabela de preços'!$A:$D,4,0)</f>
        <v>3M</v>
      </c>
      <c r="W67" t="str">
        <f>VLOOKUP(L67,'[2]tabela de preços'!$A:$F,6,0)</f>
        <v>LIXA DÁGUA</v>
      </c>
      <c r="X67" t="str">
        <f>VLOOKUP(L67,'[2]tabela de preços'!$A:$G,7,0)</f>
        <v>AUTOMOTIVO</v>
      </c>
    </row>
    <row r="68" spans="1:24" x14ac:dyDescent="0.3">
      <c r="A68" t="s">
        <v>101</v>
      </c>
      <c r="C68" t="s">
        <v>119</v>
      </c>
      <c r="D68" s="1">
        <v>46050</v>
      </c>
      <c r="E68" t="s">
        <v>120</v>
      </c>
      <c r="F68">
        <v>9</v>
      </c>
      <c r="G68">
        <v>236</v>
      </c>
      <c r="H68" t="str">
        <f>VLOOKUP(G68,[1]OPERADORES!$A:$B,2,0)</f>
        <v>DANIEL</v>
      </c>
      <c r="I68" t="s">
        <v>21</v>
      </c>
      <c r="J68" t="s">
        <v>104</v>
      </c>
      <c r="K68" t="s">
        <v>105</v>
      </c>
      <c r="L68">
        <v>23465</v>
      </c>
      <c r="M68" t="s">
        <v>110</v>
      </c>
      <c r="O68" t="s">
        <v>11</v>
      </c>
      <c r="P68">
        <v>5102</v>
      </c>
      <c r="Q68">
        <v>10</v>
      </c>
      <c r="R68">
        <v>3.76</v>
      </c>
      <c r="S68">
        <v>37.6</v>
      </c>
      <c r="T68">
        <v>28.5</v>
      </c>
      <c r="U68">
        <v>24.2</v>
      </c>
      <c r="V68" t="str">
        <f>VLOOKUP(L68,'[2]tabela de preços'!$A:$D,4,0)</f>
        <v>3M</v>
      </c>
      <c r="W68" t="str">
        <f>VLOOKUP(L68,'[2]tabela de preços'!$A:$F,6,0)</f>
        <v>EPI´S</v>
      </c>
      <c r="X68" t="str">
        <f>VLOOKUP(L68,'[2]tabela de preços'!$A:$G,7,0)</f>
        <v>AUTOMOTIVO</v>
      </c>
    </row>
    <row r="69" spans="1:24" x14ac:dyDescent="0.3">
      <c r="A69" t="s">
        <v>123</v>
      </c>
      <c r="C69" t="s">
        <v>124</v>
      </c>
      <c r="D69" s="1">
        <v>46024</v>
      </c>
      <c r="E69" t="s">
        <v>125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127</v>
      </c>
      <c r="K69" t="s">
        <v>128</v>
      </c>
      <c r="L69">
        <v>84557</v>
      </c>
      <c r="M69" t="s">
        <v>116</v>
      </c>
      <c r="O69" t="s">
        <v>11</v>
      </c>
      <c r="P69">
        <v>6102</v>
      </c>
      <c r="Q69">
        <v>4</v>
      </c>
      <c r="R69">
        <v>18.39</v>
      </c>
      <c r="S69">
        <v>73.56</v>
      </c>
      <c r="T69">
        <v>55.84</v>
      </c>
      <c r="U69">
        <v>24.09</v>
      </c>
      <c r="V69" t="str">
        <f>VLOOKUP(L69,'[2]tabela de preços'!$A:$D,4,0)</f>
        <v>BRASILUX</v>
      </c>
      <c r="W69" t="str">
        <f>VLOOKUP(L69,'[2]tabela de preços'!$A:$F,6,0)</f>
        <v>DILUENTE</v>
      </c>
      <c r="X69" t="str">
        <f>VLOOKUP(L69,'[2]tabela de preços'!$A:$G,7,0)</f>
        <v>AUTOMOTIVO</v>
      </c>
    </row>
    <row r="70" spans="1:24" x14ac:dyDescent="0.3">
      <c r="A70" t="s">
        <v>123</v>
      </c>
      <c r="C70" t="s">
        <v>124</v>
      </c>
      <c r="D70" s="1">
        <v>46024</v>
      </c>
      <c r="E70" t="s">
        <v>125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127</v>
      </c>
      <c r="K70" t="s">
        <v>128</v>
      </c>
      <c r="L70">
        <v>24248</v>
      </c>
      <c r="M70" t="s">
        <v>107</v>
      </c>
      <c r="O70" t="s">
        <v>11</v>
      </c>
      <c r="P70">
        <v>6102</v>
      </c>
      <c r="Q70">
        <v>12</v>
      </c>
      <c r="R70">
        <v>9.9</v>
      </c>
      <c r="S70">
        <v>118.8</v>
      </c>
      <c r="T70">
        <v>76.92</v>
      </c>
      <c r="U70">
        <v>35.25</v>
      </c>
      <c r="V70" t="str">
        <f>VLOOKUP(L70,'[2]tabela de preços'!$A:$D,4,0)</f>
        <v>SHERWIN WILLIAMS</v>
      </c>
      <c r="W70" t="str">
        <f>VLOOKUP(L70,'[2]tabela de preços'!$A:$F,6,0)</f>
        <v>PRIMER AUTOMOTIVO</v>
      </c>
      <c r="X70" t="str">
        <f>VLOOKUP(L70,'[2]tabela de preços'!$A:$G,7,0)</f>
        <v>AUTOMOTIVO</v>
      </c>
    </row>
    <row r="71" spans="1:24" x14ac:dyDescent="0.3">
      <c r="A71" t="s">
        <v>123</v>
      </c>
      <c r="C71" t="s">
        <v>124</v>
      </c>
      <c r="D71" s="1">
        <v>46024</v>
      </c>
      <c r="E71" t="s">
        <v>125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127</v>
      </c>
      <c r="K71" t="s">
        <v>128</v>
      </c>
      <c r="L71">
        <v>20383</v>
      </c>
      <c r="M71" t="s">
        <v>129</v>
      </c>
      <c r="O71" t="s">
        <v>11</v>
      </c>
      <c r="P71">
        <v>6403</v>
      </c>
      <c r="Q71">
        <v>2</v>
      </c>
      <c r="R71">
        <v>33.590000000000003</v>
      </c>
      <c r="S71">
        <v>67.180000000000007</v>
      </c>
      <c r="T71">
        <v>47.9</v>
      </c>
      <c r="U71">
        <v>28.7</v>
      </c>
      <c r="V71" t="str">
        <f>VLOOKUP(L71,'[2]tabela de preços'!$A:$D,4,0)</f>
        <v>SHERWIN WILLIAMS</v>
      </c>
      <c r="W71" t="str">
        <f>VLOOKUP(L71,'[2]tabela de preços'!$A:$F,6,0)</f>
        <v>TINTAS POLIÉSTER</v>
      </c>
      <c r="X71" t="str">
        <f>VLOOKUP(L71,'[2]tabela de preços'!$A:$G,7,0)</f>
        <v>AUTOMOTIVO</v>
      </c>
    </row>
    <row r="72" spans="1:24" x14ac:dyDescent="0.3">
      <c r="A72" t="s">
        <v>123</v>
      </c>
      <c r="C72" t="s">
        <v>124</v>
      </c>
      <c r="D72" s="1">
        <v>46024</v>
      </c>
      <c r="E72" t="s">
        <v>125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127</v>
      </c>
      <c r="K72" t="s">
        <v>128</v>
      </c>
      <c r="L72">
        <v>24247</v>
      </c>
      <c r="M72" t="s">
        <v>111</v>
      </c>
      <c r="O72" t="s">
        <v>11</v>
      </c>
      <c r="P72">
        <v>6403</v>
      </c>
      <c r="Q72">
        <v>12</v>
      </c>
      <c r="R72">
        <v>19.899999999999999</v>
      </c>
      <c r="S72">
        <v>238.8</v>
      </c>
      <c r="T72">
        <v>199.2</v>
      </c>
      <c r="U72">
        <v>16.579999999999998</v>
      </c>
      <c r="V72" t="str">
        <f>VLOOKUP(L72,'[2]tabela de preços'!$A:$D,4,0)</f>
        <v>SHERWIN WILLIAMS</v>
      </c>
      <c r="W72" t="str">
        <f>VLOOKUP(L72,'[2]tabela de preços'!$A:$F,6,0)</f>
        <v>PRIMER AUTOMOTIVO</v>
      </c>
      <c r="X72" t="str">
        <f>VLOOKUP(L72,'[2]tabela de preços'!$A:$G,7,0)</f>
        <v>AUTOMOTIVO</v>
      </c>
    </row>
    <row r="73" spans="1:24" x14ac:dyDescent="0.3">
      <c r="A73" t="s">
        <v>123</v>
      </c>
      <c r="C73" t="s">
        <v>124</v>
      </c>
      <c r="D73" s="1">
        <v>46024</v>
      </c>
      <c r="E73" t="s">
        <v>125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127</v>
      </c>
      <c r="K73" t="s">
        <v>128</v>
      </c>
      <c r="L73">
        <v>10404</v>
      </c>
      <c r="M73" t="s">
        <v>130</v>
      </c>
      <c r="O73" t="s">
        <v>11</v>
      </c>
      <c r="P73">
        <v>6102</v>
      </c>
      <c r="Q73">
        <v>8</v>
      </c>
      <c r="R73">
        <v>16.09</v>
      </c>
      <c r="S73">
        <v>128.72</v>
      </c>
      <c r="T73">
        <v>106.56</v>
      </c>
      <c r="U73">
        <v>17.22</v>
      </c>
      <c r="V73" t="str">
        <f>VLOOKUP(L73,'[2]tabela de preços'!$A:$D,4,0)</f>
        <v>MAXI RUBBER</v>
      </c>
      <c r="W73" t="str">
        <f>VLOOKUP(L73,'[2]tabela de preços'!$A:$F,6,0)</f>
        <v>VEDADORES / SELANTES</v>
      </c>
      <c r="X73" t="str">
        <f>VLOOKUP(L73,'[2]tabela de preços'!$A:$G,7,0)</f>
        <v>AUTOMOTIVO</v>
      </c>
    </row>
    <row r="74" spans="1:24" x14ac:dyDescent="0.3">
      <c r="A74" t="s">
        <v>123</v>
      </c>
      <c r="C74" t="s">
        <v>131</v>
      </c>
      <c r="D74" s="1">
        <v>46028</v>
      </c>
      <c r="E74" t="s">
        <v>132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127</v>
      </c>
      <c r="K74" t="s">
        <v>128</v>
      </c>
      <c r="L74">
        <v>10236</v>
      </c>
      <c r="M74" t="s">
        <v>133</v>
      </c>
      <c r="O74" t="s">
        <v>11</v>
      </c>
      <c r="P74">
        <v>6102</v>
      </c>
      <c r="Q74">
        <v>30</v>
      </c>
      <c r="R74">
        <v>2.79</v>
      </c>
      <c r="S74">
        <v>83.7</v>
      </c>
      <c r="T74">
        <v>71.099999999999994</v>
      </c>
      <c r="U74">
        <v>15.05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123</v>
      </c>
      <c r="C75" t="s">
        <v>131</v>
      </c>
      <c r="D75" s="1">
        <v>46028</v>
      </c>
      <c r="E75" t="s">
        <v>132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127</v>
      </c>
      <c r="K75" t="s">
        <v>128</v>
      </c>
      <c r="L75">
        <v>10232</v>
      </c>
      <c r="M75" t="s">
        <v>134</v>
      </c>
      <c r="O75" t="s">
        <v>11</v>
      </c>
      <c r="P75">
        <v>6102</v>
      </c>
      <c r="Q75">
        <v>10</v>
      </c>
      <c r="R75">
        <v>2.79</v>
      </c>
      <c r="S75">
        <v>27.9</v>
      </c>
      <c r="T75">
        <v>22.9</v>
      </c>
      <c r="U75">
        <v>17.920000000000002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123</v>
      </c>
      <c r="C76" t="s">
        <v>131</v>
      </c>
      <c r="D76" s="1">
        <v>46028</v>
      </c>
      <c r="E76" t="s">
        <v>132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127</v>
      </c>
      <c r="K76" t="s">
        <v>128</v>
      </c>
      <c r="L76">
        <v>10277</v>
      </c>
      <c r="M76" t="s">
        <v>135</v>
      </c>
      <c r="O76" t="s">
        <v>11</v>
      </c>
      <c r="P76">
        <v>6102</v>
      </c>
      <c r="Q76">
        <v>4</v>
      </c>
      <c r="R76">
        <v>16.97</v>
      </c>
      <c r="S76">
        <v>67.88</v>
      </c>
      <c r="T76">
        <v>51.52</v>
      </c>
      <c r="U76">
        <v>24.1</v>
      </c>
      <c r="V76" t="str">
        <f>VLOOKUP(L76,'[2]tabela de preços'!$A:$D,4,0)</f>
        <v>RETOQUE</v>
      </c>
      <c r="W76" t="str">
        <f>VLOOKUP(L76,'[2]tabela de preços'!$A:$F,6,0)</f>
        <v xml:space="preserve">COLA  PLÁSTICA </v>
      </c>
      <c r="X76" t="str">
        <f>VLOOKUP(L76,'[2]tabela de preços'!$A:$G,7,0)</f>
        <v>AUTOMOTIVO</v>
      </c>
    </row>
    <row r="77" spans="1:24" x14ac:dyDescent="0.3">
      <c r="A77" t="s">
        <v>123</v>
      </c>
      <c r="C77" t="s">
        <v>131</v>
      </c>
      <c r="D77" s="1">
        <v>46028</v>
      </c>
      <c r="E77" t="s">
        <v>132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127</v>
      </c>
      <c r="K77" t="s">
        <v>128</v>
      </c>
      <c r="L77">
        <v>20318</v>
      </c>
      <c r="M77" t="s">
        <v>136</v>
      </c>
      <c r="O77" t="s">
        <v>11</v>
      </c>
      <c r="P77">
        <v>6403</v>
      </c>
      <c r="Q77">
        <v>1</v>
      </c>
      <c r="R77">
        <v>33.4</v>
      </c>
      <c r="S77">
        <v>33.4</v>
      </c>
      <c r="T77">
        <v>23.81</v>
      </c>
      <c r="U77">
        <v>28.71</v>
      </c>
      <c r="V77" t="str">
        <f>VLOOKUP(L77,'[2]tabela de preços'!$A:$D,4,0)</f>
        <v>SHERWIN WILLIAMS</v>
      </c>
      <c r="W77" t="str">
        <f>VLOOKUP(L77,'[2]tabela de preços'!$A:$F,6,0)</f>
        <v>TINTAS POLIÉSTER</v>
      </c>
      <c r="X77" t="str">
        <f>VLOOKUP(L77,'[2]tabela de preços'!$A:$G,7,0)</f>
        <v>AUTOMOTIVO</v>
      </c>
    </row>
    <row r="78" spans="1:24" x14ac:dyDescent="0.3">
      <c r="A78" t="s">
        <v>123</v>
      </c>
      <c r="C78" t="s">
        <v>131</v>
      </c>
      <c r="D78" s="1">
        <v>46028</v>
      </c>
      <c r="E78" t="s">
        <v>132</v>
      </c>
      <c r="F78">
        <v>9</v>
      </c>
      <c r="G78">
        <v>174</v>
      </c>
      <c r="H78" t="str">
        <f>VLOOKUP(G78,[1]OPERADORES!$A:$B,2,0)</f>
        <v>MIRIÃ LOBATO RODRIGUES</v>
      </c>
      <c r="I78" t="s">
        <v>126</v>
      </c>
      <c r="J78" t="s">
        <v>127</v>
      </c>
      <c r="K78" t="s">
        <v>128</v>
      </c>
      <c r="L78">
        <v>16</v>
      </c>
      <c r="M78" t="s">
        <v>122</v>
      </c>
      <c r="O78" t="s">
        <v>11</v>
      </c>
      <c r="P78">
        <v>6102</v>
      </c>
      <c r="Q78">
        <v>10</v>
      </c>
      <c r="R78">
        <v>2.97</v>
      </c>
      <c r="S78">
        <v>29.7</v>
      </c>
      <c r="T78">
        <v>22</v>
      </c>
      <c r="U78">
        <v>25.93</v>
      </c>
      <c r="V78" t="str">
        <f>VLOOKUP(L78,'[2]tabela de preços'!$A:$D,4,0)</f>
        <v>3M</v>
      </c>
      <c r="W78" t="str">
        <f>VLOOKUP(L78,'[2]tabela de preços'!$A:$F,6,0)</f>
        <v>LIXA DÁGUA</v>
      </c>
      <c r="X78" t="str">
        <f>VLOOKUP(L78,'[2]tabela de preços'!$A:$G,7,0)</f>
        <v>AUTOMOTIVO</v>
      </c>
    </row>
    <row r="79" spans="1:24" x14ac:dyDescent="0.3">
      <c r="A79" t="s">
        <v>123</v>
      </c>
      <c r="C79" t="s">
        <v>131</v>
      </c>
      <c r="D79" s="1">
        <v>46028</v>
      </c>
      <c r="E79" t="s">
        <v>132</v>
      </c>
      <c r="F79">
        <v>9</v>
      </c>
      <c r="G79">
        <v>174</v>
      </c>
      <c r="H79" t="str">
        <f>VLOOKUP(G79,[1]OPERADORES!$A:$B,2,0)</f>
        <v>MIRIÃ LOBATO RODRIGUES</v>
      </c>
      <c r="I79" t="s">
        <v>126</v>
      </c>
      <c r="J79" t="s">
        <v>127</v>
      </c>
      <c r="K79" t="s">
        <v>128</v>
      </c>
      <c r="L79">
        <v>10242</v>
      </c>
      <c r="M79" t="s">
        <v>82</v>
      </c>
      <c r="O79" t="s">
        <v>11</v>
      </c>
      <c r="P79">
        <v>6102</v>
      </c>
      <c r="Q79">
        <v>30</v>
      </c>
      <c r="R79">
        <v>2.79</v>
      </c>
      <c r="S79">
        <v>83.7</v>
      </c>
      <c r="T79">
        <v>68.400000000000006</v>
      </c>
      <c r="U79">
        <v>18.28</v>
      </c>
      <c r="V79" t="str">
        <f>VLOOKUP(L79,'[2]tabela de preços'!$A:$D,4,0)</f>
        <v>NORTON</v>
      </c>
      <c r="W79" t="str">
        <f>VLOOKUP(L79,'[2]tabela de preços'!$A:$F,6,0)</f>
        <v xml:space="preserve">DISCOS / LIXAS / ABRASIVOS </v>
      </c>
      <c r="X79" t="str">
        <f>VLOOKUP(L79,'[2]tabela de preços'!$A:$G,7,0)</f>
        <v>AUTOMOTIVO</v>
      </c>
    </row>
    <row r="80" spans="1:24" x14ac:dyDescent="0.3">
      <c r="A80" t="s">
        <v>123</v>
      </c>
      <c r="C80" t="s">
        <v>131</v>
      </c>
      <c r="D80" s="1">
        <v>46028</v>
      </c>
      <c r="E80" t="s">
        <v>132</v>
      </c>
      <c r="F80">
        <v>9</v>
      </c>
      <c r="G80">
        <v>174</v>
      </c>
      <c r="H80" t="str">
        <f>VLOOKUP(G80,[1]OPERADORES!$A:$B,2,0)</f>
        <v>MIRIÃ LOBATO RODRIGUES</v>
      </c>
      <c r="I80" t="s">
        <v>126</v>
      </c>
      <c r="J80" t="s">
        <v>127</v>
      </c>
      <c r="K80" t="s">
        <v>128</v>
      </c>
      <c r="L80">
        <v>10243</v>
      </c>
      <c r="M80" t="s">
        <v>83</v>
      </c>
      <c r="O80" t="s">
        <v>11</v>
      </c>
      <c r="P80">
        <v>6102</v>
      </c>
      <c r="Q80">
        <v>15</v>
      </c>
      <c r="R80">
        <v>2.79</v>
      </c>
      <c r="S80">
        <v>41.85</v>
      </c>
      <c r="T80">
        <v>29.25</v>
      </c>
      <c r="U80">
        <v>30.11</v>
      </c>
      <c r="V80" t="str">
        <f>VLOOKUP(L80,'[2]tabela de preços'!$A:$D,4,0)</f>
        <v>NORTON</v>
      </c>
      <c r="W80" t="str">
        <f>VLOOKUP(L80,'[2]tabela de preços'!$A:$F,6,0)</f>
        <v xml:space="preserve">DISCOS / LIXAS / ABRASIVOS </v>
      </c>
      <c r="X80" t="str">
        <f>VLOOKUP(L80,'[2]tabela de preços'!$A:$G,7,0)</f>
        <v>AUTOMOTIVO</v>
      </c>
    </row>
    <row r="81" spans="1:24" x14ac:dyDescent="0.3">
      <c r="A81" t="s">
        <v>123</v>
      </c>
      <c r="C81" t="s">
        <v>131</v>
      </c>
      <c r="D81" s="1">
        <v>46028</v>
      </c>
      <c r="E81" t="s">
        <v>132</v>
      </c>
      <c r="F81">
        <v>9</v>
      </c>
      <c r="G81">
        <v>174</v>
      </c>
      <c r="H81" t="str">
        <f>VLOOKUP(G81,[1]OPERADORES!$A:$B,2,0)</f>
        <v>MIRIÃ LOBATO RODRIGUES</v>
      </c>
      <c r="I81" t="s">
        <v>126</v>
      </c>
      <c r="J81" t="s">
        <v>127</v>
      </c>
      <c r="K81" t="s">
        <v>128</v>
      </c>
      <c r="L81">
        <v>10244</v>
      </c>
      <c r="M81" t="s">
        <v>84</v>
      </c>
      <c r="O81" t="s">
        <v>11</v>
      </c>
      <c r="P81">
        <v>6102</v>
      </c>
      <c r="Q81">
        <v>30</v>
      </c>
      <c r="R81">
        <v>2.79</v>
      </c>
      <c r="S81">
        <v>83.7</v>
      </c>
      <c r="T81">
        <v>59.1</v>
      </c>
      <c r="U81">
        <v>29.39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123</v>
      </c>
      <c r="C82" t="s">
        <v>131</v>
      </c>
      <c r="D82" s="1">
        <v>46028</v>
      </c>
      <c r="E82" t="s">
        <v>132</v>
      </c>
      <c r="F82">
        <v>9</v>
      </c>
      <c r="G82">
        <v>174</v>
      </c>
      <c r="H82" t="str">
        <f>VLOOKUP(G82,[1]OPERADORES!$A:$B,2,0)</f>
        <v>MIRIÃ LOBATO RODRIGUES</v>
      </c>
      <c r="I82" t="s">
        <v>126</v>
      </c>
      <c r="J82" t="s">
        <v>127</v>
      </c>
      <c r="K82" t="s">
        <v>128</v>
      </c>
      <c r="L82">
        <v>20525</v>
      </c>
      <c r="M82" t="s">
        <v>137</v>
      </c>
      <c r="O82" t="s">
        <v>11</v>
      </c>
      <c r="P82">
        <v>6102</v>
      </c>
      <c r="Q82">
        <v>5</v>
      </c>
      <c r="R82">
        <v>13.65</v>
      </c>
      <c r="S82">
        <v>68.25</v>
      </c>
      <c r="T82">
        <v>51.8</v>
      </c>
      <c r="U82">
        <v>24.1</v>
      </c>
      <c r="V82" t="str">
        <f>VLOOKUP(L82,'[2]tabela de preços'!$A:$D,4,0)</f>
        <v>SHERWIN WILLIAMS</v>
      </c>
      <c r="W82" t="str">
        <f>VLOOKUP(L82,'[2]tabela de preços'!$A:$F,6,0)</f>
        <v>MASSA DE PEQUENOS REPAROS</v>
      </c>
      <c r="X82" t="str">
        <f>VLOOKUP(L82,'[2]tabela de preços'!$A:$G,7,0)</f>
        <v>AUTOMOTIVO</v>
      </c>
    </row>
    <row r="83" spans="1:24" x14ac:dyDescent="0.3">
      <c r="A83" t="s">
        <v>123</v>
      </c>
      <c r="C83" t="s">
        <v>131</v>
      </c>
      <c r="D83" s="1">
        <v>46028</v>
      </c>
      <c r="E83" t="s">
        <v>132</v>
      </c>
      <c r="F83">
        <v>9</v>
      </c>
      <c r="G83">
        <v>174</v>
      </c>
      <c r="H83" t="str">
        <f>VLOOKUP(G83,[1]OPERADORES!$A:$B,2,0)</f>
        <v>MIRIÃ LOBATO RODRIGUES</v>
      </c>
      <c r="I83" t="s">
        <v>126</v>
      </c>
      <c r="J83" t="s">
        <v>127</v>
      </c>
      <c r="K83" t="s">
        <v>128</v>
      </c>
      <c r="L83">
        <v>10402</v>
      </c>
      <c r="M83" t="s">
        <v>138</v>
      </c>
      <c r="O83" t="s">
        <v>11</v>
      </c>
      <c r="P83">
        <v>6102</v>
      </c>
      <c r="Q83">
        <v>1</v>
      </c>
      <c r="R83">
        <v>22.83</v>
      </c>
      <c r="S83">
        <v>22.83</v>
      </c>
      <c r="T83">
        <v>17.329999999999998</v>
      </c>
      <c r="U83">
        <v>24.09</v>
      </c>
      <c r="V83" t="str">
        <f>VLOOKUP(L83,'[2]tabela de preços'!$A:$D,4,0)</f>
        <v>MAXI RUBBER</v>
      </c>
      <c r="W83" t="str">
        <f>VLOOKUP(L83,'[2]tabela de preços'!$A:$F,6,0)</f>
        <v>REMOVEDOR PASTOSO</v>
      </c>
      <c r="X83" t="str">
        <f>VLOOKUP(L83,'[2]tabela de preços'!$A:$G,7,0)</f>
        <v>AUTOMOTIVO</v>
      </c>
    </row>
    <row r="84" spans="1:24" x14ac:dyDescent="0.3">
      <c r="A84" t="s">
        <v>123</v>
      </c>
      <c r="C84" t="s">
        <v>139</v>
      </c>
      <c r="D84" s="1">
        <v>46028</v>
      </c>
      <c r="E84" t="s">
        <v>140</v>
      </c>
      <c r="F84">
        <v>9</v>
      </c>
      <c r="G84">
        <v>174</v>
      </c>
      <c r="H84" t="str">
        <f>VLOOKUP(G84,[1]OPERADORES!$A:$B,2,0)</f>
        <v>MIRIÃ LOBATO RODRIGUES</v>
      </c>
      <c r="I84" t="s">
        <v>126</v>
      </c>
      <c r="J84" t="s">
        <v>127</v>
      </c>
      <c r="K84" t="s">
        <v>128</v>
      </c>
      <c r="L84">
        <v>21078</v>
      </c>
      <c r="M84" t="s">
        <v>141</v>
      </c>
      <c r="O84" t="s">
        <v>11</v>
      </c>
      <c r="P84">
        <v>6102</v>
      </c>
      <c r="Q84">
        <v>4</v>
      </c>
      <c r="R84">
        <v>24.58</v>
      </c>
      <c r="S84">
        <v>98.32</v>
      </c>
      <c r="T84">
        <v>74.64</v>
      </c>
      <c r="U84">
        <v>24.08</v>
      </c>
      <c r="V84" t="str">
        <f>VLOOKUP(L84,'[2]tabela de preços'!$A:$D,4,0)</f>
        <v>SHERWIN WILLIAMS</v>
      </c>
      <c r="W84" t="str">
        <f>VLOOKUP(L84,'[2]tabela de preços'!$A:$F,6,0)</f>
        <v>MASSA POLIÉSTER</v>
      </c>
      <c r="X84" t="str">
        <f>VLOOKUP(L84,'[2]tabela de preços'!$A:$G,7,0)</f>
        <v>AUTOMOTIVO</v>
      </c>
    </row>
    <row r="85" spans="1:24" x14ac:dyDescent="0.3">
      <c r="A85" t="s">
        <v>123</v>
      </c>
      <c r="C85" t="s">
        <v>142</v>
      </c>
      <c r="D85" s="1">
        <v>46041</v>
      </c>
      <c r="E85" t="s">
        <v>143</v>
      </c>
      <c r="F85">
        <v>9</v>
      </c>
      <c r="G85">
        <v>174</v>
      </c>
      <c r="H85" t="str">
        <f>VLOOKUP(G85,[1]OPERADORES!$A:$B,2,0)</f>
        <v>MIRIÃ LOBATO RODRIGUES</v>
      </c>
      <c r="I85" t="s">
        <v>126</v>
      </c>
      <c r="J85" t="s">
        <v>127</v>
      </c>
      <c r="K85" t="s">
        <v>128</v>
      </c>
      <c r="L85">
        <v>84108</v>
      </c>
      <c r="M85" t="s">
        <v>144</v>
      </c>
      <c r="O85" t="s">
        <v>11</v>
      </c>
      <c r="P85">
        <v>6403</v>
      </c>
      <c r="Q85">
        <v>5</v>
      </c>
      <c r="R85">
        <v>27.29</v>
      </c>
      <c r="S85">
        <v>136.44999999999999</v>
      </c>
      <c r="T85">
        <v>103.55</v>
      </c>
      <c r="U85">
        <v>24.11</v>
      </c>
      <c r="V85" t="str">
        <f>VLOOKUP(L85,'[2]tabela de preços'!$A:$D,4,0)</f>
        <v>BRASILUX</v>
      </c>
      <c r="W85" t="str">
        <f>VLOOKUP(L85,'[2]tabela de preços'!$A:$F,6,0)</f>
        <v>TINTAS LACA</v>
      </c>
      <c r="X85" t="str">
        <f>VLOOKUP(L85,'[2]tabela de preços'!$A:$G,7,0)</f>
        <v>AUTOMOTIVO</v>
      </c>
    </row>
    <row r="86" spans="1:24" x14ac:dyDescent="0.3">
      <c r="A86" t="s">
        <v>123</v>
      </c>
      <c r="C86" t="s">
        <v>142</v>
      </c>
      <c r="D86" s="1">
        <v>46041</v>
      </c>
      <c r="E86" t="s">
        <v>143</v>
      </c>
      <c r="F86">
        <v>9</v>
      </c>
      <c r="G86">
        <v>174</v>
      </c>
      <c r="H86" t="str">
        <f>VLOOKUP(G86,[1]OPERADORES!$A:$B,2,0)</f>
        <v>MIRIÃ LOBATO RODRIGUES</v>
      </c>
      <c r="I86" t="s">
        <v>126</v>
      </c>
      <c r="J86" t="s">
        <v>127</v>
      </c>
      <c r="K86" t="s">
        <v>128</v>
      </c>
      <c r="L86">
        <v>10236</v>
      </c>
      <c r="M86" t="s">
        <v>133</v>
      </c>
      <c r="O86" t="s">
        <v>11</v>
      </c>
      <c r="P86">
        <v>6102</v>
      </c>
      <c r="Q86">
        <v>30</v>
      </c>
      <c r="R86">
        <v>2.79</v>
      </c>
      <c r="S86">
        <v>83.7</v>
      </c>
      <c r="T86">
        <v>69.599999999999994</v>
      </c>
      <c r="U86">
        <v>16.850000000000001</v>
      </c>
      <c r="V86" t="str">
        <f>VLOOKUP(L86,'[2]tabela de preços'!$A:$D,4,0)</f>
        <v>NORTON</v>
      </c>
      <c r="W86" t="str">
        <f>VLOOKUP(L86,'[2]tabela de preços'!$A:$F,6,0)</f>
        <v xml:space="preserve">DISCOS / LIXAS / ABRASIVOS </v>
      </c>
      <c r="X86" t="str">
        <f>VLOOKUP(L86,'[2]tabela de preços'!$A:$G,7,0)</f>
        <v>AUTOMOTIVO</v>
      </c>
    </row>
    <row r="87" spans="1:24" x14ac:dyDescent="0.3">
      <c r="A87" t="s">
        <v>123</v>
      </c>
      <c r="C87" t="s">
        <v>142</v>
      </c>
      <c r="D87" s="1">
        <v>46041</v>
      </c>
      <c r="E87" t="s">
        <v>143</v>
      </c>
      <c r="F87">
        <v>9</v>
      </c>
      <c r="G87">
        <v>174</v>
      </c>
      <c r="H87" t="str">
        <f>VLOOKUP(G87,[1]OPERADORES!$A:$B,2,0)</f>
        <v>MIRIÃ LOBATO RODRIGUES</v>
      </c>
      <c r="I87" t="s">
        <v>126</v>
      </c>
      <c r="J87" t="s">
        <v>127</v>
      </c>
      <c r="K87" t="s">
        <v>128</v>
      </c>
      <c r="L87">
        <v>10226</v>
      </c>
      <c r="M87" t="s">
        <v>145</v>
      </c>
      <c r="O87" t="s">
        <v>11</v>
      </c>
      <c r="P87">
        <v>6102</v>
      </c>
      <c r="Q87">
        <v>20</v>
      </c>
      <c r="R87">
        <v>2.79</v>
      </c>
      <c r="S87">
        <v>55.8</v>
      </c>
      <c r="T87">
        <v>46.4</v>
      </c>
      <c r="U87">
        <v>16.850000000000001</v>
      </c>
      <c r="V87" t="str">
        <f>VLOOKUP(L87,'[2]tabela de preços'!$A:$D,4,0)</f>
        <v>NORTON</v>
      </c>
      <c r="W87" t="str">
        <f>VLOOKUP(L87,'[2]tabela de preços'!$A:$F,6,0)</f>
        <v xml:space="preserve">DISCOS / LIXAS / ABRASIVOS </v>
      </c>
      <c r="X87" t="str">
        <f>VLOOKUP(L87,'[2]tabela de preços'!$A:$G,7,0)</f>
        <v>AUTOMOTIVO</v>
      </c>
    </row>
    <row r="88" spans="1:24" x14ac:dyDescent="0.3">
      <c r="A88" t="s">
        <v>123</v>
      </c>
      <c r="C88" t="s">
        <v>142</v>
      </c>
      <c r="D88" s="1">
        <v>46041</v>
      </c>
      <c r="E88" t="s">
        <v>143</v>
      </c>
      <c r="F88">
        <v>9</v>
      </c>
      <c r="G88">
        <v>174</v>
      </c>
      <c r="H88" t="str">
        <f>VLOOKUP(G88,[1]OPERADORES!$A:$B,2,0)</f>
        <v>MIRIÃ LOBATO RODRIGUES</v>
      </c>
      <c r="I88" t="s">
        <v>126</v>
      </c>
      <c r="J88" t="s">
        <v>127</v>
      </c>
      <c r="K88" t="s">
        <v>128</v>
      </c>
      <c r="L88">
        <v>24248</v>
      </c>
      <c r="M88" t="s">
        <v>107</v>
      </c>
      <c r="O88" t="s">
        <v>11</v>
      </c>
      <c r="P88">
        <v>6102</v>
      </c>
      <c r="Q88">
        <v>12</v>
      </c>
      <c r="R88">
        <v>8</v>
      </c>
      <c r="S88">
        <v>96</v>
      </c>
      <c r="T88">
        <v>78</v>
      </c>
      <c r="U88">
        <v>18.75</v>
      </c>
      <c r="V88" t="str">
        <f>VLOOKUP(L88,'[2]tabela de preços'!$A:$D,4,0)</f>
        <v>SHERWIN WILLIAMS</v>
      </c>
      <c r="W88" t="str">
        <f>VLOOKUP(L88,'[2]tabela de preços'!$A:$F,6,0)</f>
        <v>PRIMER AUTOMOTIVO</v>
      </c>
      <c r="X88" t="str">
        <f>VLOOKUP(L88,'[2]tabela de preços'!$A:$G,7,0)</f>
        <v>AUTOMOTIVO</v>
      </c>
    </row>
    <row r="89" spans="1:24" x14ac:dyDescent="0.3">
      <c r="A89" t="s">
        <v>123</v>
      </c>
      <c r="C89" t="s">
        <v>142</v>
      </c>
      <c r="D89" s="1">
        <v>46041</v>
      </c>
      <c r="E89" t="s">
        <v>143</v>
      </c>
      <c r="F89">
        <v>9</v>
      </c>
      <c r="G89">
        <v>174</v>
      </c>
      <c r="H89" t="str">
        <f>VLOOKUP(G89,[1]OPERADORES!$A:$B,2,0)</f>
        <v>MIRIÃ LOBATO RODRIGUES</v>
      </c>
      <c r="I89" t="s">
        <v>126</v>
      </c>
      <c r="J89" t="s">
        <v>127</v>
      </c>
      <c r="K89" t="s">
        <v>128</v>
      </c>
      <c r="L89">
        <v>20245</v>
      </c>
      <c r="M89" t="s">
        <v>146</v>
      </c>
      <c r="O89" t="s">
        <v>11</v>
      </c>
      <c r="P89">
        <v>6102</v>
      </c>
      <c r="Q89">
        <v>10</v>
      </c>
      <c r="R89">
        <v>1.78</v>
      </c>
      <c r="S89">
        <v>17.8</v>
      </c>
      <c r="T89">
        <v>13.5</v>
      </c>
      <c r="U89">
        <v>24.16</v>
      </c>
      <c r="V89" t="str">
        <f>VLOOKUP(L89,'[2]tabela de preços'!$A:$D,4,0)</f>
        <v>ATLAS</v>
      </c>
      <c r="W89" t="str">
        <f>VLOOKUP(L89,'[2]tabela de preços'!$A:$F,6,0)</f>
        <v>APLICADORES / ADAPTADORES / ENGATES / SUPORTES</v>
      </c>
      <c r="X89" t="str">
        <f>VLOOKUP(L89,'[2]tabela de preços'!$A:$G,7,0)</f>
        <v>AUTOMOTIVO</v>
      </c>
    </row>
    <row r="90" spans="1:24" x14ac:dyDescent="0.3">
      <c r="A90" t="s">
        <v>123</v>
      </c>
      <c r="C90" t="s">
        <v>142</v>
      </c>
      <c r="D90" s="1">
        <v>46041</v>
      </c>
      <c r="E90" t="s">
        <v>143</v>
      </c>
      <c r="F90">
        <v>9</v>
      </c>
      <c r="G90">
        <v>174</v>
      </c>
      <c r="H90" t="str">
        <f>VLOOKUP(G90,[1]OPERADORES!$A:$B,2,0)</f>
        <v>MIRIÃ LOBATO RODRIGUES</v>
      </c>
      <c r="I90" t="s">
        <v>126</v>
      </c>
      <c r="J90" t="s">
        <v>127</v>
      </c>
      <c r="K90" t="s">
        <v>128</v>
      </c>
      <c r="L90">
        <v>5</v>
      </c>
      <c r="M90" t="s">
        <v>147</v>
      </c>
      <c r="O90" t="s">
        <v>11</v>
      </c>
      <c r="P90">
        <v>6102</v>
      </c>
      <c r="Q90">
        <v>5</v>
      </c>
      <c r="R90">
        <v>5.15</v>
      </c>
      <c r="S90">
        <v>25.75</v>
      </c>
      <c r="T90">
        <v>19.55</v>
      </c>
      <c r="U90">
        <v>24.08</v>
      </c>
      <c r="V90" t="str">
        <f>VLOOKUP(L90,'[2]tabela de preços'!$A:$D,4,0)</f>
        <v>BRILHO ESTOPA</v>
      </c>
      <c r="W90" t="str">
        <f>VLOOKUP(L90,'[2]tabela de preços'!$A:$F,6,0)</f>
        <v>ESTOPAS</v>
      </c>
      <c r="X90" t="str">
        <f>VLOOKUP(L90,'[2]tabela de preços'!$A:$G,7,0)</f>
        <v>AUTOMOTIVO</v>
      </c>
    </row>
    <row r="91" spans="1:24" x14ac:dyDescent="0.3">
      <c r="A91" t="s">
        <v>123</v>
      </c>
      <c r="C91" t="s">
        <v>142</v>
      </c>
      <c r="D91" s="1">
        <v>46041</v>
      </c>
      <c r="E91" t="s">
        <v>143</v>
      </c>
      <c r="F91">
        <v>9</v>
      </c>
      <c r="G91">
        <v>174</v>
      </c>
      <c r="H91" t="str">
        <f>VLOOKUP(G91,[1]OPERADORES!$A:$B,2,0)</f>
        <v>MIRIÃ LOBATO RODRIGUES</v>
      </c>
      <c r="I91" t="s">
        <v>126</v>
      </c>
      <c r="J91" t="s">
        <v>127</v>
      </c>
      <c r="K91" t="s">
        <v>128</v>
      </c>
      <c r="L91">
        <v>20318</v>
      </c>
      <c r="M91" t="s">
        <v>136</v>
      </c>
      <c r="O91" t="s">
        <v>11</v>
      </c>
      <c r="P91">
        <v>6403</v>
      </c>
      <c r="Q91">
        <v>2</v>
      </c>
      <c r="R91">
        <v>33.4</v>
      </c>
      <c r="S91">
        <v>66.8</v>
      </c>
      <c r="T91">
        <v>47.62</v>
      </c>
      <c r="U91">
        <v>28.71</v>
      </c>
      <c r="V91" t="str">
        <f>VLOOKUP(L91,'[2]tabela de preços'!$A:$D,4,0)</f>
        <v>SHERWIN WILLIAMS</v>
      </c>
      <c r="W91" t="str">
        <f>VLOOKUP(L91,'[2]tabela de preços'!$A:$F,6,0)</f>
        <v>TINTAS POLIÉSTER</v>
      </c>
      <c r="X91" t="str">
        <f>VLOOKUP(L91,'[2]tabela de preços'!$A:$G,7,0)</f>
        <v>AUTOMOTIVO</v>
      </c>
    </row>
    <row r="92" spans="1:24" x14ac:dyDescent="0.3">
      <c r="A92" t="s">
        <v>123</v>
      </c>
      <c r="C92" t="s">
        <v>142</v>
      </c>
      <c r="D92" s="1">
        <v>46041</v>
      </c>
      <c r="E92" t="s">
        <v>143</v>
      </c>
      <c r="F92">
        <v>9</v>
      </c>
      <c r="G92">
        <v>174</v>
      </c>
      <c r="H92" t="str">
        <f>VLOOKUP(G92,[1]OPERADORES!$A:$B,2,0)</f>
        <v>MIRIÃ LOBATO RODRIGUES</v>
      </c>
      <c r="I92" t="s">
        <v>126</v>
      </c>
      <c r="J92" t="s">
        <v>127</v>
      </c>
      <c r="K92" t="s">
        <v>128</v>
      </c>
      <c r="L92">
        <v>20375</v>
      </c>
      <c r="M92" t="s">
        <v>148</v>
      </c>
      <c r="O92" t="s">
        <v>11</v>
      </c>
      <c r="P92">
        <v>6403</v>
      </c>
      <c r="Q92">
        <v>1</v>
      </c>
      <c r="R92">
        <v>35.49</v>
      </c>
      <c r="S92">
        <v>35.49</v>
      </c>
      <c r="T92">
        <v>25.45</v>
      </c>
      <c r="U92">
        <v>28.29</v>
      </c>
      <c r="V92" t="str">
        <f>VLOOKUP(L92,'[2]tabela de preços'!$A:$D,4,0)</f>
        <v>SHERWIN WILLIAMS</v>
      </c>
      <c r="W92" t="str">
        <f>VLOOKUP(L92,'[2]tabela de preços'!$A:$F,6,0)</f>
        <v>TINTAS POLIÉSTER</v>
      </c>
      <c r="X92" t="str">
        <f>VLOOKUP(L92,'[2]tabela de preços'!$A:$G,7,0)</f>
        <v>AUTOMOTIVO</v>
      </c>
    </row>
    <row r="93" spans="1:24" x14ac:dyDescent="0.3">
      <c r="A93" t="s">
        <v>123</v>
      </c>
      <c r="C93" t="s">
        <v>142</v>
      </c>
      <c r="D93" s="1">
        <v>46041</v>
      </c>
      <c r="E93" t="s">
        <v>143</v>
      </c>
      <c r="F93">
        <v>9</v>
      </c>
      <c r="G93">
        <v>174</v>
      </c>
      <c r="H93" t="str">
        <f>VLOOKUP(G93,[1]OPERADORES!$A:$B,2,0)</f>
        <v>MIRIÃ LOBATO RODRIGUES</v>
      </c>
      <c r="I93" t="s">
        <v>126</v>
      </c>
      <c r="J93" t="s">
        <v>127</v>
      </c>
      <c r="K93" t="s">
        <v>128</v>
      </c>
      <c r="L93">
        <v>21820</v>
      </c>
      <c r="M93" t="s">
        <v>149</v>
      </c>
      <c r="O93" t="s">
        <v>11</v>
      </c>
      <c r="P93">
        <v>6403</v>
      </c>
      <c r="Q93">
        <v>1</v>
      </c>
      <c r="R93">
        <v>38.51</v>
      </c>
      <c r="S93">
        <v>38.51</v>
      </c>
      <c r="T93">
        <v>27.53</v>
      </c>
      <c r="U93">
        <v>28.51</v>
      </c>
      <c r="V93" t="str">
        <f>VLOOKUP(L93,'[2]tabela de preços'!$A:$D,4,0)</f>
        <v>SHERWIN WILLIAMS</v>
      </c>
      <c r="W93" t="str">
        <f>VLOOKUP(L93,'[2]tabela de preços'!$A:$F,6,0)</f>
        <v>TINTAS PU</v>
      </c>
      <c r="X93" t="str">
        <f>VLOOKUP(L93,'[2]tabela de preços'!$A:$G,7,0)</f>
        <v>AUTOMOTIVO</v>
      </c>
    </row>
    <row r="94" spans="1:24" x14ac:dyDescent="0.3">
      <c r="A94" t="s">
        <v>123</v>
      </c>
      <c r="C94" t="s">
        <v>142</v>
      </c>
      <c r="D94" s="1">
        <v>46041</v>
      </c>
      <c r="E94" t="s">
        <v>143</v>
      </c>
      <c r="F94">
        <v>9</v>
      </c>
      <c r="G94">
        <v>174</v>
      </c>
      <c r="H94" t="str">
        <f>VLOOKUP(G94,[1]OPERADORES!$A:$B,2,0)</f>
        <v>MIRIÃ LOBATO RODRIGUES</v>
      </c>
      <c r="I94" t="s">
        <v>126</v>
      </c>
      <c r="J94" t="s">
        <v>127</v>
      </c>
      <c r="K94" t="s">
        <v>128</v>
      </c>
      <c r="L94">
        <v>20325</v>
      </c>
      <c r="M94" t="s">
        <v>150</v>
      </c>
      <c r="O94" t="s">
        <v>11</v>
      </c>
      <c r="P94">
        <v>6403</v>
      </c>
      <c r="Q94">
        <v>1</v>
      </c>
      <c r="R94">
        <v>32.299999999999997</v>
      </c>
      <c r="S94">
        <v>32.299999999999997</v>
      </c>
      <c r="T94">
        <v>23.03</v>
      </c>
      <c r="U94">
        <v>28.7</v>
      </c>
      <c r="V94" t="str">
        <f>VLOOKUP(L94,'[2]tabela de preços'!$A:$D,4,0)</f>
        <v>SHERWIN WILLIAMS</v>
      </c>
      <c r="W94" t="str">
        <f>VLOOKUP(L94,'[2]tabela de preços'!$A:$F,6,0)</f>
        <v>TINTAS POLIÉSTER</v>
      </c>
      <c r="X94" t="str">
        <f>VLOOKUP(L94,'[2]tabela de preços'!$A:$G,7,0)</f>
        <v>AUTOMOTIVO</v>
      </c>
    </row>
    <row r="95" spans="1:24" x14ac:dyDescent="0.3">
      <c r="A95" t="s">
        <v>123</v>
      </c>
      <c r="C95" t="s">
        <v>142</v>
      </c>
      <c r="D95" s="1">
        <v>46041</v>
      </c>
      <c r="E95" t="s">
        <v>143</v>
      </c>
      <c r="F95">
        <v>9</v>
      </c>
      <c r="G95">
        <v>174</v>
      </c>
      <c r="H95" t="str">
        <f>VLOOKUP(G95,[1]OPERADORES!$A:$B,2,0)</f>
        <v>MIRIÃ LOBATO RODRIGUES</v>
      </c>
      <c r="I95" t="s">
        <v>126</v>
      </c>
      <c r="J95" t="s">
        <v>127</v>
      </c>
      <c r="K95" t="s">
        <v>128</v>
      </c>
      <c r="L95">
        <v>20936</v>
      </c>
      <c r="M95" t="s">
        <v>151</v>
      </c>
      <c r="O95" t="s">
        <v>11</v>
      </c>
      <c r="P95">
        <v>6403</v>
      </c>
      <c r="Q95">
        <v>1</v>
      </c>
      <c r="R95">
        <v>32.340000000000003</v>
      </c>
      <c r="S95">
        <v>32.340000000000003</v>
      </c>
      <c r="T95">
        <v>23.06</v>
      </c>
      <c r="U95">
        <v>28.7</v>
      </c>
      <c r="V95" t="str">
        <f>VLOOKUP(L95,'[2]tabela de preços'!$A:$D,4,0)</f>
        <v>SHERWIN WILLIAMS</v>
      </c>
      <c r="W95" t="str">
        <f>VLOOKUP(L95,'[2]tabela de preços'!$A:$F,6,0)</f>
        <v>TINTAS POLIÉSTER</v>
      </c>
      <c r="X95" t="str">
        <f>VLOOKUP(L95,'[2]tabela de preços'!$A:$G,7,0)</f>
        <v>AUTOMOTIVO</v>
      </c>
    </row>
    <row r="96" spans="1:24" x14ac:dyDescent="0.3">
      <c r="A96" t="s">
        <v>123</v>
      </c>
      <c r="C96" t="s">
        <v>142</v>
      </c>
      <c r="D96" s="1">
        <v>46041</v>
      </c>
      <c r="E96" t="s">
        <v>143</v>
      </c>
      <c r="F96">
        <v>9</v>
      </c>
      <c r="G96">
        <v>174</v>
      </c>
      <c r="H96" t="str">
        <f>VLOOKUP(G96,[1]OPERADORES!$A:$B,2,0)</f>
        <v>MIRIÃ LOBATO RODRIGUES</v>
      </c>
      <c r="I96" t="s">
        <v>126</v>
      </c>
      <c r="J96" t="s">
        <v>127</v>
      </c>
      <c r="K96" t="s">
        <v>128</v>
      </c>
      <c r="L96">
        <v>13</v>
      </c>
      <c r="M96" t="s">
        <v>152</v>
      </c>
      <c r="O96" t="s">
        <v>11</v>
      </c>
      <c r="P96">
        <v>6102</v>
      </c>
      <c r="Q96">
        <v>25</v>
      </c>
      <c r="R96">
        <v>5.79</v>
      </c>
      <c r="S96">
        <v>144.75</v>
      </c>
      <c r="T96">
        <v>104</v>
      </c>
      <c r="U96">
        <v>28.15</v>
      </c>
      <c r="V96" t="str">
        <f>VLOOKUP(L96,'[2]tabela de preços'!$A:$D,4,0)</f>
        <v>3M</v>
      </c>
      <c r="W96" t="str">
        <f>VLOOKUP(L96,'[2]tabela de preços'!$A:$F,6,0)</f>
        <v>LIXA DÁGUA</v>
      </c>
      <c r="X96" t="str">
        <f>VLOOKUP(L96,'[2]tabela de preços'!$A:$G,7,0)</f>
        <v>AUTOMOTIVO</v>
      </c>
    </row>
    <row r="97" spans="1:24" x14ac:dyDescent="0.3">
      <c r="A97" t="s">
        <v>123</v>
      </c>
      <c r="C97" t="s">
        <v>142</v>
      </c>
      <c r="D97" s="1">
        <v>46041</v>
      </c>
      <c r="E97" t="s">
        <v>143</v>
      </c>
      <c r="F97">
        <v>9</v>
      </c>
      <c r="G97">
        <v>174</v>
      </c>
      <c r="H97" t="str">
        <f>VLOOKUP(G97,[1]OPERADORES!$A:$B,2,0)</f>
        <v>MIRIÃ LOBATO RODRIGUES</v>
      </c>
      <c r="I97" t="s">
        <v>126</v>
      </c>
      <c r="J97" t="s">
        <v>127</v>
      </c>
      <c r="K97" t="s">
        <v>128</v>
      </c>
      <c r="L97">
        <v>20817</v>
      </c>
      <c r="M97" t="s">
        <v>153</v>
      </c>
      <c r="O97" t="s">
        <v>11</v>
      </c>
      <c r="P97">
        <v>6102</v>
      </c>
      <c r="Q97">
        <v>3</v>
      </c>
      <c r="R97">
        <v>22.89</v>
      </c>
      <c r="S97">
        <v>68.67</v>
      </c>
      <c r="T97">
        <v>55.86</v>
      </c>
      <c r="U97">
        <v>18.649999999999999</v>
      </c>
      <c r="V97" t="str">
        <f>VLOOKUP(L97,'[2]tabela de preços'!$A:$D,4,0)</f>
        <v>AUTO AMERICA</v>
      </c>
      <c r="W97" t="str">
        <f>VLOOKUP(L97,'[2]tabela de preços'!$A:$F,6,0)</f>
        <v>MASSA DE POLIR</v>
      </c>
      <c r="X97" t="str">
        <f>VLOOKUP(L97,'[2]tabela de preços'!$A:$G,7,0)</f>
        <v>AUTOMOTIVO</v>
      </c>
    </row>
    <row r="98" spans="1:24" x14ac:dyDescent="0.3">
      <c r="A98" t="s">
        <v>123</v>
      </c>
      <c r="C98" t="s">
        <v>142</v>
      </c>
      <c r="D98" s="1">
        <v>46041</v>
      </c>
      <c r="E98" t="s">
        <v>143</v>
      </c>
      <c r="F98">
        <v>9</v>
      </c>
      <c r="G98">
        <v>174</v>
      </c>
      <c r="H98" t="str">
        <f>VLOOKUP(G98,[1]OPERADORES!$A:$B,2,0)</f>
        <v>MIRIÃ LOBATO RODRIGUES</v>
      </c>
      <c r="I98" t="s">
        <v>126</v>
      </c>
      <c r="J98" t="s">
        <v>127</v>
      </c>
      <c r="K98" t="s">
        <v>128</v>
      </c>
      <c r="L98">
        <v>20525</v>
      </c>
      <c r="M98" t="s">
        <v>137</v>
      </c>
      <c r="O98" t="s">
        <v>11</v>
      </c>
      <c r="P98">
        <v>6102</v>
      </c>
      <c r="Q98">
        <v>2</v>
      </c>
      <c r="R98">
        <v>13.65</v>
      </c>
      <c r="S98">
        <v>27.3</v>
      </c>
      <c r="T98">
        <v>20.72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MASSA DE PEQUENOS REPAROS</v>
      </c>
      <c r="X98" t="str">
        <f>VLOOKUP(L98,'[2]tabela de preços'!$A:$G,7,0)</f>
        <v>AUTOMOTIVO</v>
      </c>
    </row>
    <row r="99" spans="1:24" x14ac:dyDescent="0.3">
      <c r="A99" t="s">
        <v>123</v>
      </c>
      <c r="C99" t="s">
        <v>142</v>
      </c>
      <c r="D99" s="1">
        <v>46041</v>
      </c>
      <c r="E99" t="s">
        <v>143</v>
      </c>
      <c r="F99">
        <v>9</v>
      </c>
      <c r="G99">
        <v>174</v>
      </c>
      <c r="H99" t="str">
        <f>VLOOKUP(G99,[1]OPERADORES!$A:$B,2,0)</f>
        <v>MIRIÃ LOBATO RODRIGUES</v>
      </c>
      <c r="I99" t="s">
        <v>126</v>
      </c>
      <c r="J99" t="s">
        <v>127</v>
      </c>
      <c r="K99" t="s">
        <v>128</v>
      </c>
      <c r="L99">
        <v>21078</v>
      </c>
      <c r="M99" t="s">
        <v>141</v>
      </c>
      <c r="O99" t="s">
        <v>11</v>
      </c>
      <c r="P99">
        <v>6102</v>
      </c>
      <c r="Q99">
        <v>6</v>
      </c>
      <c r="R99">
        <v>22.89</v>
      </c>
      <c r="S99">
        <v>137.34</v>
      </c>
      <c r="T99">
        <v>111.96</v>
      </c>
      <c r="U99">
        <v>18.48</v>
      </c>
      <c r="V99" t="str">
        <f>VLOOKUP(L99,'[2]tabela de preços'!$A:$D,4,0)</f>
        <v>SHERWIN WILLIAMS</v>
      </c>
      <c r="W99" t="str">
        <f>VLOOKUP(L99,'[2]tabela de preços'!$A:$F,6,0)</f>
        <v>MASSA POLIÉSTER</v>
      </c>
      <c r="X99" t="str">
        <f>VLOOKUP(L99,'[2]tabela de preços'!$A:$G,7,0)</f>
        <v>AUTOMOTIVO</v>
      </c>
    </row>
    <row r="100" spans="1:24" x14ac:dyDescent="0.3">
      <c r="A100" t="s">
        <v>123</v>
      </c>
      <c r="C100" t="s">
        <v>142</v>
      </c>
      <c r="D100" s="1">
        <v>46041</v>
      </c>
      <c r="E100" t="s">
        <v>143</v>
      </c>
      <c r="F100">
        <v>9</v>
      </c>
      <c r="G100">
        <v>174</v>
      </c>
      <c r="H100" t="str">
        <f>VLOOKUP(G100,[1]OPERADORES!$A:$B,2,0)</f>
        <v>MIRIÃ LOBATO RODRIGUES</v>
      </c>
      <c r="I100" t="s">
        <v>126</v>
      </c>
      <c r="J100" t="s">
        <v>127</v>
      </c>
      <c r="K100" t="s">
        <v>128</v>
      </c>
      <c r="L100">
        <v>24247</v>
      </c>
      <c r="M100" t="s">
        <v>111</v>
      </c>
      <c r="O100" t="s">
        <v>11</v>
      </c>
      <c r="P100">
        <v>6403</v>
      </c>
      <c r="Q100">
        <v>12</v>
      </c>
      <c r="R100">
        <v>21</v>
      </c>
      <c r="S100">
        <v>252</v>
      </c>
      <c r="T100">
        <v>202.44</v>
      </c>
      <c r="U100">
        <v>19.670000000000002</v>
      </c>
      <c r="V100" t="str">
        <f>VLOOKUP(L100,'[2]tabela de preços'!$A:$D,4,0)</f>
        <v>SHERWIN WILLIAMS</v>
      </c>
      <c r="W100" t="str">
        <f>VLOOKUP(L100,'[2]tabela de preços'!$A:$F,6,0)</f>
        <v>PRIMER AUTOMOTIVO</v>
      </c>
      <c r="X100" t="str">
        <f>VLOOKUP(L100,'[2]tabela de preços'!$A:$G,7,0)</f>
        <v>AUTOMOTIVO</v>
      </c>
    </row>
    <row r="101" spans="1:24" x14ac:dyDescent="0.3">
      <c r="A101" t="s">
        <v>123</v>
      </c>
      <c r="C101" t="s">
        <v>142</v>
      </c>
      <c r="D101" s="1">
        <v>46041</v>
      </c>
      <c r="E101" t="s">
        <v>143</v>
      </c>
      <c r="F101">
        <v>9</v>
      </c>
      <c r="G101">
        <v>174</v>
      </c>
      <c r="H101" t="str">
        <f>VLOOKUP(G101,[1]OPERADORES!$A:$B,2,0)</f>
        <v>MIRIÃ LOBATO RODRIGUES</v>
      </c>
      <c r="I101" t="s">
        <v>126</v>
      </c>
      <c r="J101" t="s">
        <v>127</v>
      </c>
      <c r="K101" t="s">
        <v>128</v>
      </c>
      <c r="L101">
        <v>10401</v>
      </c>
      <c r="M101" t="s">
        <v>154</v>
      </c>
      <c r="O101" t="s">
        <v>11</v>
      </c>
      <c r="P101">
        <v>6403</v>
      </c>
      <c r="Q101">
        <v>2</v>
      </c>
      <c r="R101">
        <v>33.22</v>
      </c>
      <c r="S101">
        <v>66.44</v>
      </c>
      <c r="T101">
        <v>50.42</v>
      </c>
      <c r="U101">
        <v>24.11</v>
      </c>
      <c r="V101" t="str">
        <f>VLOOKUP(L101,'[2]tabela de preços'!$A:$D,4,0)</f>
        <v>MAXI RUBBER</v>
      </c>
      <c r="W101" t="str">
        <f>VLOOKUP(L101,'[2]tabela de preços'!$A:$F,6,0)</f>
        <v>PRIMER AUTOMOTIVO</v>
      </c>
      <c r="X101" t="str">
        <f>VLOOKUP(L101,'[2]tabela de preços'!$A:$G,7,0)</f>
        <v>AUTOMOTIVO</v>
      </c>
    </row>
    <row r="102" spans="1:24" x14ac:dyDescent="0.3">
      <c r="A102" t="s">
        <v>123</v>
      </c>
      <c r="C102" t="s">
        <v>155</v>
      </c>
      <c r="D102" s="1">
        <v>46041</v>
      </c>
      <c r="E102" t="s">
        <v>156</v>
      </c>
      <c r="F102">
        <v>9</v>
      </c>
      <c r="G102">
        <v>174</v>
      </c>
      <c r="H102" t="str">
        <f>VLOOKUP(G102,[1]OPERADORES!$A:$B,2,0)</f>
        <v>MIRIÃ LOBATO RODRIGUES</v>
      </c>
      <c r="I102" t="s">
        <v>126</v>
      </c>
      <c r="J102" t="s">
        <v>127</v>
      </c>
      <c r="K102" t="s">
        <v>128</v>
      </c>
      <c r="L102">
        <v>10234</v>
      </c>
      <c r="M102" t="s">
        <v>157</v>
      </c>
      <c r="O102" t="s">
        <v>11</v>
      </c>
      <c r="P102">
        <v>6102</v>
      </c>
      <c r="Q102">
        <v>10</v>
      </c>
      <c r="R102">
        <v>2.79</v>
      </c>
      <c r="S102">
        <v>27.9</v>
      </c>
      <c r="T102">
        <v>23.2</v>
      </c>
      <c r="U102">
        <v>16.850000000000001</v>
      </c>
      <c r="V102" t="str">
        <f>VLOOKUP(L102,'[2]tabela de preços'!$A:$D,4,0)</f>
        <v>NORTON</v>
      </c>
      <c r="W102" t="str">
        <f>VLOOKUP(L102,'[2]tabela de preços'!$A:$F,6,0)</f>
        <v xml:space="preserve">DISCOS / LIXAS / ABRASIVOS </v>
      </c>
      <c r="X102" t="str">
        <f>VLOOKUP(L102,'[2]tabela de preços'!$A:$G,7,0)</f>
        <v>AUTOMOTIVO</v>
      </c>
    </row>
    <row r="103" spans="1:24" x14ac:dyDescent="0.3">
      <c r="A103" t="s">
        <v>123</v>
      </c>
      <c r="C103" t="s">
        <v>158</v>
      </c>
      <c r="D103" s="1">
        <v>46045</v>
      </c>
      <c r="E103" t="s">
        <v>159</v>
      </c>
      <c r="F103">
        <v>9</v>
      </c>
      <c r="G103">
        <v>174</v>
      </c>
      <c r="H103" t="str">
        <f>VLOOKUP(G103,[1]OPERADORES!$A:$B,2,0)</f>
        <v>MIRIÃ LOBATO RODRIGUES</v>
      </c>
      <c r="I103" t="s">
        <v>126</v>
      </c>
      <c r="J103" t="s">
        <v>127</v>
      </c>
      <c r="K103" t="s">
        <v>128</v>
      </c>
      <c r="L103">
        <v>84557</v>
      </c>
      <c r="M103" t="s">
        <v>116</v>
      </c>
      <c r="O103" t="s">
        <v>11</v>
      </c>
      <c r="P103">
        <v>6102</v>
      </c>
      <c r="Q103">
        <v>6</v>
      </c>
      <c r="R103">
        <v>17.489999999999998</v>
      </c>
      <c r="S103">
        <v>104.94</v>
      </c>
      <c r="T103">
        <v>83.76</v>
      </c>
      <c r="U103">
        <v>20.18</v>
      </c>
      <c r="V103" t="str">
        <f>VLOOKUP(L103,'[2]tabela de preços'!$A:$D,4,0)</f>
        <v>BRASILUX</v>
      </c>
      <c r="W103" t="str">
        <f>VLOOKUP(L103,'[2]tabela de preços'!$A:$F,6,0)</f>
        <v>DILUENTE</v>
      </c>
      <c r="X103" t="str">
        <f>VLOOKUP(L103,'[2]tabela de preços'!$A:$G,7,0)</f>
        <v>AUTOMOTIVO</v>
      </c>
    </row>
    <row r="104" spans="1:24" x14ac:dyDescent="0.3">
      <c r="A104" t="s">
        <v>123</v>
      </c>
      <c r="C104" t="s">
        <v>158</v>
      </c>
      <c r="D104" s="1">
        <v>46045</v>
      </c>
      <c r="E104" t="s">
        <v>159</v>
      </c>
      <c r="F104">
        <v>9</v>
      </c>
      <c r="G104">
        <v>174</v>
      </c>
      <c r="H104" t="str">
        <f>VLOOKUP(G104,[1]OPERADORES!$A:$B,2,0)</f>
        <v>MIRIÃ LOBATO RODRIGUES</v>
      </c>
      <c r="I104" t="s">
        <v>126</v>
      </c>
      <c r="J104" t="s">
        <v>127</v>
      </c>
      <c r="K104" t="s">
        <v>128</v>
      </c>
      <c r="L104">
        <v>10232</v>
      </c>
      <c r="M104" t="s">
        <v>134</v>
      </c>
      <c r="O104" t="s">
        <v>11</v>
      </c>
      <c r="P104">
        <v>6102</v>
      </c>
      <c r="Q104">
        <v>10</v>
      </c>
      <c r="R104">
        <v>2.79</v>
      </c>
      <c r="S104">
        <v>27.9</v>
      </c>
      <c r="T104">
        <v>22.5</v>
      </c>
      <c r="U104">
        <v>19.350000000000001</v>
      </c>
      <c r="V104" t="str">
        <f>VLOOKUP(L104,'[2]tabela de preços'!$A:$D,4,0)</f>
        <v>NORTON</v>
      </c>
      <c r="W104" t="str">
        <f>VLOOKUP(L104,'[2]tabela de preços'!$A:$F,6,0)</f>
        <v xml:space="preserve">DISCOS / LIXAS / ABRASIVOS </v>
      </c>
      <c r="X104" t="str">
        <f>VLOOKUP(L104,'[2]tabela de preços'!$A:$G,7,0)</f>
        <v>AUTOMOTIVO</v>
      </c>
    </row>
    <row r="105" spans="1:24" x14ac:dyDescent="0.3">
      <c r="A105" t="s">
        <v>123</v>
      </c>
      <c r="C105" t="s">
        <v>158</v>
      </c>
      <c r="D105" s="1">
        <v>46045</v>
      </c>
      <c r="E105" t="s">
        <v>159</v>
      </c>
      <c r="F105">
        <v>9</v>
      </c>
      <c r="G105">
        <v>174</v>
      </c>
      <c r="H105" t="str">
        <f>VLOOKUP(G105,[1]OPERADORES!$A:$B,2,0)</f>
        <v>MIRIÃ LOBATO RODRIGUES</v>
      </c>
      <c r="I105" t="s">
        <v>126</v>
      </c>
      <c r="J105" t="s">
        <v>127</v>
      </c>
      <c r="K105" t="s">
        <v>128</v>
      </c>
      <c r="L105">
        <v>24248</v>
      </c>
      <c r="M105" t="s">
        <v>107</v>
      </c>
      <c r="O105" t="s">
        <v>11</v>
      </c>
      <c r="P105">
        <v>6102</v>
      </c>
      <c r="Q105">
        <v>6</v>
      </c>
      <c r="R105">
        <v>8</v>
      </c>
      <c r="S105">
        <v>48</v>
      </c>
      <c r="T105">
        <v>39</v>
      </c>
      <c r="U105">
        <v>18.75</v>
      </c>
      <c r="V105" t="str">
        <f>VLOOKUP(L105,'[2]tabela de preços'!$A:$D,4,0)</f>
        <v>SHERWIN WILLIAMS</v>
      </c>
      <c r="W105" t="str">
        <f>VLOOKUP(L105,'[2]tabela de preços'!$A:$F,6,0)</f>
        <v>PRIMER AUTOMOTIVO</v>
      </c>
      <c r="X105" t="str">
        <f>VLOOKUP(L105,'[2]tabela de preços'!$A:$G,7,0)</f>
        <v>AUTOMOTIVO</v>
      </c>
    </row>
    <row r="106" spans="1:24" x14ac:dyDescent="0.3">
      <c r="A106" t="s">
        <v>123</v>
      </c>
      <c r="C106" t="s">
        <v>158</v>
      </c>
      <c r="D106" s="1">
        <v>46045</v>
      </c>
      <c r="E106" t="s">
        <v>159</v>
      </c>
      <c r="F106">
        <v>9</v>
      </c>
      <c r="G106">
        <v>174</v>
      </c>
      <c r="H106" t="str">
        <f>VLOOKUP(G106,[1]OPERADORES!$A:$B,2,0)</f>
        <v>MIRIÃ LOBATO RODRIGUES</v>
      </c>
      <c r="I106" t="s">
        <v>126</v>
      </c>
      <c r="J106" t="s">
        <v>127</v>
      </c>
      <c r="K106" t="s">
        <v>128</v>
      </c>
      <c r="L106">
        <v>21078</v>
      </c>
      <c r="M106" t="s">
        <v>141</v>
      </c>
      <c r="O106" t="s">
        <v>11</v>
      </c>
      <c r="P106">
        <v>6102</v>
      </c>
      <c r="Q106">
        <v>9</v>
      </c>
      <c r="R106">
        <v>22.89</v>
      </c>
      <c r="S106">
        <v>206.01</v>
      </c>
      <c r="T106">
        <v>167.94</v>
      </c>
      <c r="U106">
        <v>18.48</v>
      </c>
      <c r="V106" t="str">
        <f>VLOOKUP(L106,'[2]tabela de preços'!$A:$D,4,0)</f>
        <v>SHERWIN WILLIAMS</v>
      </c>
      <c r="W106" t="str">
        <f>VLOOKUP(L106,'[2]tabela de preços'!$A:$F,6,0)</f>
        <v>MASSA POLIÉSTER</v>
      </c>
      <c r="X106" t="str">
        <f>VLOOKUP(L106,'[2]tabela de preços'!$A:$G,7,0)</f>
        <v>AUTOMOTIVO</v>
      </c>
    </row>
    <row r="107" spans="1:24" x14ac:dyDescent="0.3">
      <c r="A107" t="s">
        <v>123</v>
      </c>
      <c r="C107" t="s">
        <v>158</v>
      </c>
      <c r="D107" s="1">
        <v>46045</v>
      </c>
      <c r="E107" t="s">
        <v>159</v>
      </c>
      <c r="F107">
        <v>9</v>
      </c>
      <c r="G107">
        <v>174</v>
      </c>
      <c r="H107" t="str">
        <f>VLOOKUP(G107,[1]OPERADORES!$A:$B,2,0)</f>
        <v>MIRIÃ LOBATO RODRIGUES</v>
      </c>
      <c r="I107" t="s">
        <v>126</v>
      </c>
      <c r="J107" t="s">
        <v>127</v>
      </c>
      <c r="K107" t="s">
        <v>128</v>
      </c>
      <c r="L107">
        <v>24247</v>
      </c>
      <c r="M107" t="s">
        <v>160</v>
      </c>
      <c r="O107" t="s">
        <v>11</v>
      </c>
      <c r="P107">
        <v>6403</v>
      </c>
      <c r="Q107">
        <v>6</v>
      </c>
      <c r="R107">
        <v>21</v>
      </c>
      <c r="S107">
        <v>126</v>
      </c>
      <c r="T107">
        <v>101.22</v>
      </c>
      <c r="U107">
        <v>19.670000000000002</v>
      </c>
      <c r="V107" t="str">
        <f>VLOOKUP(L107,'[2]tabela de preços'!$A:$D,4,0)</f>
        <v>SHERWIN WILLIAMS</v>
      </c>
      <c r="W107" t="str">
        <f>VLOOKUP(L107,'[2]tabela de preços'!$A:$F,6,0)</f>
        <v>PRIMER AUTOMOTIVO</v>
      </c>
      <c r="X107" t="str">
        <f>VLOOKUP(L107,'[2]tabela de preços'!$A:$G,7,0)</f>
        <v>AUTOMOTIVO</v>
      </c>
    </row>
    <row r="108" spans="1:24" x14ac:dyDescent="0.3">
      <c r="A108" t="s">
        <v>123</v>
      </c>
      <c r="C108" t="s">
        <v>161</v>
      </c>
      <c r="D108" s="1">
        <v>46050</v>
      </c>
      <c r="E108" t="s">
        <v>162</v>
      </c>
      <c r="F108">
        <v>9</v>
      </c>
      <c r="G108">
        <v>174</v>
      </c>
      <c r="H108" t="str">
        <f>VLOOKUP(G108,[1]OPERADORES!$A:$B,2,0)</f>
        <v>MIRIÃ LOBATO RODRIGUES</v>
      </c>
      <c r="I108" t="s">
        <v>126</v>
      </c>
      <c r="J108" t="s">
        <v>127</v>
      </c>
      <c r="K108" t="s">
        <v>128</v>
      </c>
      <c r="L108">
        <v>84557</v>
      </c>
      <c r="M108" t="s">
        <v>116</v>
      </c>
      <c r="O108" t="s">
        <v>11</v>
      </c>
      <c r="P108">
        <v>6102</v>
      </c>
      <c r="Q108">
        <v>6</v>
      </c>
      <c r="R108">
        <v>17.489999999999998</v>
      </c>
      <c r="S108">
        <v>104.94</v>
      </c>
      <c r="T108">
        <v>83.76</v>
      </c>
      <c r="U108">
        <v>20.18</v>
      </c>
      <c r="V108" t="str">
        <f>VLOOKUP(L108,'[2]tabela de preços'!$A:$D,4,0)</f>
        <v>BRASILUX</v>
      </c>
      <c r="W108" t="str">
        <f>VLOOKUP(L108,'[2]tabela de preços'!$A:$F,6,0)</f>
        <v>DILUENTE</v>
      </c>
      <c r="X108" t="str">
        <f>VLOOKUP(L108,'[2]tabela de preços'!$A:$G,7,0)</f>
        <v>AUTOMOTIVO</v>
      </c>
    </row>
    <row r="109" spans="1:24" x14ac:dyDescent="0.3">
      <c r="A109" t="s">
        <v>123</v>
      </c>
      <c r="C109" t="s">
        <v>161</v>
      </c>
      <c r="D109" s="1">
        <v>46050</v>
      </c>
      <c r="E109" t="s">
        <v>162</v>
      </c>
      <c r="F109">
        <v>9</v>
      </c>
      <c r="G109">
        <v>174</v>
      </c>
      <c r="H109" t="str">
        <f>VLOOKUP(G109,[1]OPERADORES!$A:$B,2,0)</f>
        <v>MIRIÃ LOBATO RODRIGUES</v>
      </c>
      <c r="I109" t="s">
        <v>126</v>
      </c>
      <c r="J109" t="s">
        <v>127</v>
      </c>
      <c r="K109" t="s">
        <v>128</v>
      </c>
      <c r="L109">
        <v>5</v>
      </c>
      <c r="M109" t="s">
        <v>147</v>
      </c>
      <c r="O109" t="s">
        <v>11</v>
      </c>
      <c r="P109">
        <v>6102</v>
      </c>
      <c r="Q109">
        <v>5</v>
      </c>
      <c r="R109">
        <v>5.15</v>
      </c>
      <c r="S109">
        <v>25.75</v>
      </c>
      <c r="T109">
        <v>19.55</v>
      </c>
      <c r="U109">
        <v>24.08</v>
      </c>
      <c r="V109" t="str">
        <f>VLOOKUP(L109,'[2]tabela de preços'!$A:$D,4,0)</f>
        <v>BRILHO ESTOPA</v>
      </c>
      <c r="W109" t="str">
        <f>VLOOKUP(L109,'[2]tabela de preços'!$A:$F,6,0)</f>
        <v>ESTOPAS</v>
      </c>
      <c r="X109" t="str">
        <f>VLOOKUP(L109,'[2]tabela de preços'!$A:$G,7,0)</f>
        <v>AUTOMOTIVO</v>
      </c>
    </row>
    <row r="110" spans="1:24" x14ac:dyDescent="0.3">
      <c r="A110" t="s">
        <v>123</v>
      </c>
      <c r="C110" t="s">
        <v>161</v>
      </c>
      <c r="D110" s="1">
        <v>46050</v>
      </c>
      <c r="E110" t="s">
        <v>162</v>
      </c>
      <c r="F110">
        <v>9</v>
      </c>
      <c r="G110">
        <v>174</v>
      </c>
      <c r="H110" t="str">
        <f>VLOOKUP(G110,[1]OPERADORES!$A:$B,2,0)</f>
        <v>MIRIÃ LOBATO RODRIGUES</v>
      </c>
      <c r="I110" t="s">
        <v>126</v>
      </c>
      <c r="J110" t="s">
        <v>127</v>
      </c>
      <c r="K110" t="s">
        <v>128</v>
      </c>
      <c r="L110">
        <v>86995</v>
      </c>
      <c r="M110" t="s">
        <v>37</v>
      </c>
      <c r="O110" t="s">
        <v>11</v>
      </c>
      <c r="P110">
        <v>6102</v>
      </c>
      <c r="Q110">
        <v>3</v>
      </c>
      <c r="R110">
        <v>7.29</v>
      </c>
      <c r="S110">
        <v>21.87</v>
      </c>
      <c r="T110">
        <v>17.489999999999998</v>
      </c>
      <c r="U110">
        <v>20.03</v>
      </c>
      <c r="V110" t="str">
        <f>VLOOKUP(L110,'[2]tabela de preços'!$A:$D,4,0)</f>
        <v>AUTOAMERICA</v>
      </c>
      <c r="W110" t="str">
        <f>VLOOKUP(L110,'[2]tabela de preços'!$A:$F,6,0)</f>
        <v>FLANELAS / PANOS</v>
      </c>
      <c r="X110" t="str">
        <f>VLOOKUP(L110,'[2]tabela de preços'!$A:$G,7,0)</f>
        <v>AUTOMOTIVO</v>
      </c>
    </row>
    <row r="111" spans="1:24" x14ac:dyDescent="0.3">
      <c r="A111" t="s">
        <v>123</v>
      </c>
      <c r="C111" t="s">
        <v>161</v>
      </c>
      <c r="D111" s="1">
        <v>46050</v>
      </c>
      <c r="E111" t="s">
        <v>162</v>
      </c>
      <c r="F111">
        <v>9</v>
      </c>
      <c r="G111">
        <v>174</v>
      </c>
      <c r="H111" t="str">
        <f>VLOOKUP(G111,[1]OPERADORES!$A:$B,2,0)</f>
        <v>MIRIÃ LOBATO RODRIGUES</v>
      </c>
      <c r="I111" t="s">
        <v>126</v>
      </c>
      <c r="J111" t="s">
        <v>127</v>
      </c>
      <c r="K111" t="s">
        <v>128</v>
      </c>
      <c r="L111">
        <v>10277</v>
      </c>
      <c r="M111" t="s">
        <v>135</v>
      </c>
      <c r="O111" t="s">
        <v>11</v>
      </c>
      <c r="P111">
        <v>6102</v>
      </c>
      <c r="Q111">
        <v>6</v>
      </c>
      <c r="R111">
        <v>15.89</v>
      </c>
      <c r="S111">
        <v>95.34</v>
      </c>
      <c r="T111">
        <v>77.28</v>
      </c>
      <c r="U111">
        <v>18.940000000000001</v>
      </c>
      <c r="V111" t="str">
        <f>VLOOKUP(L111,'[2]tabela de preços'!$A:$D,4,0)</f>
        <v>RETOQUE</v>
      </c>
      <c r="W111" t="str">
        <f>VLOOKUP(L111,'[2]tabela de preços'!$A:$F,6,0)</f>
        <v xml:space="preserve">COLA  PLÁSTICA </v>
      </c>
      <c r="X111" t="str">
        <f>VLOOKUP(L111,'[2]tabela de preços'!$A:$G,7,0)</f>
        <v>AUTOMOTIVO</v>
      </c>
    </row>
    <row r="112" spans="1:24" x14ac:dyDescent="0.3">
      <c r="A112" t="s">
        <v>123</v>
      </c>
      <c r="C112" t="s">
        <v>161</v>
      </c>
      <c r="D112" s="1">
        <v>46050</v>
      </c>
      <c r="E112" t="s">
        <v>162</v>
      </c>
      <c r="F112">
        <v>9</v>
      </c>
      <c r="G112">
        <v>174</v>
      </c>
      <c r="H112" t="str">
        <f>VLOOKUP(G112,[1]OPERADORES!$A:$B,2,0)</f>
        <v>MIRIÃ LOBATO RODRIGUES</v>
      </c>
      <c r="I112" t="s">
        <v>126</v>
      </c>
      <c r="J112" t="s">
        <v>127</v>
      </c>
      <c r="K112" t="s">
        <v>128</v>
      </c>
      <c r="L112">
        <v>20846</v>
      </c>
      <c r="M112" t="s">
        <v>163</v>
      </c>
      <c r="O112" t="s">
        <v>11</v>
      </c>
      <c r="P112">
        <v>6102</v>
      </c>
      <c r="Q112">
        <v>2</v>
      </c>
      <c r="R112">
        <v>32.44</v>
      </c>
      <c r="S112">
        <v>64.88</v>
      </c>
      <c r="T112">
        <v>49.24</v>
      </c>
      <c r="U112">
        <v>24.11</v>
      </c>
      <c r="V112" t="str">
        <f>VLOOKUP(L112,'[2]tabela de preços'!$A:$D,4,0)</f>
        <v>SHERWIN WILLIAMS</v>
      </c>
      <c r="W112" t="str">
        <f>VLOOKUP(L112,'[2]tabela de preços'!$A:$F,6,0)</f>
        <v>TINTAS POLIÉSTER</v>
      </c>
      <c r="X112" t="str">
        <f>VLOOKUP(L112,'[2]tabela de preços'!$A:$G,7,0)</f>
        <v>AUTOMOTIVO</v>
      </c>
    </row>
    <row r="113" spans="1:24" x14ac:dyDescent="0.3">
      <c r="A113" t="s">
        <v>123</v>
      </c>
      <c r="C113" t="s">
        <v>161</v>
      </c>
      <c r="D113" s="1">
        <v>46050</v>
      </c>
      <c r="E113" t="s">
        <v>162</v>
      </c>
      <c r="F113">
        <v>9</v>
      </c>
      <c r="G113">
        <v>174</v>
      </c>
      <c r="H113" t="str">
        <f>VLOOKUP(G113,[1]OPERADORES!$A:$B,2,0)</f>
        <v>MIRIÃ LOBATO RODRIGUES</v>
      </c>
      <c r="I113" t="s">
        <v>126</v>
      </c>
      <c r="J113" t="s">
        <v>127</v>
      </c>
      <c r="K113" t="s">
        <v>128</v>
      </c>
      <c r="L113">
        <v>20817</v>
      </c>
      <c r="M113" t="s">
        <v>153</v>
      </c>
      <c r="O113" t="s">
        <v>11</v>
      </c>
      <c r="P113">
        <v>6102</v>
      </c>
      <c r="Q113">
        <v>2</v>
      </c>
      <c r="R113">
        <v>22.89</v>
      </c>
      <c r="S113">
        <v>45.78</v>
      </c>
      <c r="T113">
        <v>37.24</v>
      </c>
      <c r="U113">
        <v>18.649999999999999</v>
      </c>
      <c r="V113" t="str">
        <f>VLOOKUP(L113,'[2]tabela de preços'!$A:$D,4,0)</f>
        <v>AUTO AMERICA</v>
      </c>
      <c r="W113" t="str">
        <f>VLOOKUP(L113,'[2]tabela de preços'!$A:$F,6,0)</f>
        <v>MASSA DE POLIR</v>
      </c>
      <c r="X113" t="str">
        <f>VLOOKUP(L113,'[2]tabela de preços'!$A:$G,7,0)</f>
        <v>AUTOMOTIVO</v>
      </c>
    </row>
    <row r="114" spans="1:24" x14ac:dyDescent="0.3">
      <c r="A114" t="s">
        <v>123</v>
      </c>
      <c r="C114" t="s">
        <v>161</v>
      </c>
      <c r="D114" s="1">
        <v>46050</v>
      </c>
      <c r="E114" t="s">
        <v>162</v>
      </c>
      <c r="F114">
        <v>9</v>
      </c>
      <c r="G114">
        <v>174</v>
      </c>
      <c r="H114" t="str">
        <f>VLOOKUP(G114,[1]OPERADORES!$A:$B,2,0)</f>
        <v>MIRIÃ LOBATO RODRIGUES</v>
      </c>
      <c r="I114" t="s">
        <v>126</v>
      </c>
      <c r="J114" t="s">
        <v>127</v>
      </c>
      <c r="K114" t="s">
        <v>128</v>
      </c>
      <c r="L114">
        <v>23267</v>
      </c>
      <c r="M114" t="s">
        <v>164</v>
      </c>
      <c r="O114" t="s">
        <v>11</v>
      </c>
      <c r="P114">
        <v>6102</v>
      </c>
      <c r="Q114">
        <v>5</v>
      </c>
      <c r="R114">
        <v>22.89</v>
      </c>
      <c r="S114">
        <v>114.45</v>
      </c>
      <c r="T114">
        <v>97.7</v>
      </c>
      <c r="U114">
        <v>14.64</v>
      </c>
      <c r="V114" t="str">
        <f>VLOOKUP(L114,'[2]tabela de preços'!$A:$D,4,0)</f>
        <v>ANJO</v>
      </c>
      <c r="W114" t="str">
        <f>VLOOKUP(L114,'[2]tabela de preços'!$A:$F,6,0)</f>
        <v>MASSA POLIÉSTER</v>
      </c>
      <c r="X114" t="str">
        <f>VLOOKUP(L114,'[2]tabela de preços'!$A:$G,7,0)</f>
        <v>AUTOMOTIVO</v>
      </c>
    </row>
    <row r="115" spans="1:24" x14ac:dyDescent="0.3">
      <c r="A115" t="s">
        <v>123</v>
      </c>
      <c r="C115" t="s">
        <v>161</v>
      </c>
      <c r="D115" s="1">
        <v>46050</v>
      </c>
      <c r="E115" t="s">
        <v>162</v>
      </c>
      <c r="F115">
        <v>9</v>
      </c>
      <c r="G115">
        <v>174</v>
      </c>
      <c r="H115" t="str">
        <f>VLOOKUP(G115,[1]OPERADORES!$A:$B,2,0)</f>
        <v>MIRIÃ LOBATO RODRIGUES</v>
      </c>
      <c r="I115" t="s">
        <v>126</v>
      </c>
      <c r="J115" t="s">
        <v>127</v>
      </c>
      <c r="K115" t="s">
        <v>128</v>
      </c>
      <c r="L115">
        <v>10297</v>
      </c>
      <c r="M115" t="s">
        <v>41</v>
      </c>
      <c r="O115" t="s">
        <v>11</v>
      </c>
      <c r="P115">
        <v>6102</v>
      </c>
      <c r="Q115">
        <v>4</v>
      </c>
      <c r="R115">
        <v>10.89</v>
      </c>
      <c r="S115">
        <v>43.56</v>
      </c>
      <c r="T115">
        <v>36.68</v>
      </c>
      <c r="U115">
        <v>15.79</v>
      </c>
      <c r="V115" t="str">
        <f>VLOOKUP(L115,'[2]tabela de preços'!$A:$D,4,0)</f>
        <v>ANJO</v>
      </c>
      <c r="W115" t="str">
        <f>VLOOKUP(L115,'[2]tabela de preços'!$A:$F,6,0)</f>
        <v>THINNER DE LIMPEZA</v>
      </c>
      <c r="X115" t="str">
        <f>VLOOKUP(L115,'[2]tabela de preços'!$A:$G,7,0)</f>
        <v>THINNER</v>
      </c>
    </row>
    <row r="116" spans="1:24" x14ac:dyDescent="0.3">
      <c r="A116" t="s">
        <v>165</v>
      </c>
      <c r="C116" t="s">
        <v>166</v>
      </c>
      <c r="D116" s="1">
        <v>46030</v>
      </c>
      <c r="E116" t="s">
        <v>167</v>
      </c>
      <c r="F116">
        <v>9</v>
      </c>
      <c r="G116">
        <v>174</v>
      </c>
      <c r="H116" t="str">
        <f>VLOOKUP(G116,[1]OPERADORES!$A:$B,2,0)</f>
        <v>MIRIÃ LOBATO RODRIGUES</v>
      </c>
      <c r="I116" t="s">
        <v>168</v>
      </c>
      <c r="J116" t="s">
        <v>169</v>
      </c>
      <c r="K116" t="s">
        <v>170</v>
      </c>
      <c r="L116">
        <v>85846</v>
      </c>
      <c r="M116" t="s">
        <v>171</v>
      </c>
      <c r="O116" t="s">
        <v>11</v>
      </c>
      <c r="P116">
        <v>6403</v>
      </c>
      <c r="Q116">
        <v>1</v>
      </c>
      <c r="R116">
        <v>72.22</v>
      </c>
      <c r="S116">
        <v>72.22</v>
      </c>
      <c r="T116">
        <v>54.82</v>
      </c>
      <c r="U116">
        <v>24.09</v>
      </c>
      <c r="V116" t="str">
        <f>VLOOKUP(L116,'[2]tabela de preços'!$A:$D,4,0)</f>
        <v>CORAL</v>
      </c>
      <c r="W116" t="str">
        <f>VLOOKUP(L116,'[2]tabela de preços'!$A:$F,6,0)</f>
        <v>TINTA PAREDE</v>
      </c>
      <c r="X116" t="str">
        <f>VLOOKUP(L116,'[2]tabela de preços'!$A:$G,7,0)</f>
        <v>IMOBILIÁRIO</v>
      </c>
    </row>
    <row r="117" spans="1:24" x14ac:dyDescent="0.3">
      <c r="A117" t="s">
        <v>165</v>
      </c>
      <c r="C117" t="s">
        <v>166</v>
      </c>
      <c r="D117" s="1">
        <v>46030</v>
      </c>
      <c r="E117" t="s">
        <v>167</v>
      </c>
      <c r="F117">
        <v>9</v>
      </c>
      <c r="G117">
        <v>174</v>
      </c>
      <c r="H117" t="str">
        <f>VLOOKUP(G117,[1]OPERADORES!$A:$B,2,0)</f>
        <v>MIRIÃ LOBATO RODRIGUES</v>
      </c>
      <c r="I117" t="s">
        <v>168</v>
      </c>
      <c r="J117" t="s">
        <v>169</v>
      </c>
      <c r="K117" t="s">
        <v>170</v>
      </c>
      <c r="L117">
        <v>23690</v>
      </c>
      <c r="M117" t="s">
        <v>98</v>
      </c>
      <c r="O117" t="s">
        <v>11</v>
      </c>
      <c r="P117">
        <v>6403</v>
      </c>
      <c r="Q117">
        <v>6</v>
      </c>
      <c r="R117">
        <v>39.89</v>
      </c>
      <c r="S117">
        <v>239.34</v>
      </c>
      <c r="T117">
        <v>189.66</v>
      </c>
      <c r="U117">
        <v>20.76</v>
      </c>
      <c r="V117" t="str">
        <f>VLOOKUP(L117,'[2]tabela de preços'!$A:$D,4,0)</f>
        <v>WANDA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165</v>
      </c>
      <c r="C118" t="s">
        <v>166</v>
      </c>
      <c r="D118" s="1">
        <v>46030</v>
      </c>
      <c r="E118" t="s">
        <v>167</v>
      </c>
      <c r="F118">
        <v>9</v>
      </c>
      <c r="G118">
        <v>174</v>
      </c>
      <c r="H118" t="str">
        <f>VLOOKUP(G118,[1]OPERADORES!$A:$B,2,0)</f>
        <v>MIRIÃ LOBATO RODRIGUES</v>
      </c>
      <c r="I118" t="s">
        <v>168</v>
      </c>
      <c r="J118" t="s">
        <v>169</v>
      </c>
      <c r="K118" t="s">
        <v>170</v>
      </c>
      <c r="L118">
        <v>23647</v>
      </c>
      <c r="M118" t="s">
        <v>172</v>
      </c>
      <c r="O118" t="s">
        <v>11</v>
      </c>
      <c r="P118">
        <v>6102</v>
      </c>
      <c r="Q118">
        <v>6</v>
      </c>
      <c r="R118">
        <v>33.71</v>
      </c>
      <c r="S118">
        <v>202.26</v>
      </c>
      <c r="T118">
        <v>153.54</v>
      </c>
      <c r="U118">
        <v>24.09</v>
      </c>
      <c r="V118" t="str">
        <f>VLOOKUP(L118,'[2]tabela de preços'!$A:$D,4,0)</f>
        <v>SHERWIN WILLIAMS</v>
      </c>
      <c r="W118" t="str">
        <f>VLOOKUP(L118,'[2]tabela de preços'!$A:$F,6,0)</f>
        <v>MASSA POLIÉSTER</v>
      </c>
      <c r="X118" t="str">
        <f>VLOOKUP(L118,'[2]tabela de preços'!$A:$G,7,0)</f>
        <v>AUTOMOTIVO</v>
      </c>
    </row>
    <row r="119" spans="1:24" x14ac:dyDescent="0.3">
      <c r="A119" t="s">
        <v>165</v>
      </c>
      <c r="C119" t="s">
        <v>166</v>
      </c>
      <c r="D119" s="1">
        <v>46030</v>
      </c>
      <c r="E119" t="s">
        <v>167</v>
      </c>
      <c r="F119">
        <v>9</v>
      </c>
      <c r="G119">
        <v>174</v>
      </c>
      <c r="H119" t="str">
        <f>VLOOKUP(G119,[1]OPERADORES!$A:$B,2,0)</f>
        <v>MIRIÃ LOBATO RODRIGUES</v>
      </c>
      <c r="I119" t="s">
        <v>168</v>
      </c>
      <c r="J119" t="s">
        <v>169</v>
      </c>
      <c r="K119" t="s">
        <v>170</v>
      </c>
      <c r="L119">
        <v>9764</v>
      </c>
      <c r="M119" t="s">
        <v>173</v>
      </c>
      <c r="O119" t="s">
        <v>11</v>
      </c>
      <c r="P119">
        <v>6102</v>
      </c>
      <c r="Q119">
        <v>6</v>
      </c>
      <c r="R119">
        <v>33.54</v>
      </c>
      <c r="S119">
        <v>201.24</v>
      </c>
      <c r="T119">
        <v>152.76</v>
      </c>
      <c r="U119">
        <v>24.09</v>
      </c>
      <c r="V119" t="str">
        <f>VLOOKUP(L119,'[2]tabela de preços'!$A:$D,4,0)</f>
        <v>SIKKENS</v>
      </c>
      <c r="W119" t="str">
        <f>VLOOKUP(L119,'[2]tabela de preços'!$A:$F,6,0)</f>
        <v>MASSA DE PEQUENOS REPAROS</v>
      </c>
      <c r="X119" t="str">
        <f>VLOOKUP(L119,'[2]tabela de preços'!$A:$G,7,0)</f>
        <v>AUTOMOTIVO</v>
      </c>
    </row>
    <row r="120" spans="1:24" x14ac:dyDescent="0.3">
      <c r="A120" t="s">
        <v>165</v>
      </c>
      <c r="C120" t="s">
        <v>166</v>
      </c>
      <c r="D120" s="1">
        <v>46030</v>
      </c>
      <c r="E120" t="s">
        <v>167</v>
      </c>
      <c r="F120">
        <v>9</v>
      </c>
      <c r="G120">
        <v>174</v>
      </c>
      <c r="H120" t="str">
        <f>VLOOKUP(G120,[1]OPERADORES!$A:$B,2,0)</f>
        <v>MIRIÃ LOBATO RODRIGUES</v>
      </c>
      <c r="I120" t="s">
        <v>168</v>
      </c>
      <c r="J120" t="s">
        <v>169</v>
      </c>
      <c r="K120" t="s">
        <v>170</v>
      </c>
      <c r="L120">
        <v>84044</v>
      </c>
      <c r="M120" t="s">
        <v>174</v>
      </c>
      <c r="O120" t="s">
        <v>11</v>
      </c>
      <c r="P120">
        <v>6102</v>
      </c>
      <c r="Q120">
        <v>5</v>
      </c>
      <c r="R120">
        <v>11.93</v>
      </c>
      <c r="S120">
        <v>59.65</v>
      </c>
      <c r="T120">
        <v>46.7</v>
      </c>
      <c r="U120">
        <v>21.71</v>
      </c>
      <c r="V120" t="str">
        <f>VLOOKUP(L120,'[2]tabela de preços'!$A:$D,4,0)</f>
        <v>BRASILUX</v>
      </c>
      <c r="W120" t="str">
        <f>VLOOKUP(L120,'[2]tabela de preços'!$A:$F,6,0)</f>
        <v>REMOVEDOR PASTOSO</v>
      </c>
      <c r="X120" t="str">
        <f>VLOOKUP(L120,'[2]tabela de preços'!$A:$G,7,0)</f>
        <v>AUTOMOTIVO</v>
      </c>
    </row>
    <row r="121" spans="1:24" x14ac:dyDescent="0.3">
      <c r="A121" t="s">
        <v>165</v>
      </c>
      <c r="C121" t="s">
        <v>175</v>
      </c>
      <c r="D121" s="1">
        <v>46031</v>
      </c>
      <c r="E121" t="s">
        <v>176</v>
      </c>
      <c r="F121">
        <v>9</v>
      </c>
      <c r="G121">
        <v>174</v>
      </c>
      <c r="H121" t="str">
        <f>VLOOKUP(G121,[1]OPERADORES!$A:$B,2,0)</f>
        <v>MIRIÃ LOBATO RODRIGUES</v>
      </c>
      <c r="I121" t="s">
        <v>168</v>
      </c>
      <c r="J121" t="s">
        <v>169</v>
      </c>
      <c r="K121" t="s">
        <v>170</v>
      </c>
      <c r="L121">
        <v>10067</v>
      </c>
      <c r="M121" t="s">
        <v>177</v>
      </c>
      <c r="O121" t="s">
        <v>11</v>
      </c>
      <c r="P121">
        <v>6102</v>
      </c>
      <c r="Q121">
        <v>2</v>
      </c>
      <c r="R121">
        <v>89.9</v>
      </c>
      <c r="S121">
        <v>179.8</v>
      </c>
      <c r="T121">
        <v>147.16</v>
      </c>
      <c r="U121">
        <v>18.149999999999999</v>
      </c>
      <c r="V121" t="str">
        <f>VLOOKUP(L121,'[2]tabela de preços'!$A:$D,4,0)</f>
        <v>3M</v>
      </c>
      <c r="W121" t="str">
        <f>VLOOKUP(L121,'[2]tabela de preços'!$A:$F,6,0)</f>
        <v>BOINAS PARA POLIMENTO</v>
      </c>
      <c r="X121" t="str">
        <f>VLOOKUP(L121,'[2]tabela de preços'!$A:$G,7,0)</f>
        <v>AUTOMOTIVO</v>
      </c>
    </row>
    <row r="122" spans="1:24" x14ac:dyDescent="0.3">
      <c r="A122" t="s">
        <v>178</v>
      </c>
      <c r="C122" t="s">
        <v>179</v>
      </c>
      <c r="D122" s="1">
        <v>46030</v>
      </c>
      <c r="E122" t="s">
        <v>180</v>
      </c>
      <c r="F122">
        <v>9</v>
      </c>
      <c r="G122">
        <v>174</v>
      </c>
      <c r="H122" t="str">
        <f>VLOOKUP(G122,[1]OPERADORES!$A:$B,2,0)</f>
        <v>MIRIÃ LOBATO RODRIGUES</v>
      </c>
      <c r="I122" t="s">
        <v>181</v>
      </c>
      <c r="J122" t="s">
        <v>182</v>
      </c>
      <c r="K122" t="s">
        <v>183</v>
      </c>
      <c r="L122">
        <v>22233</v>
      </c>
      <c r="M122" t="s">
        <v>184</v>
      </c>
      <c r="O122" t="s">
        <v>11</v>
      </c>
      <c r="P122">
        <v>6102</v>
      </c>
      <c r="Q122">
        <v>2</v>
      </c>
      <c r="R122">
        <v>30.17</v>
      </c>
      <c r="S122">
        <v>60.34</v>
      </c>
      <c r="T122">
        <v>45.8</v>
      </c>
      <c r="U122">
        <v>24.1</v>
      </c>
      <c r="V122" t="str">
        <f>VLOOKUP(L122,'[2]tabela de preços'!$A:$D,4,0)</f>
        <v>3M</v>
      </c>
      <c r="W122" t="str">
        <f>VLOOKUP(L122,'[2]tabela de preços'!$A:$F,6,0)</f>
        <v>FITA DUPLA FACE</v>
      </c>
      <c r="X122" t="str">
        <f>VLOOKUP(L122,'[2]tabela de preços'!$A:$G,7,0)</f>
        <v>AUTOMOTIVO</v>
      </c>
    </row>
    <row r="123" spans="1:24" x14ac:dyDescent="0.3">
      <c r="A123" t="s">
        <v>178</v>
      </c>
      <c r="C123" t="s">
        <v>179</v>
      </c>
      <c r="D123" s="1">
        <v>46030</v>
      </c>
      <c r="E123" t="s">
        <v>180</v>
      </c>
      <c r="F123">
        <v>9</v>
      </c>
      <c r="G123">
        <v>174</v>
      </c>
      <c r="H123" t="str">
        <f>VLOOKUP(G123,[1]OPERADORES!$A:$B,2,0)</f>
        <v>MIRIÃ LOBATO RODRIGUES</v>
      </c>
      <c r="I123" t="s">
        <v>181</v>
      </c>
      <c r="J123" t="s">
        <v>182</v>
      </c>
      <c r="K123" t="s">
        <v>183</v>
      </c>
      <c r="L123">
        <v>20231</v>
      </c>
      <c r="M123" t="s">
        <v>185</v>
      </c>
      <c r="O123" t="s">
        <v>11</v>
      </c>
      <c r="P123">
        <v>6403</v>
      </c>
      <c r="Q123">
        <v>2</v>
      </c>
      <c r="R123">
        <v>120.25</v>
      </c>
      <c r="S123">
        <v>240.5</v>
      </c>
      <c r="T123">
        <v>182.54</v>
      </c>
      <c r="U123">
        <v>24.1</v>
      </c>
      <c r="V123" t="str">
        <f>VLOOKUP(L123,'[2]tabela de preços'!$A:$D,4,0)</f>
        <v>3M</v>
      </c>
      <c r="W123" t="str">
        <f>VLOOKUP(L123,'[2]tabela de preços'!$A:$F,6,0)</f>
        <v>PRIMER AUTOMOTIVO</v>
      </c>
      <c r="X123" t="str">
        <f>VLOOKUP(L123,'[2]tabela de preços'!$A:$G,7,0)</f>
        <v>AUTOMOTIVO</v>
      </c>
    </row>
    <row r="124" spans="1:24" x14ac:dyDescent="0.3">
      <c r="A124" t="s">
        <v>186</v>
      </c>
      <c r="C124" t="s">
        <v>187</v>
      </c>
      <c r="D124" s="1">
        <v>46027</v>
      </c>
      <c r="E124" t="s">
        <v>188</v>
      </c>
      <c r="F124">
        <v>9</v>
      </c>
      <c r="G124">
        <v>236</v>
      </c>
      <c r="H124" t="str">
        <f>VLOOKUP(G124,[1]OPERADORES!$A:$B,2,0)</f>
        <v>DANIEL</v>
      </c>
      <c r="I124" t="s">
        <v>21</v>
      </c>
      <c r="J124" t="s">
        <v>189</v>
      </c>
      <c r="K124" t="s">
        <v>190</v>
      </c>
      <c r="L124">
        <v>83870</v>
      </c>
      <c r="M124" t="s">
        <v>191</v>
      </c>
      <c r="O124" t="s">
        <v>11</v>
      </c>
      <c r="P124">
        <v>5102</v>
      </c>
      <c r="Q124">
        <v>2</v>
      </c>
      <c r="R124">
        <v>41.3</v>
      </c>
      <c r="S124">
        <v>82.6</v>
      </c>
      <c r="T124">
        <v>62.7</v>
      </c>
      <c r="U124">
        <v>24.09</v>
      </c>
      <c r="V124" t="str">
        <f>VLOOKUP(L124,'[2]tabela de preços'!$A:$D,4,0)</f>
        <v>VONIXX</v>
      </c>
      <c r="W124" t="str">
        <f>VLOOKUP(L124,'[2]tabela de preços'!$A:$F,6,0)</f>
        <v>LINHA DE HIGENIZAÇÃO E ESTÉTICA  AUTOMOTIVA</v>
      </c>
      <c r="X124" t="str">
        <f>VLOOKUP(L124,'[2]tabela de preços'!$A:$G,7,0)</f>
        <v>AUTOMOTIVO</v>
      </c>
    </row>
    <row r="125" spans="1:24" x14ac:dyDescent="0.3">
      <c r="A125" t="s">
        <v>186</v>
      </c>
      <c r="C125" t="s">
        <v>187</v>
      </c>
      <c r="D125" s="1">
        <v>46027</v>
      </c>
      <c r="E125" t="s">
        <v>188</v>
      </c>
      <c r="F125">
        <v>9</v>
      </c>
      <c r="G125">
        <v>236</v>
      </c>
      <c r="H125" t="str">
        <f>VLOOKUP(G125,[1]OPERADORES!$A:$B,2,0)</f>
        <v>DANIEL</v>
      </c>
      <c r="I125" t="s">
        <v>21</v>
      </c>
      <c r="J125" t="s">
        <v>189</v>
      </c>
      <c r="K125" t="s">
        <v>190</v>
      </c>
      <c r="L125">
        <v>23713</v>
      </c>
      <c r="M125" t="s">
        <v>192</v>
      </c>
      <c r="O125" t="s">
        <v>11</v>
      </c>
      <c r="P125">
        <v>5102</v>
      </c>
      <c r="Q125">
        <v>1</v>
      </c>
      <c r="R125">
        <v>37.9</v>
      </c>
      <c r="S125">
        <v>37.9</v>
      </c>
      <c r="T125">
        <v>30.9</v>
      </c>
      <c r="U125">
        <v>18.47</v>
      </c>
      <c r="V125" t="str">
        <f>VLOOKUP(L125,'[2]tabela de preços'!$A:$D,4,0)</f>
        <v>NEW PAD</v>
      </c>
      <c r="W125" t="str">
        <f>VLOOKUP(L125,'[2]tabela de preços'!$A:$F,6,0)</f>
        <v>BOINAS PARA POLIMENTO</v>
      </c>
      <c r="X125" t="str">
        <f>VLOOKUP(L125,'[2]tabela de preços'!$A:$G,7,0)</f>
        <v>AUTOMOTIVO</v>
      </c>
    </row>
    <row r="126" spans="1:24" x14ac:dyDescent="0.3">
      <c r="A126" t="s">
        <v>186</v>
      </c>
      <c r="C126" t="s">
        <v>187</v>
      </c>
      <c r="D126" s="1">
        <v>46027</v>
      </c>
      <c r="E126" t="s">
        <v>188</v>
      </c>
      <c r="F126">
        <v>9</v>
      </c>
      <c r="G126">
        <v>236</v>
      </c>
      <c r="H126" t="str">
        <f>VLOOKUP(G126,[1]OPERADORES!$A:$B,2,0)</f>
        <v>DANIEL</v>
      </c>
      <c r="I126" t="s">
        <v>21</v>
      </c>
      <c r="J126" t="s">
        <v>189</v>
      </c>
      <c r="K126" t="s">
        <v>190</v>
      </c>
      <c r="L126">
        <v>10230</v>
      </c>
      <c r="M126" t="s">
        <v>193</v>
      </c>
      <c r="O126" t="s">
        <v>11</v>
      </c>
      <c r="P126">
        <v>5102</v>
      </c>
      <c r="Q126">
        <v>5</v>
      </c>
      <c r="R126">
        <v>2.79</v>
      </c>
      <c r="S126">
        <v>13.95</v>
      </c>
      <c r="T126">
        <v>11.8</v>
      </c>
      <c r="U126">
        <v>15.41</v>
      </c>
      <c r="V126" t="str">
        <f>VLOOKUP(L126,'[2]tabela de preços'!$A:$D,4,0)</f>
        <v>NORTON</v>
      </c>
      <c r="W126" t="str">
        <f>VLOOKUP(L126,'[2]tabela de preços'!$A:$F,6,0)</f>
        <v xml:space="preserve">DISCOS / LIXAS / ABRASIVOS </v>
      </c>
      <c r="X126" t="str">
        <f>VLOOKUP(L126,'[2]tabela de preços'!$A:$G,7,0)</f>
        <v>AUTOMOTIVO</v>
      </c>
    </row>
    <row r="127" spans="1:24" x14ac:dyDescent="0.3">
      <c r="A127" t="s">
        <v>186</v>
      </c>
      <c r="C127" t="s">
        <v>187</v>
      </c>
      <c r="D127" s="1">
        <v>46027</v>
      </c>
      <c r="E127" t="s">
        <v>188</v>
      </c>
      <c r="F127">
        <v>9</v>
      </c>
      <c r="G127">
        <v>236</v>
      </c>
      <c r="H127" t="str">
        <f>VLOOKUP(G127,[1]OPERADORES!$A:$B,2,0)</f>
        <v>DANIEL</v>
      </c>
      <c r="I127" t="s">
        <v>21</v>
      </c>
      <c r="J127" t="s">
        <v>189</v>
      </c>
      <c r="K127" t="s">
        <v>190</v>
      </c>
      <c r="L127">
        <v>22173</v>
      </c>
      <c r="M127" t="s">
        <v>194</v>
      </c>
      <c r="O127" t="s">
        <v>11</v>
      </c>
      <c r="P127">
        <v>5102</v>
      </c>
      <c r="Q127">
        <v>20</v>
      </c>
      <c r="R127">
        <v>4.74</v>
      </c>
      <c r="S127">
        <v>94.8</v>
      </c>
      <c r="T127">
        <v>69.599999999999994</v>
      </c>
      <c r="U127">
        <v>26.58</v>
      </c>
      <c r="V127" t="str">
        <f>VLOOKUP(L127,'[2]tabela de preços'!$A:$D,4,0)</f>
        <v>3M</v>
      </c>
      <c r="W127" t="str">
        <f>VLOOKUP(L127,'[2]tabela de preços'!$A:$F,6,0)</f>
        <v>FITA AUTOMOTIVA</v>
      </c>
      <c r="X127" t="str">
        <f>VLOOKUP(L127,'[2]tabela de preços'!$A:$G,7,0)</f>
        <v>AUTOMOTIVO</v>
      </c>
    </row>
    <row r="128" spans="1:24" x14ac:dyDescent="0.3">
      <c r="A128" t="s">
        <v>186</v>
      </c>
      <c r="C128" t="s">
        <v>187</v>
      </c>
      <c r="D128" s="1">
        <v>46027</v>
      </c>
      <c r="E128" t="s">
        <v>188</v>
      </c>
      <c r="F128">
        <v>9</v>
      </c>
      <c r="G128">
        <v>236</v>
      </c>
      <c r="H128" t="str">
        <f>VLOOKUP(G128,[1]OPERADORES!$A:$B,2,0)</f>
        <v>DANIEL</v>
      </c>
      <c r="I128" t="s">
        <v>21</v>
      </c>
      <c r="J128" t="s">
        <v>189</v>
      </c>
      <c r="K128" t="s">
        <v>190</v>
      </c>
      <c r="L128">
        <v>10238</v>
      </c>
      <c r="M128" t="s">
        <v>79</v>
      </c>
      <c r="O128" t="s">
        <v>11</v>
      </c>
      <c r="P128">
        <v>5102</v>
      </c>
      <c r="Q128">
        <v>5</v>
      </c>
      <c r="R128">
        <v>2.79</v>
      </c>
      <c r="S128">
        <v>13.95</v>
      </c>
      <c r="T128">
        <v>11.35</v>
      </c>
      <c r="U128">
        <v>18.64</v>
      </c>
      <c r="V128" t="str">
        <f>VLOOKUP(L128,'[2]tabela de preços'!$A:$D,4,0)</f>
        <v>NORTON</v>
      </c>
      <c r="W128" t="str">
        <f>VLOOKUP(L128,'[2]tabela de preços'!$A:$F,6,0)</f>
        <v xml:space="preserve">DISCOS / LIXAS / ABRASIVOS </v>
      </c>
      <c r="X128" t="str">
        <f>VLOOKUP(L128,'[2]tabela de preços'!$A:$G,7,0)</f>
        <v>AUTOMOTIVO</v>
      </c>
    </row>
    <row r="129" spans="1:24" x14ac:dyDescent="0.3">
      <c r="A129" t="s">
        <v>186</v>
      </c>
      <c r="C129" t="s">
        <v>187</v>
      </c>
      <c r="D129" s="1">
        <v>46027</v>
      </c>
      <c r="E129" t="s">
        <v>188</v>
      </c>
      <c r="F129">
        <v>9</v>
      </c>
      <c r="G129">
        <v>236</v>
      </c>
      <c r="H129" t="str">
        <f>VLOOKUP(G129,[1]OPERADORES!$A:$B,2,0)</f>
        <v>DANIEL</v>
      </c>
      <c r="I129" t="s">
        <v>21</v>
      </c>
      <c r="J129" t="s">
        <v>189</v>
      </c>
      <c r="K129" t="s">
        <v>190</v>
      </c>
      <c r="L129">
        <v>10243</v>
      </c>
      <c r="M129" t="s">
        <v>83</v>
      </c>
      <c r="O129" t="s">
        <v>11</v>
      </c>
      <c r="P129">
        <v>5102</v>
      </c>
      <c r="Q129">
        <v>5</v>
      </c>
      <c r="R129">
        <v>2.79</v>
      </c>
      <c r="S129">
        <v>13.95</v>
      </c>
      <c r="T129">
        <v>9.75</v>
      </c>
      <c r="U129">
        <v>30.11</v>
      </c>
      <c r="V129" t="str">
        <f>VLOOKUP(L129,'[2]tabela de preços'!$A:$D,4,0)</f>
        <v>NORTON</v>
      </c>
      <c r="W129" t="str">
        <f>VLOOKUP(L129,'[2]tabela de preços'!$A:$F,6,0)</f>
        <v xml:space="preserve">DISCOS / LIXAS / ABRASIVOS </v>
      </c>
      <c r="X129" t="str">
        <f>VLOOKUP(L129,'[2]tabela de preços'!$A:$G,7,0)</f>
        <v>AUTOMOTIVO</v>
      </c>
    </row>
    <row r="130" spans="1:24" x14ac:dyDescent="0.3">
      <c r="A130" t="s">
        <v>186</v>
      </c>
      <c r="C130" t="s">
        <v>187</v>
      </c>
      <c r="D130" s="1">
        <v>46027</v>
      </c>
      <c r="E130" t="s">
        <v>188</v>
      </c>
      <c r="F130">
        <v>9</v>
      </c>
      <c r="G130">
        <v>236</v>
      </c>
      <c r="H130" t="str">
        <f>VLOOKUP(G130,[1]OPERADORES!$A:$B,2,0)</f>
        <v>DANIEL</v>
      </c>
      <c r="I130" t="s">
        <v>21</v>
      </c>
      <c r="J130" t="s">
        <v>189</v>
      </c>
      <c r="K130" t="s">
        <v>190</v>
      </c>
      <c r="L130">
        <v>10245</v>
      </c>
      <c r="M130" t="s">
        <v>195</v>
      </c>
      <c r="O130" t="s">
        <v>11</v>
      </c>
      <c r="P130">
        <v>5102</v>
      </c>
      <c r="Q130">
        <v>5</v>
      </c>
      <c r="R130">
        <v>2.79</v>
      </c>
      <c r="S130">
        <v>13.95</v>
      </c>
      <c r="T130">
        <v>9.75</v>
      </c>
      <c r="U130">
        <v>30.11</v>
      </c>
      <c r="V130" t="str">
        <f>VLOOKUP(L130,'[2]tabela de preços'!$A:$D,4,0)</f>
        <v>NORTON</v>
      </c>
      <c r="W130" t="str">
        <f>VLOOKUP(L130,'[2]tabela de preços'!$A:$F,6,0)</f>
        <v xml:space="preserve">DISCOS / LIXAS / ABRASIVOS </v>
      </c>
      <c r="X130" t="str">
        <f>VLOOKUP(L130,'[2]tabela de preços'!$A:$G,7,0)</f>
        <v>AUTOMOTIVO</v>
      </c>
    </row>
    <row r="131" spans="1:24" x14ac:dyDescent="0.3">
      <c r="A131" t="s">
        <v>186</v>
      </c>
      <c r="C131" t="s">
        <v>187</v>
      </c>
      <c r="D131" s="1">
        <v>46027</v>
      </c>
      <c r="E131" t="s">
        <v>188</v>
      </c>
      <c r="F131">
        <v>9</v>
      </c>
      <c r="G131">
        <v>236</v>
      </c>
      <c r="H131" t="str">
        <f>VLOOKUP(G131,[1]OPERADORES!$A:$B,2,0)</f>
        <v>DANIEL</v>
      </c>
      <c r="I131" t="s">
        <v>21</v>
      </c>
      <c r="J131" t="s">
        <v>189</v>
      </c>
      <c r="K131" t="s">
        <v>190</v>
      </c>
      <c r="L131">
        <v>23584</v>
      </c>
      <c r="M131" t="s">
        <v>196</v>
      </c>
      <c r="O131" t="s">
        <v>11</v>
      </c>
      <c r="P131">
        <v>5102</v>
      </c>
      <c r="Q131">
        <v>2</v>
      </c>
      <c r="R131">
        <v>23.04</v>
      </c>
      <c r="S131">
        <v>46.08</v>
      </c>
      <c r="T131">
        <v>34.979999999999997</v>
      </c>
      <c r="U131">
        <v>24.09</v>
      </c>
      <c r="V131" t="str">
        <f>VLOOKUP(L131,'[2]tabela de preços'!$A:$D,4,0)</f>
        <v>MAXI RUBBER</v>
      </c>
      <c r="W131" t="str">
        <f>VLOOKUP(L131,'[2]tabela de preços'!$A:$F,6,0)</f>
        <v>MASSA POLIÉSTER</v>
      </c>
      <c r="X131" t="str">
        <f>VLOOKUP(L131,'[2]tabela de preços'!$A:$G,7,0)</f>
        <v>AUTOMOTIVO</v>
      </c>
    </row>
    <row r="132" spans="1:24" x14ac:dyDescent="0.3">
      <c r="A132" t="s">
        <v>186</v>
      </c>
      <c r="C132" t="s">
        <v>187</v>
      </c>
      <c r="D132" s="1">
        <v>46027</v>
      </c>
      <c r="E132" t="s">
        <v>188</v>
      </c>
      <c r="F132">
        <v>9</v>
      </c>
      <c r="G132">
        <v>236</v>
      </c>
      <c r="H132" t="str">
        <f>VLOOKUP(G132,[1]OPERADORES!$A:$B,2,0)</f>
        <v>DANIEL</v>
      </c>
      <c r="I132" t="s">
        <v>21</v>
      </c>
      <c r="J132" t="s">
        <v>189</v>
      </c>
      <c r="K132" t="s">
        <v>190</v>
      </c>
      <c r="L132">
        <v>85189</v>
      </c>
      <c r="M132" t="s">
        <v>197</v>
      </c>
      <c r="O132" t="s">
        <v>11</v>
      </c>
      <c r="P132">
        <v>5102</v>
      </c>
      <c r="Q132">
        <v>1</v>
      </c>
      <c r="R132">
        <v>189.9</v>
      </c>
      <c r="S132">
        <v>189.9</v>
      </c>
      <c r="T132">
        <v>138.15</v>
      </c>
      <c r="U132">
        <v>27.25</v>
      </c>
      <c r="V132" t="str">
        <f>VLOOKUP(L132,'[2]tabela de preços'!$A:$D,4,0)</f>
        <v>PDR</v>
      </c>
      <c r="W132" t="str">
        <f>VLOOKUP(L132,'[2]tabela de preços'!$A:$F,6,0)</f>
        <v>PISTOLAS</v>
      </c>
      <c r="X132" t="str">
        <f>VLOOKUP(L132,'[2]tabela de preços'!$A:$G,7,0)</f>
        <v>AUTOMOTIVO</v>
      </c>
    </row>
    <row r="133" spans="1:24" x14ac:dyDescent="0.3">
      <c r="A133" t="s">
        <v>186</v>
      </c>
      <c r="C133" t="s">
        <v>187</v>
      </c>
      <c r="D133" s="1">
        <v>46027</v>
      </c>
      <c r="E133" t="s">
        <v>188</v>
      </c>
      <c r="F133">
        <v>9</v>
      </c>
      <c r="G133">
        <v>236</v>
      </c>
      <c r="H133" t="str">
        <f>VLOOKUP(G133,[1]OPERADORES!$A:$B,2,0)</f>
        <v>DANIEL</v>
      </c>
      <c r="I133" t="s">
        <v>21</v>
      </c>
      <c r="J133" t="s">
        <v>189</v>
      </c>
      <c r="K133" t="s">
        <v>190</v>
      </c>
      <c r="L133">
        <v>20212</v>
      </c>
      <c r="M133" t="s">
        <v>198</v>
      </c>
      <c r="O133" t="s">
        <v>11</v>
      </c>
      <c r="P133">
        <v>5403</v>
      </c>
      <c r="Q133">
        <v>1</v>
      </c>
      <c r="R133">
        <v>26.95</v>
      </c>
      <c r="S133">
        <v>26.95</v>
      </c>
      <c r="T133">
        <v>20.46</v>
      </c>
      <c r="U133">
        <v>24.08</v>
      </c>
      <c r="V133" t="str">
        <f>VLOOKUP(L133,'[2]tabela de preços'!$A:$D,4,0)</f>
        <v>MAXI RUBBER</v>
      </c>
      <c r="W133" t="str">
        <f>VLOOKUP(L133,'[2]tabela de preços'!$A:$F,6,0)</f>
        <v>SELADORA P/ PLASTICO</v>
      </c>
      <c r="X133" t="str">
        <f>VLOOKUP(L133,'[2]tabela de preços'!$A:$G,7,0)</f>
        <v>AUTOMOTIVO</v>
      </c>
    </row>
    <row r="134" spans="1:24" x14ac:dyDescent="0.3">
      <c r="A134" t="s">
        <v>186</v>
      </c>
      <c r="C134" t="s">
        <v>187</v>
      </c>
      <c r="D134" s="1">
        <v>46027</v>
      </c>
      <c r="E134" t="s">
        <v>188</v>
      </c>
      <c r="F134">
        <v>9</v>
      </c>
      <c r="G134">
        <v>236</v>
      </c>
      <c r="H134" t="str">
        <f>VLOOKUP(G134,[1]OPERADORES!$A:$B,2,0)</f>
        <v>DANIEL</v>
      </c>
      <c r="I134" t="s">
        <v>21</v>
      </c>
      <c r="J134" t="s">
        <v>189</v>
      </c>
      <c r="K134" t="s">
        <v>190</v>
      </c>
      <c r="L134">
        <v>20414</v>
      </c>
      <c r="M134" t="s">
        <v>112</v>
      </c>
      <c r="O134" t="s">
        <v>11</v>
      </c>
      <c r="P134">
        <v>5102</v>
      </c>
      <c r="Q134">
        <v>1</v>
      </c>
      <c r="R134">
        <v>21.89</v>
      </c>
      <c r="S134">
        <v>21.89</v>
      </c>
      <c r="T134">
        <v>18</v>
      </c>
      <c r="U134">
        <v>17.77</v>
      </c>
      <c r="V134" t="str">
        <f>VLOOKUP(L134,'[2]tabela de preços'!$A:$D,4,0)</f>
        <v>SHERWIN WILLIAMS</v>
      </c>
      <c r="W134" t="str">
        <f>VLOOKUP(L134,'[2]tabela de preços'!$A:$F,6,0)</f>
        <v>DILUENTE</v>
      </c>
      <c r="X134" t="str">
        <f>VLOOKUP(L134,'[2]tabela de preços'!$A:$G,7,0)</f>
        <v>AUTOMOTIVO</v>
      </c>
    </row>
    <row r="135" spans="1:24" x14ac:dyDescent="0.3">
      <c r="A135" t="s">
        <v>186</v>
      </c>
      <c r="C135" t="s">
        <v>199</v>
      </c>
      <c r="D135" s="1">
        <v>46034</v>
      </c>
      <c r="E135" t="s">
        <v>200</v>
      </c>
      <c r="F135">
        <v>9</v>
      </c>
      <c r="G135">
        <v>236</v>
      </c>
      <c r="H135" t="str">
        <f>VLOOKUP(G135,[1]OPERADORES!$A:$B,2,0)</f>
        <v>DANIEL</v>
      </c>
      <c r="I135" t="s">
        <v>21</v>
      </c>
      <c r="J135" t="s">
        <v>189</v>
      </c>
      <c r="K135" t="s">
        <v>190</v>
      </c>
      <c r="L135">
        <v>24248</v>
      </c>
      <c r="M135" t="s">
        <v>107</v>
      </c>
      <c r="O135" t="s">
        <v>11</v>
      </c>
      <c r="P135">
        <v>5102</v>
      </c>
      <c r="Q135">
        <v>3</v>
      </c>
      <c r="R135">
        <v>8</v>
      </c>
      <c r="S135">
        <v>24</v>
      </c>
      <c r="T135">
        <v>19.23</v>
      </c>
      <c r="U135">
        <v>19.88</v>
      </c>
      <c r="V135" t="str">
        <f>VLOOKUP(L135,'[2]tabela de preços'!$A:$D,4,0)</f>
        <v>SHERWIN WILLIAMS</v>
      </c>
      <c r="W135" t="str">
        <f>VLOOKUP(L135,'[2]tabela de preços'!$A:$F,6,0)</f>
        <v>PRIMER AUTOMOTIVO</v>
      </c>
      <c r="X135" t="str">
        <f>VLOOKUP(L135,'[2]tabela de preços'!$A:$G,7,0)</f>
        <v>AUTOMOTIVO</v>
      </c>
    </row>
    <row r="136" spans="1:24" x14ac:dyDescent="0.3">
      <c r="A136" t="s">
        <v>186</v>
      </c>
      <c r="C136" t="s">
        <v>199</v>
      </c>
      <c r="D136" s="1">
        <v>46034</v>
      </c>
      <c r="E136" t="s">
        <v>200</v>
      </c>
      <c r="F136">
        <v>9</v>
      </c>
      <c r="G136">
        <v>236</v>
      </c>
      <c r="H136" t="str">
        <f>VLOOKUP(G136,[1]OPERADORES!$A:$B,2,0)</f>
        <v>DANIEL</v>
      </c>
      <c r="I136" t="s">
        <v>21</v>
      </c>
      <c r="J136" t="s">
        <v>189</v>
      </c>
      <c r="K136" t="s">
        <v>190</v>
      </c>
      <c r="L136">
        <v>22684</v>
      </c>
      <c r="M136" t="s">
        <v>73</v>
      </c>
      <c r="O136" t="s">
        <v>11</v>
      </c>
      <c r="P136">
        <v>5102</v>
      </c>
      <c r="Q136">
        <v>10</v>
      </c>
      <c r="R136">
        <v>3.65</v>
      </c>
      <c r="S136">
        <v>36.5</v>
      </c>
      <c r="T136">
        <v>30.8</v>
      </c>
      <c r="U136">
        <v>15.62</v>
      </c>
      <c r="V136" t="str">
        <f>VLOOKUP(L136,'[2]tabela de preços'!$A:$D,4,0)</f>
        <v>3M</v>
      </c>
      <c r="W136" t="str">
        <f>VLOOKUP(L136,'[2]tabela de preços'!$A:$F,6,0)</f>
        <v>FITA AUTOMOTIVA</v>
      </c>
      <c r="X136" t="str">
        <f>VLOOKUP(L136,'[2]tabela de preços'!$A:$G,7,0)</f>
        <v>AUTOMOTIVO</v>
      </c>
    </row>
    <row r="137" spans="1:24" x14ac:dyDescent="0.3">
      <c r="A137" t="s">
        <v>186</v>
      </c>
      <c r="C137" t="s">
        <v>199</v>
      </c>
      <c r="D137" s="1">
        <v>46034</v>
      </c>
      <c r="E137" t="s">
        <v>200</v>
      </c>
      <c r="F137">
        <v>9</v>
      </c>
      <c r="G137">
        <v>236</v>
      </c>
      <c r="H137" t="str">
        <f>VLOOKUP(G137,[1]OPERADORES!$A:$B,2,0)</f>
        <v>DANIEL</v>
      </c>
      <c r="I137" t="s">
        <v>21</v>
      </c>
      <c r="J137" t="s">
        <v>189</v>
      </c>
      <c r="K137" t="s">
        <v>190</v>
      </c>
      <c r="L137">
        <v>22188</v>
      </c>
      <c r="M137" t="s">
        <v>78</v>
      </c>
      <c r="O137" t="s">
        <v>11</v>
      </c>
      <c r="P137">
        <v>5102</v>
      </c>
      <c r="Q137">
        <v>1</v>
      </c>
      <c r="R137">
        <v>14.35</v>
      </c>
      <c r="S137">
        <v>14.35</v>
      </c>
      <c r="T137">
        <v>10.89</v>
      </c>
      <c r="U137">
        <v>24.11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186</v>
      </c>
      <c r="C138" t="s">
        <v>199</v>
      </c>
      <c r="D138" s="1">
        <v>46034</v>
      </c>
      <c r="E138" t="s">
        <v>200</v>
      </c>
      <c r="F138">
        <v>9</v>
      </c>
      <c r="G138">
        <v>236</v>
      </c>
      <c r="H138" t="str">
        <f>VLOOKUP(G138,[1]OPERADORES!$A:$B,2,0)</f>
        <v>DANIEL</v>
      </c>
      <c r="I138" t="s">
        <v>21</v>
      </c>
      <c r="J138" t="s">
        <v>189</v>
      </c>
      <c r="K138" t="s">
        <v>190</v>
      </c>
      <c r="L138">
        <v>85409</v>
      </c>
      <c r="M138" t="s">
        <v>201</v>
      </c>
      <c r="O138" t="s">
        <v>11</v>
      </c>
      <c r="P138">
        <v>5403</v>
      </c>
      <c r="Q138">
        <v>1</v>
      </c>
      <c r="R138">
        <v>28.9</v>
      </c>
      <c r="S138">
        <v>28.9</v>
      </c>
      <c r="T138">
        <v>23.11</v>
      </c>
      <c r="U138">
        <v>20.03</v>
      </c>
      <c r="V138" t="str">
        <f>VLOOKUP(L138,'[2]tabela de preços'!$A:$D,4,0)</f>
        <v>WANDA</v>
      </c>
      <c r="W138" t="str">
        <f>VLOOKUP(L138,'[2]tabela de preços'!$A:$F,6,0)</f>
        <v>PRIMER AUTOMOTIVO</v>
      </c>
      <c r="X138" t="str">
        <f>VLOOKUP(L138,'[2]tabela de preços'!$A:$G,7,0)</f>
        <v>AUTOMOTIVO</v>
      </c>
    </row>
    <row r="139" spans="1:24" x14ac:dyDescent="0.3">
      <c r="A139" t="s">
        <v>186</v>
      </c>
      <c r="C139" t="s">
        <v>199</v>
      </c>
      <c r="D139" s="1">
        <v>46034</v>
      </c>
      <c r="E139" t="s">
        <v>200</v>
      </c>
      <c r="F139">
        <v>9</v>
      </c>
      <c r="G139">
        <v>236</v>
      </c>
      <c r="H139" t="str">
        <f>VLOOKUP(G139,[1]OPERADORES!$A:$B,2,0)</f>
        <v>DANIEL</v>
      </c>
      <c r="I139" t="s">
        <v>21</v>
      </c>
      <c r="J139" t="s">
        <v>189</v>
      </c>
      <c r="K139" t="s">
        <v>190</v>
      </c>
      <c r="L139">
        <v>23690</v>
      </c>
      <c r="M139" t="s">
        <v>98</v>
      </c>
      <c r="O139" t="s">
        <v>11</v>
      </c>
      <c r="P139">
        <v>5403</v>
      </c>
      <c r="Q139">
        <v>2</v>
      </c>
      <c r="R139">
        <v>39.89</v>
      </c>
      <c r="S139">
        <v>79.78</v>
      </c>
      <c r="T139">
        <v>63.22</v>
      </c>
      <c r="U139">
        <v>20.76</v>
      </c>
      <c r="V139" t="str">
        <f>VLOOKUP(L139,'[2]tabela de preços'!$A:$D,4,0)</f>
        <v>WANDA</v>
      </c>
      <c r="W139" t="str">
        <f>VLOOKUP(L139,'[2]tabela de preços'!$A:$F,6,0)</f>
        <v>VERNIZ AUTOMOTIVO</v>
      </c>
      <c r="X139" t="str">
        <f>VLOOKUP(L139,'[2]tabela de preços'!$A:$G,7,0)</f>
        <v>AUTOMOTIVO</v>
      </c>
    </row>
    <row r="140" spans="1:24" x14ac:dyDescent="0.3">
      <c r="A140" t="s">
        <v>186</v>
      </c>
      <c r="C140" t="s">
        <v>199</v>
      </c>
      <c r="D140" s="1">
        <v>46034</v>
      </c>
      <c r="E140" t="s">
        <v>200</v>
      </c>
      <c r="F140">
        <v>9</v>
      </c>
      <c r="G140">
        <v>236</v>
      </c>
      <c r="H140" t="str">
        <f>VLOOKUP(G140,[1]OPERADORES!$A:$B,2,0)</f>
        <v>DANIEL</v>
      </c>
      <c r="I140" t="s">
        <v>21</v>
      </c>
      <c r="J140" t="s">
        <v>189</v>
      </c>
      <c r="K140" t="s">
        <v>190</v>
      </c>
      <c r="L140">
        <v>20431</v>
      </c>
      <c r="M140" t="s">
        <v>202</v>
      </c>
      <c r="O140" t="s">
        <v>11</v>
      </c>
      <c r="P140">
        <v>5403</v>
      </c>
      <c r="Q140">
        <v>9</v>
      </c>
      <c r="R140">
        <v>36.89</v>
      </c>
      <c r="S140">
        <v>332.01</v>
      </c>
      <c r="T140">
        <v>268.02</v>
      </c>
      <c r="U140">
        <v>19.27</v>
      </c>
      <c r="V140" t="str">
        <f>VLOOKUP(L140,'[2]tabela de preços'!$A:$D,4,0)</f>
        <v>SHERWIN WILLIAMS</v>
      </c>
      <c r="W140" t="str">
        <f>VLOOKUP(L140,'[2]tabela de preços'!$A:$F,6,0)</f>
        <v>VERNIZ AUTOMOTIVO</v>
      </c>
      <c r="X140" t="str">
        <f>VLOOKUP(L140,'[2]tabela de preços'!$A:$G,7,0)</f>
        <v>AUTOMOTIVO</v>
      </c>
    </row>
    <row r="141" spans="1:24" x14ac:dyDescent="0.3">
      <c r="A141" t="s">
        <v>186</v>
      </c>
      <c r="C141" t="s">
        <v>199</v>
      </c>
      <c r="D141" s="1">
        <v>46034</v>
      </c>
      <c r="E141" t="s">
        <v>200</v>
      </c>
      <c r="F141">
        <v>9</v>
      </c>
      <c r="G141">
        <v>236</v>
      </c>
      <c r="H141" t="str">
        <f>VLOOKUP(G141,[1]OPERADORES!$A:$B,2,0)</f>
        <v>DANIEL</v>
      </c>
      <c r="I141" t="s">
        <v>21</v>
      </c>
      <c r="J141" t="s">
        <v>189</v>
      </c>
      <c r="K141" t="s">
        <v>190</v>
      </c>
      <c r="L141">
        <v>10238</v>
      </c>
      <c r="M141" t="s">
        <v>79</v>
      </c>
      <c r="O141" t="s">
        <v>11</v>
      </c>
      <c r="P141">
        <v>5102</v>
      </c>
      <c r="Q141">
        <v>5</v>
      </c>
      <c r="R141">
        <v>2.79</v>
      </c>
      <c r="S141">
        <v>13.95</v>
      </c>
      <c r="T141">
        <v>11.2</v>
      </c>
      <c r="U141">
        <v>19.71</v>
      </c>
      <c r="V141" t="str">
        <f>VLOOKUP(L141,'[2]tabela de preços'!$A:$D,4,0)</f>
        <v>NORTON</v>
      </c>
      <c r="W141" t="str">
        <f>VLOOKUP(L141,'[2]tabela de preços'!$A:$F,6,0)</f>
        <v xml:space="preserve">DISCOS / LIXAS / ABRASIVOS </v>
      </c>
      <c r="X141" t="str">
        <f>VLOOKUP(L141,'[2]tabela de preços'!$A:$G,7,0)</f>
        <v>AUTOMOTIVO</v>
      </c>
    </row>
    <row r="142" spans="1:24" x14ac:dyDescent="0.3">
      <c r="A142" t="s">
        <v>186</v>
      </c>
      <c r="C142" t="s">
        <v>199</v>
      </c>
      <c r="D142" s="1">
        <v>46034</v>
      </c>
      <c r="E142" t="s">
        <v>200</v>
      </c>
      <c r="F142">
        <v>9</v>
      </c>
      <c r="G142">
        <v>236</v>
      </c>
      <c r="H142" t="str">
        <f>VLOOKUP(G142,[1]OPERADORES!$A:$B,2,0)</f>
        <v>DANIEL</v>
      </c>
      <c r="I142" t="s">
        <v>21</v>
      </c>
      <c r="J142" t="s">
        <v>189</v>
      </c>
      <c r="K142" t="s">
        <v>190</v>
      </c>
      <c r="L142">
        <v>10240</v>
      </c>
      <c r="M142" t="s">
        <v>81</v>
      </c>
      <c r="O142" t="s">
        <v>11</v>
      </c>
      <c r="P142">
        <v>5102</v>
      </c>
      <c r="Q142">
        <v>5</v>
      </c>
      <c r="R142">
        <v>2.79</v>
      </c>
      <c r="S142">
        <v>13.95</v>
      </c>
      <c r="T142">
        <v>11.2</v>
      </c>
      <c r="U142">
        <v>19.71</v>
      </c>
      <c r="V142" t="str">
        <f>VLOOKUP(L142,'[2]tabela de preços'!$A:$D,4,0)</f>
        <v>NORTON</v>
      </c>
      <c r="W142" t="str">
        <f>VLOOKUP(L142,'[2]tabela de preços'!$A:$F,6,0)</f>
        <v xml:space="preserve">DISCOS / LIXAS / ABRASIVOS </v>
      </c>
      <c r="X142" t="str">
        <f>VLOOKUP(L142,'[2]tabela de preços'!$A:$G,7,0)</f>
        <v>AUTOMOTIVO</v>
      </c>
    </row>
    <row r="143" spans="1:24" x14ac:dyDescent="0.3">
      <c r="A143" t="s">
        <v>186</v>
      </c>
      <c r="C143" t="s">
        <v>199</v>
      </c>
      <c r="D143" s="1">
        <v>46034</v>
      </c>
      <c r="E143" t="s">
        <v>200</v>
      </c>
      <c r="F143">
        <v>9</v>
      </c>
      <c r="G143">
        <v>236</v>
      </c>
      <c r="H143" t="str">
        <f>VLOOKUP(G143,[1]OPERADORES!$A:$B,2,0)</f>
        <v>DANIEL</v>
      </c>
      <c r="I143" t="s">
        <v>21</v>
      </c>
      <c r="J143" t="s">
        <v>189</v>
      </c>
      <c r="K143" t="s">
        <v>190</v>
      </c>
      <c r="L143">
        <v>10242</v>
      </c>
      <c r="M143" t="s">
        <v>82</v>
      </c>
      <c r="O143" t="s">
        <v>11</v>
      </c>
      <c r="P143">
        <v>5102</v>
      </c>
      <c r="Q143">
        <v>5</v>
      </c>
      <c r="R143">
        <v>2.79</v>
      </c>
      <c r="S143">
        <v>13.95</v>
      </c>
      <c r="T143">
        <v>11.2</v>
      </c>
      <c r="U143">
        <v>19.71</v>
      </c>
      <c r="V143" t="str">
        <f>VLOOKUP(L143,'[2]tabela de preços'!$A:$D,4,0)</f>
        <v>NORTON</v>
      </c>
      <c r="W143" t="str">
        <f>VLOOKUP(L143,'[2]tabela de preços'!$A:$F,6,0)</f>
        <v xml:space="preserve">DISCOS / LIXAS / ABRASIVOS </v>
      </c>
      <c r="X143" t="str">
        <f>VLOOKUP(L143,'[2]tabela de preços'!$A:$G,7,0)</f>
        <v>AUTOMOTIVO</v>
      </c>
    </row>
    <row r="144" spans="1:24" x14ac:dyDescent="0.3">
      <c r="A144" t="s">
        <v>186</v>
      </c>
      <c r="C144" t="s">
        <v>199</v>
      </c>
      <c r="D144" s="1">
        <v>46034</v>
      </c>
      <c r="E144" t="s">
        <v>200</v>
      </c>
      <c r="F144">
        <v>9</v>
      </c>
      <c r="G144">
        <v>236</v>
      </c>
      <c r="H144" t="str">
        <f>VLOOKUP(G144,[1]OPERADORES!$A:$B,2,0)</f>
        <v>DANIEL</v>
      </c>
      <c r="I144" t="s">
        <v>21</v>
      </c>
      <c r="J144" t="s">
        <v>189</v>
      </c>
      <c r="K144" t="s">
        <v>190</v>
      </c>
      <c r="L144">
        <v>10243</v>
      </c>
      <c r="M144" t="s">
        <v>83</v>
      </c>
      <c r="O144" t="s">
        <v>11</v>
      </c>
      <c r="P144">
        <v>5102</v>
      </c>
      <c r="Q144">
        <v>5</v>
      </c>
      <c r="R144">
        <v>2.79</v>
      </c>
      <c r="S144">
        <v>13.95</v>
      </c>
      <c r="T144">
        <v>9.65</v>
      </c>
      <c r="U144">
        <v>30.82</v>
      </c>
      <c r="V144" t="str">
        <f>VLOOKUP(L144,'[2]tabela de preços'!$A:$D,4,0)</f>
        <v>NORTON</v>
      </c>
      <c r="W144" t="str">
        <f>VLOOKUP(L144,'[2]tabela de preços'!$A:$F,6,0)</f>
        <v xml:space="preserve">DISCOS / LIXAS / ABRASIVOS </v>
      </c>
      <c r="X144" t="str">
        <f>VLOOKUP(L144,'[2]tabela de preços'!$A:$G,7,0)</f>
        <v>AUTOMOTIVO</v>
      </c>
    </row>
    <row r="145" spans="1:24" x14ac:dyDescent="0.3">
      <c r="A145" t="s">
        <v>186</v>
      </c>
      <c r="C145" t="s">
        <v>199</v>
      </c>
      <c r="D145" s="1">
        <v>46034</v>
      </c>
      <c r="E145" t="s">
        <v>200</v>
      </c>
      <c r="F145">
        <v>9</v>
      </c>
      <c r="G145">
        <v>236</v>
      </c>
      <c r="H145" t="str">
        <f>VLOOKUP(G145,[1]OPERADORES!$A:$B,2,0)</f>
        <v>DANIEL</v>
      </c>
      <c r="I145" t="s">
        <v>21</v>
      </c>
      <c r="J145" t="s">
        <v>189</v>
      </c>
      <c r="K145" t="s">
        <v>190</v>
      </c>
      <c r="L145">
        <v>10244</v>
      </c>
      <c r="M145" t="s">
        <v>84</v>
      </c>
      <c r="O145" t="s">
        <v>11</v>
      </c>
      <c r="P145">
        <v>5102</v>
      </c>
      <c r="Q145">
        <v>5</v>
      </c>
      <c r="R145">
        <v>2.79</v>
      </c>
      <c r="S145">
        <v>13.95</v>
      </c>
      <c r="T145">
        <v>9.65</v>
      </c>
      <c r="U145">
        <v>30.82</v>
      </c>
      <c r="V145" t="str">
        <f>VLOOKUP(L145,'[2]tabela de preços'!$A:$D,4,0)</f>
        <v>NORTON</v>
      </c>
      <c r="W145" t="str">
        <f>VLOOKUP(L145,'[2]tabela de preços'!$A:$F,6,0)</f>
        <v xml:space="preserve">DISCOS / LIXAS / ABRASIVOS </v>
      </c>
      <c r="X145" t="str">
        <f>VLOOKUP(L145,'[2]tabela de preços'!$A:$G,7,0)</f>
        <v>AUTOMOTIVO</v>
      </c>
    </row>
    <row r="146" spans="1:24" x14ac:dyDescent="0.3">
      <c r="A146" t="s">
        <v>186</v>
      </c>
      <c r="C146" t="s">
        <v>199</v>
      </c>
      <c r="D146" s="1">
        <v>46034</v>
      </c>
      <c r="E146" t="s">
        <v>200</v>
      </c>
      <c r="F146">
        <v>9</v>
      </c>
      <c r="G146">
        <v>236</v>
      </c>
      <c r="H146" t="str">
        <f>VLOOKUP(G146,[1]OPERADORES!$A:$B,2,0)</f>
        <v>DANIEL</v>
      </c>
      <c r="I146" t="s">
        <v>21</v>
      </c>
      <c r="J146" t="s">
        <v>189</v>
      </c>
      <c r="K146" t="s">
        <v>190</v>
      </c>
      <c r="L146">
        <v>20817</v>
      </c>
      <c r="M146" t="s">
        <v>153</v>
      </c>
      <c r="O146" t="s">
        <v>11</v>
      </c>
      <c r="P146">
        <v>5102</v>
      </c>
      <c r="Q146">
        <v>1</v>
      </c>
      <c r="R146">
        <v>22.89</v>
      </c>
      <c r="S146">
        <v>22.89</v>
      </c>
      <c r="T146">
        <v>18.62</v>
      </c>
      <c r="U146">
        <v>18.649999999999999</v>
      </c>
      <c r="V146" t="str">
        <f>VLOOKUP(L146,'[2]tabela de preços'!$A:$D,4,0)</f>
        <v>AUTO AMERICA</v>
      </c>
      <c r="W146" t="str">
        <f>VLOOKUP(L146,'[2]tabela de preços'!$A:$F,6,0)</f>
        <v>MASSA DE POLIR</v>
      </c>
      <c r="X146" t="str">
        <f>VLOOKUP(L146,'[2]tabela de preços'!$A:$G,7,0)</f>
        <v>AUTOMOTIVO</v>
      </c>
    </row>
    <row r="147" spans="1:24" x14ac:dyDescent="0.3">
      <c r="A147" t="s">
        <v>186</v>
      </c>
      <c r="C147" t="s">
        <v>199</v>
      </c>
      <c r="D147" s="1">
        <v>46034</v>
      </c>
      <c r="E147" t="s">
        <v>200</v>
      </c>
      <c r="F147">
        <v>9</v>
      </c>
      <c r="G147">
        <v>236</v>
      </c>
      <c r="H147" t="str">
        <f>VLOOKUP(G147,[1]OPERADORES!$A:$B,2,0)</f>
        <v>DANIEL</v>
      </c>
      <c r="I147" t="s">
        <v>21</v>
      </c>
      <c r="J147" t="s">
        <v>189</v>
      </c>
      <c r="K147" t="s">
        <v>190</v>
      </c>
      <c r="L147">
        <v>24247</v>
      </c>
      <c r="M147" t="s">
        <v>111</v>
      </c>
      <c r="O147" t="s">
        <v>11</v>
      </c>
      <c r="P147">
        <v>5403</v>
      </c>
      <c r="Q147">
        <v>3</v>
      </c>
      <c r="R147">
        <v>21</v>
      </c>
      <c r="S147">
        <v>63</v>
      </c>
      <c r="T147">
        <v>49.8</v>
      </c>
      <c r="U147">
        <v>20.95</v>
      </c>
      <c r="V147" t="str">
        <f>VLOOKUP(L147,'[2]tabela de preços'!$A:$D,4,0)</f>
        <v>SHERWIN WILLIAMS</v>
      </c>
      <c r="W147" t="str">
        <f>VLOOKUP(L147,'[2]tabela de preços'!$A:$F,6,0)</f>
        <v>PRIMER AUTOMOTIVO</v>
      </c>
      <c r="X147" t="str">
        <f>VLOOKUP(L147,'[2]tabela de preços'!$A:$G,7,0)</f>
        <v>AUTOMOTIVO</v>
      </c>
    </row>
    <row r="148" spans="1:24" x14ac:dyDescent="0.3">
      <c r="A148" t="s">
        <v>186</v>
      </c>
      <c r="C148" t="s">
        <v>199</v>
      </c>
      <c r="D148" s="1">
        <v>46034</v>
      </c>
      <c r="E148" t="s">
        <v>200</v>
      </c>
      <c r="F148">
        <v>9</v>
      </c>
      <c r="G148">
        <v>236</v>
      </c>
      <c r="H148" t="str">
        <f>VLOOKUP(G148,[1]OPERADORES!$A:$B,2,0)</f>
        <v>DANIEL</v>
      </c>
      <c r="I148" t="s">
        <v>21</v>
      </c>
      <c r="J148" t="s">
        <v>189</v>
      </c>
      <c r="K148" t="s">
        <v>190</v>
      </c>
      <c r="L148">
        <v>20212</v>
      </c>
      <c r="M148" t="s">
        <v>198</v>
      </c>
      <c r="O148" t="s">
        <v>11</v>
      </c>
      <c r="P148">
        <v>5403</v>
      </c>
      <c r="Q148">
        <v>1</v>
      </c>
      <c r="R148">
        <v>26.95</v>
      </c>
      <c r="S148">
        <v>26.95</v>
      </c>
      <c r="T148">
        <v>20.46</v>
      </c>
      <c r="U148">
        <v>24.08</v>
      </c>
      <c r="V148" t="str">
        <f>VLOOKUP(L148,'[2]tabela de preços'!$A:$D,4,0)</f>
        <v>MAXI RUBBER</v>
      </c>
      <c r="W148" t="str">
        <f>VLOOKUP(L148,'[2]tabela de preços'!$A:$F,6,0)</f>
        <v>SELADORA P/ PLASTICO</v>
      </c>
      <c r="X148" t="str">
        <f>VLOOKUP(L148,'[2]tabela de preços'!$A:$G,7,0)</f>
        <v>AUTOMOTIVO</v>
      </c>
    </row>
    <row r="149" spans="1:24" x14ac:dyDescent="0.3">
      <c r="A149" t="s">
        <v>186</v>
      </c>
      <c r="C149" t="s">
        <v>199</v>
      </c>
      <c r="D149" s="1">
        <v>46034</v>
      </c>
      <c r="E149" t="s">
        <v>200</v>
      </c>
      <c r="F149">
        <v>9</v>
      </c>
      <c r="G149">
        <v>236</v>
      </c>
      <c r="H149" t="str">
        <f>VLOOKUP(G149,[1]OPERADORES!$A:$B,2,0)</f>
        <v>DANIEL</v>
      </c>
      <c r="I149" t="s">
        <v>21</v>
      </c>
      <c r="J149" t="s">
        <v>189</v>
      </c>
      <c r="K149" t="s">
        <v>190</v>
      </c>
      <c r="L149">
        <v>20414</v>
      </c>
      <c r="M149" t="s">
        <v>112</v>
      </c>
      <c r="O149" t="s">
        <v>11</v>
      </c>
      <c r="P149">
        <v>5102</v>
      </c>
      <c r="Q149">
        <v>1</v>
      </c>
      <c r="R149">
        <v>21.89</v>
      </c>
      <c r="S149">
        <v>21.89</v>
      </c>
      <c r="T149">
        <v>18</v>
      </c>
      <c r="U149">
        <v>17.77</v>
      </c>
      <c r="V149" t="str">
        <f>VLOOKUP(L149,'[2]tabela de preços'!$A:$D,4,0)</f>
        <v>SHERWIN WILLIAMS</v>
      </c>
      <c r="W149" t="str">
        <f>VLOOKUP(L149,'[2]tabela de preços'!$A:$F,6,0)</f>
        <v>DILUENTE</v>
      </c>
      <c r="X149" t="str">
        <f>VLOOKUP(L149,'[2]tabela de preços'!$A:$G,7,0)</f>
        <v>AUTOMOTIVO</v>
      </c>
    </row>
    <row r="150" spans="1:24" x14ac:dyDescent="0.3">
      <c r="A150" t="s">
        <v>186</v>
      </c>
      <c r="C150" t="s">
        <v>203</v>
      </c>
      <c r="D150" s="1">
        <v>46048</v>
      </c>
      <c r="E150" t="s">
        <v>204</v>
      </c>
      <c r="F150">
        <v>9</v>
      </c>
      <c r="G150">
        <v>236</v>
      </c>
      <c r="H150" t="str">
        <f>VLOOKUP(G150,[1]OPERADORES!$A:$B,2,0)</f>
        <v>DANIEL</v>
      </c>
      <c r="I150" t="s">
        <v>21</v>
      </c>
      <c r="J150" t="s">
        <v>189</v>
      </c>
      <c r="K150" t="s">
        <v>190</v>
      </c>
      <c r="L150">
        <v>10236</v>
      </c>
      <c r="M150" t="s">
        <v>133</v>
      </c>
      <c r="O150" t="s">
        <v>11</v>
      </c>
      <c r="P150">
        <v>5102</v>
      </c>
      <c r="Q150">
        <v>5</v>
      </c>
      <c r="R150">
        <v>2.79</v>
      </c>
      <c r="S150">
        <v>13.95</v>
      </c>
      <c r="T150">
        <v>11.6</v>
      </c>
      <c r="U150">
        <v>16.850000000000001</v>
      </c>
      <c r="V150" t="str">
        <f>VLOOKUP(L150,'[2]tabela de preços'!$A:$D,4,0)</f>
        <v>NORTON</v>
      </c>
      <c r="W150" t="str">
        <f>VLOOKUP(L150,'[2]tabela de preços'!$A:$F,6,0)</f>
        <v xml:space="preserve">DISCOS / LIXAS / ABRASIVOS </v>
      </c>
      <c r="X150" t="str">
        <f>VLOOKUP(L150,'[2]tabela de preços'!$A:$G,7,0)</f>
        <v>AUTOMOTIVO</v>
      </c>
    </row>
    <row r="151" spans="1:24" x14ac:dyDescent="0.3">
      <c r="A151" t="s">
        <v>186</v>
      </c>
      <c r="C151" t="s">
        <v>203</v>
      </c>
      <c r="D151" s="1">
        <v>46048</v>
      </c>
      <c r="E151" t="s">
        <v>204</v>
      </c>
      <c r="F151">
        <v>9</v>
      </c>
      <c r="G151">
        <v>236</v>
      </c>
      <c r="H151" t="str">
        <f>VLOOKUP(G151,[1]OPERADORES!$A:$B,2,0)</f>
        <v>DANIEL</v>
      </c>
      <c r="I151" t="s">
        <v>21</v>
      </c>
      <c r="J151" t="s">
        <v>189</v>
      </c>
      <c r="K151" t="s">
        <v>190</v>
      </c>
      <c r="L151">
        <v>10230</v>
      </c>
      <c r="M151" t="s">
        <v>193</v>
      </c>
      <c r="O151" t="s">
        <v>11</v>
      </c>
      <c r="P151">
        <v>5102</v>
      </c>
      <c r="Q151">
        <v>5</v>
      </c>
      <c r="R151">
        <v>2.79</v>
      </c>
      <c r="S151">
        <v>13.95</v>
      </c>
      <c r="T151">
        <v>11.6</v>
      </c>
      <c r="U151">
        <v>16.850000000000001</v>
      </c>
      <c r="V151" t="str">
        <f>VLOOKUP(L151,'[2]tabela de preços'!$A:$D,4,0)</f>
        <v>NORTON</v>
      </c>
      <c r="W151" t="str">
        <f>VLOOKUP(L151,'[2]tabela de preços'!$A:$F,6,0)</f>
        <v xml:space="preserve">DISCOS / LIXAS / ABRASIVOS </v>
      </c>
      <c r="X151" t="str">
        <f>VLOOKUP(L151,'[2]tabela de preços'!$A:$G,7,0)</f>
        <v>AUTOMOTIVO</v>
      </c>
    </row>
    <row r="152" spans="1:24" x14ac:dyDescent="0.3">
      <c r="A152" t="s">
        <v>186</v>
      </c>
      <c r="C152" t="s">
        <v>203</v>
      </c>
      <c r="D152" s="1">
        <v>46048</v>
      </c>
      <c r="E152" t="s">
        <v>204</v>
      </c>
      <c r="F152">
        <v>9</v>
      </c>
      <c r="G152">
        <v>236</v>
      </c>
      <c r="H152" t="str">
        <f>VLOOKUP(G152,[1]OPERADORES!$A:$B,2,0)</f>
        <v>DANIEL</v>
      </c>
      <c r="I152" t="s">
        <v>21</v>
      </c>
      <c r="J152" t="s">
        <v>189</v>
      </c>
      <c r="K152" t="s">
        <v>190</v>
      </c>
      <c r="L152">
        <v>24248</v>
      </c>
      <c r="M152" t="s">
        <v>107</v>
      </c>
      <c r="O152" t="s">
        <v>11</v>
      </c>
      <c r="P152">
        <v>5102</v>
      </c>
      <c r="Q152">
        <v>3</v>
      </c>
      <c r="R152">
        <v>8</v>
      </c>
      <c r="S152">
        <v>24</v>
      </c>
      <c r="T152">
        <v>19.5</v>
      </c>
      <c r="U152">
        <v>18.75</v>
      </c>
      <c r="V152" t="str">
        <f>VLOOKUP(L152,'[2]tabela de preços'!$A:$D,4,0)</f>
        <v>SHERWIN WILLIAMS</v>
      </c>
      <c r="W152" t="str">
        <f>VLOOKUP(L152,'[2]tabela de preços'!$A:$F,6,0)</f>
        <v>PRIMER AUTOMOTIVO</v>
      </c>
      <c r="X152" t="str">
        <f>VLOOKUP(L152,'[2]tabela de preços'!$A:$G,7,0)</f>
        <v>AUTOMOTIVO</v>
      </c>
    </row>
    <row r="153" spans="1:24" x14ac:dyDescent="0.3">
      <c r="A153" t="s">
        <v>186</v>
      </c>
      <c r="C153" t="s">
        <v>203</v>
      </c>
      <c r="D153" s="1">
        <v>46048</v>
      </c>
      <c r="E153" t="s">
        <v>204</v>
      </c>
      <c r="F153">
        <v>9</v>
      </c>
      <c r="G153">
        <v>236</v>
      </c>
      <c r="H153" t="str">
        <f>VLOOKUP(G153,[1]OPERADORES!$A:$B,2,0)</f>
        <v>DANIEL</v>
      </c>
      <c r="I153" t="s">
        <v>21</v>
      </c>
      <c r="J153" t="s">
        <v>189</v>
      </c>
      <c r="K153" t="s">
        <v>190</v>
      </c>
      <c r="L153">
        <v>22684</v>
      </c>
      <c r="M153" t="s">
        <v>73</v>
      </c>
      <c r="O153" t="s">
        <v>11</v>
      </c>
      <c r="P153">
        <v>5102</v>
      </c>
      <c r="Q153">
        <v>10</v>
      </c>
      <c r="R153">
        <v>3.65</v>
      </c>
      <c r="S153">
        <v>36.5</v>
      </c>
      <c r="T153">
        <v>30.8</v>
      </c>
      <c r="U153">
        <v>15.62</v>
      </c>
      <c r="V153" t="str">
        <f>VLOOKUP(L153,'[2]tabela de preços'!$A:$D,4,0)</f>
        <v>3M</v>
      </c>
      <c r="W153" t="str">
        <f>VLOOKUP(L153,'[2]tabela de preços'!$A:$F,6,0)</f>
        <v>FITA AUTOMOTIVA</v>
      </c>
      <c r="X153" t="str">
        <f>VLOOKUP(L153,'[2]tabela de preços'!$A:$G,7,0)</f>
        <v>AUTOMOTIVO</v>
      </c>
    </row>
    <row r="154" spans="1:24" x14ac:dyDescent="0.3">
      <c r="A154" t="s">
        <v>186</v>
      </c>
      <c r="C154" t="s">
        <v>203</v>
      </c>
      <c r="D154" s="1">
        <v>46048</v>
      </c>
      <c r="E154" t="s">
        <v>204</v>
      </c>
      <c r="F154">
        <v>9</v>
      </c>
      <c r="G154">
        <v>236</v>
      </c>
      <c r="H154" t="str">
        <f>VLOOKUP(G154,[1]OPERADORES!$A:$B,2,0)</f>
        <v>DANIEL</v>
      </c>
      <c r="I154" t="s">
        <v>21</v>
      </c>
      <c r="J154" t="s">
        <v>189</v>
      </c>
      <c r="K154" t="s">
        <v>190</v>
      </c>
      <c r="L154">
        <v>85409</v>
      </c>
      <c r="M154" t="s">
        <v>201</v>
      </c>
      <c r="O154" t="s">
        <v>11</v>
      </c>
      <c r="P154">
        <v>5403</v>
      </c>
      <c r="Q154">
        <v>3</v>
      </c>
      <c r="R154">
        <v>28.9</v>
      </c>
      <c r="S154">
        <v>86.7</v>
      </c>
      <c r="T154">
        <v>69.33</v>
      </c>
      <c r="U154">
        <v>20.03</v>
      </c>
      <c r="V154" t="str">
        <f>VLOOKUP(L154,'[2]tabela de preços'!$A:$D,4,0)</f>
        <v>WANDA</v>
      </c>
      <c r="W154" t="str">
        <f>VLOOKUP(L154,'[2]tabela de preços'!$A:$F,6,0)</f>
        <v>PRIMER AUTOMOTIVO</v>
      </c>
      <c r="X154" t="str">
        <f>VLOOKUP(L154,'[2]tabela de preços'!$A:$G,7,0)</f>
        <v>AUTOMOTIVO</v>
      </c>
    </row>
    <row r="155" spans="1:24" x14ac:dyDescent="0.3">
      <c r="A155" t="s">
        <v>186</v>
      </c>
      <c r="C155" t="s">
        <v>203</v>
      </c>
      <c r="D155" s="1">
        <v>46048</v>
      </c>
      <c r="E155" t="s">
        <v>204</v>
      </c>
      <c r="F155">
        <v>9</v>
      </c>
      <c r="G155">
        <v>236</v>
      </c>
      <c r="H155" t="str">
        <f>VLOOKUP(G155,[1]OPERADORES!$A:$B,2,0)</f>
        <v>DANIEL</v>
      </c>
      <c r="I155" t="s">
        <v>21</v>
      </c>
      <c r="J155" t="s">
        <v>189</v>
      </c>
      <c r="K155" t="s">
        <v>190</v>
      </c>
      <c r="L155">
        <v>20431</v>
      </c>
      <c r="M155" t="s">
        <v>202</v>
      </c>
      <c r="O155" t="s">
        <v>11</v>
      </c>
      <c r="P155">
        <v>5403</v>
      </c>
      <c r="Q155">
        <v>9</v>
      </c>
      <c r="R155">
        <v>36.89</v>
      </c>
      <c r="S155">
        <v>332.01</v>
      </c>
      <c r="T155">
        <v>272.33999999999997</v>
      </c>
      <c r="U155">
        <v>17.97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186</v>
      </c>
      <c r="C156" t="s">
        <v>203</v>
      </c>
      <c r="D156" s="1">
        <v>46048</v>
      </c>
      <c r="E156" t="s">
        <v>204</v>
      </c>
      <c r="F156">
        <v>9</v>
      </c>
      <c r="G156">
        <v>236</v>
      </c>
      <c r="H156" t="str">
        <f>VLOOKUP(G156,[1]OPERADORES!$A:$B,2,0)</f>
        <v>DANIEL</v>
      </c>
      <c r="I156" t="s">
        <v>21</v>
      </c>
      <c r="J156" t="s">
        <v>189</v>
      </c>
      <c r="K156" t="s">
        <v>190</v>
      </c>
      <c r="L156">
        <v>13</v>
      </c>
      <c r="M156" t="s">
        <v>152</v>
      </c>
      <c r="O156" t="s">
        <v>11</v>
      </c>
      <c r="P156">
        <v>5102</v>
      </c>
      <c r="Q156">
        <v>5</v>
      </c>
      <c r="R156">
        <v>5.79</v>
      </c>
      <c r="S156">
        <v>28.95</v>
      </c>
      <c r="T156">
        <v>20.8</v>
      </c>
      <c r="U156">
        <v>28.15</v>
      </c>
      <c r="V156" t="str">
        <f>VLOOKUP(L156,'[2]tabela de preços'!$A:$D,4,0)</f>
        <v>3M</v>
      </c>
      <c r="W156" t="str">
        <f>VLOOKUP(L156,'[2]tabela de preços'!$A:$F,6,0)</f>
        <v>LIXA DÁGUA</v>
      </c>
      <c r="X156" t="str">
        <f>VLOOKUP(L156,'[2]tabela de preços'!$A:$G,7,0)</f>
        <v>AUTOMOTIVO</v>
      </c>
    </row>
    <row r="157" spans="1:24" x14ac:dyDescent="0.3">
      <c r="A157" t="s">
        <v>186</v>
      </c>
      <c r="C157" t="s">
        <v>203</v>
      </c>
      <c r="D157" s="1">
        <v>46048</v>
      </c>
      <c r="E157" t="s">
        <v>204</v>
      </c>
      <c r="F157">
        <v>9</v>
      </c>
      <c r="G157">
        <v>236</v>
      </c>
      <c r="H157" t="str">
        <f>VLOOKUP(G157,[1]OPERADORES!$A:$B,2,0)</f>
        <v>DANIEL</v>
      </c>
      <c r="I157" t="s">
        <v>21</v>
      </c>
      <c r="J157" t="s">
        <v>189</v>
      </c>
      <c r="K157" t="s">
        <v>190</v>
      </c>
      <c r="L157">
        <v>15</v>
      </c>
      <c r="M157" t="s">
        <v>205</v>
      </c>
      <c r="O157" t="s">
        <v>11</v>
      </c>
      <c r="P157">
        <v>5102</v>
      </c>
      <c r="Q157">
        <v>5</v>
      </c>
      <c r="R157">
        <v>5.79</v>
      </c>
      <c r="S157">
        <v>28.95</v>
      </c>
      <c r="T157">
        <v>20.8</v>
      </c>
      <c r="U157">
        <v>28.15</v>
      </c>
      <c r="V157" t="str">
        <f>VLOOKUP(L157,'[2]tabela de preços'!$A:$D,4,0)</f>
        <v>3M</v>
      </c>
      <c r="W157" t="str">
        <f>VLOOKUP(L157,'[2]tabela de preços'!$A:$F,6,0)</f>
        <v>LIXA DÁGUA</v>
      </c>
      <c r="X157" t="str">
        <f>VLOOKUP(L157,'[2]tabela de preços'!$A:$G,7,0)</f>
        <v>AUTOMOTIVO</v>
      </c>
    </row>
    <row r="158" spans="1:24" x14ac:dyDescent="0.3">
      <c r="A158" t="s">
        <v>186</v>
      </c>
      <c r="C158" t="s">
        <v>203</v>
      </c>
      <c r="D158" s="1">
        <v>46048</v>
      </c>
      <c r="E158" t="s">
        <v>204</v>
      </c>
      <c r="F158">
        <v>9</v>
      </c>
      <c r="G158">
        <v>236</v>
      </c>
      <c r="H158" t="str">
        <f>VLOOKUP(G158,[1]OPERADORES!$A:$B,2,0)</f>
        <v>DANIEL</v>
      </c>
      <c r="I158" t="s">
        <v>21</v>
      </c>
      <c r="J158" t="s">
        <v>189</v>
      </c>
      <c r="K158" t="s">
        <v>190</v>
      </c>
      <c r="L158">
        <v>16</v>
      </c>
      <c r="M158" t="s">
        <v>122</v>
      </c>
      <c r="O158" t="s">
        <v>11</v>
      </c>
      <c r="P158">
        <v>5102</v>
      </c>
      <c r="Q158">
        <v>5</v>
      </c>
      <c r="R158">
        <v>2.9</v>
      </c>
      <c r="S158">
        <v>14.5</v>
      </c>
      <c r="T158">
        <v>11</v>
      </c>
      <c r="U158">
        <v>24.14</v>
      </c>
      <c r="V158" t="str">
        <f>VLOOKUP(L158,'[2]tabela de preços'!$A:$D,4,0)</f>
        <v>3M</v>
      </c>
      <c r="W158" t="str">
        <f>VLOOKUP(L158,'[2]tabela de preços'!$A:$F,6,0)</f>
        <v>LIXA DÁGUA</v>
      </c>
      <c r="X158" t="str">
        <f>VLOOKUP(L158,'[2]tabela de preços'!$A:$G,7,0)</f>
        <v>AUTOMOTIVO</v>
      </c>
    </row>
    <row r="159" spans="1:24" x14ac:dyDescent="0.3">
      <c r="A159" t="s">
        <v>186</v>
      </c>
      <c r="C159" t="s">
        <v>203</v>
      </c>
      <c r="D159" s="1">
        <v>46048</v>
      </c>
      <c r="E159" t="s">
        <v>204</v>
      </c>
      <c r="F159">
        <v>9</v>
      </c>
      <c r="G159">
        <v>236</v>
      </c>
      <c r="H159" t="str">
        <f>VLOOKUP(G159,[1]OPERADORES!$A:$B,2,0)</f>
        <v>DANIEL</v>
      </c>
      <c r="I159" t="s">
        <v>21</v>
      </c>
      <c r="J159" t="s">
        <v>189</v>
      </c>
      <c r="K159" t="s">
        <v>190</v>
      </c>
      <c r="L159">
        <v>10238</v>
      </c>
      <c r="M159" t="s">
        <v>79</v>
      </c>
      <c r="O159" t="s">
        <v>11</v>
      </c>
      <c r="P159">
        <v>5102</v>
      </c>
      <c r="Q159">
        <v>5</v>
      </c>
      <c r="R159">
        <v>2.79</v>
      </c>
      <c r="S159">
        <v>13.95</v>
      </c>
      <c r="T159">
        <v>11.2</v>
      </c>
      <c r="U159">
        <v>19.71</v>
      </c>
      <c r="V159" t="str">
        <f>VLOOKUP(L159,'[2]tabela de preços'!$A:$D,4,0)</f>
        <v>NORTON</v>
      </c>
      <c r="W159" t="str">
        <f>VLOOKUP(L159,'[2]tabela de preços'!$A:$F,6,0)</f>
        <v xml:space="preserve">DISCOS / LIXAS / ABRASIVOS </v>
      </c>
      <c r="X159" t="str">
        <f>VLOOKUP(L159,'[2]tabela de preços'!$A:$G,7,0)</f>
        <v>AUTOMOTIVO</v>
      </c>
    </row>
    <row r="160" spans="1:24" x14ac:dyDescent="0.3">
      <c r="A160" t="s">
        <v>186</v>
      </c>
      <c r="C160" t="s">
        <v>203</v>
      </c>
      <c r="D160" s="1">
        <v>46048</v>
      </c>
      <c r="E160" t="s">
        <v>204</v>
      </c>
      <c r="F160">
        <v>9</v>
      </c>
      <c r="G160">
        <v>236</v>
      </c>
      <c r="H160" t="str">
        <f>VLOOKUP(G160,[1]OPERADORES!$A:$B,2,0)</f>
        <v>DANIEL</v>
      </c>
      <c r="I160" t="s">
        <v>21</v>
      </c>
      <c r="J160" t="s">
        <v>189</v>
      </c>
      <c r="K160" t="s">
        <v>190</v>
      </c>
      <c r="L160">
        <v>10243</v>
      </c>
      <c r="M160" t="s">
        <v>83</v>
      </c>
      <c r="O160" t="s">
        <v>11</v>
      </c>
      <c r="P160">
        <v>5102</v>
      </c>
      <c r="Q160">
        <v>5</v>
      </c>
      <c r="R160">
        <v>2.79</v>
      </c>
      <c r="S160">
        <v>13.95</v>
      </c>
      <c r="T160">
        <v>9.65</v>
      </c>
      <c r="U160">
        <v>30.82</v>
      </c>
      <c r="V160" t="str">
        <f>VLOOKUP(L160,'[2]tabela de preços'!$A:$D,4,0)</f>
        <v>NORTON</v>
      </c>
      <c r="W160" t="str">
        <f>VLOOKUP(L160,'[2]tabela de preços'!$A:$F,6,0)</f>
        <v xml:space="preserve">DISCOS / LIXAS / ABRASIVOS </v>
      </c>
      <c r="X160" t="str">
        <f>VLOOKUP(L160,'[2]tabela de preços'!$A:$G,7,0)</f>
        <v>AUTOMOTIVO</v>
      </c>
    </row>
    <row r="161" spans="1:24" x14ac:dyDescent="0.3">
      <c r="A161" t="s">
        <v>186</v>
      </c>
      <c r="C161" t="s">
        <v>203</v>
      </c>
      <c r="D161" s="1">
        <v>46048</v>
      </c>
      <c r="E161" t="s">
        <v>204</v>
      </c>
      <c r="F161">
        <v>9</v>
      </c>
      <c r="G161">
        <v>236</v>
      </c>
      <c r="H161" t="str">
        <f>VLOOKUP(G161,[1]OPERADORES!$A:$B,2,0)</f>
        <v>DANIEL</v>
      </c>
      <c r="I161" t="s">
        <v>21</v>
      </c>
      <c r="J161" t="s">
        <v>189</v>
      </c>
      <c r="K161" t="s">
        <v>190</v>
      </c>
      <c r="L161">
        <v>10246</v>
      </c>
      <c r="M161" t="s">
        <v>206</v>
      </c>
      <c r="O161" t="s">
        <v>11</v>
      </c>
      <c r="P161">
        <v>5102</v>
      </c>
      <c r="Q161">
        <v>5</v>
      </c>
      <c r="R161">
        <v>2.79</v>
      </c>
      <c r="S161">
        <v>13.95</v>
      </c>
      <c r="T161">
        <v>9.65</v>
      </c>
      <c r="U161">
        <v>30.82</v>
      </c>
      <c r="V161" t="str">
        <f>VLOOKUP(L161,'[2]tabela de preços'!$A:$D,4,0)</f>
        <v>NORTON</v>
      </c>
      <c r="W161" t="str">
        <f>VLOOKUP(L161,'[2]tabela de preços'!$A:$F,6,0)</f>
        <v xml:space="preserve">DISCOS / LIXAS / ABRASIVOS </v>
      </c>
      <c r="X161" t="str">
        <f>VLOOKUP(L161,'[2]tabela de preços'!$A:$G,7,0)</f>
        <v>AUTOMOTIVO</v>
      </c>
    </row>
    <row r="162" spans="1:24" x14ac:dyDescent="0.3">
      <c r="A162" t="s">
        <v>186</v>
      </c>
      <c r="C162" t="s">
        <v>203</v>
      </c>
      <c r="D162" s="1">
        <v>46048</v>
      </c>
      <c r="E162" t="s">
        <v>204</v>
      </c>
      <c r="F162">
        <v>9</v>
      </c>
      <c r="G162">
        <v>236</v>
      </c>
      <c r="H162" t="str">
        <f>VLOOKUP(G162,[1]OPERADORES!$A:$B,2,0)</f>
        <v>DANIEL</v>
      </c>
      <c r="I162" t="s">
        <v>21</v>
      </c>
      <c r="J162" t="s">
        <v>189</v>
      </c>
      <c r="K162" t="s">
        <v>190</v>
      </c>
      <c r="L162">
        <v>21077</v>
      </c>
      <c r="M162" t="s">
        <v>207</v>
      </c>
      <c r="O162" t="s">
        <v>11</v>
      </c>
      <c r="P162">
        <v>5102</v>
      </c>
      <c r="Q162">
        <v>1</v>
      </c>
      <c r="R162">
        <v>44.68</v>
      </c>
      <c r="S162">
        <v>44.68</v>
      </c>
      <c r="T162">
        <v>33.92</v>
      </c>
      <c r="U162">
        <v>24.08</v>
      </c>
      <c r="V162" t="str">
        <f>VLOOKUP(L162,'[2]tabela de preços'!$A:$D,4,0)</f>
        <v>SHERWIN WILLIAMS</v>
      </c>
      <c r="W162" t="str">
        <f>VLOOKUP(L162,'[2]tabela de preços'!$A:$F,6,0)</f>
        <v>MASSA POLIÉSTER</v>
      </c>
      <c r="X162" t="str">
        <f>VLOOKUP(L162,'[2]tabela de preços'!$A:$G,7,0)</f>
        <v>AUTOMOTIVO</v>
      </c>
    </row>
    <row r="163" spans="1:24" x14ac:dyDescent="0.3">
      <c r="A163" t="s">
        <v>186</v>
      </c>
      <c r="C163" t="s">
        <v>203</v>
      </c>
      <c r="D163" s="1">
        <v>46048</v>
      </c>
      <c r="E163" t="s">
        <v>204</v>
      </c>
      <c r="F163">
        <v>9</v>
      </c>
      <c r="G163">
        <v>236</v>
      </c>
      <c r="H163" t="str">
        <f>VLOOKUP(G163,[1]OPERADORES!$A:$B,2,0)</f>
        <v>DANIEL</v>
      </c>
      <c r="I163" t="s">
        <v>21</v>
      </c>
      <c r="J163" t="s">
        <v>189</v>
      </c>
      <c r="K163" t="s">
        <v>190</v>
      </c>
      <c r="L163">
        <v>23584</v>
      </c>
      <c r="M163" t="s">
        <v>196</v>
      </c>
      <c r="O163" t="s">
        <v>11</v>
      </c>
      <c r="P163">
        <v>5102</v>
      </c>
      <c r="Q163">
        <v>2</v>
      </c>
      <c r="R163">
        <v>23.04</v>
      </c>
      <c r="S163">
        <v>46.08</v>
      </c>
      <c r="T163">
        <v>34.979999999999997</v>
      </c>
      <c r="U163">
        <v>24.09</v>
      </c>
      <c r="V163" t="str">
        <f>VLOOKUP(L163,'[2]tabela de preços'!$A:$D,4,0)</f>
        <v>MAXI RUBBER</v>
      </c>
      <c r="W163" t="str">
        <f>VLOOKUP(L163,'[2]tabela de preços'!$A:$F,6,0)</f>
        <v>MASSA POLIÉSTER</v>
      </c>
      <c r="X163" t="str">
        <f>VLOOKUP(L163,'[2]tabela de preços'!$A:$G,7,0)</f>
        <v>AUTOMOTIVO</v>
      </c>
    </row>
    <row r="164" spans="1:24" x14ac:dyDescent="0.3">
      <c r="A164" t="s">
        <v>186</v>
      </c>
      <c r="C164" t="s">
        <v>203</v>
      </c>
      <c r="D164" s="1">
        <v>46048</v>
      </c>
      <c r="E164" t="s">
        <v>204</v>
      </c>
      <c r="F164">
        <v>9</v>
      </c>
      <c r="G164">
        <v>236</v>
      </c>
      <c r="H164" t="str">
        <f>VLOOKUP(G164,[1]OPERADORES!$A:$B,2,0)</f>
        <v>DANIEL</v>
      </c>
      <c r="I164" t="s">
        <v>21</v>
      </c>
      <c r="J164" t="s">
        <v>189</v>
      </c>
      <c r="K164" t="s">
        <v>190</v>
      </c>
      <c r="L164">
        <v>24247</v>
      </c>
      <c r="M164" t="s">
        <v>160</v>
      </c>
      <c r="O164" t="s">
        <v>11</v>
      </c>
      <c r="P164">
        <v>5403</v>
      </c>
      <c r="Q164">
        <v>3</v>
      </c>
      <c r="R164">
        <v>21</v>
      </c>
      <c r="S164">
        <v>63</v>
      </c>
      <c r="T164">
        <v>50.61</v>
      </c>
      <c r="U164">
        <v>19.670000000000002</v>
      </c>
      <c r="V164" t="str">
        <f>VLOOKUP(L164,'[2]tabela de preços'!$A:$D,4,0)</f>
        <v>SHERWIN WILLIAMS</v>
      </c>
      <c r="W164" t="str">
        <f>VLOOKUP(L164,'[2]tabela de preços'!$A:$F,6,0)</f>
        <v>PRIMER AUTOMOTIVO</v>
      </c>
      <c r="X164" t="str">
        <f>VLOOKUP(L164,'[2]tabela de preços'!$A:$G,7,0)</f>
        <v>AUTOMOTIVO</v>
      </c>
    </row>
    <row r="165" spans="1:24" x14ac:dyDescent="0.3">
      <c r="A165" t="s">
        <v>186</v>
      </c>
      <c r="C165" t="s">
        <v>203</v>
      </c>
      <c r="D165" s="1">
        <v>46048</v>
      </c>
      <c r="E165" t="s">
        <v>204</v>
      </c>
      <c r="F165">
        <v>9</v>
      </c>
      <c r="G165">
        <v>236</v>
      </c>
      <c r="H165" t="str">
        <f>VLOOKUP(G165,[1]OPERADORES!$A:$B,2,0)</f>
        <v>DANIEL</v>
      </c>
      <c r="I165" t="s">
        <v>21</v>
      </c>
      <c r="J165" t="s">
        <v>189</v>
      </c>
      <c r="K165" t="s">
        <v>190</v>
      </c>
      <c r="L165">
        <v>10297</v>
      </c>
      <c r="M165" t="s">
        <v>41</v>
      </c>
      <c r="O165" t="s">
        <v>11</v>
      </c>
      <c r="P165">
        <v>5102</v>
      </c>
      <c r="Q165">
        <v>12</v>
      </c>
      <c r="R165">
        <v>10.89</v>
      </c>
      <c r="S165">
        <v>130.68</v>
      </c>
      <c r="T165">
        <v>110.04</v>
      </c>
      <c r="U165">
        <v>15.79</v>
      </c>
      <c r="V165" t="str">
        <f>VLOOKUP(L165,'[2]tabela de preços'!$A:$D,4,0)</f>
        <v>ANJO</v>
      </c>
      <c r="W165" t="str">
        <f>VLOOKUP(L165,'[2]tabela de preços'!$A:$F,6,0)</f>
        <v>THINNER DE LIMPEZA</v>
      </c>
      <c r="X165" t="str">
        <f>VLOOKUP(L165,'[2]tabela de preços'!$A:$G,7,0)</f>
        <v>THINNER</v>
      </c>
    </row>
    <row r="166" spans="1:24" x14ac:dyDescent="0.3">
      <c r="A166" t="s">
        <v>208</v>
      </c>
      <c r="C166" t="s">
        <v>209</v>
      </c>
      <c r="D166" s="1">
        <v>46037</v>
      </c>
      <c r="E166" t="s">
        <v>210</v>
      </c>
      <c r="F166">
        <v>9</v>
      </c>
      <c r="G166">
        <v>236</v>
      </c>
      <c r="H166" t="str">
        <f>VLOOKUP(G166,[1]OPERADORES!$A:$B,2,0)</f>
        <v>DANIEL</v>
      </c>
      <c r="I166" t="s">
        <v>21</v>
      </c>
      <c r="J166" t="s">
        <v>211</v>
      </c>
      <c r="K166" t="s">
        <v>212</v>
      </c>
      <c r="L166">
        <v>23713</v>
      </c>
      <c r="M166" t="s">
        <v>192</v>
      </c>
      <c r="O166" t="s">
        <v>11</v>
      </c>
      <c r="P166">
        <v>5102</v>
      </c>
      <c r="Q166">
        <v>1</v>
      </c>
      <c r="R166">
        <v>42.14</v>
      </c>
      <c r="S166">
        <v>42.14</v>
      </c>
      <c r="T166">
        <v>30.9</v>
      </c>
      <c r="U166">
        <v>26.67</v>
      </c>
      <c r="V166" t="str">
        <f>VLOOKUP(L166,'[2]tabela de preços'!$A:$D,4,0)</f>
        <v>NEW PAD</v>
      </c>
      <c r="W166" t="str">
        <f>VLOOKUP(L166,'[2]tabela de preços'!$A:$F,6,0)</f>
        <v>BOINAS PARA POLIMENTO</v>
      </c>
      <c r="X166" t="str">
        <f>VLOOKUP(L166,'[2]tabela de preços'!$A:$G,7,0)</f>
        <v>AUTOMOTIVO</v>
      </c>
    </row>
    <row r="167" spans="1:24" x14ac:dyDescent="0.3">
      <c r="A167" t="s">
        <v>208</v>
      </c>
      <c r="C167" t="s">
        <v>209</v>
      </c>
      <c r="D167" s="1">
        <v>46037</v>
      </c>
      <c r="E167" t="s">
        <v>210</v>
      </c>
      <c r="F167">
        <v>9</v>
      </c>
      <c r="G167">
        <v>236</v>
      </c>
      <c r="H167" t="str">
        <f>VLOOKUP(G167,[1]OPERADORES!$A:$B,2,0)</f>
        <v>DANIEL</v>
      </c>
      <c r="I167" t="s">
        <v>21</v>
      </c>
      <c r="J167" t="s">
        <v>211</v>
      </c>
      <c r="K167" t="s">
        <v>212</v>
      </c>
      <c r="L167">
        <v>23714</v>
      </c>
      <c r="M167" t="s">
        <v>213</v>
      </c>
      <c r="O167" t="s">
        <v>11</v>
      </c>
      <c r="P167">
        <v>5102</v>
      </c>
      <c r="Q167">
        <v>1</v>
      </c>
      <c r="R167">
        <v>42.14</v>
      </c>
      <c r="S167">
        <v>42.14</v>
      </c>
      <c r="T167">
        <v>30.9</v>
      </c>
      <c r="U167">
        <v>26.67</v>
      </c>
      <c r="V167" t="str">
        <f>VLOOKUP(L167,'[2]tabela de preços'!$A:$D,4,0)</f>
        <v>NEW PAD</v>
      </c>
      <c r="W167" t="str">
        <f>VLOOKUP(L167,'[2]tabela de preços'!$A:$F,6,0)</f>
        <v>BOINAS PARA POLIMENTO</v>
      </c>
      <c r="X167" t="str">
        <f>VLOOKUP(L167,'[2]tabela de preços'!$A:$G,7,0)</f>
        <v>AUTOMOTIVO</v>
      </c>
    </row>
    <row r="168" spans="1:24" x14ac:dyDescent="0.3">
      <c r="A168" t="s">
        <v>208</v>
      </c>
      <c r="C168" t="s">
        <v>209</v>
      </c>
      <c r="D168" s="1">
        <v>46037</v>
      </c>
      <c r="E168" t="s">
        <v>210</v>
      </c>
      <c r="F168">
        <v>9</v>
      </c>
      <c r="G168">
        <v>236</v>
      </c>
      <c r="H168" t="str">
        <f>VLOOKUP(G168,[1]OPERADORES!$A:$B,2,0)</f>
        <v>DANIEL</v>
      </c>
      <c r="I168" t="s">
        <v>21</v>
      </c>
      <c r="J168" t="s">
        <v>211</v>
      </c>
      <c r="K168" t="s">
        <v>212</v>
      </c>
      <c r="L168">
        <v>84959</v>
      </c>
      <c r="M168" t="s">
        <v>214</v>
      </c>
      <c r="O168" t="s">
        <v>11</v>
      </c>
      <c r="P168">
        <v>5403</v>
      </c>
      <c r="Q168">
        <v>1</v>
      </c>
      <c r="R168">
        <v>19.25</v>
      </c>
      <c r="S168">
        <v>19.25</v>
      </c>
      <c r="T168">
        <v>14.12</v>
      </c>
      <c r="U168">
        <v>26.65</v>
      </c>
      <c r="V168" t="str">
        <f>VLOOKUP(L168,'[2]tabela de preços'!$A:$D,4,0)</f>
        <v>BRASILUX</v>
      </c>
      <c r="W168" t="str">
        <f>VLOOKUP(L168,'[2]tabela de preços'!$A:$F,6,0)</f>
        <v>BATIDA DE PEDRA</v>
      </c>
      <c r="X168" t="str">
        <f>VLOOKUP(L168,'[2]tabela de preços'!$A:$G,7,0)</f>
        <v>AUTOMOTIVO</v>
      </c>
    </row>
    <row r="169" spans="1:24" x14ac:dyDescent="0.3">
      <c r="A169" t="s">
        <v>208</v>
      </c>
      <c r="C169" t="s">
        <v>209</v>
      </c>
      <c r="D169" s="1">
        <v>46037</v>
      </c>
      <c r="E169" t="s">
        <v>210</v>
      </c>
      <c r="F169">
        <v>9</v>
      </c>
      <c r="G169">
        <v>236</v>
      </c>
      <c r="H169" t="str">
        <f>VLOOKUP(G169,[1]OPERADORES!$A:$B,2,0)</f>
        <v>DANIEL</v>
      </c>
      <c r="I169" t="s">
        <v>21</v>
      </c>
      <c r="J169" t="s">
        <v>211</v>
      </c>
      <c r="K169" t="s">
        <v>212</v>
      </c>
      <c r="L169">
        <v>84108</v>
      </c>
      <c r="M169" t="s">
        <v>144</v>
      </c>
      <c r="O169" t="s">
        <v>11</v>
      </c>
      <c r="P169">
        <v>5403</v>
      </c>
      <c r="Q169">
        <v>1</v>
      </c>
      <c r="R169">
        <v>28.25</v>
      </c>
      <c r="S169">
        <v>28.25</v>
      </c>
      <c r="T169">
        <v>20.71</v>
      </c>
      <c r="U169">
        <v>26.69</v>
      </c>
      <c r="V169" t="str">
        <f>VLOOKUP(L169,'[2]tabela de preços'!$A:$D,4,0)</f>
        <v>BRASILUX</v>
      </c>
      <c r="W169" t="str">
        <f>VLOOKUP(L169,'[2]tabela de preços'!$A:$F,6,0)</f>
        <v>TINTAS LACA</v>
      </c>
      <c r="X169" t="str">
        <f>VLOOKUP(L169,'[2]tabela de preços'!$A:$G,7,0)</f>
        <v>AUTOMOTIVO</v>
      </c>
    </row>
    <row r="170" spans="1:24" x14ac:dyDescent="0.3">
      <c r="A170" t="s">
        <v>208</v>
      </c>
      <c r="C170" t="s">
        <v>209</v>
      </c>
      <c r="D170" s="1">
        <v>46037</v>
      </c>
      <c r="E170" t="s">
        <v>210</v>
      </c>
      <c r="F170">
        <v>9</v>
      </c>
      <c r="G170">
        <v>236</v>
      </c>
      <c r="H170" t="str">
        <f>VLOOKUP(G170,[1]OPERADORES!$A:$B,2,0)</f>
        <v>DANIEL</v>
      </c>
      <c r="I170" t="s">
        <v>21</v>
      </c>
      <c r="J170" t="s">
        <v>211</v>
      </c>
      <c r="K170" t="s">
        <v>212</v>
      </c>
      <c r="L170">
        <v>23580</v>
      </c>
      <c r="M170" t="s">
        <v>115</v>
      </c>
      <c r="O170" t="s">
        <v>11</v>
      </c>
      <c r="P170">
        <v>5102</v>
      </c>
      <c r="Q170">
        <v>100</v>
      </c>
      <c r="R170">
        <v>0.56000000000000005</v>
      </c>
      <c r="S170">
        <v>56</v>
      </c>
      <c r="T170">
        <v>36</v>
      </c>
      <c r="U170">
        <v>35.71</v>
      </c>
      <c r="V170" t="str">
        <f>VLOOKUP(L170,'[2]tabela de preços'!$A:$D,4,0)</f>
        <v>RENOVA COADORES</v>
      </c>
      <c r="W170" t="str">
        <f>VLOOKUP(L170,'[2]tabela de preços'!$A:$F,6,0)</f>
        <v>COADORES</v>
      </c>
      <c r="X170" t="str">
        <f>VLOOKUP(L170,'[2]tabela de preços'!$A:$G,7,0)</f>
        <v>AUTOMOTIVO</v>
      </c>
    </row>
    <row r="171" spans="1:24" x14ac:dyDescent="0.3">
      <c r="A171" t="s">
        <v>208</v>
      </c>
      <c r="C171" t="s">
        <v>209</v>
      </c>
      <c r="D171" s="1">
        <v>46037</v>
      </c>
      <c r="E171" t="s">
        <v>210</v>
      </c>
      <c r="F171">
        <v>9</v>
      </c>
      <c r="G171">
        <v>236</v>
      </c>
      <c r="H171" t="str">
        <f>VLOOKUP(G171,[1]OPERADORES!$A:$B,2,0)</f>
        <v>DANIEL</v>
      </c>
      <c r="I171" t="s">
        <v>21</v>
      </c>
      <c r="J171" t="s">
        <v>211</v>
      </c>
      <c r="K171" t="s">
        <v>212</v>
      </c>
      <c r="L171">
        <v>24248</v>
      </c>
      <c r="M171" t="s">
        <v>107</v>
      </c>
      <c r="O171" t="s">
        <v>11</v>
      </c>
      <c r="P171">
        <v>5102</v>
      </c>
      <c r="Q171">
        <v>5</v>
      </c>
      <c r="R171">
        <v>8</v>
      </c>
      <c r="S171">
        <v>40</v>
      </c>
      <c r="T171">
        <v>32.049999999999997</v>
      </c>
      <c r="U171">
        <v>19.88</v>
      </c>
      <c r="V171" t="str">
        <f>VLOOKUP(L171,'[2]tabela de preços'!$A:$D,4,0)</f>
        <v>SHERWIN WILLIAMS</v>
      </c>
      <c r="W171" t="str">
        <f>VLOOKUP(L171,'[2]tabela de preços'!$A:$F,6,0)</f>
        <v>PRIMER AUTOMOTIVO</v>
      </c>
      <c r="X171" t="str">
        <f>VLOOKUP(L171,'[2]tabela de preços'!$A:$G,7,0)</f>
        <v>AUTOMOTIVO</v>
      </c>
    </row>
    <row r="172" spans="1:24" x14ac:dyDescent="0.3">
      <c r="A172" t="s">
        <v>208</v>
      </c>
      <c r="C172" t="s">
        <v>209</v>
      </c>
      <c r="D172" s="1">
        <v>46037</v>
      </c>
      <c r="E172" t="s">
        <v>210</v>
      </c>
      <c r="F172">
        <v>9</v>
      </c>
      <c r="G172">
        <v>236</v>
      </c>
      <c r="H172" t="str">
        <f>VLOOKUP(G172,[1]OPERADORES!$A:$B,2,0)</f>
        <v>DANIEL</v>
      </c>
      <c r="I172" t="s">
        <v>21</v>
      </c>
      <c r="J172" t="s">
        <v>211</v>
      </c>
      <c r="K172" t="s">
        <v>212</v>
      </c>
      <c r="L172">
        <v>23602</v>
      </c>
      <c r="M172" t="s">
        <v>215</v>
      </c>
      <c r="O172" t="s">
        <v>11</v>
      </c>
      <c r="P172">
        <v>5403</v>
      </c>
      <c r="Q172">
        <v>9</v>
      </c>
      <c r="R172">
        <v>35.89</v>
      </c>
      <c r="S172">
        <v>323.01</v>
      </c>
      <c r="T172">
        <v>263.25</v>
      </c>
      <c r="U172">
        <v>18.5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208</v>
      </c>
      <c r="C173" t="s">
        <v>209</v>
      </c>
      <c r="D173" s="1">
        <v>46037</v>
      </c>
      <c r="E173" t="s">
        <v>210</v>
      </c>
      <c r="F173">
        <v>9</v>
      </c>
      <c r="G173">
        <v>236</v>
      </c>
      <c r="H173" t="str">
        <f>VLOOKUP(G173,[1]OPERADORES!$A:$B,2,0)</f>
        <v>DANIEL</v>
      </c>
      <c r="I173" t="s">
        <v>21</v>
      </c>
      <c r="J173" t="s">
        <v>211</v>
      </c>
      <c r="K173" t="s">
        <v>212</v>
      </c>
      <c r="L173">
        <v>20327</v>
      </c>
      <c r="M173" t="s">
        <v>216</v>
      </c>
      <c r="O173" t="s">
        <v>11</v>
      </c>
      <c r="P173">
        <v>5102</v>
      </c>
      <c r="Q173">
        <v>3</v>
      </c>
      <c r="R173">
        <v>34.29</v>
      </c>
      <c r="S173">
        <v>102.87</v>
      </c>
      <c r="T173">
        <v>70.86</v>
      </c>
      <c r="U173">
        <v>31.12</v>
      </c>
      <c r="V173" t="str">
        <f>VLOOKUP(L173,'[2]tabela de preços'!$A:$D,4,0)</f>
        <v>SHERWIN WILLIAMS</v>
      </c>
      <c r="W173" t="str">
        <f>VLOOKUP(L173,'[2]tabela de preços'!$A:$F,6,0)</f>
        <v>TINTAS PU</v>
      </c>
      <c r="X173" t="str">
        <f>VLOOKUP(L173,'[2]tabela de preços'!$A:$G,7,0)</f>
        <v>AUTOMOTIVO</v>
      </c>
    </row>
    <row r="174" spans="1:24" x14ac:dyDescent="0.3">
      <c r="A174" t="s">
        <v>208</v>
      </c>
      <c r="C174" t="s">
        <v>209</v>
      </c>
      <c r="D174" s="1">
        <v>46037</v>
      </c>
      <c r="E174" t="s">
        <v>210</v>
      </c>
      <c r="F174">
        <v>9</v>
      </c>
      <c r="G174">
        <v>236</v>
      </c>
      <c r="H174" t="str">
        <f>VLOOKUP(G174,[1]OPERADORES!$A:$B,2,0)</f>
        <v>DANIEL</v>
      </c>
      <c r="I174" t="s">
        <v>21</v>
      </c>
      <c r="J174" t="s">
        <v>211</v>
      </c>
      <c r="K174" t="s">
        <v>212</v>
      </c>
      <c r="L174">
        <v>10243</v>
      </c>
      <c r="M174" t="s">
        <v>83</v>
      </c>
      <c r="O174" t="s">
        <v>11</v>
      </c>
      <c r="P174">
        <v>5102</v>
      </c>
      <c r="Q174">
        <v>50</v>
      </c>
      <c r="R174">
        <v>2.79</v>
      </c>
      <c r="S174">
        <v>139.5</v>
      </c>
      <c r="T174">
        <v>96.5</v>
      </c>
      <c r="U174">
        <v>30.82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208</v>
      </c>
      <c r="C175" t="s">
        <v>209</v>
      </c>
      <c r="D175" s="1">
        <v>46037</v>
      </c>
      <c r="E175" t="s">
        <v>210</v>
      </c>
      <c r="F175">
        <v>9</v>
      </c>
      <c r="G175">
        <v>236</v>
      </c>
      <c r="H175" t="str">
        <f>VLOOKUP(G175,[1]OPERADORES!$A:$B,2,0)</f>
        <v>DANIEL</v>
      </c>
      <c r="I175" t="s">
        <v>21</v>
      </c>
      <c r="J175" t="s">
        <v>211</v>
      </c>
      <c r="K175" t="s">
        <v>212</v>
      </c>
      <c r="L175">
        <v>10246</v>
      </c>
      <c r="M175" t="s">
        <v>206</v>
      </c>
      <c r="O175" t="s">
        <v>11</v>
      </c>
      <c r="P175">
        <v>5102</v>
      </c>
      <c r="Q175">
        <v>50</v>
      </c>
      <c r="R175">
        <v>2.79</v>
      </c>
      <c r="S175">
        <v>139.5</v>
      </c>
      <c r="T175">
        <v>96.5</v>
      </c>
      <c r="U175">
        <v>30.82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208</v>
      </c>
      <c r="C176" t="s">
        <v>209</v>
      </c>
      <c r="D176" s="1">
        <v>46037</v>
      </c>
      <c r="E176" t="s">
        <v>210</v>
      </c>
      <c r="F176">
        <v>9</v>
      </c>
      <c r="G176">
        <v>236</v>
      </c>
      <c r="H176" t="str">
        <f>VLOOKUP(G176,[1]OPERADORES!$A:$B,2,0)</f>
        <v>DANIEL</v>
      </c>
      <c r="I176" t="s">
        <v>21</v>
      </c>
      <c r="J176" t="s">
        <v>211</v>
      </c>
      <c r="K176" t="s">
        <v>212</v>
      </c>
      <c r="L176">
        <v>87043</v>
      </c>
      <c r="M176" t="s">
        <v>217</v>
      </c>
      <c r="O176" t="s">
        <v>11</v>
      </c>
      <c r="P176">
        <v>5102</v>
      </c>
      <c r="Q176">
        <v>8</v>
      </c>
      <c r="R176">
        <v>21.95</v>
      </c>
      <c r="S176">
        <v>175.6</v>
      </c>
      <c r="T176">
        <v>144.16</v>
      </c>
      <c r="U176">
        <v>17.899999999999999</v>
      </c>
      <c r="V176" t="str">
        <f>VLOOKUP(L176,'[2]tabela de preços'!$A:$D,4,0)</f>
        <v>ROBERLO</v>
      </c>
      <c r="W176" t="str">
        <f>VLOOKUP(L176,'[2]tabela de preços'!$A:$F,6,0)</f>
        <v>MASSA POLIÉSTER</v>
      </c>
      <c r="X176" t="str">
        <f>VLOOKUP(L176,'[2]tabela de preços'!$A:$G,7,0)</f>
        <v>AUTOMOTIVO</v>
      </c>
    </row>
    <row r="177" spans="1:24" x14ac:dyDescent="0.3">
      <c r="A177" t="s">
        <v>208</v>
      </c>
      <c r="C177" t="s">
        <v>209</v>
      </c>
      <c r="D177" s="1">
        <v>46037</v>
      </c>
      <c r="E177" t="s">
        <v>210</v>
      </c>
      <c r="F177">
        <v>9</v>
      </c>
      <c r="G177">
        <v>236</v>
      </c>
      <c r="H177" t="str">
        <f>VLOOKUP(G177,[1]OPERADORES!$A:$B,2,0)</f>
        <v>DANIEL</v>
      </c>
      <c r="I177" t="s">
        <v>21</v>
      </c>
      <c r="J177" t="s">
        <v>211</v>
      </c>
      <c r="K177" t="s">
        <v>212</v>
      </c>
      <c r="L177">
        <v>24247</v>
      </c>
      <c r="M177" t="s">
        <v>111</v>
      </c>
      <c r="O177" t="s">
        <v>11</v>
      </c>
      <c r="P177">
        <v>5403</v>
      </c>
      <c r="Q177">
        <v>5</v>
      </c>
      <c r="R177">
        <v>21</v>
      </c>
      <c r="S177">
        <v>105</v>
      </c>
      <c r="T177">
        <v>83</v>
      </c>
      <c r="U177">
        <v>20.95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208</v>
      </c>
      <c r="C178" t="s">
        <v>209</v>
      </c>
      <c r="D178" s="1">
        <v>46037</v>
      </c>
      <c r="E178" t="s">
        <v>210</v>
      </c>
      <c r="F178">
        <v>9</v>
      </c>
      <c r="G178">
        <v>236</v>
      </c>
      <c r="H178" t="str">
        <f>VLOOKUP(G178,[1]OPERADORES!$A:$B,2,0)</f>
        <v>DANIEL</v>
      </c>
      <c r="I178" t="s">
        <v>21</v>
      </c>
      <c r="J178" t="s">
        <v>211</v>
      </c>
      <c r="K178" t="s">
        <v>212</v>
      </c>
      <c r="L178">
        <v>10298</v>
      </c>
      <c r="M178" t="s">
        <v>85</v>
      </c>
      <c r="O178" t="s">
        <v>11</v>
      </c>
      <c r="P178">
        <v>5102</v>
      </c>
      <c r="Q178">
        <v>1</v>
      </c>
      <c r="R178">
        <v>56.89</v>
      </c>
      <c r="S178">
        <v>56.89</v>
      </c>
      <c r="T178">
        <v>47.38</v>
      </c>
      <c r="U178">
        <v>16.72</v>
      </c>
      <c r="V178" t="str">
        <f>VLOOKUP(L178,'[2]tabela de preços'!$A:$D,4,0)</f>
        <v>ANJO</v>
      </c>
      <c r="W178" t="str">
        <f>VLOOKUP(L178,'[2]tabela de preços'!$A:$F,6,0)</f>
        <v>THINNER DE LIMPEZA</v>
      </c>
      <c r="X178" t="str">
        <f>VLOOKUP(L178,'[2]tabela de preços'!$A:$G,7,0)</f>
        <v>THINNER</v>
      </c>
    </row>
    <row r="179" spans="1:24" x14ac:dyDescent="0.3">
      <c r="A179" t="s">
        <v>208</v>
      </c>
      <c r="C179" t="s">
        <v>218</v>
      </c>
      <c r="D179" s="1">
        <v>46038</v>
      </c>
      <c r="E179" t="s">
        <v>219</v>
      </c>
      <c r="F179">
        <v>9</v>
      </c>
      <c r="G179">
        <v>236</v>
      </c>
      <c r="H179" t="str">
        <f>VLOOKUP(G179,[1]OPERADORES!$A:$B,2,0)</f>
        <v>DANIEL</v>
      </c>
      <c r="I179" t="s">
        <v>21</v>
      </c>
      <c r="J179" t="s">
        <v>211</v>
      </c>
      <c r="K179" t="s">
        <v>212</v>
      </c>
      <c r="L179">
        <v>23716</v>
      </c>
      <c r="M179" t="s">
        <v>220</v>
      </c>
      <c r="O179" t="s">
        <v>11</v>
      </c>
      <c r="P179">
        <v>5102</v>
      </c>
      <c r="Q179">
        <v>1</v>
      </c>
      <c r="R179">
        <v>43.1</v>
      </c>
      <c r="S179">
        <v>43.1</v>
      </c>
      <c r="T179">
        <v>30.9</v>
      </c>
      <c r="U179">
        <v>28.31</v>
      </c>
      <c r="V179" t="str">
        <f>VLOOKUP(L179,'[2]tabela de preços'!$A:$D,4,0)</f>
        <v>NEW PAD</v>
      </c>
      <c r="W179" t="str">
        <f>VLOOKUP(L179,'[2]tabela de preços'!$A:$F,6,0)</f>
        <v>BOINAS PARA POLIMENTO</v>
      </c>
      <c r="X179" t="str">
        <f>VLOOKUP(L179,'[2]tabela de preços'!$A:$G,7,0)</f>
        <v>AUTOMOTIVO</v>
      </c>
    </row>
    <row r="180" spans="1:24" x14ac:dyDescent="0.3">
      <c r="A180" t="s">
        <v>208</v>
      </c>
      <c r="C180" t="s">
        <v>218</v>
      </c>
      <c r="D180" s="1">
        <v>46038</v>
      </c>
      <c r="E180" t="s">
        <v>219</v>
      </c>
      <c r="F180">
        <v>9</v>
      </c>
      <c r="G180">
        <v>236</v>
      </c>
      <c r="H180" t="str">
        <f>VLOOKUP(G180,[1]OPERADORES!$A:$B,2,0)</f>
        <v>DANIEL</v>
      </c>
      <c r="I180" t="s">
        <v>21</v>
      </c>
      <c r="J180" t="s">
        <v>211</v>
      </c>
      <c r="K180" t="s">
        <v>212</v>
      </c>
      <c r="L180">
        <v>24248</v>
      </c>
      <c r="M180" t="s">
        <v>107</v>
      </c>
      <c r="O180" t="s">
        <v>11</v>
      </c>
      <c r="P180">
        <v>5102</v>
      </c>
      <c r="Q180">
        <v>1</v>
      </c>
      <c r="R180">
        <v>8</v>
      </c>
      <c r="S180">
        <v>8</v>
      </c>
      <c r="T180">
        <v>6.41</v>
      </c>
      <c r="U180">
        <v>19.88</v>
      </c>
      <c r="V180" t="str">
        <f>VLOOKUP(L180,'[2]tabela de preços'!$A:$D,4,0)</f>
        <v>SHERWIN WILLIAMS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208</v>
      </c>
      <c r="C181" t="s">
        <v>218</v>
      </c>
      <c r="D181" s="1">
        <v>46038</v>
      </c>
      <c r="E181" t="s">
        <v>221</v>
      </c>
      <c r="F181">
        <v>9</v>
      </c>
      <c r="G181">
        <v>236</v>
      </c>
      <c r="H181" t="str">
        <f>VLOOKUP(G181,[1]OPERADORES!$A:$B,2,0)</f>
        <v>DANIEL</v>
      </c>
      <c r="I181" t="s">
        <v>21</v>
      </c>
      <c r="J181" t="s">
        <v>211</v>
      </c>
      <c r="K181" t="s">
        <v>212</v>
      </c>
      <c r="L181">
        <v>23602</v>
      </c>
      <c r="M181" t="s">
        <v>215</v>
      </c>
      <c r="O181" t="s">
        <v>11</v>
      </c>
      <c r="P181">
        <v>5403</v>
      </c>
      <c r="Q181">
        <v>1</v>
      </c>
      <c r="R181">
        <v>35.89</v>
      </c>
      <c r="S181">
        <v>35.89</v>
      </c>
      <c r="T181">
        <v>29.25</v>
      </c>
      <c r="U181">
        <v>18.5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208</v>
      </c>
      <c r="C182" t="s">
        <v>218</v>
      </c>
      <c r="D182" s="1">
        <v>46038</v>
      </c>
      <c r="E182" t="s">
        <v>219</v>
      </c>
      <c r="F182">
        <v>9</v>
      </c>
      <c r="G182">
        <v>236</v>
      </c>
      <c r="H182" t="str">
        <f>VLOOKUP(G182,[1]OPERADORES!$A:$B,2,0)</f>
        <v>DANIEL</v>
      </c>
      <c r="I182" t="s">
        <v>21</v>
      </c>
      <c r="J182" t="s">
        <v>211</v>
      </c>
      <c r="K182" t="s">
        <v>212</v>
      </c>
      <c r="L182">
        <v>84047</v>
      </c>
      <c r="M182" t="s">
        <v>222</v>
      </c>
      <c r="O182" t="s">
        <v>11</v>
      </c>
      <c r="P182">
        <v>5102</v>
      </c>
      <c r="Q182">
        <v>1</v>
      </c>
      <c r="R182">
        <v>20.86</v>
      </c>
      <c r="S182">
        <v>20.86</v>
      </c>
      <c r="T182">
        <v>15.3</v>
      </c>
      <c r="U182">
        <v>26.65</v>
      </c>
      <c r="V182" t="str">
        <f>VLOOKUP(L182,'[2]tabela de preços'!$A:$D,4,0)</f>
        <v>BRASILUX</v>
      </c>
      <c r="W182" t="str">
        <f>VLOOKUP(L182,'[2]tabela de preços'!$A:$F,6,0)</f>
        <v>MASSA DE POLIR</v>
      </c>
      <c r="X182" t="str">
        <f>VLOOKUP(L182,'[2]tabela de preços'!$A:$G,7,0)</f>
        <v>AUTOMOTIVO</v>
      </c>
    </row>
    <row r="183" spans="1:24" x14ac:dyDescent="0.3">
      <c r="A183" t="s">
        <v>208</v>
      </c>
      <c r="C183" t="s">
        <v>218</v>
      </c>
      <c r="D183" s="1">
        <v>46038</v>
      </c>
      <c r="E183" t="s">
        <v>219</v>
      </c>
      <c r="F183">
        <v>9</v>
      </c>
      <c r="G183">
        <v>236</v>
      </c>
      <c r="H183" t="str">
        <f>VLOOKUP(G183,[1]OPERADORES!$A:$B,2,0)</f>
        <v>DANIEL</v>
      </c>
      <c r="I183" t="s">
        <v>21</v>
      </c>
      <c r="J183" t="s">
        <v>211</v>
      </c>
      <c r="K183" t="s">
        <v>212</v>
      </c>
      <c r="L183">
        <v>24247</v>
      </c>
      <c r="M183" t="s">
        <v>111</v>
      </c>
      <c r="O183" t="s">
        <v>11</v>
      </c>
      <c r="P183">
        <v>5403</v>
      </c>
      <c r="Q183">
        <v>1</v>
      </c>
      <c r="R183">
        <v>21</v>
      </c>
      <c r="S183">
        <v>21</v>
      </c>
      <c r="T183">
        <v>16.600000000000001</v>
      </c>
      <c r="U183">
        <v>20.95</v>
      </c>
      <c r="V183" t="str">
        <f>VLOOKUP(L183,'[2]tabela de preços'!$A:$D,4,0)</f>
        <v>SHERWIN WILLIAMS</v>
      </c>
      <c r="W183" t="str">
        <f>VLOOKUP(L183,'[2]tabela de preços'!$A:$F,6,0)</f>
        <v>PRIMER AUTOMOTIVO</v>
      </c>
      <c r="X183" t="str">
        <f>VLOOKUP(L183,'[2]tabela de preços'!$A:$G,7,0)</f>
        <v>AUTOMOTIVO</v>
      </c>
    </row>
    <row r="184" spans="1:24" x14ac:dyDescent="0.3">
      <c r="A184" t="s">
        <v>208</v>
      </c>
      <c r="C184" t="s">
        <v>223</v>
      </c>
      <c r="D184" s="1">
        <v>46042</v>
      </c>
      <c r="E184" t="s">
        <v>224</v>
      </c>
      <c r="F184">
        <v>9</v>
      </c>
      <c r="G184">
        <v>236</v>
      </c>
      <c r="H184" t="str">
        <f>VLOOKUP(G184,[1]OPERADORES!$A:$B,2,0)</f>
        <v>DANIEL</v>
      </c>
      <c r="I184" t="s">
        <v>21</v>
      </c>
      <c r="J184" t="s">
        <v>211</v>
      </c>
      <c r="K184" t="s">
        <v>212</v>
      </c>
      <c r="L184">
        <v>24248</v>
      </c>
      <c r="M184" t="s">
        <v>107</v>
      </c>
      <c r="O184" t="s">
        <v>11</v>
      </c>
      <c r="P184">
        <v>5102</v>
      </c>
      <c r="Q184">
        <v>2</v>
      </c>
      <c r="R184">
        <v>8</v>
      </c>
      <c r="S184">
        <v>16</v>
      </c>
      <c r="T184">
        <v>13</v>
      </c>
      <c r="U184">
        <v>18.75</v>
      </c>
      <c r="V184" t="str">
        <f>VLOOKUP(L184,'[2]tabela de preços'!$A:$D,4,0)</f>
        <v>SHERWIN WILLIAMS</v>
      </c>
      <c r="W184" t="str">
        <f>VLOOKUP(L184,'[2]tabela de preços'!$A:$F,6,0)</f>
        <v>PRIMER AUTOMOTIVO</v>
      </c>
      <c r="X184" t="str">
        <f>VLOOKUP(L184,'[2]tabela de preços'!$A:$G,7,0)</f>
        <v>AUTOMOTIVO</v>
      </c>
    </row>
    <row r="185" spans="1:24" x14ac:dyDescent="0.3">
      <c r="A185" t="s">
        <v>208</v>
      </c>
      <c r="C185" t="s">
        <v>223</v>
      </c>
      <c r="D185" s="1">
        <v>46042</v>
      </c>
      <c r="E185" t="s">
        <v>225</v>
      </c>
      <c r="F185">
        <v>9</v>
      </c>
      <c r="G185">
        <v>236</v>
      </c>
      <c r="H185" t="str">
        <f>VLOOKUP(G185,[1]OPERADORES!$A:$B,2,0)</f>
        <v>DANIEL</v>
      </c>
      <c r="I185" t="s">
        <v>21</v>
      </c>
      <c r="J185" t="s">
        <v>211</v>
      </c>
      <c r="K185" t="s">
        <v>212</v>
      </c>
      <c r="L185">
        <v>22684</v>
      </c>
      <c r="M185" t="s">
        <v>73</v>
      </c>
      <c r="O185" t="s">
        <v>11</v>
      </c>
      <c r="P185">
        <v>5102</v>
      </c>
      <c r="Q185">
        <v>6</v>
      </c>
      <c r="R185">
        <v>3.65</v>
      </c>
      <c r="S185">
        <v>21.9</v>
      </c>
      <c r="T185">
        <v>18.48</v>
      </c>
      <c r="U185">
        <v>15.62</v>
      </c>
      <c r="V185" t="str">
        <f>VLOOKUP(L185,'[2]tabela de preços'!$A:$D,4,0)</f>
        <v>3M</v>
      </c>
      <c r="W185" t="str">
        <f>VLOOKUP(L185,'[2]tabela de preços'!$A:$F,6,0)</f>
        <v>FITA AUTOMOTIVA</v>
      </c>
      <c r="X185" t="str">
        <f>VLOOKUP(L185,'[2]tabela de preços'!$A:$G,7,0)</f>
        <v>AUTOMOTIVO</v>
      </c>
    </row>
    <row r="186" spans="1:24" x14ac:dyDescent="0.3">
      <c r="A186" t="s">
        <v>208</v>
      </c>
      <c r="C186" t="s">
        <v>223</v>
      </c>
      <c r="D186" s="1">
        <v>46042</v>
      </c>
      <c r="E186" t="s">
        <v>225</v>
      </c>
      <c r="F186">
        <v>9</v>
      </c>
      <c r="G186">
        <v>236</v>
      </c>
      <c r="H186" t="str">
        <f>VLOOKUP(G186,[1]OPERADORES!$A:$B,2,0)</f>
        <v>DANIEL</v>
      </c>
      <c r="I186" t="s">
        <v>21</v>
      </c>
      <c r="J186" t="s">
        <v>211</v>
      </c>
      <c r="K186" t="s">
        <v>212</v>
      </c>
      <c r="L186">
        <v>22188</v>
      </c>
      <c r="M186" t="s">
        <v>78</v>
      </c>
      <c r="O186" t="s">
        <v>11</v>
      </c>
      <c r="P186">
        <v>5102</v>
      </c>
      <c r="Q186">
        <v>1</v>
      </c>
      <c r="R186">
        <v>14.35</v>
      </c>
      <c r="S186">
        <v>14.35</v>
      </c>
      <c r="T186">
        <v>10.89</v>
      </c>
      <c r="U186">
        <v>24.11</v>
      </c>
      <c r="V186" t="str">
        <f>VLOOKUP(L186,'[2]tabela de preços'!$A:$D,4,0)</f>
        <v>3M</v>
      </c>
      <c r="W186" t="str">
        <f>VLOOKUP(L186,'[2]tabela de preços'!$A:$F,6,0)</f>
        <v>FITA AUTOMOTIVA</v>
      </c>
      <c r="X186" t="str">
        <f>VLOOKUP(L186,'[2]tabela de preços'!$A:$G,7,0)</f>
        <v>AUTOMOTIVO</v>
      </c>
    </row>
    <row r="187" spans="1:24" x14ac:dyDescent="0.3">
      <c r="A187" t="s">
        <v>208</v>
      </c>
      <c r="C187" t="s">
        <v>223</v>
      </c>
      <c r="D187" s="1">
        <v>46042</v>
      </c>
      <c r="E187" t="s">
        <v>224</v>
      </c>
      <c r="F187">
        <v>9</v>
      </c>
      <c r="G187">
        <v>236</v>
      </c>
      <c r="H187" t="str">
        <f>VLOOKUP(G187,[1]OPERADORES!$A:$B,2,0)</f>
        <v>DANIEL</v>
      </c>
      <c r="I187" t="s">
        <v>21</v>
      </c>
      <c r="J187" t="s">
        <v>211</v>
      </c>
      <c r="K187" t="s">
        <v>212</v>
      </c>
      <c r="L187">
        <v>10277</v>
      </c>
      <c r="M187" t="s">
        <v>135</v>
      </c>
      <c r="O187" t="s">
        <v>11</v>
      </c>
      <c r="P187">
        <v>5102</v>
      </c>
      <c r="Q187">
        <v>4</v>
      </c>
      <c r="R187">
        <v>15.89</v>
      </c>
      <c r="S187">
        <v>63.56</v>
      </c>
      <c r="T187">
        <v>51.52</v>
      </c>
      <c r="U187">
        <v>18.940000000000001</v>
      </c>
      <c r="V187" t="str">
        <f>VLOOKUP(L187,'[2]tabela de preços'!$A:$D,4,0)</f>
        <v>RETOQUE</v>
      </c>
      <c r="W187" t="str">
        <f>VLOOKUP(L187,'[2]tabela de preços'!$A:$F,6,0)</f>
        <v xml:space="preserve">COLA  PLÁSTICA </v>
      </c>
      <c r="X187" t="str">
        <f>VLOOKUP(L187,'[2]tabela de preços'!$A:$G,7,0)</f>
        <v>AUTOMOTIVO</v>
      </c>
    </row>
    <row r="188" spans="1:24" x14ac:dyDescent="0.3">
      <c r="A188" t="s">
        <v>208</v>
      </c>
      <c r="C188" t="s">
        <v>223</v>
      </c>
      <c r="D188" s="1">
        <v>46042</v>
      </c>
      <c r="E188" t="s">
        <v>224</v>
      </c>
      <c r="F188">
        <v>9</v>
      </c>
      <c r="G188">
        <v>236</v>
      </c>
      <c r="H188" t="str">
        <f>VLOOKUP(G188,[1]OPERADORES!$A:$B,2,0)</f>
        <v>DANIEL</v>
      </c>
      <c r="I188" t="s">
        <v>21</v>
      </c>
      <c r="J188" t="s">
        <v>211</v>
      </c>
      <c r="K188" t="s">
        <v>212</v>
      </c>
      <c r="L188">
        <v>23602</v>
      </c>
      <c r="M188" t="s">
        <v>215</v>
      </c>
      <c r="O188" t="s">
        <v>11</v>
      </c>
      <c r="P188">
        <v>5403</v>
      </c>
      <c r="Q188">
        <v>3</v>
      </c>
      <c r="R188">
        <v>35.89</v>
      </c>
      <c r="S188">
        <v>107.67</v>
      </c>
      <c r="T188">
        <v>87.75</v>
      </c>
      <c r="U188">
        <v>18.5</v>
      </c>
      <c r="V188" t="str">
        <f>VLOOKUP(L188,'[2]tabela de preços'!$A:$D,4,0)</f>
        <v>SHERWIN WILLIAMS</v>
      </c>
      <c r="W188" t="str">
        <f>VLOOKUP(L188,'[2]tabela de preços'!$A:$F,6,0)</f>
        <v>VERNIZ AUTOMOTIVO</v>
      </c>
      <c r="X188" t="str">
        <f>VLOOKUP(L188,'[2]tabela de preços'!$A:$G,7,0)</f>
        <v>AUTOMOTIVO</v>
      </c>
    </row>
    <row r="189" spans="1:24" x14ac:dyDescent="0.3">
      <c r="A189" t="s">
        <v>208</v>
      </c>
      <c r="C189" t="s">
        <v>223</v>
      </c>
      <c r="D189" s="1">
        <v>46042</v>
      </c>
      <c r="E189" t="s">
        <v>224</v>
      </c>
      <c r="F189">
        <v>9</v>
      </c>
      <c r="G189">
        <v>236</v>
      </c>
      <c r="H189" t="str">
        <f>VLOOKUP(G189,[1]OPERADORES!$A:$B,2,0)</f>
        <v>DANIEL</v>
      </c>
      <c r="I189" t="s">
        <v>21</v>
      </c>
      <c r="J189" t="s">
        <v>211</v>
      </c>
      <c r="K189" t="s">
        <v>212</v>
      </c>
      <c r="L189">
        <v>13</v>
      </c>
      <c r="M189" t="s">
        <v>152</v>
      </c>
      <c r="O189" t="s">
        <v>11</v>
      </c>
      <c r="P189">
        <v>5102</v>
      </c>
      <c r="Q189">
        <v>3</v>
      </c>
      <c r="R189">
        <v>5.79</v>
      </c>
      <c r="S189">
        <v>17.37</v>
      </c>
      <c r="T189">
        <v>12.48</v>
      </c>
      <c r="U189">
        <v>28.15</v>
      </c>
      <c r="V189" t="str">
        <f>VLOOKUP(L189,'[2]tabela de preços'!$A:$D,4,0)</f>
        <v>3M</v>
      </c>
      <c r="W189" t="str">
        <f>VLOOKUP(L189,'[2]tabela de preços'!$A:$F,6,0)</f>
        <v>LIXA DÁGUA</v>
      </c>
      <c r="X189" t="str">
        <f>VLOOKUP(L189,'[2]tabela de preços'!$A:$G,7,0)</f>
        <v>AUTOMOTIVO</v>
      </c>
    </row>
    <row r="190" spans="1:24" x14ac:dyDescent="0.3">
      <c r="A190" t="s">
        <v>208</v>
      </c>
      <c r="C190" t="s">
        <v>223</v>
      </c>
      <c r="D190" s="1">
        <v>46042</v>
      </c>
      <c r="E190" t="s">
        <v>224</v>
      </c>
      <c r="F190">
        <v>9</v>
      </c>
      <c r="G190">
        <v>236</v>
      </c>
      <c r="H190" t="str">
        <f>VLOOKUP(G190,[1]OPERADORES!$A:$B,2,0)</f>
        <v>DANIEL</v>
      </c>
      <c r="I190" t="s">
        <v>21</v>
      </c>
      <c r="J190" t="s">
        <v>211</v>
      </c>
      <c r="K190" t="s">
        <v>212</v>
      </c>
      <c r="L190">
        <v>10238</v>
      </c>
      <c r="M190" t="s">
        <v>79</v>
      </c>
      <c r="O190" t="s">
        <v>11</v>
      </c>
      <c r="P190">
        <v>5102</v>
      </c>
      <c r="Q190">
        <v>5</v>
      </c>
      <c r="R190">
        <v>2.79</v>
      </c>
      <c r="S190">
        <v>13.95</v>
      </c>
      <c r="T190">
        <v>11.2</v>
      </c>
      <c r="U190">
        <v>19.71</v>
      </c>
      <c r="V190" t="str">
        <f>VLOOKUP(L190,'[2]tabela de preços'!$A:$D,4,0)</f>
        <v>NORTON</v>
      </c>
      <c r="W190" t="str">
        <f>VLOOKUP(L190,'[2]tabela de preços'!$A:$F,6,0)</f>
        <v xml:space="preserve">DISCOS / LIXAS / ABRASIVOS </v>
      </c>
      <c r="X190" t="str">
        <f>VLOOKUP(L190,'[2]tabela de preços'!$A:$G,7,0)</f>
        <v>AUTOMOTIVO</v>
      </c>
    </row>
    <row r="191" spans="1:24" x14ac:dyDescent="0.3">
      <c r="A191" t="s">
        <v>208</v>
      </c>
      <c r="C191" t="s">
        <v>223</v>
      </c>
      <c r="D191" s="1">
        <v>46042</v>
      </c>
      <c r="E191" t="s">
        <v>224</v>
      </c>
      <c r="F191">
        <v>9</v>
      </c>
      <c r="G191">
        <v>236</v>
      </c>
      <c r="H191" t="str">
        <f>VLOOKUP(G191,[1]OPERADORES!$A:$B,2,0)</f>
        <v>DANIEL</v>
      </c>
      <c r="I191" t="s">
        <v>21</v>
      </c>
      <c r="J191" t="s">
        <v>211</v>
      </c>
      <c r="K191" t="s">
        <v>212</v>
      </c>
      <c r="L191">
        <v>10246</v>
      </c>
      <c r="M191" t="s">
        <v>206</v>
      </c>
      <c r="O191" t="s">
        <v>11</v>
      </c>
      <c r="P191">
        <v>5102</v>
      </c>
      <c r="Q191">
        <v>3</v>
      </c>
      <c r="R191">
        <v>2.79</v>
      </c>
      <c r="S191">
        <v>8.3699999999999992</v>
      </c>
      <c r="T191">
        <v>5.79</v>
      </c>
      <c r="U191">
        <v>30.82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208</v>
      </c>
      <c r="C192" t="s">
        <v>223</v>
      </c>
      <c r="D192" s="1">
        <v>46042</v>
      </c>
      <c r="E192" t="s">
        <v>224</v>
      </c>
      <c r="F192">
        <v>9</v>
      </c>
      <c r="G192">
        <v>236</v>
      </c>
      <c r="H192" t="str">
        <f>VLOOKUP(G192,[1]OPERADORES!$A:$B,2,0)</f>
        <v>DANIEL</v>
      </c>
      <c r="I192" t="s">
        <v>21</v>
      </c>
      <c r="J192" t="s">
        <v>211</v>
      </c>
      <c r="K192" t="s">
        <v>212</v>
      </c>
      <c r="L192">
        <v>24247</v>
      </c>
      <c r="M192" t="s">
        <v>160</v>
      </c>
      <c r="O192" t="s">
        <v>11</v>
      </c>
      <c r="P192">
        <v>5403</v>
      </c>
      <c r="Q192">
        <v>2</v>
      </c>
      <c r="R192">
        <v>21</v>
      </c>
      <c r="S192">
        <v>42</v>
      </c>
      <c r="T192">
        <v>33.74</v>
      </c>
      <c r="U192">
        <v>19.670000000000002</v>
      </c>
      <c r="V192" t="str">
        <f>VLOOKUP(L192,'[2]tabela de preços'!$A:$D,4,0)</f>
        <v>SHERWIN WILLIAMS</v>
      </c>
      <c r="W192" t="str">
        <f>VLOOKUP(L192,'[2]tabela de preços'!$A:$F,6,0)</f>
        <v>PRIMER AUTOMOTIVO</v>
      </c>
      <c r="X192" t="str">
        <f>VLOOKUP(L192,'[2]tabela de preços'!$A:$G,7,0)</f>
        <v>AUTOMOTIVO</v>
      </c>
    </row>
    <row r="193" spans="1:24" x14ac:dyDescent="0.3">
      <c r="A193" t="s">
        <v>208</v>
      </c>
      <c r="C193" t="s">
        <v>223</v>
      </c>
      <c r="D193" s="1">
        <v>46042</v>
      </c>
      <c r="E193" t="s">
        <v>226</v>
      </c>
      <c r="F193">
        <v>9</v>
      </c>
      <c r="G193">
        <v>236</v>
      </c>
      <c r="H193" t="str">
        <f>VLOOKUP(G193,[1]OPERADORES!$A:$B,2,0)</f>
        <v>DANIEL</v>
      </c>
      <c r="I193" t="s">
        <v>21</v>
      </c>
      <c r="J193" t="s">
        <v>211</v>
      </c>
      <c r="K193" t="s">
        <v>212</v>
      </c>
      <c r="L193">
        <v>10298</v>
      </c>
      <c r="M193" t="s">
        <v>85</v>
      </c>
      <c r="O193" t="s">
        <v>11</v>
      </c>
      <c r="P193">
        <v>5102</v>
      </c>
      <c r="Q193">
        <v>1</v>
      </c>
      <c r="R193">
        <v>56.89</v>
      </c>
      <c r="S193">
        <v>56.89</v>
      </c>
      <c r="T193">
        <v>47.38</v>
      </c>
      <c r="U193">
        <v>16.72</v>
      </c>
      <c r="V193" t="str">
        <f>VLOOKUP(L193,'[2]tabela de preços'!$A:$D,4,0)</f>
        <v>ANJO</v>
      </c>
      <c r="W193" t="str">
        <f>VLOOKUP(L193,'[2]tabela de preços'!$A:$F,6,0)</f>
        <v>THINNER DE LIMPEZA</v>
      </c>
      <c r="X193" t="str">
        <f>VLOOKUP(L193,'[2]tabela de preços'!$A:$G,7,0)</f>
        <v>THINNER</v>
      </c>
    </row>
    <row r="194" spans="1:24" x14ac:dyDescent="0.3">
      <c r="A194" t="s">
        <v>208</v>
      </c>
      <c r="C194" t="s">
        <v>227</v>
      </c>
      <c r="D194" s="1">
        <v>46044</v>
      </c>
      <c r="E194" t="s">
        <v>228</v>
      </c>
      <c r="F194">
        <v>9</v>
      </c>
      <c r="G194">
        <v>236</v>
      </c>
      <c r="H194" t="str">
        <f>VLOOKUP(G194,[1]OPERADORES!$A:$B,2,0)</f>
        <v>DANIEL</v>
      </c>
      <c r="I194" t="s">
        <v>21</v>
      </c>
      <c r="J194" t="s">
        <v>211</v>
      </c>
      <c r="K194" t="s">
        <v>212</v>
      </c>
      <c r="L194">
        <v>20026</v>
      </c>
      <c r="M194" t="s">
        <v>229</v>
      </c>
      <c r="O194" t="s">
        <v>11</v>
      </c>
      <c r="P194">
        <v>5102</v>
      </c>
      <c r="Q194">
        <v>1</v>
      </c>
      <c r="R194">
        <v>14.13</v>
      </c>
      <c r="S194">
        <v>14.13</v>
      </c>
      <c r="T194">
        <v>10.36</v>
      </c>
      <c r="U194">
        <v>26.68</v>
      </c>
      <c r="V194" t="str">
        <f>VLOOKUP(L194,'[2]tabela de preços'!$A:$D,4,0)</f>
        <v>ANJO</v>
      </c>
      <c r="W194" t="str">
        <f>VLOOKUP(L194,'[2]tabela de preços'!$A:$F,6,0)</f>
        <v>PRETO FOSCO VINÍLICO</v>
      </c>
      <c r="X194" t="str">
        <f>VLOOKUP(L194,'[2]tabela de preços'!$A:$G,7,0)</f>
        <v>AUTOMOTIVO</v>
      </c>
    </row>
    <row r="195" spans="1:24" x14ac:dyDescent="0.3">
      <c r="A195" t="s">
        <v>208</v>
      </c>
      <c r="C195" t="s">
        <v>227</v>
      </c>
      <c r="D195" s="1">
        <v>46044</v>
      </c>
      <c r="E195" t="s">
        <v>228</v>
      </c>
      <c r="F195">
        <v>9</v>
      </c>
      <c r="G195">
        <v>236</v>
      </c>
      <c r="H195" t="str">
        <f>VLOOKUP(G195,[1]OPERADORES!$A:$B,2,0)</f>
        <v>DANIEL</v>
      </c>
      <c r="I195" t="s">
        <v>21</v>
      </c>
      <c r="J195" t="s">
        <v>211</v>
      </c>
      <c r="K195" t="s">
        <v>212</v>
      </c>
      <c r="L195">
        <v>10238</v>
      </c>
      <c r="M195" t="s">
        <v>79</v>
      </c>
      <c r="O195" t="s">
        <v>11</v>
      </c>
      <c r="P195">
        <v>5102</v>
      </c>
      <c r="Q195">
        <v>50</v>
      </c>
      <c r="R195">
        <v>2.79</v>
      </c>
      <c r="S195">
        <v>139.5</v>
      </c>
      <c r="T195">
        <v>112</v>
      </c>
      <c r="U195">
        <v>19.71</v>
      </c>
      <c r="V195" t="str">
        <f>VLOOKUP(L195,'[2]tabela de preços'!$A:$D,4,0)</f>
        <v>NORTON</v>
      </c>
      <c r="W195" t="str">
        <f>VLOOKUP(L195,'[2]tabela de preços'!$A:$F,6,0)</f>
        <v xml:space="preserve">DISCOS / LIXAS / ABRASIVOS </v>
      </c>
      <c r="X195" t="str">
        <f>VLOOKUP(L195,'[2]tabela de preços'!$A:$G,7,0)</f>
        <v>AUTOMOTIVO</v>
      </c>
    </row>
    <row r="196" spans="1:24" x14ac:dyDescent="0.3">
      <c r="A196" t="s">
        <v>208</v>
      </c>
      <c r="C196" t="s">
        <v>227</v>
      </c>
      <c r="D196" s="1">
        <v>46044</v>
      </c>
      <c r="E196" t="s">
        <v>228</v>
      </c>
      <c r="F196">
        <v>9</v>
      </c>
      <c r="G196">
        <v>236</v>
      </c>
      <c r="H196" t="str">
        <f>VLOOKUP(G196,[1]OPERADORES!$A:$B,2,0)</f>
        <v>DANIEL</v>
      </c>
      <c r="I196" t="s">
        <v>21</v>
      </c>
      <c r="J196" t="s">
        <v>211</v>
      </c>
      <c r="K196" t="s">
        <v>212</v>
      </c>
      <c r="L196">
        <v>10242</v>
      </c>
      <c r="M196" t="s">
        <v>82</v>
      </c>
      <c r="O196" t="s">
        <v>11</v>
      </c>
      <c r="P196">
        <v>5102</v>
      </c>
      <c r="Q196">
        <v>50</v>
      </c>
      <c r="R196">
        <v>2.79</v>
      </c>
      <c r="S196">
        <v>139.5</v>
      </c>
      <c r="T196">
        <v>112</v>
      </c>
      <c r="U196">
        <v>19.71</v>
      </c>
      <c r="V196" t="str">
        <f>VLOOKUP(L196,'[2]tabela de preços'!$A:$D,4,0)</f>
        <v>NORTON</v>
      </c>
      <c r="W196" t="str">
        <f>VLOOKUP(L196,'[2]tabela de preços'!$A:$F,6,0)</f>
        <v xml:space="preserve">DISCOS / LIXAS / ABRASIVOS </v>
      </c>
      <c r="X196" t="str">
        <f>VLOOKUP(L196,'[2]tabela de preços'!$A:$G,7,0)</f>
        <v>AUTOMOTIVO</v>
      </c>
    </row>
    <row r="197" spans="1:24" x14ac:dyDescent="0.3">
      <c r="A197" t="s">
        <v>208</v>
      </c>
      <c r="C197" t="s">
        <v>227</v>
      </c>
      <c r="D197" s="1">
        <v>46044</v>
      </c>
      <c r="E197" t="s">
        <v>228</v>
      </c>
      <c r="F197">
        <v>9</v>
      </c>
      <c r="G197">
        <v>236</v>
      </c>
      <c r="H197" t="str">
        <f>VLOOKUP(G197,[1]OPERADORES!$A:$B,2,0)</f>
        <v>DANIEL</v>
      </c>
      <c r="I197" t="s">
        <v>21</v>
      </c>
      <c r="J197" t="s">
        <v>211</v>
      </c>
      <c r="K197" t="s">
        <v>212</v>
      </c>
      <c r="L197">
        <v>10245</v>
      </c>
      <c r="M197" t="s">
        <v>195</v>
      </c>
      <c r="O197" t="s">
        <v>11</v>
      </c>
      <c r="P197">
        <v>5102</v>
      </c>
      <c r="Q197">
        <v>50</v>
      </c>
      <c r="R197">
        <v>2.79</v>
      </c>
      <c r="S197">
        <v>139.5</v>
      </c>
      <c r="T197">
        <v>96.5</v>
      </c>
      <c r="U197">
        <v>30.82</v>
      </c>
      <c r="V197" t="str">
        <f>VLOOKUP(L197,'[2]tabela de preços'!$A:$D,4,0)</f>
        <v>NORTON</v>
      </c>
      <c r="W197" t="str">
        <f>VLOOKUP(L197,'[2]tabela de preços'!$A:$F,6,0)</f>
        <v xml:space="preserve">DISCOS / LIXAS / ABRASIVOS </v>
      </c>
      <c r="X197" t="str">
        <f>VLOOKUP(L197,'[2]tabela de preços'!$A:$G,7,0)</f>
        <v>AUTOMOTIVO</v>
      </c>
    </row>
    <row r="198" spans="1:24" x14ac:dyDescent="0.3">
      <c r="A198" t="s">
        <v>208</v>
      </c>
      <c r="C198" t="s">
        <v>227</v>
      </c>
      <c r="D198" s="1">
        <v>46044</v>
      </c>
      <c r="E198" t="s">
        <v>228</v>
      </c>
      <c r="F198">
        <v>9</v>
      </c>
      <c r="G198">
        <v>236</v>
      </c>
      <c r="H198" t="str">
        <f>VLOOKUP(G198,[1]OPERADORES!$A:$B,2,0)</f>
        <v>DANIEL</v>
      </c>
      <c r="I198" t="s">
        <v>21</v>
      </c>
      <c r="J198" t="s">
        <v>211</v>
      </c>
      <c r="K198" t="s">
        <v>212</v>
      </c>
      <c r="L198">
        <v>20525</v>
      </c>
      <c r="M198" t="s">
        <v>137</v>
      </c>
      <c r="O198" t="s">
        <v>11</v>
      </c>
      <c r="P198">
        <v>5102</v>
      </c>
      <c r="Q198">
        <v>2</v>
      </c>
      <c r="R198">
        <v>14.13</v>
      </c>
      <c r="S198">
        <v>28.26</v>
      </c>
      <c r="T198">
        <v>20.72</v>
      </c>
      <c r="U198">
        <v>26.68</v>
      </c>
      <c r="V198" t="str">
        <f>VLOOKUP(L198,'[2]tabela de preços'!$A:$D,4,0)</f>
        <v>SHERWIN WILLIAMS</v>
      </c>
      <c r="W198" t="str">
        <f>VLOOKUP(L198,'[2]tabela de preços'!$A:$F,6,0)</f>
        <v>MASSA DE PEQUENOS REPAROS</v>
      </c>
      <c r="X198" t="str">
        <f>VLOOKUP(L198,'[2]tabela de preços'!$A:$G,7,0)</f>
        <v>AUTOMOTIVO</v>
      </c>
    </row>
    <row r="199" spans="1:24" x14ac:dyDescent="0.3">
      <c r="A199" t="s">
        <v>208</v>
      </c>
      <c r="C199" t="s">
        <v>227</v>
      </c>
      <c r="D199" s="1">
        <v>46044</v>
      </c>
      <c r="E199" t="s">
        <v>228</v>
      </c>
      <c r="F199">
        <v>9</v>
      </c>
      <c r="G199">
        <v>236</v>
      </c>
      <c r="H199" t="str">
        <f>VLOOKUP(G199,[1]OPERADORES!$A:$B,2,0)</f>
        <v>DANIEL</v>
      </c>
      <c r="I199" t="s">
        <v>21</v>
      </c>
      <c r="J199" t="s">
        <v>211</v>
      </c>
      <c r="K199" t="s">
        <v>212</v>
      </c>
      <c r="L199">
        <v>20025</v>
      </c>
      <c r="M199" t="s">
        <v>230</v>
      </c>
      <c r="O199" t="s">
        <v>11</v>
      </c>
      <c r="P199">
        <v>5403</v>
      </c>
      <c r="Q199">
        <v>1</v>
      </c>
      <c r="R199">
        <v>23.84</v>
      </c>
      <c r="S199">
        <v>23.84</v>
      </c>
      <c r="T199">
        <v>17.48</v>
      </c>
      <c r="U199">
        <v>26.68</v>
      </c>
      <c r="V199" t="str">
        <f>VLOOKUP(L199,'[2]tabela de preços'!$A:$D,4,0)</f>
        <v>ANJO</v>
      </c>
      <c r="W199" t="str">
        <f>VLOOKUP(L199,'[2]tabela de preços'!$A:$F,6,0)</f>
        <v>PRIMER AUTOMOTIVO</v>
      </c>
      <c r="X199" t="str">
        <f>VLOOKUP(L199,'[2]tabela de preços'!$A:$G,7,0)</f>
        <v>AUTOMOTIVO</v>
      </c>
    </row>
    <row r="200" spans="1:24" x14ac:dyDescent="0.3">
      <c r="A200" t="s">
        <v>208</v>
      </c>
      <c r="C200" t="s">
        <v>231</v>
      </c>
      <c r="D200" s="1">
        <v>46050</v>
      </c>
      <c r="E200" t="s">
        <v>232</v>
      </c>
      <c r="F200">
        <v>9</v>
      </c>
      <c r="G200">
        <v>236</v>
      </c>
      <c r="H200" t="str">
        <f>VLOOKUP(G200,[1]OPERADORES!$A:$B,2,0)</f>
        <v>DANIEL</v>
      </c>
      <c r="I200" t="s">
        <v>21</v>
      </c>
      <c r="J200" t="s">
        <v>211</v>
      </c>
      <c r="K200" t="s">
        <v>212</v>
      </c>
      <c r="L200">
        <v>24248</v>
      </c>
      <c r="M200" t="s">
        <v>107</v>
      </c>
      <c r="O200" t="s">
        <v>11</v>
      </c>
      <c r="P200">
        <v>5102</v>
      </c>
      <c r="Q200">
        <v>1</v>
      </c>
      <c r="R200">
        <v>8</v>
      </c>
      <c r="S200">
        <v>8</v>
      </c>
      <c r="T200">
        <v>6.5</v>
      </c>
      <c r="U200">
        <v>18.75</v>
      </c>
      <c r="V200" t="str">
        <f>VLOOKUP(L200,'[2]tabela de preços'!$A:$D,4,0)</f>
        <v>SHERWIN WILLIAMS</v>
      </c>
      <c r="W200" t="str">
        <f>VLOOKUP(L200,'[2]tabela de preços'!$A:$F,6,0)</f>
        <v>PRIMER AUTOMOTIVO</v>
      </c>
      <c r="X200" t="str">
        <f>VLOOKUP(L200,'[2]tabela de preços'!$A:$G,7,0)</f>
        <v>AUTOMOTIVO</v>
      </c>
    </row>
    <row r="201" spans="1:24" x14ac:dyDescent="0.3">
      <c r="A201" t="s">
        <v>208</v>
      </c>
      <c r="C201" t="s">
        <v>231</v>
      </c>
      <c r="D201" s="1">
        <v>46050</v>
      </c>
      <c r="E201" t="s">
        <v>232</v>
      </c>
      <c r="F201">
        <v>9</v>
      </c>
      <c r="G201">
        <v>236</v>
      </c>
      <c r="H201" t="str">
        <f>VLOOKUP(G201,[1]OPERADORES!$A:$B,2,0)</f>
        <v>DANIEL</v>
      </c>
      <c r="I201" t="s">
        <v>21</v>
      </c>
      <c r="J201" t="s">
        <v>211</v>
      </c>
      <c r="K201" t="s">
        <v>212</v>
      </c>
      <c r="L201">
        <v>22684</v>
      </c>
      <c r="M201" t="s">
        <v>73</v>
      </c>
      <c r="O201" t="s">
        <v>11</v>
      </c>
      <c r="P201">
        <v>5102</v>
      </c>
      <c r="Q201">
        <v>6</v>
      </c>
      <c r="R201">
        <v>3.65</v>
      </c>
      <c r="S201">
        <v>21.9</v>
      </c>
      <c r="T201">
        <v>18.48</v>
      </c>
      <c r="U201">
        <v>15.62</v>
      </c>
      <c r="V201" t="str">
        <f>VLOOKUP(L201,'[2]tabela de preços'!$A:$D,4,0)</f>
        <v>3M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208</v>
      </c>
      <c r="C202" t="s">
        <v>231</v>
      </c>
      <c r="D202" s="1">
        <v>46050</v>
      </c>
      <c r="E202" t="s">
        <v>232</v>
      </c>
      <c r="F202">
        <v>9</v>
      </c>
      <c r="G202">
        <v>236</v>
      </c>
      <c r="H202" t="str">
        <f>VLOOKUP(G202,[1]OPERADORES!$A:$B,2,0)</f>
        <v>DANIEL</v>
      </c>
      <c r="I202" t="s">
        <v>21</v>
      </c>
      <c r="J202" t="s">
        <v>211</v>
      </c>
      <c r="K202" t="s">
        <v>212</v>
      </c>
      <c r="L202">
        <v>24241</v>
      </c>
      <c r="M202" t="s">
        <v>233</v>
      </c>
      <c r="O202" t="s">
        <v>11</v>
      </c>
      <c r="P202">
        <v>5102</v>
      </c>
      <c r="Q202">
        <v>1</v>
      </c>
      <c r="R202">
        <v>12.2</v>
      </c>
      <c r="S202">
        <v>12.2</v>
      </c>
      <c r="T202">
        <v>9.26</v>
      </c>
      <c r="U202">
        <v>24.1</v>
      </c>
      <c r="V202" t="str">
        <f>VLOOKUP(L202,'[2]tabela de preços'!$A:$D,4,0)</f>
        <v>ADERE</v>
      </c>
      <c r="W202" t="str">
        <f>VLOOKUP(L202,'[2]tabela de preços'!$A:$F,6,0)</f>
        <v>FITA AUTOMOTIVA</v>
      </c>
      <c r="X202" t="str">
        <f>VLOOKUP(L202,'[2]tabela de preços'!$A:$G,7,0)</f>
        <v>AUTOMOTIVO</v>
      </c>
    </row>
    <row r="203" spans="1:24" x14ac:dyDescent="0.3">
      <c r="A203" t="s">
        <v>208</v>
      </c>
      <c r="C203" t="s">
        <v>231</v>
      </c>
      <c r="D203" s="1">
        <v>46050</v>
      </c>
      <c r="E203" t="s">
        <v>232</v>
      </c>
      <c r="F203">
        <v>9</v>
      </c>
      <c r="G203">
        <v>236</v>
      </c>
      <c r="H203" t="str">
        <f>VLOOKUP(G203,[1]OPERADORES!$A:$B,2,0)</f>
        <v>DANIEL</v>
      </c>
      <c r="I203" t="s">
        <v>21</v>
      </c>
      <c r="J203" t="s">
        <v>211</v>
      </c>
      <c r="K203" t="s">
        <v>212</v>
      </c>
      <c r="L203">
        <v>10277</v>
      </c>
      <c r="M203" t="s">
        <v>135</v>
      </c>
      <c r="O203" t="s">
        <v>11</v>
      </c>
      <c r="P203">
        <v>5102</v>
      </c>
      <c r="Q203">
        <v>4</v>
      </c>
      <c r="R203">
        <v>15.89</v>
      </c>
      <c r="S203">
        <v>63.56</v>
      </c>
      <c r="T203">
        <v>51.52</v>
      </c>
      <c r="U203">
        <v>18.940000000000001</v>
      </c>
      <c r="V203" t="str">
        <f>VLOOKUP(L203,'[2]tabela de preços'!$A:$D,4,0)</f>
        <v>RETOQUE</v>
      </c>
      <c r="W203" t="str">
        <f>VLOOKUP(L203,'[2]tabela de preços'!$A:$F,6,0)</f>
        <v xml:space="preserve">COLA  PLÁSTICA </v>
      </c>
      <c r="X203" t="str">
        <f>VLOOKUP(L203,'[2]tabela de preços'!$A:$G,7,0)</f>
        <v>AUTOMOTIVO</v>
      </c>
    </row>
    <row r="204" spans="1:24" x14ac:dyDescent="0.3">
      <c r="A204" t="s">
        <v>208</v>
      </c>
      <c r="C204" t="s">
        <v>231</v>
      </c>
      <c r="D204" s="1">
        <v>46050</v>
      </c>
      <c r="E204" t="s">
        <v>232</v>
      </c>
      <c r="F204">
        <v>9</v>
      </c>
      <c r="G204">
        <v>236</v>
      </c>
      <c r="H204" t="str">
        <f>VLOOKUP(G204,[1]OPERADORES!$A:$B,2,0)</f>
        <v>DANIEL</v>
      </c>
      <c r="I204" t="s">
        <v>21</v>
      </c>
      <c r="J204" t="s">
        <v>211</v>
      </c>
      <c r="K204" t="s">
        <v>212</v>
      </c>
      <c r="L204">
        <v>23602</v>
      </c>
      <c r="M204" t="s">
        <v>215</v>
      </c>
      <c r="O204" t="s">
        <v>11</v>
      </c>
      <c r="P204">
        <v>5403</v>
      </c>
      <c r="Q204">
        <v>3</v>
      </c>
      <c r="R204">
        <v>35.89</v>
      </c>
      <c r="S204">
        <v>107.67</v>
      </c>
      <c r="T204">
        <v>87.75</v>
      </c>
      <c r="U204">
        <v>18.5</v>
      </c>
      <c r="V204" t="str">
        <f>VLOOKUP(L204,'[2]tabela de preços'!$A:$D,4,0)</f>
        <v>SHERWIN WILLIAMS</v>
      </c>
      <c r="W204" t="str">
        <f>VLOOKUP(L204,'[2]tabela de preços'!$A:$F,6,0)</f>
        <v>VERNIZ AUTOMOTIVO</v>
      </c>
      <c r="X204" t="str">
        <f>VLOOKUP(L204,'[2]tabela de preços'!$A:$G,7,0)</f>
        <v>AUTOMOTIVO</v>
      </c>
    </row>
    <row r="205" spans="1:24" x14ac:dyDescent="0.3">
      <c r="A205" t="s">
        <v>208</v>
      </c>
      <c r="C205" t="s">
        <v>231</v>
      </c>
      <c r="D205" s="1">
        <v>46050</v>
      </c>
      <c r="E205" t="s">
        <v>232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211</v>
      </c>
      <c r="K205" t="s">
        <v>212</v>
      </c>
      <c r="L205">
        <v>10238</v>
      </c>
      <c r="M205" t="s">
        <v>79</v>
      </c>
      <c r="O205" t="s">
        <v>11</v>
      </c>
      <c r="P205">
        <v>5102</v>
      </c>
      <c r="Q205">
        <v>4</v>
      </c>
      <c r="R205">
        <v>2.79</v>
      </c>
      <c r="S205">
        <v>11.16</v>
      </c>
      <c r="T205">
        <v>8.9600000000000009</v>
      </c>
      <c r="U205">
        <v>19.71</v>
      </c>
      <c r="V205" t="str">
        <f>VLOOKUP(L205,'[2]tabela de preços'!$A:$D,4,0)</f>
        <v>NORTON</v>
      </c>
      <c r="W205" t="str">
        <f>VLOOKUP(L205,'[2]tabela de preços'!$A:$F,6,0)</f>
        <v xml:space="preserve">DISCOS / LIXAS / ABRASIVOS </v>
      </c>
      <c r="X205" t="str">
        <f>VLOOKUP(L205,'[2]tabela de preços'!$A:$G,7,0)</f>
        <v>AUTOMOTIVO</v>
      </c>
    </row>
    <row r="206" spans="1:24" x14ac:dyDescent="0.3">
      <c r="A206" t="s">
        <v>208</v>
      </c>
      <c r="C206" t="s">
        <v>231</v>
      </c>
      <c r="D206" s="1">
        <v>46050</v>
      </c>
      <c r="E206" t="s">
        <v>232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211</v>
      </c>
      <c r="K206" t="s">
        <v>212</v>
      </c>
      <c r="L206">
        <v>10242</v>
      </c>
      <c r="M206" t="s">
        <v>82</v>
      </c>
      <c r="O206" t="s">
        <v>11</v>
      </c>
      <c r="P206">
        <v>5102</v>
      </c>
      <c r="Q206">
        <v>2</v>
      </c>
      <c r="R206">
        <v>2.79</v>
      </c>
      <c r="S206">
        <v>5.58</v>
      </c>
      <c r="T206">
        <v>4.4800000000000004</v>
      </c>
      <c r="U206">
        <v>19.71</v>
      </c>
      <c r="V206" t="str">
        <f>VLOOKUP(L206,'[2]tabela de preços'!$A:$D,4,0)</f>
        <v>NORTON</v>
      </c>
      <c r="W206" t="str">
        <f>VLOOKUP(L206,'[2]tabela de preços'!$A:$F,6,0)</f>
        <v xml:space="preserve">DISCOS / LIXAS / ABRASIVOS </v>
      </c>
      <c r="X206" t="str">
        <f>VLOOKUP(L206,'[2]tabela de preços'!$A:$G,7,0)</f>
        <v>AUTOMOTIVO</v>
      </c>
    </row>
    <row r="207" spans="1:24" x14ac:dyDescent="0.3">
      <c r="A207" t="s">
        <v>208</v>
      </c>
      <c r="C207" t="s">
        <v>231</v>
      </c>
      <c r="D207" s="1">
        <v>46050</v>
      </c>
      <c r="E207" t="s">
        <v>232</v>
      </c>
      <c r="F207">
        <v>9</v>
      </c>
      <c r="G207">
        <v>236</v>
      </c>
      <c r="H207" t="str">
        <f>VLOOKUP(G207,[1]OPERADORES!$A:$B,2,0)</f>
        <v>DANIEL</v>
      </c>
      <c r="I207" t="s">
        <v>21</v>
      </c>
      <c r="J207" t="s">
        <v>211</v>
      </c>
      <c r="K207" t="s">
        <v>212</v>
      </c>
      <c r="L207">
        <v>10243</v>
      </c>
      <c r="M207" t="s">
        <v>83</v>
      </c>
      <c r="O207" t="s">
        <v>11</v>
      </c>
      <c r="P207">
        <v>5102</v>
      </c>
      <c r="Q207">
        <v>2</v>
      </c>
      <c r="R207">
        <v>2.79</v>
      </c>
      <c r="S207">
        <v>5.58</v>
      </c>
      <c r="T207">
        <v>3.86</v>
      </c>
      <c r="U207">
        <v>30.82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208</v>
      </c>
      <c r="C208" t="s">
        <v>231</v>
      </c>
      <c r="D208" s="1">
        <v>46050</v>
      </c>
      <c r="E208" t="s">
        <v>232</v>
      </c>
      <c r="F208">
        <v>9</v>
      </c>
      <c r="G208">
        <v>236</v>
      </c>
      <c r="H208" t="str">
        <f>VLOOKUP(G208,[1]OPERADORES!$A:$B,2,0)</f>
        <v>DANIEL</v>
      </c>
      <c r="I208" t="s">
        <v>21</v>
      </c>
      <c r="J208" t="s">
        <v>211</v>
      </c>
      <c r="K208" t="s">
        <v>212</v>
      </c>
      <c r="L208">
        <v>24247</v>
      </c>
      <c r="M208" t="s">
        <v>160</v>
      </c>
      <c r="O208" t="s">
        <v>11</v>
      </c>
      <c r="P208">
        <v>5403</v>
      </c>
      <c r="Q208">
        <v>1</v>
      </c>
      <c r="R208">
        <v>21</v>
      </c>
      <c r="S208">
        <v>21</v>
      </c>
      <c r="T208">
        <v>16.87</v>
      </c>
      <c r="U208">
        <v>19.670000000000002</v>
      </c>
      <c r="V208" t="str">
        <f>VLOOKUP(L208,'[2]tabela de preços'!$A:$D,4,0)</f>
        <v>SHERWIN WILLIAMS</v>
      </c>
      <c r="W208" t="str">
        <f>VLOOKUP(L208,'[2]tabela de preços'!$A:$F,6,0)</f>
        <v>PRIMER AUTOMOTIVO</v>
      </c>
      <c r="X208" t="str">
        <f>VLOOKUP(L208,'[2]tabela de preços'!$A:$G,7,0)</f>
        <v>AUTOMOTIVO</v>
      </c>
    </row>
    <row r="209" spans="1:24" x14ac:dyDescent="0.3">
      <c r="A209" t="s">
        <v>208</v>
      </c>
      <c r="C209" t="s">
        <v>234</v>
      </c>
      <c r="D209" s="1">
        <v>46050</v>
      </c>
      <c r="E209" t="s">
        <v>235</v>
      </c>
      <c r="F209">
        <v>9</v>
      </c>
      <c r="G209">
        <v>236</v>
      </c>
      <c r="H209" t="str">
        <f>VLOOKUP(G209,[1]OPERADORES!$A:$B,2,0)</f>
        <v>DANIEL</v>
      </c>
      <c r="I209" t="s">
        <v>21</v>
      </c>
      <c r="J209" t="s">
        <v>211</v>
      </c>
      <c r="K209" t="s">
        <v>212</v>
      </c>
      <c r="L209">
        <v>84565</v>
      </c>
      <c r="M209" t="s">
        <v>236</v>
      </c>
      <c r="O209" t="s">
        <v>11</v>
      </c>
      <c r="P209">
        <v>5102</v>
      </c>
      <c r="Q209">
        <v>1</v>
      </c>
      <c r="R209">
        <v>9.7799999999999994</v>
      </c>
      <c r="S209">
        <v>9.7799999999999994</v>
      </c>
      <c r="T209">
        <v>7.01</v>
      </c>
      <c r="U209">
        <v>28.32</v>
      </c>
      <c r="V209" t="str">
        <f>VLOOKUP(L209,'[2]tabela de preços'!$A:$D,4,0)</f>
        <v>BRASILUX</v>
      </c>
      <c r="W209" t="str">
        <f>VLOOKUP(L209,'[2]tabela de preços'!$A:$F,6,0)</f>
        <v>PRETO FOSCO VINÍLICO</v>
      </c>
      <c r="X209" t="str">
        <f>VLOOKUP(L209,'[2]tabela de preços'!$A:$G,7,0)</f>
        <v>AUTOMOTIVO</v>
      </c>
    </row>
    <row r="210" spans="1:24" x14ac:dyDescent="0.3">
      <c r="A210" t="s">
        <v>208</v>
      </c>
      <c r="C210" t="s">
        <v>234</v>
      </c>
      <c r="D210" s="1">
        <v>46050</v>
      </c>
      <c r="E210" t="s">
        <v>235</v>
      </c>
      <c r="F210">
        <v>9</v>
      </c>
      <c r="G210">
        <v>236</v>
      </c>
      <c r="H210" t="str">
        <f>VLOOKUP(G210,[1]OPERADORES!$A:$B,2,0)</f>
        <v>DANIEL</v>
      </c>
      <c r="I210" t="s">
        <v>21</v>
      </c>
      <c r="J210" t="s">
        <v>211</v>
      </c>
      <c r="K210" t="s">
        <v>212</v>
      </c>
      <c r="L210">
        <v>85363</v>
      </c>
      <c r="M210" t="s">
        <v>237</v>
      </c>
      <c r="O210" t="s">
        <v>11</v>
      </c>
      <c r="P210">
        <v>5102</v>
      </c>
      <c r="Q210">
        <v>1</v>
      </c>
      <c r="R210">
        <v>25.36</v>
      </c>
      <c r="S210">
        <v>25.36</v>
      </c>
      <c r="T210">
        <v>18.18</v>
      </c>
      <c r="U210">
        <v>28.31</v>
      </c>
      <c r="V210" t="str">
        <f>VLOOKUP(L210,'[2]tabela de preços'!$A:$D,4,0)</f>
        <v>BRASILUX</v>
      </c>
      <c r="W210" t="str">
        <f>VLOOKUP(L210,'[2]tabela de preços'!$A:$F,6,0)</f>
        <v>PRETO FOSCO VINÍLICO</v>
      </c>
      <c r="X210" t="str">
        <f>VLOOKUP(L210,'[2]tabela de preços'!$A:$G,7,0)</f>
        <v>AUTOMOTIVO</v>
      </c>
    </row>
    <row r="211" spans="1:24" x14ac:dyDescent="0.3">
      <c r="A211" t="s">
        <v>208</v>
      </c>
      <c r="C211" t="s">
        <v>238</v>
      </c>
      <c r="D211" s="1">
        <v>46051</v>
      </c>
      <c r="E211" t="s">
        <v>239</v>
      </c>
      <c r="F211">
        <v>9</v>
      </c>
      <c r="G211">
        <v>236</v>
      </c>
      <c r="H211" t="str">
        <f>VLOOKUP(G211,[1]OPERADORES!$A:$B,2,0)</f>
        <v>DANIEL</v>
      </c>
      <c r="I211" t="s">
        <v>21</v>
      </c>
      <c r="J211" t="s">
        <v>211</v>
      </c>
      <c r="K211" t="s">
        <v>212</v>
      </c>
      <c r="L211">
        <v>24240</v>
      </c>
      <c r="M211" t="s">
        <v>240</v>
      </c>
      <c r="O211" t="s">
        <v>11</v>
      </c>
      <c r="P211">
        <v>5102</v>
      </c>
      <c r="Q211">
        <v>32</v>
      </c>
      <c r="R211">
        <v>3.81</v>
      </c>
      <c r="S211">
        <v>121.92</v>
      </c>
      <c r="T211">
        <v>104.96</v>
      </c>
      <c r="U211">
        <v>13.91</v>
      </c>
      <c r="V211" t="str">
        <f>VLOOKUP(L211,'[2]tabela de preços'!$A:$D,4,0)</f>
        <v>ADERE</v>
      </c>
      <c r="W211" t="str">
        <f>VLOOKUP(L211,'[2]tabela de preços'!$A:$F,6,0)</f>
        <v>FITA AUTOMOTIVA</v>
      </c>
      <c r="X211" t="str">
        <f>VLOOKUP(L211,'[2]tabela de preços'!$A:$G,7,0)</f>
        <v>AUTOMOTIVO</v>
      </c>
    </row>
    <row r="212" spans="1:24" x14ac:dyDescent="0.3">
      <c r="A212" t="s">
        <v>208</v>
      </c>
      <c r="C212" t="s">
        <v>238</v>
      </c>
      <c r="D212" s="1">
        <v>46051</v>
      </c>
      <c r="E212" t="s">
        <v>239</v>
      </c>
      <c r="F212">
        <v>9</v>
      </c>
      <c r="G212">
        <v>236</v>
      </c>
      <c r="H212" t="str">
        <f>VLOOKUP(G212,[1]OPERADORES!$A:$B,2,0)</f>
        <v>DANIEL</v>
      </c>
      <c r="I212" t="s">
        <v>21</v>
      </c>
      <c r="J212" t="s">
        <v>211</v>
      </c>
      <c r="K212" t="s">
        <v>212</v>
      </c>
      <c r="L212">
        <v>24241</v>
      </c>
      <c r="M212" t="s">
        <v>233</v>
      </c>
      <c r="O212" t="s">
        <v>11</v>
      </c>
      <c r="P212">
        <v>5102</v>
      </c>
      <c r="Q212">
        <v>3</v>
      </c>
      <c r="R212">
        <v>12.2</v>
      </c>
      <c r="S212">
        <v>36.6</v>
      </c>
      <c r="T212">
        <v>27.78</v>
      </c>
      <c r="U212">
        <v>24.1</v>
      </c>
      <c r="V212" t="str">
        <f>VLOOKUP(L212,'[2]tabela de preços'!$A:$D,4,0)</f>
        <v>ADERE</v>
      </c>
      <c r="W212" t="str">
        <f>VLOOKUP(L212,'[2]tabela de preços'!$A:$F,6,0)</f>
        <v>FITA AUTOMOTIVA</v>
      </c>
      <c r="X212" t="str">
        <f>VLOOKUP(L212,'[2]tabela de preços'!$A:$G,7,0)</f>
        <v>AUTOMOTIVO</v>
      </c>
    </row>
    <row r="213" spans="1:24" x14ac:dyDescent="0.3">
      <c r="A213" t="s">
        <v>208</v>
      </c>
      <c r="C213" t="s">
        <v>238</v>
      </c>
      <c r="D213" s="1">
        <v>46051</v>
      </c>
      <c r="E213" t="s">
        <v>239</v>
      </c>
      <c r="F213">
        <v>9</v>
      </c>
      <c r="G213">
        <v>236</v>
      </c>
      <c r="H213" t="str">
        <f>VLOOKUP(G213,[1]OPERADORES!$A:$B,2,0)</f>
        <v>DANIEL</v>
      </c>
      <c r="I213" t="s">
        <v>21</v>
      </c>
      <c r="J213" t="s">
        <v>211</v>
      </c>
      <c r="K213" t="s">
        <v>212</v>
      </c>
      <c r="L213">
        <v>23602</v>
      </c>
      <c r="M213" t="s">
        <v>215</v>
      </c>
      <c r="O213" t="s">
        <v>11</v>
      </c>
      <c r="P213">
        <v>5403</v>
      </c>
      <c r="Q213">
        <v>9</v>
      </c>
      <c r="R213">
        <v>35.89</v>
      </c>
      <c r="S213">
        <v>323.01</v>
      </c>
      <c r="T213">
        <v>263.25</v>
      </c>
      <c r="U213">
        <v>18.5</v>
      </c>
      <c r="V213" t="str">
        <f>VLOOKUP(L213,'[2]tabela de preços'!$A:$D,4,0)</f>
        <v>SHERWIN WILLIAMS</v>
      </c>
      <c r="W213" t="str">
        <f>VLOOKUP(L213,'[2]tabela de preços'!$A:$F,6,0)</f>
        <v>VERNIZ AUTOMOTIVO</v>
      </c>
      <c r="X213" t="str">
        <f>VLOOKUP(L213,'[2]tabela de preços'!$A:$G,7,0)</f>
        <v>AUTOMOTIVO</v>
      </c>
    </row>
    <row r="214" spans="1:24" x14ac:dyDescent="0.3">
      <c r="A214" t="s">
        <v>208</v>
      </c>
      <c r="C214" t="s">
        <v>238</v>
      </c>
      <c r="D214" s="1">
        <v>46051</v>
      </c>
      <c r="E214" t="s">
        <v>239</v>
      </c>
      <c r="F214">
        <v>9</v>
      </c>
      <c r="G214">
        <v>236</v>
      </c>
      <c r="H214" t="str">
        <f>VLOOKUP(G214,[1]OPERADORES!$A:$B,2,0)</f>
        <v>DANIEL</v>
      </c>
      <c r="I214" t="s">
        <v>21</v>
      </c>
      <c r="J214" t="s">
        <v>211</v>
      </c>
      <c r="K214" t="s">
        <v>212</v>
      </c>
      <c r="L214">
        <v>10244</v>
      </c>
      <c r="M214" t="s">
        <v>84</v>
      </c>
      <c r="O214" t="s">
        <v>11</v>
      </c>
      <c r="P214">
        <v>5102</v>
      </c>
      <c r="Q214">
        <v>50</v>
      </c>
      <c r="R214">
        <v>2.79</v>
      </c>
      <c r="S214">
        <v>139.5</v>
      </c>
      <c r="T214">
        <v>96.5</v>
      </c>
      <c r="U214">
        <v>30.82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241</v>
      </c>
      <c r="C215" t="s">
        <v>242</v>
      </c>
      <c r="D215" s="1">
        <v>46031</v>
      </c>
      <c r="E215" t="s">
        <v>243</v>
      </c>
      <c r="F215">
        <v>9</v>
      </c>
      <c r="G215">
        <v>174</v>
      </c>
      <c r="H215" t="str">
        <f>VLOOKUP(G215,[1]OPERADORES!$A:$B,2,0)</f>
        <v>MIRIÃ LOBATO RODRIGUES</v>
      </c>
      <c r="I215" t="s">
        <v>244</v>
      </c>
      <c r="J215" t="s">
        <v>245</v>
      </c>
      <c r="K215" t="s">
        <v>246</v>
      </c>
      <c r="L215">
        <v>23107</v>
      </c>
      <c r="M215" t="s">
        <v>247</v>
      </c>
      <c r="O215" t="s">
        <v>11</v>
      </c>
      <c r="P215">
        <v>6108</v>
      </c>
      <c r="Q215">
        <v>5</v>
      </c>
      <c r="R215">
        <v>2.35</v>
      </c>
      <c r="S215">
        <v>11.75</v>
      </c>
      <c r="T215">
        <v>9.25</v>
      </c>
      <c r="U215">
        <v>21.28</v>
      </c>
      <c r="V215" t="str">
        <f>VLOOKUP(L215,'[2]tabela de preços'!$A:$D,4,0)</f>
        <v>3M</v>
      </c>
      <c r="W215" t="str">
        <f>VLOOKUP(L215,'[2]tabela de preços'!$A:$F,6,0)</f>
        <v xml:space="preserve">DISCOS / LIXAS / ABRASIVOS </v>
      </c>
      <c r="X215" t="str">
        <f>VLOOKUP(L215,'[2]tabela de preços'!$A:$G,7,0)</f>
        <v>AUTOMOTIVO</v>
      </c>
    </row>
    <row r="216" spans="1:24" x14ac:dyDescent="0.3">
      <c r="A216" t="s">
        <v>241</v>
      </c>
      <c r="C216" t="s">
        <v>242</v>
      </c>
      <c r="D216" s="1">
        <v>46031</v>
      </c>
      <c r="E216" t="s">
        <v>243</v>
      </c>
      <c r="F216">
        <v>9</v>
      </c>
      <c r="G216">
        <v>174</v>
      </c>
      <c r="H216" t="str">
        <f>VLOOKUP(G216,[1]OPERADORES!$A:$B,2,0)</f>
        <v>MIRIÃ LOBATO RODRIGUES</v>
      </c>
      <c r="I216" t="s">
        <v>244</v>
      </c>
      <c r="J216" t="s">
        <v>245</v>
      </c>
      <c r="K216" t="s">
        <v>246</v>
      </c>
      <c r="L216">
        <v>23108</v>
      </c>
      <c r="M216" t="s">
        <v>248</v>
      </c>
      <c r="O216" t="s">
        <v>11</v>
      </c>
      <c r="P216">
        <v>6108</v>
      </c>
      <c r="Q216">
        <v>7</v>
      </c>
      <c r="R216">
        <v>2.35</v>
      </c>
      <c r="S216">
        <v>16.45</v>
      </c>
      <c r="T216">
        <v>12.95</v>
      </c>
      <c r="U216">
        <v>21.28</v>
      </c>
      <c r="V216" t="str">
        <f>VLOOKUP(L216,'[2]tabela de preços'!$A:$D,4,0)</f>
        <v>3M</v>
      </c>
      <c r="W216" t="str">
        <f>VLOOKUP(L216,'[2]tabela de preços'!$A:$F,6,0)</f>
        <v xml:space="preserve">DISCOS / LIXAS / ABRASIVOS </v>
      </c>
      <c r="X216" t="str">
        <f>VLOOKUP(L216,'[2]tabela de preços'!$A:$G,7,0)</f>
        <v>AUTOMOTIVO</v>
      </c>
    </row>
    <row r="217" spans="1:24" x14ac:dyDescent="0.3">
      <c r="A217" t="s">
        <v>241</v>
      </c>
      <c r="C217" t="s">
        <v>242</v>
      </c>
      <c r="D217" s="1">
        <v>46031</v>
      </c>
      <c r="E217" t="s">
        <v>243</v>
      </c>
      <c r="F217">
        <v>9</v>
      </c>
      <c r="G217">
        <v>174</v>
      </c>
      <c r="H217" t="str">
        <f>VLOOKUP(G217,[1]OPERADORES!$A:$B,2,0)</f>
        <v>MIRIÃ LOBATO RODRIGUES</v>
      </c>
      <c r="I217" t="s">
        <v>244</v>
      </c>
      <c r="J217" t="s">
        <v>245</v>
      </c>
      <c r="K217" t="s">
        <v>246</v>
      </c>
      <c r="L217">
        <v>24240</v>
      </c>
      <c r="M217" t="s">
        <v>240</v>
      </c>
      <c r="O217" t="s">
        <v>11</v>
      </c>
      <c r="P217">
        <v>6108</v>
      </c>
      <c r="Q217">
        <v>1</v>
      </c>
      <c r="R217">
        <v>3.87</v>
      </c>
      <c r="S217">
        <v>3.87</v>
      </c>
      <c r="T217">
        <v>3.28</v>
      </c>
      <c r="U217">
        <v>15.25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241</v>
      </c>
      <c r="C218" t="s">
        <v>249</v>
      </c>
      <c r="D218" s="1">
        <v>46035</v>
      </c>
      <c r="F218">
        <v>9</v>
      </c>
      <c r="G218">
        <v>174</v>
      </c>
      <c r="H218" t="str">
        <f>VLOOKUP(G218,[1]OPERADORES!$A:$B,2,0)</f>
        <v>MIRIÃ LOBATO RODRIGUES</v>
      </c>
      <c r="I218" t="s">
        <v>244</v>
      </c>
      <c r="J218" t="s">
        <v>245</v>
      </c>
      <c r="K218" t="s">
        <v>246</v>
      </c>
      <c r="L218">
        <v>23107</v>
      </c>
      <c r="M218" t="s">
        <v>247</v>
      </c>
      <c r="N218" t="s">
        <v>250</v>
      </c>
      <c r="O218" t="s">
        <v>11</v>
      </c>
      <c r="P218">
        <v>2202</v>
      </c>
      <c r="Q218">
        <v>-5</v>
      </c>
      <c r="R218">
        <v>2.35</v>
      </c>
      <c r="S218">
        <v>-11.75</v>
      </c>
      <c r="T218">
        <v>-9.25</v>
      </c>
      <c r="U218">
        <v>21.28</v>
      </c>
      <c r="V218" t="str">
        <f>VLOOKUP(L218,'[2]tabela de preços'!$A:$D,4,0)</f>
        <v>3M</v>
      </c>
      <c r="W218" t="str">
        <f>VLOOKUP(L218,'[2]tabela de preços'!$A:$F,6,0)</f>
        <v xml:space="preserve">DISCOS / LIXAS / ABRASIVOS </v>
      </c>
      <c r="X218" t="str">
        <f>VLOOKUP(L218,'[2]tabela de preços'!$A:$G,7,0)</f>
        <v>AUTOMOTIVO</v>
      </c>
    </row>
    <row r="219" spans="1:24" x14ac:dyDescent="0.3">
      <c r="A219" t="s">
        <v>241</v>
      </c>
      <c r="C219" t="s">
        <v>249</v>
      </c>
      <c r="D219" s="1">
        <v>46035</v>
      </c>
      <c r="F219">
        <v>9</v>
      </c>
      <c r="G219">
        <v>174</v>
      </c>
      <c r="H219" t="str">
        <f>VLOOKUP(G219,[1]OPERADORES!$A:$B,2,0)</f>
        <v>MIRIÃ LOBATO RODRIGUES</v>
      </c>
      <c r="I219" t="s">
        <v>244</v>
      </c>
      <c r="J219" t="s">
        <v>245</v>
      </c>
      <c r="K219" t="s">
        <v>246</v>
      </c>
      <c r="L219">
        <v>23108</v>
      </c>
      <c r="M219" t="s">
        <v>248</v>
      </c>
      <c r="N219" t="s">
        <v>250</v>
      </c>
      <c r="O219" t="s">
        <v>11</v>
      </c>
      <c r="P219">
        <v>2202</v>
      </c>
      <c r="Q219">
        <v>-3</v>
      </c>
      <c r="R219">
        <v>2.35</v>
      </c>
      <c r="S219">
        <v>-7.05</v>
      </c>
      <c r="T219">
        <v>-5.55</v>
      </c>
      <c r="U219">
        <v>21.28</v>
      </c>
      <c r="V219" t="str">
        <f>VLOOKUP(L219,'[2]tabela de preços'!$A:$D,4,0)</f>
        <v>3M</v>
      </c>
      <c r="W219" t="str">
        <f>VLOOKUP(L219,'[2]tabela de preços'!$A:$F,6,0)</f>
        <v xml:space="preserve">DISCOS / LIXAS / ABRASIVOS </v>
      </c>
      <c r="X219" t="str">
        <f>VLOOKUP(L219,'[2]tabela de preços'!$A:$G,7,0)</f>
        <v>AUTOMOTIVO</v>
      </c>
    </row>
    <row r="220" spans="1:24" x14ac:dyDescent="0.3">
      <c r="A220" t="s">
        <v>241</v>
      </c>
      <c r="C220" t="s">
        <v>251</v>
      </c>
      <c r="D220" s="1">
        <v>46035</v>
      </c>
      <c r="E220" t="s">
        <v>252</v>
      </c>
      <c r="F220">
        <v>9</v>
      </c>
      <c r="G220">
        <v>174</v>
      </c>
      <c r="H220" t="str">
        <f>VLOOKUP(G220,[1]OPERADORES!$A:$B,2,0)</f>
        <v>MIRIÃ LOBATO RODRIGUES</v>
      </c>
      <c r="I220" t="s">
        <v>244</v>
      </c>
      <c r="J220" t="s">
        <v>245</v>
      </c>
      <c r="K220" t="s">
        <v>246</v>
      </c>
      <c r="L220">
        <v>23123</v>
      </c>
      <c r="M220" t="s">
        <v>253</v>
      </c>
      <c r="O220" t="s">
        <v>11</v>
      </c>
      <c r="P220">
        <v>6108</v>
      </c>
      <c r="Q220">
        <v>8</v>
      </c>
      <c r="R220">
        <v>2.35</v>
      </c>
      <c r="S220">
        <v>18.8</v>
      </c>
      <c r="T220">
        <v>14.8</v>
      </c>
      <c r="U220">
        <v>21.28</v>
      </c>
      <c r="V220" t="str">
        <f>VLOOKUP(L220,'[2]tabela de preços'!$A:$D,4,0)</f>
        <v>3M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254</v>
      </c>
      <c r="C221" t="s">
        <v>255</v>
      </c>
      <c r="D221" s="1">
        <v>46043</v>
      </c>
      <c r="E221" t="s">
        <v>256</v>
      </c>
      <c r="F221">
        <v>9</v>
      </c>
      <c r="G221">
        <v>231</v>
      </c>
      <c r="H221" t="str">
        <f>VLOOKUP(G221,[1]OPERADORES!$A:$B,2,0)</f>
        <v>EDIJANE</v>
      </c>
      <c r="I221" t="s">
        <v>21</v>
      </c>
      <c r="J221" t="s">
        <v>66</v>
      </c>
      <c r="K221" t="s">
        <v>257</v>
      </c>
      <c r="L221">
        <v>85318</v>
      </c>
      <c r="M221" t="s">
        <v>258</v>
      </c>
      <c r="O221" t="s">
        <v>11</v>
      </c>
      <c r="P221">
        <v>5102</v>
      </c>
      <c r="Q221">
        <v>1</v>
      </c>
      <c r="R221">
        <v>775.32</v>
      </c>
      <c r="S221">
        <v>775.32</v>
      </c>
      <c r="T221">
        <v>552.80999999999995</v>
      </c>
      <c r="U221">
        <v>28.7</v>
      </c>
      <c r="V221" t="str">
        <f>VLOOKUP(L221,'[2]tabela de preços'!$A:$D,4,0)</f>
        <v>BRASILUX</v>
      </c>
      <c r="W221" t="str">
        <f>VLOOKUP(L221,'[2]tabela de preços'!$A:$F,6,0)</f>
        <v>TINTA EM PÓ</v>
      </c>
      <c r="X221" t="str">
        <f>VLOOKUP(L221,'[2]tabela de preços'!$A:$G,7,0)</f>
        <v>INDUSTRIAL</v>
      </c>
    </row>
    <row r="222" spans="1:24" x14ac:dyDescent="0.3">
      <c r="A222" t="s">
        <v>254</v>
      </c>
      <c r="C222" t="s">
        <v>259</v>
      </c>
      <c r="D222" s="1">
        <v>46043</v>
      </c>
      <c r="E222" t="s">
        <v>260</v>
      </c>
      <c r="F222">
        <v>9</v>
      </c>
      <c r="G222">
        <v>231</v>
      </c>
      <c r="H222" t="str">
        <f>VLOOKUP(G222,[1]OPERADORES!$A:$B,2,0)</f>
        <v>EDIJANE</v>
      </c>
      <c r="I222" t="s">
        <v>21</v>
      </c>
      <c r="J222" t="s">
        <v>66</v>
      </c>
      <c r="K222" t="s">
        <v>257</v>
      </c>
      <c r="L222">
        <v>85401</v>
      </c>
      <c r="M222" t="s">
        <v>261</v>
      </c>
      <c r="O222" t="s">
        <v>11</v>
      </c>
      <c r="P222">
        <v>5102</v>
      </c>
      <c r="Q222">
        <v>1</v>
      </c>
      <c r="R222">
        <v>633.42999999999995</v>
      </c>
      <c r="S222">
        <v>633.42999999999995</v>
      </c>
      <c r="T222">
        <v>451.64</v>
      </c>
      <c r="U222">
        <v>28.7</v>
      </c>
      <c r="V222" t="str">
        <f>VLOOKUP(L222,'[2]tabela de preços'!$A:$D,4,0)</f>
        <v>BRASILUX</v>
      </c>
      <c r="W222" t="str">
        <f>VLOOKUP(L222,'[2]tabela de preços'!$A:$F,6,0)</f>
        <v>TINTA EM PÓ</v>
      </c>
      <c r="X222" t="str">
        <f>VLOOKUP(L222,'[2]tabela de preços'!$A:$G,7,0)</f>
        <v>INDUSTRIAL</v>
      </c>
    </row>
    <row r="223" spans="1:24" x14ac:dyDescent="0.3">
      <c r="A223" t="s">
        <v>254</v>
      </c>
      <c r="C223" t="s">
        <v>2369</v>
      </c>
      <c r="D223" s="1">
        <v>46052</v>
      </c>
      <c r="E223" t="s">
        <v>2370</v>
      </c>
      <c r="F223">
        <v>9</v>
      </c>
      <c r="G223">
        <v>231</v>
      </c>
      <c r="H223" t="str">
        <f>VLOOKUP(G223,[1]OPERADORES!$A:$B,2,0)</f>
        <v>EDIJANE</v>
      </c>
      <c r="I223" t="s">
        <v>21</v>
      </c>
      <c r="J223" t="s">
        <v>66</v>
      </c>
      <c r="K223" t="s">
        <v>257</v>
      </c>
      <c r="L223">
        <v>84560</v>
      </c>
      <c r="M223" t="s">
        <v>118</v>
      </c>
      <c r="O223" t="s">
        <v>11</v>
      </c>
      <c r="P223">
        <v>5102</v>
      </c>
      <c r="Q223">
        <v>8</v>
      </c>
      <c r="R223">
        <v>47.89</v>
      </c>
      <c r="S223">
        <v>383.12</v>
      </c>
      <c r="T223">
        <v>313.27999999999997</v>
      </c>
      <c r="U223">
        <v>18.23</v>
      </c>
      <c r="V223" t="str">
        <f>VLOOKUP(L223,'[2]tabela de preços'!$A:$D,4,0)</f>
        <v>BRASILUX</v>
      </c>
      <c r="W223" t="str">
        <f>VLOOKUP(L223,'[2]tabela de preços'!$A:$F,6,0)</f>
        <v>THINNER DE LIMPEZA</v>
      </c>
      <c r="X223" t="str">
        <f>VLOOKUP(L223,'[2]tabela de preços'!$A:$G,7,0)</f>
        <v>THINNER</v>
      </c>
    </row>
    <row r="224" spans="1:24" x14ac:dyDescent="0.3">
      <c r="A224" t="s">
        <v>254</v>
      </c>
      <c r="C224" t="s">
        <v>2369</v>
      </c>
      <c r="D224" s="1">
        <v>46052</v>
      </c>
      <c r="E224" t="s">
        <v>2370</v>
      </c>
      <c r="F224">
        <v>9</v>
      </c>
      <c r="G224">
        <v>231</v>
      </c>
      <c r="H224" t="str">
        <f>VLOOKUP(G224,[1]OPERADORES!$A:$B,2,0)</f>
        <v>EDIJANE</v>
      </c>
      <c r="I224" t="s">
        <v>21</v>
      </c>
      <c r="J224" t="s">
        <v>66</v>
      </c>
      <c r="K224" t="s">
        <v>257</v>
      </c>
      <c r="L224">
        <v>85318</v>
      </c>
      <c r="M224" t="s">
        <v>258</v>
      </c>
      <c r="O224" t="s">
        <v>11</v>
      </c>
      <c r="P224">
        <v>5102</v>
      </c>
      <c r="Q224">
        <v>1</v>
      </c>
      <c r="R224">
        <v>775.32</v>
      </c>
      <c r="S224">
        <v>775.32</v>
      </c>
      <c r="T224">
        <v>552.80999999999995</v>
      </c>
      <c r="U224">
        <v>28.7</v>
      </c>
      <c r="V224" t="str">
        <f>VLOOKUP(L224,'[2]tabela de preços'!$A:$D,4,0)</f>
        <v>BRASILUX</v>
      </c>
      <c r="W224" t="str">
        <f>VLOOKUP(L224,'[2]tabela de preços'!$A:$F,6,0)</f>
        <v>TINTA EM PÓ</v>
      </c>
      <c r="X224" t="str">
        <f>VLOOKUP(L224,'[2]tabela de preços'!$A:$G,7,0)</f>
        <v>INDUSTRIAL</v>
      </c>
    </row>
    <row r="225" spans="1:24" x14ac:dyDescent="0.3">
      <c r="A225" t="s">
        <v>262</v>
      </c>
      <c r="C225" t="s">
        <v>263</v>
      </c>
      <c r="D225" s="1">
        <v>46030</v>
      </c>
      <c r="E225" t="s">
        <v>264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21</v>
      </c>
      <c r="J225" t="s">
        <v>265</v>
      </c>
      <c r="K225" t="s">
        <v>266</v>
      </c>
      <c r="L225">
        <v>85695</v>
      </c>
      <c r="M225" t="s">
        <v>267</v>
      </c>
      <c r="O225" t="s">
        <v>11</v>
      </c>
      <c r="P225">
        <v>5102</v>
      </c>
      <c r="Q225">
        <v>12</v>
      </c>
      <c r="R225">
        <v>3.69</v>
      </c>
      <c r="S225">
        <v>44.28</v>
      </c>
      <c r="T225">
        <v>34.92</v>
      </c>
      <c r="U225">
        <v>21.14</v>
      </c>
      <c r="V225" t="str">
        <f>VLOOKUP(L225,'[2]tabela de preços'!$A:$D,4,0)</f>
        <v>UNIPEGA</v>
      </c>
      <c r="W225" t="str">
        <f>VLOOKUP(L225,'[2]tabela de preços'!$A:$F,6,0)</f>
        <v>PU 40</v>
      </c>
      <c r="X225" t="str">
        <f>VLOOKUP(L225,'[2]tabela de preços'!$A:$G,7,0)</f>
        <v>IMOBILIÁRIO</v>
      </c>
    </row>
    <row r="226" spans="1:24" x14ac:dyDescent="0.3">
      <c r="A226" t="s">
        <v>262</v>
      </c>
      <c r="C226" t="s">
        <v>263</v>
      </c>
      <c r="D226" s="1">
        <v>46030</v>
      </c>
      <c r="E226" t="s">
        <v>264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21</v>
      </c>
      <c r="J226" t="s">
        <v>265</v>
      </c>
      <c r="K226" t="s">
        <v>266</v>
      </c>
      <c r="L226">
        <v>85696</v>
      </c>
      <c r="M226" t="s">
        <v>268</v>
      </c>
      <c r="O226" t="s">
        <v>11</v>
      </c>
      <c r="P226">
        <v>5102</v>
      </c>
      <c r="Q226">
        <v>12</v>
      </c>
      <c r="R226">
        <v>3.69</v>
      </c>
      <c r="S226">
        <v>44.28</v>
      </c>
      <c r="T226">
        <v>34.92</v>
      </c>
      <c r="U226">
        <v>21.14</v>
      </c>
      <c r="V226" t="str">
        <f>VLOOKUP(L226,'[2]tabela de preços'!$A:$D,4,0)</f>
        <v>UNIPEGA</v>
      </c>
      <c r="W226" t="str">
        <f>VLOOKUP(L226,'[2]tabela de preços'!$A:$F,6,0)</f>
        <v>PU 40</v>
      </c>
      <c r="X226" t="str">
        <f>VLOOKUP(L226,'[2]tabela de preços'!$A:$G,7,0)</f>
        <v>IMOBILIÁRIO</v>
      </c>
    </row>
    <row r="227" spans="1:24" x14ac:dyDescent="0.3">
      <c r="A227" t="s">
        <v>262</v>
      </c>
      <c r="C227" t="s">
        <v>263</v>
      </c>
      <c r="D227" s="1">
        <v>46030</v>
      </c>
      <c r="E227" t="s">
        <v>264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21</v>
      </c>
      <c r="J227" t="s">
        <v>265</v>
      </c>
      <c r="K227" t="s">
        <v>266</v>
      </c>
      <c r="L227">
        <v>84335</v>
      </c>
      <c r="M227" t="s">
        <v>269</v>
      </c>
      <c r="O227" t="s">
        <v>11</v>
      </c>
      <c r="P227">
        <v>5403</v>
      </c>
      <c r="Q227">
        <v>4</v>
      </c>
      <c r="R227">
        <v>60.89</v>
      </c>
      <c r="S227">
        <v>243.56</v>
      </c>
      <c r="T227">
        <v>202.6</v>
      </c>
      <c r="U227">
        <v>16.82</v>
      </c>
      <c r="V227" t="str">
        <f>VLOOKUP(L227,'[2]tabela de preços'!$A:$D,4,0)</f>
        <v>BRASILUX</v>
      </c>
      <c r="W227" t="str">
        <f>VLOOKUP(L227,'[2]tabela de preços'!$A:$F,6,0)</f>
        <v>ESMALTES</v>
      </c>
      <c r="X227" t="str">
        <f>VLOOKUP(L227,'[2]tabela de preços'!$A:$G,7,0)</f>
        <v>INDUSTRIAL</v>
      </c>
    </row>
    <row r="228" spans="1:24" x14ac:dyDescent="0.3">
      <c r="A228" t="s">
        <v>262</v>
      </c>
      <c r="C228" t="s">
        <v>263</v>
      </c>
      <c r="D228" s="1">
        <v>46030</v>
      </c>
      <c r="E228" t="s">
        <v>264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21</v>
      </c>
      <c r="J228" t="s">
        <v>265</v>
      </c>
      <c r="K228" t="s">
        <v>266</v>
      </c>
      <c r="L228">
        <v>10224</v>
      </c>
      <c r="M228" t="s">
        <v>270</v>
      </c>
      <c r="O228" t="s">
        <v>11</v>
      </c>
      <c r="P228">
        <v>5102</v>
      </c>
      <c r="Q228">
        <v>25</v>
      </c>
      <c r="R228">
        <v>2.79</v>
      </c>
      <c r="S228">
        <v>69.75</v>
      </c>
      <c r="T228">
        <v>59.25</v>
      </c>
      <c r="U228">
        <v>15.05</v>
      </c>
      <c r="V228" t="str">
        <f>VLOOKUP(L228,'[2]tabela de preços'!$A:$D,4,0)</f>
        <v>NORTON</v>
      </c>
      <c r="W228" t="str">
        <f>VLOOKUP(L228,'[2]tabela de preços'!$A:$F,6,0)</f>
        <v xml:space="preserve">DISCOS / LIXAS / ABRASIVOS </v>
      </c>
      <c r="X228" t="str">
        <f>VLOOKUP(L228,'[2]tabela de preços'!$A:$G,7,0)</f>
        <v>AUTOMOTIVO</v>
      </c>
    </row>
    <row r="229" spans="1:24" x14ac:dyDescent="0.3">
      <c r="A229" t="s">
        <v>262</v>
      </c>
      <c r="C229" t="s">
        <v>263</v>
      </c>
      <c r="D229" s="1">
        <v>46030</v>
      </c>
      <c r="E229" t="s">
        <v>264</v>
      </c>
      <c r="F229">
        <v>9</v>
      </c>
      <c r="G229">
        <v>197</v>
      </c>
      <c r="H229" t="str">
        <f>VLOOKUP(G229,[1]OPERADORES!$A:$B,2,0)</f>
        <v xml:space="preserve">POLIANA LORRANE DE AMORIM </v>
      </c>
      <c r="I229" t="s">
        <v>21</v>
      </c>
      <c r="J229" t="s">
        <v>265</v>
      </c>
      <c r="K229" t="s">
        <v>266</v>
      </c>
      <c r="L229">
        <v>10230</v>
      </c>
      <c r="M229" t="s">
        <v>193</v>
      </c>
      <c r="O229" t="s">
        <v>11</v>
      </c>
      <c r="P229">
        <v>5102</v>
      </c>
      <c r="Q229">
        <v>25</v>
      </c>
      <c r="R229">
        <v>2.79</v>
      </c>
      <c r="S229">
        <v>69.75</v>
      </c>
      <c r="T229">
        <v>59</v>
      </c>
      <c r="U229">
        <v>15.41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262</v>
      </c>
      <c r="C230" t="s">
        <v>263</v>
      </c>
      <c r="D230" s="1">
        <v>46030</v>
      </c>
      <c r="E230" t="s">
        <v>264</v>
      </c>
      <c r="F230">
        <v>9</v>
      </c>
      <c r="G230">
        <v>197</v>
      </c>
      <c r="H230" t="str">
        <f>VLOOKUP(G230,[1]OPERADORES!$A:$B,2,0)</f>
        <v xml:space="preserve">POLIANA LORRANE DE AMORIM </v>
      </c>
      <c r="I230" t="s">
        <v>21</v>
      </c>
      <c r="J230" t="s">
        <v>265</v>
      </c>
      <c r="K230" t="s">
        <v>266</v>
      </c>
      <c r="L230">
        <v>10232</v>
      </c>
      <c r="M230" t="s">
        <v>134</v>
      </c>
      <c r="O230" t="s">
        <v>11</v>
      </c>
      <c r="P230">
        <v>5102</v>
      </c>
      <c r="Q230">
        <v>30</v>
      </c>
      <c r="R230">
        <v>2.79</v>
      </c>
      <c r="S230">
        <v>83.7</v>
      </c>
      <c r="T230">
        <v>68.7</v>
      </c>
      <c r="U230">
        <v>17.920000000000002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262</v>
      </c>
      <c r="C231" t="s">
        <v>263</v>
      </c>
      <c r="D231" s="1">
        <v>46030</v>
      </c>
      <c r="E231" t="s">
        <v>264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265</v>
      </c>
      <c r="K231" t="s">
        <v>266</v>
      </c>
      <c r="L231">
        <v>10237</v>
      </c>
      <c r="M231" t="s">
        <v>271</v>
      </c>
      <c r="O231" t="s">
        <v>11</v>
      </c>
      <c r="P231">
        <v>5102</v>
      </c>
      <c r="Q231">
        <v>10</v>
      </c>
      <c r="R231">
        <v>2.79</v>
      </c>
      <c r="S231">
        <v>27.9</v>
      </c>
      <c r="T231">
        <v>22.9</v>
      </c>
      <c r="U231">
        <v>17.920000000000002</v>
      </c>
      <c r="V231" t="str">
        <f>VLOOKUP(L231,'[2]tabela de preços'!$A:$D,4,0)</f>
        <v>NORTON</v>
      </c>
      <c r="W231" t="str">
        <f>VLOOKUP(L231,'[2]tabela de preços'!$A:$F,6,0)</f>
        <v xml:space="preserve">DISCOS / LIXAS / ABRASIVOS </v>
      </c>
      <c r="X231" t="str">
        <f>VLOOKUP(L231,'[2]tabela de preços'!$A:$G,7,0)</f>
        <v>AUTOMOTIVO</v>
      </c>
    </row>
    <row r="232" spans="1:24" x14ac:dyDescent="0.3">
      <c r="A232" t="s">
        <v>262</v>
      </c>
      <c r="C232" t="s">
        <v>263</v>
      </c>
      <c r="D232" s="1">
        <v>46030</v>
      </c>
      <c r="E232" t="s">
        <v>264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265</v>
      </c>
      <c r="K232" t="s">
        <v>266</v>
      </c>
      <c r="L232">
        <v>22188</v>
      </c>
      <c r="M232" t="s">
        <v>78</v>
      </c>
      <c r="O232" t="s">
        <v>11</v>
      </c>
      <c r="P232">
        <v>5102</v>
      </c>
      <c r="Q232">
        <v>6</v>
      </c>
      <c r="R232">
        <v>12.89</v>
      </c>
      <c r="S232">
        <v>77.34</v>
      </c>
      <c r="T232">
        <v>65.34</v>
      </c>
      <c r="U232">
        <v>15.52</v>
      </c>
      <c r="V232" t="str">
        <f>VLOOKUP(L232,'[2]tabela de preços'!$A:$D,4,0)</f>
        <v>3M</v>
      </c>
      <c r="W232" t="str">
        <f>VLOOKUP(L232,'[2]tabela de preços'!$A:$F,6,0)</f>
        <v>FITA AUTOMOTIVA</v>
      </c>
      <c r="X232" t="str">
        <f>VLOOKUP(L232,'[2]tabela de preços'!$A:$G,7,0)</f>
        <v>AUTOMOTIVO</v>
      </c>
    </row>
    <row r="233" spans="1:24" x14ac:dyDescent="0.3">
      <c r="A233" t="s">
        <v>262</v>
      </c>
      <c r="C233" t="s">
        <v>263</v>
      </c>
      <c r="D233" s="1">
        <v>46030</v>
      </c>
      <c r="E233" t="s">
        <v>264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265</v>
      </c>
      <c r="K233" t="s">
        <v>266</v>
      </c>
      <c r="L233">
        <v>10242</v>
      </c>
      <c r="M233" t="s">
        <v>82</v>
      </c>
      <c r="O233" t="s">
        <v>11</v>
      </c>
      <c r="P233">
        <v>5102</v>
      </c>
      <c r="Q233">
        <v>30</v>
      </c>
      <c r="R233">
        <v>2.79</v>
      </c>
      <c r="S233">
        <v>83.7</v>
      </c>
      <c r="T233">
        <v>68.400000000000006</v>
      </c>
      <c r="U233">
        <v>18.28</v>
      </c>
      <c r="V233" t="str">
        <f>VLOOKUP(L233,'[2]tabela de preços'!$A:$D,4,0)</f>
        <v>NORTON</v>
      </c>
      <c r="W233" t="str">
        <f>VLOOKUP(L233,'[2]tabela de preços'!$A:$F,6,0)</f>
        <v xml:space="preserve">DISCOS / LIXAS / ABRASIVOS </v>
      </c>
      <c r="X233" t="str">
        <f>VLOOKUP(L233,'[2]tabela de preços'!$A:$G,7,0)</f>
        <v>AUTOMOTIVO</v>
      </c>
    </row>
    <row r="234" spans="1:24" x14ac:dyDescent="0.3">
      <c r="A234" t="s">
        <v>262</v>
      </c>
      <c r="C234" t="s">
        <v>263</v>
      </c>
      <c r="D234" s="1">
        <v>46030</v>
      </c>
      <c r="E234" t="s">
        <v>264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265</v>
      </c>
      <c r="K234" t="s">
        <v>266</v>
      </c>
      <c r="L234">
        <v>10246</v>
      </c>
      <c r="M234" t="s">
        <v>206</v>
      </c>
      <c r="O234" t="s">
        <v>11</v>
      </c>
      <c r="P234">
        <v>5102</v>
      </c>
      <c r="Q234">
        <v>30</v>
      </c>
      <c r="R234">
        <v>2.79</v>
      </c>
      <c r="S234">
        <v>83.7</v>
      </c>
      <c r="T234">
        <v>58.5</v>
      </c>
      <c r="U234">
        <v>30.11</v>
      </c>
      <c r="V234" t="str">
        <f>VLOOKUP(L234,'[2]tabela de preços'!$A:$D,4,0)</f>
        <v>NORTON</v>
      </c>
      <c r="W234" t="str">
        <f>VLOOKUP(L234,'[2]tabela de preços'!$A:$F,6,0)</f>
        <v xml:space="preserve">DISCOS / LIXAS / ABRASIVOS </v>
      </c>
      <c r="X234" t="str">
        <f>VLOOKUP(L234,'[2]tabela de preços'!$A:$G,7,0)</f>
        <v>AUTOMOTIVO</v>
      </c>
    </row>
    <row r="235" spans="1:24" x14ac:dyDescent="0.3">
      <c r="A235" t="s">
        <v>262</v>
      </c>
      <c r="C235" t="s">
        <v>263</v>
      </c>
      <c r="D235" s="1">
        <v>46030</v>
      </c>
      <c r="E235" t="s">
        <v>264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265</v>
      </c>
      <c r="K235" t="s">
        <v>266</v>
      </c>
      <c r="L235">
        <v>87043</v>
      </c>
      <c r="M235" t="s">
        <v>217</v>
      </c>
      <c r="O235" t="s">
        <v>11</v>
      </c>
      <c r="P235">
        <v>5102</v>
      </c>
      <c r="Q235">
        <v>18</v>
      </c>
      <c r="R235">
        <v>22.89</v>
      </c>
      <c r="S235">
        <v>412.02</v>
      </c>
      <c r="T235">
        <v>324.36</v>
      </c>
      <c r="U235">
        <v>21.28</v>
      </c>
      <c r="V235" t="str">
        <f>VLOOKUP(L235,'[2]tabela de preços'!$A:$D,4,0)</f>
        <v>ROBERLO</v>
      </c>
      <c r="W235" t="str">
        <f>VLOOKUP(L235,'[2]tabela de preços'!$A:$F,6,0)</f>
        <v>MASSA POLIÉSTER</v>
      </c>
      <c r="X235" t="str">
        <f>VLOOKUP(L235,'[2]tabela de preços'!$A:$G,7,0)</f>
        <v>AUTOMOTIVO</v>
      </c>
    </row>
    <row r="236" spans="1:24" x14ac:dyDescent="0.3">
      <c r="A236" t="s">
        <v>262</v>
      </c>
      <c r="C236" t="s">
        <v>263</v>
      </c>
      <c r="D236" s="1">
        <v>46030</v>
      </c>
      <c r="E236" t="s">
        <v>264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265</v>
      </c>
      <c r="K236" t="s">
        <v>266</v>
      </c>
      <c r="L236">
        <v>21321</v>
      </c>
      <c r="M236" t="s">
        <v>272</v>
      </c>
      <c r="O236" t="s">
        <v>11</v>
      </c>
      <c r="P236">
        <v>5102</v>
      </c>
      <c r="Q236">
        <v>6</v>
      </c>
      <c r="R236">
        <v>18.899999999999999</v>
      </c>
      <c r="S236">
        <v>113.4</v>
      </c>
      <c r="T236">
        <v>92.16</v>
      </c>
      <c r="U236">
        <v>18.73</v>
      </c>
      <c r="V236" t="str">
        <f>VLOOKUP(L236,'[2]tabela de preços'!$A:$D,4,0)</f>
        <v>AUTO AMERICA</v>
      </c>
      <c r="W236" t="str">
        <f>VLOOKUP(L236,'[2]tabela de preços'!$A:$F,6,0)</f>
        <v>CERA  / LIMPEZA /  POLIMENTO VEICULAR</v>
      </c>
      <c r="X236" t="str">
        <f>VLOOKUP(L236,'[2]tabela de preços'!$A:$G,7,0)</f>
        <v>AUTOMOTIVO</v>
      </c>
    </row>
    <row r="237" spans="1:24" x14ac:dyDescent="0.3">
      <c r="A237" t="s">
        <v>262</v>
      </c>
      <c r="C237" t="s">
        <v>263</v>
      </c>
      <c r="D237" s="1">
        <v>46030</v>
      </c>
      <c r="E237" t="s">
        <v>264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265</v>
      </c>
      <c r="K237" t="s">
        <v>266</v>
      </c>
      <c r="L237">
        <v>23287</v>
      </c>
      <c r="M237" t="s">
        <v>273</v>
      </c>
      <c r="O237" t="s">
        <v>11</v>
      </c>
      <c r="P237">
        <v>5102</v>
      </c>
      <c r="Q237">
        <v>2</v>
      </c>
      <c r="R237">
        <v>37.9</v>
      </c>
      <c r="S237">
        <v>75.8</v>
      </c>
      <c r="T237">
        <v>60.7</v>
      </c>
      <c r="U237">
        <v>19.920000000000002</v>
      </c>
      <c r="V237" t="str">
        <f>VLOOKUP(L237,'[2]tabela de preços'!$A:$D,4,0)</f>
        <v>AUTO AMERICA</v>
      </c>
      <c r="W237" t="str">
        <f>VLOOKUP(L237,'[2]tabela de preços'!$A:$F,6,0)</f>
        <v>CERA  / LIMPEZA /  POLIMENTO VEICULAR</v>
      </c>
      <c r="X237" t="str">
        <f>VLOOKUP(L237,'[2]tabela de preços'!$A:$G,7,0)</f>
        <v>AUTOMOTIVO</v>
      </c>
    </row>
    <row r="238" spans="1:24" x14ac:dyDescent="0.3">
      <c r="A238" t="s">
        <v>262</v>
      </c>
      <c r="C238" t="s">
        <v>274</v>
      </c>
      <c r="D238" s="1">
        <v>46048</v>
      </c>
      <c r="E238" t="s">
        <v>275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265</v>
      </c>
      <c r="K238" t="s">
        <v>266</v>
      </c>
      <c r="L238">
        <v>24248</v>
      </c>
      <c r="M238" t="s">
        <v>107</v>
      </c>
      <c r="O238" t="s">
        <v>11</v>
      </c>
      <c r="P238">
        <v>5102</v>
      </c>
      <c r="Q238">
        <v>10</v>
      </c>
      <c r="R238">
        <v>8</v>
      </c>
      <c r="S238">
        <v>80</v>
      </c>
      <c r="T238">
        <v>65</v>
      </c>
      <c r="U238">
        <v>18.75</v>
      </c>
      <c r="V238" t="str">
        <f>VLOOKUP(L238,'[2]tabela de preços'!$A:$D,4,0)</f>
        <v>SHERWIN WILLIAMS</v>
      </c>
      <c r="W238" t="str">
        <f>VLOOKUP(L238,'[2]tabela de preços'!$A:$F,6,0)</f>
        <v>PRIMER AUTOMOTIVO</v>
      </c>
      <c r="X238" t="str">
        <f>VLOOKUP(L238,'[2]tabela de preços'!$A:$G,7,0)</f>
        <v>AUTOMOTIVO</v>
      </c>
    </row>
    <row r="239" spans="1:24" x14ac:dyDescent="0.3">
      <c r="A239" t="s">
        <v>262</v>
      </c>
      <c r="C239" t="s">
        <v>274</v>
      </c>
      <c r="D239" s="1">
        <v>46048</v>
      </c>
      <c r="E239" t="s">
        <v>275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265</v>
      </c>
      <c r="K239" t="s">
        <v>266</v>
      </c>
      <c r="L239">
        <v>86995</v>
      </c>
      <c r="M239" t="s">
        <v>37</v>
      </c>
      <c r="O239" t="s">
        <v>11</v>
      </c>
      <c r="P239">
        <v>5102</v>
      </c>
      <c r="Q239">
        <v>10</v>
      </c>
      <c r="R239">
        <v>7.29</v>
      </c>
      <c r="S239">
        <v>72.900000000000006</v>
      </c>
      <c r="T239">
        <v>58.3</v>
      </c>
      <c r="U239">
        <v>20.03</v>
      </c>
      <c r="V239" t="str">
        <f>VLOOKUP(L239,'[2]tabela de preços'!$A:$D,4,0)</f>
        <v>AUTOAMERICA</v>
      </c>
      <c r="W239" t="str">
        <f>VLOOKUP(L239,'[2]tabela de preços'!$A:$F,6,0)</f>
        <v>FLANELAS / PANOS</v>
      </c>
      <c r="X239" t="str">
        <f>VLOOKUP(L239,'[2]tabela de preços'!$A:$G,7,0)</f>
        <v>AUTOMOTIVO</v>
      </c>
    </row>
    <row r="240" spans="1:24" x14ac:dyDescent="0.3">
      <c r="A240" t="s">
        <v>262</v>
      </c>
      <c r="C240" t="s">
        <v>274</v>
      </c>
      <c r="D240" s="1">
        <v>46048</v>
      </c>
      <c r="E240" t="s">
        <v>275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265</v>
      </c>
      <c r="K240" t="s">
        <v>266</v>
      </c>
      <c r="L240">
        <v>13</v>
      </c>
      <c r="M240" t="s">
        <v>152</v>
      </c>
      <c r="O240" t="s">
        <v>11</v>
      </c>
      <c r="P240">
        <v>5102</v>
      </c>
      <c r="Q240">
        <v>20</v>
      </c>
      <c r="R240">
        <v>5.79</v>
      </c>
      <c r="S240">
        <v>115.8</v>
      </c>
      <c r="T240">
        <v>83.2</v>
      </c>
      <c r="U240">
        <v>28.15</v>
      </c>
      <c r="V240" t="str">
        <f>VLOOKUP(L240,'[2]tabela de preços'!$A:$D,4,0)</f>
        <v>3M</v>
      </c>
      <c r="W240" t="str">
        <f>VLOOKUP(L240,'[2]tabela de preços'!$A:$F,6,0)</f>
        <v>LIXA DÁGUA</v>
      </c>
      <c r="X240" t="str">
        <f>VLOOKUP(L240,'[2]tabela de preços'!$A:$G,7,0)</f>
        <v>AUTOMOTIVO</v>
      </c>
    </row>
    <row r="241" spans="1:24" x14ac:dyDescent="0.3">
      <c r="A241" t="s">
        <v>262</v>
      </c>
      <c r="C241" t="s">
        <v>274</v>
      </c>
      <c r="D241" s="1">
        <v>46048</v>
      </c>
      <c r="E241" t="s">
        <v>275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265</v>
      </c>
      <c r="K241" t="s">
        <v>266</v>
      </c>
      <c r="L241">
        <v>20021</v>
      </c>
      <c r="M241" t="s">
        <v>276</v>
      </c>
      <c r="O241" t="s">
        <v>11</v>
      </c>
      <c r="P241">
        <v>5102</v>
      </c>
      <c r="Q241">
        <v>20</v>
      </c>
      <c r="R241">
        <v>3.43</v>
      </c>
      <c r="S241">
        <v>68.599999999999994</v>
      </c>
      <c r="T241">
        <v>52</v>
      </c>
      <c r="U241">
        <v>24.2</v>
      </c>
      <c r="V241" t="str">
        <f>VLOOKUP(L241,'[2]tabela de preços'!$A:$D,4,0)</f>
        <v>3M</v>
      </c>
      <c r="W241" t="str">
        <f>VLOOKUP(L241,'[2]tabela de preços'!$A:$F,6,0)</f>
        <v>LIXA DÁGUA</v>
      </c>
      <c r="X241" t="str">
        <f>VLOOKUP(L241,'[2]tabela de preços'!$A:$G,7,0)</f>
        <v>AUTOMOTIVO</v>
      </c>
    </row>
    <row r="242" spans="1:24" x14ac:dyDescent="0.3">
      <c r="A242" t="s">
        <v>262</v>
      </c>
      <c r="C242" t="s">
        <v>274</v>
      </c>
      <c r="D242" s="1">
        <v>46048</v>
      </c>
      <c r="E242" t="s">
        <v>275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265</v>
      </c>
      <c r="K242" t="s">
        <v>266</v>
      </c>
      <c r="L242">
        <v>10238</v>
      </c>
      <c r="M242" t="s">
        <v>79</v>
      </c>
      <c r="O242" t="s">
        <v>11</v>
      </c>
      <c r="P242">
        <v>5102</v>
      </c>
      <c r="Q242">
        <v>60</v>
      </c>
      <c r="R242">
        <v>2.79</v>
      </c>
      <c r="S242">
        <v>167.4</v>
      </c>
      <c r="T242">
        <v>134.4</v>
      </c>
      <c r="U242">
        <v>19.71</v>
      </c>
      <c r="V242" t="str">
        <f>VLOOKUP(L242,'[2]tabela de preços'!$A:$D,4,0)</f>
        <v>NORTON</v>
      </c>
      <c r="W242" t="str">
        <f>VLOOKUP(L242,'[2]tabela de preços'!$A:$F,6,0)</f>
        <v xml:space="preserve">DISCOS / LIXAS / ABRASIVOS </v>
      </c>
      <c r="X242" t="str">
        <f>VLOOKUP(L242,'[2]tabela de preços'!$A:$G,7,0)</f>
        <v>AUTOMOTIVO</v>
      </c>
    </row>
    <row r="243" spans="1:24" x14ac:dyDescent="0.3">
      <c r="A243" t="s">
        <v>262</v>
      </c>
      <c r="C243" t="s">
        <v>274</v>
      </c>
      <c r="D243" s="1">
        <v>46048</v>
      </c>
      <c r="E243" t="s">
        <v>275</v>
      </c>
      <c r="F243">
        <v>9</v>
      </c>
      <c r="G243">
        <v>197</v>
      </c>
      <c r="H243" t="str">
        <f>VLOOKUP(G243,[1]OPERADORES!$A:$B,2,0)</f>
        <v xml:space="preserve">POLIANA LORRANE DE AMORIM </v>
      </c>
      <c r="I243" t="s">
        <v>21</v>
      </c>
      <c r="J243" t="s">
        <v>265</v>
      </c>
      <c r="K243" t="s">
        <v>266</v>
      </c>
      <c r="L243">
        <v>10240</v>
      </c>
      <c r="M243" t="s">
        <v>81</v>
      </c>
      <c r="O243" t="s">
        <v>11</v>
      </c>
      <c r="P243">
        <v>5102</v>
      </c>
      <c r="Q243">
        <v>20</v>
      </c>
      <c r="R243">
        <v>2.79</v>
      </c>
      <c r="S243">
        <v>55.8</v>
      </c>
      <c r="T243">
        <v>44.8</v>
      </c>
      <c r="U243">
        <v>19.71</v>
      </c>
      <c r="V243" t="str">
        <f>VLOOKUP(L243,'[2]tabela de preços'!$A:$D,4,0)</f>
        <v>NORTON</v>
      </c>
      <c r="W243" t="str">
        <f>VLOOKUP(L243,'[2]tabela de preços'!$A:$F,6,0)</f>
        <v xml:space="preserve">DISCOS / LIXAS / ABRASIVOS </v>
      </c>
      <c r="X243" t="str">
        <f>VLOOKUP(L243,'[2]tabela de preços'!$A:$G,7,0)</f>
        <v>AUTOMOTIVO</v>
      </c>
    </row>
    <row r="244" spans="1:24" x14ac:dyDescent="0.3">
      <c r="A244" t="s">
        <v>262</v>
      </c>
      <c r="C244" t="s">
        <v>274</v>
      </c>
      <c r="D244" s="1">
        <v>46048</v>
      </c>
      <c r="E244" t="s">
        <v>275</v>
      </c>
      <c r="F244">
        <v>9</v>
      </c>
      <c r="G244">
        <v>197</v>
      </c>
      <c r="H244" t="str">
        <f>VLOOKUP(G244,[1]OPERADORES!$A:$B,2,0)</f>
        <v xml:space="preserve">POLIANA LORRANE DE AMORIM </v>
      </c>
      <c r="I244" t="s">
        <v>21</v>
      </c>
      <c r="J244" t="s">
        <v>265</v>
      </c>
      <c r="K244" t="s">
        <v>266</v>
      </c>
      <c r="L244">
        <v>10243</v>
      </c>
      <c r="M244" t="s">
        <v>83</v>
      </c>
      <c r="O244" t="s">
        <v>11</v>
      </c>
      <c r="P244">
        <v>5102</v>
      </c>
      <c r="Q244">
        <v>60</v>
      </c>
      <c r="R244">
        <v>2.79</v>
      </c>
      <c r="S244">
        <v>167.4</v>
      </c>
      <c r="T244">
        <v>115.8</v>
      </c>
      <c r="U244">
        <v>30.82</v>
      </c>
      <c r="V244" t="str">
        <f>VLOOKUP(L244,'[2]tabela de preços'!$A:$D,4,0)</f>
        <v>NORTON</v>
      </c>
      <c r="W244" t="str">
        <f>VLOOKUP(L244,'[2]tabela de preços'!$A:$F,6,0)</f>
        <v xml:space="preserve">DISCOS / LIXAS / ABRASIVOS </v>
      </c>
      <c r="X244" t="str">
        <f>VLOOKUP(L244,'[2]tabela de preços'!$A:$G,7,0)</f>
        <v>AUTOMOTIVO</v>
      </c>
    </row>
    <row r="245" spans="1:24" x14ac:dyDescent="0.3">
      <c r="A245" t="s">
        <v>262</v>
      </c>
      <c r="C245" t="s">
        <v>274</v>
      </c>
      <c r="D245" s="1">
        <v>46048</v>
      </c>
      <c r="E245" t="s">
        <v>275</v>
      </c>
      <c r="F245">
        <v>9</v>
      </c>
      <c r="G245">
        <v>197</v>
      </c>
      <c r="H245" t="str">
        <f>VLOOKUP(G245,[1]OPERADORES!$A:$B,2,0)</f>
        <v xml:space="preserve">POLIANA LORRANE DE AMORIM </v>
      </c>
      <c r="I245" t="s">
        <v>21</v>
      </c>
      <c r="J245" t="s">
        <v>265</v>
      </c>
      <c r="K245" t="s">
        <v>266</v>
      </c>
      <c r="L245">
        <v>10245</v>
      </c>
      <c r="M245" t="s">
        <v>195</v>
      </c>
      <c r="O245" t="s">
        <v>11</v>
      </c>
      <c r="P245">
        <v>5102</v>
      </c>
      <c r="Q245">
        <v>20</v>
      </c>
      <c r="R245">
        <v>2.79</v>
      </c>
      <c r="S245">
        <v>55.8</v>
      </c>
      <c r="T245">
        <v>38.6</v>
      </c>
      <c r="U245">
        <v>30.82</v>
      </c>
      <c r="V245" t="str">
        <f>VLOOKUP(L245,'[2]tabela de preços'!$A:$D,4,0)</f>
        <v>NORTON</v>
      </c>
      <c r="W245" t="str">
        <f>VLOOKUP(L245,'[2]tabela de preços'!$A:$F,6,0)</f>
        <v xml:space="preserve">DISCOS / LIXAS / ABRASIVOS </v>
      </c>
      <c r="X245" t="str">
        <f>VLOOKUP(L245,'[2]tabela de preços'!$A:$G,7,0)</f>
        <v>AUTOMOTIVO</v>
      </c>
    </row>
    <row r="246" spans="1:24" x14ac:dyDescent="0.3">
      <c r="A246" t="s">
        <v>262</v>
      </c>
      <c r="C246" t="s">
        <v>274</v>
      </c>
      <c r="D246" s="1">
        <v>46048</v>
      </c>
      <c r="E246" t="s">
        <v>275</v>
      </c>
      <c r="F246">
        <v>9</v>
      </c>
      <c r="G246">
        <v>197</v>
      </c>
      <c r="H246" t="str">
        <f>VLOOKUP(G246,[1]OPERADORES!$A:$B,2,0)</f>
        <v xml:space="preserve">POLIANA LORRANE DE AMORIM </v>
      </c>
      <c r="I246" t="s">
        <v>21</v>
      </c>
      <c r="J246" t="s">
        <v>265</v>
      </c>
      <c r="K246" t="s">
        <v>266</v>
      </c>
      <c r="L246">
        <v>84695</v>
      </c>
      <c r="M246" t="s">
        <v>277</v>
      </c>
      <c r="O246" t="s">
        <v>11</v>
      </c>
      <c r="P246">
        <v>5102</v>
      </c>
      <c r="Q246">
        <v>3</v>
      </c>
      <c r="R246">
        <v>5.54</v>
      </c>
      <c r="S246">
        <v>16.62</v>
      </c>
      <c r="T246">
        <v>12.18</v>
      </c>
      <c r="U246">
        <v>26.71</v>
      </c>
      <c r="V246" t="str">
        <f>VLOOKUP(L246,'[2]tabela de preços'!$A:$D,4,0)</f>
        <v>BRASILUX</v>
      </c>
      <c r="W246" t="str">
        <f>VLOOKUP(L246,'[2]tabela de preços'!$A:$F,6,0)</f>
        <v>LINHA MOVELEIRA</v>
      </c>
      <c r="X246" t="str">
        <f>VLOOKUP(L246,'[2]tabela de preços'!$A:$G,7,0)</f>
        <v>MOVELEIRA</v>
      </c>
    </row>
    <row r="247" spans="1:24" x14ac:dyDescent="0.3">
      <c r="A247" t="s">
        <v>262</v>
      </c>
      <c r="C247" t="s">
        <v>274</v>
      </c>
      <c r="D247" s="1">
        <v>46048</v>
      </c>
      <c r="E247" t="s">
        <v>275</v>
      </c>
      <c r="F247">
        <v>9</v>
      </c>
      <c r="G247">
        <v>197</v>
      </c>
      <c r="H247" t="str">
        <f>VLOOKUP(G247,[1]OPERADORES!$A:$B,2,0)</f>
        <v xml:space="preserve">POLIANA LORRANE DE AMORIM </v>
      </c>
      <c r="I247" t="s">
        <v>21</v>
      </c>
      <c r="J247" t="s">
        <v>265</v>
      </c>
      <c r="K247" t="s">
        <v>266</v>
      </c>
      <c r="L247">
        <v>24247</v>
      </c>
      <c r="M247" t="s">
        <v>160</v>
      </c>
      <c r="O247" t="s">
        <v>11</v>
      </c>
      <c r="P247">
        <v>5403</v>
      </c>
      <c r="Q247">
        <v>10</v>
      </c>
      <c r="R247">
        <v>21</v>
      </c>
      <c r="S247">
        <v>210</v>
      </c>
      <c r="T247">
        <v>168.7</v>
      </c>
      <c r="U247">
        <v>19.670000000000002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262</v>
      </c>
      <c r="C248" t="s">
        <v>274</v>
      </c>
      <c r="D248" s="1">
        <v>46048</v>
      </c>
      <c r="E248" t="s">
        <v>275</v>
      </c>
      <c r="F248">
        <v>9</v>
      </c>
      <c r="G248">
        <v>197</v>
      </c>
      <c r="H248" t="str">
        <f>VLOOKUP(G248,[1]OPERADORES!$A:$B,2,0)</f>
        <v xml:space="preserve">POLIANA LORRANE DE AMORIM </v>
      </c>
      <c r="I248" t="s">
        <v>21</v>
      </c>
      <c r="J248" t="s">
        <v>265</v>
      </c>
      <c r="K248" t="s">
        <v>266</v>
      </c>
      <c r="L248">
        <v>85164</v>
      </c>
      <c r="M248" t="s">
        <v>278</v>
      </c>
      <c r="O248" t="s">
        <v>11</v>
      </c>
      <c r="P248">
        <v>5102</v>
      </c>
      <c r="Q248">
        <v>12</v>
      </c>
      <c r="R248">
        <v>13.29</v>
      </c>
      <c r="S248">
        <v>159.47999999999999</v>
      </c>
      <c r="T248">
        <v>121.08</v>
      </c>
      <c r="U248">
        <v>24.08</v>
      </c>
      <c r="V248" t="str">
        <f>VLOOKUP(L248,'[2]tabela de preços'!$A:$D,4,0)</f>
        <v>BRASILUX</v>
      </c>
      <c r="W248" t="str">
        <f>VLOOKUP(L248,'[2]tabela de preços'!$A:$F,6,0)</f>
        <v>QUEROSENE</v>
      </c>
      <c r="X248" t="str">
        <f>VLOOKUP(L248,'[2]tabela de preços'!$A:$G,7,0)</f>
        <v>AUTOMOTIVO</v>
      </c>
    </row>
    <row r="249" spans="1:24" x14ac:dyDescent="0.3">
      <c r="A249" t="s">
        <v>262</v>
      </c>
      <c r="C249" t="s">
        <v>274</v>
      </c>
      <c r="D249" s="1">
        <v>46048</v>
      </c>
      <c r="E249" t="s">
        <v>275</v>
      </c>
      <c r="F249">
        <v>9</v>
      </c>
      <c r="G249">
        <v>197</v>
      </c>
      <c r="H249" t="str">
        <f>VLOOKUP(G249,[1]OPERADORES!$A:$B,2,0)</f>
        <v xml:space="preserve">POLIANA LORRANE DE AMORIM </v>
      </c>
      <c r="I249" t="s">
        <v>21</v>
      </c>
      <c r="J249" t="s">
        <v>265</v>
      </c>
      <c r="K249" t="s">
        <v>266</v>
      </c>
      <c r="L249">
        <v>10297</v>
      </c>
      <c r="M249" t="s">
        <v>41</v>
      </c>
      <c r="O249" t="s">
        <v>11</v>
      </c>
      <c r="P249">
        <v>5102</v>
      </c>
      <c r="Q249">
        <v>36</v>
      </c>
      <c r="R249">
        <v>10.49</v>
      </c>
      <c r="S249">
        <v>377.64</v>
      </c>
      <c r="T249">
        <v>330.12</v>
      </c>
      <c r="U249">
        <v>12.58</v>
      </c>
      <c r="V249" t="str">
        <f>VLOOKUP(L249,'[2]tabela de preços'!$A:$D,4,0)</f>
        <v>ANJO</v>
      </c>
      <c r="W249" t="str">
        <f>VLOOKUP(L249,'[2]tabela de preços'!$A:$F,6,0)</f>
        <v>THINNER DE LIMPEZA</v>
      </c>
      <c r="X249" t="str">
        <f>VLOOKUP(L249,'[2]tabela de preços'!$A:$G,7,0)</f>
        <v>THINNER</v>
      </c>
    </row>
    <row r="250" spans="1:24" x14ac:dyDescent="0.3">
      <c r="A250" t="s">
        <v>279</v>
      </c>
      <c r="C250" t="s">
        <v>280</v>
      </c>
      <c r="D250" s="1">
        <v>46028</v>
      </c>
      <c r="E250" t="s">
        <v>281</v>
      </c>
      <c r="F250">
        <v>9</v>
      </c>
      <c r="G250">
        <v>197</v>
      </c>
      <c r="H250" t="str">
        <f>VLOOKUP(G250,[1]OPERADORES!$A:$B,2,0)</f>
        <v xml:space="preserve">POLIANA LORRANE DE AMORIM </v>
      </c>
      <c r="I250" t="s">
        <v>282</v>
      </c>
      <c r="J250" t="s">
        <v>283</v>
      </c>
      <c r="K250" t="s">
        <v>284</v>
      </c>
      <c r="L250">
        <v>84329</v>
      </c>
      <c r="M250" t="s">
        <v>285</v>
      </c>
      <c r="O250" t="s">
        <v>11</v>
      </c>
      <c r="P250">
        <v>6403</v>
      </c>
      <c r="Q250">
        <v>4</v>
      </c>
      <c r="R250">
        <v>60.89</v>
      </c>
      <c r="S250">
        <v>243.56</v>
      </c>
      <c r="T250">
        <v>193.08</v>
      </c>
      <c r="U250">
        <v>20.73</v>
      </c>
      <c r="V250" t="str">
        <f>VLOOKUP(L250,'[2]tabela de preços'!$A:$D,4,0)</f>
        <v>BRASILUX</v>
      </c>
      <c r="W250" t="str">
        <f>VLOOKUP(L250,'[2]tabela de preços'!$A:$F,6,0)</f>
        <v>ESMALTES</v>
      </c>
      <c r="X250" t="str">
        <f>VLOOKUP(L250,'[2]tabela de preços'!$A:$G,7,0)</f>
        <v>INDUSTRIAL</v>
      </c>
    </row>
    <row r="251" spans="1:24" x14ac:dyDescent="0.3">
      <c r="A251" t="s">
        <v>279</v>
      </c>
      <c r="C251" t="s">
        <v>280</v>
      </c>
      <c r="D251" s="1">
        <v>46028</v>
      </c>
      <c r="E251" t="s">
        <v>281</v>
      </c>
      <c r="F251">
        <v>9</v>
      </c>
      <c r="G251">
        <v>197</v>
      </c>
      <c r="H251" t="str">
        <f>VLOOKUP(G251,[1]OPERADORES!$A:$B,2,0)</f>
        <v xml:space="preserve">POLIANA LORRANE DE AMORIM </v>
      </c>
      <c r="I251" t="s">
        <v>282</v>
      </c>
      <c r="J251" t="s">
        <v>283</v>
      </c>
      <c r="K251" t="s">
        <v>284</v>
      </c>
      <c r="L251">
        <v>85009</v>
      </c>
      <c r="M251" t="s">
        <v>286</v>
      </c>
      <c r="O251" t="s">
        <v>11</v>
      </c>
      <c r="P251">
        <v>6403</v>
      </c>
      <c r="Q251">
        <v>4</v>
      </c>
      <c r="R251">
        <v>60.89</v>
      </c>
      <c r="S251">
        <v>243.56</v>
      </c>
      <c r="T251">
        <v>193.76</v>
      </c>
      <c r="U251">
        <v>20.45</v>
      </c>
      <c r="V251" t="str">
        <f>VLOOKUP(L251,'[2]tabela de preços'!$A:$D,4,0)</f>
        <v>BRASILUX</v>
      </c>
      <c r="W251" t="str">
        <f>VLOOKUP(L251,'[2]tabela de preços'!$A:$F,6,0)</f>
        <v>ESMALTES</v>
      </c>
      <c r="X251" t="str">
        <f>VLOOKUP(L251,'[2]tabela de preços'!$A:$G,7,0)</f>
        <v>INDUSTRIAL</v>
      </c>
    </row>
    <row r="252" spans="1:24" x14ac:dyDescent="0.3">
      <c r="A252" t="s">
        <v>279</v>
      </c>
      <c r="C252" t="s">
        <v>280</v>
      </c>
      <c r="D252" s="1">
        <v>46028</v>
      </c>
      <c r="E252" t="s">
        <v>281</v>
      </c>
      <c r="F252">
        <v>9</v>
      </c>
      <c r="G252">
        <v>197</v>
      </c>
      <c r="H252" t="str">
        <f>VLOOKUP(G252,[1]OPERADORES!$A:$B,2,0)</f>
        <v xml:space="preserve">POLIANA LORRANE DE AMORIM </v>
      </c>
      <c r="I252" t="s">
        <v>282</v>
      </c>
      <c r="J252" t="s">
        <v>283</v>
      </c>
      <c r="K252" t="s">
        <v>284</v>
      </c>
      <c r="L252">
        <v>84122</v>
      </c>
      <c r="M252" t="s">
        <v>287</v>
      </c>
      <c r="O252" t="s">
        <v>11</v>
      </c>
      <c r="P252">
        <v>6403</v>
      </c>
      <c r="Q252">
        <v>6</v>
      </c>
      <c r="R252">
        <v>18.38</v>
      </c>
      <c r="S252">
        <v>110.28</v>
      </c>
      <c r="T252">
        <v>83.7</v>
      </c>
      <c r="U252">
        <v>24.1</v>
      </c>
      <c r="V252" t="str">
        <f>VLOOKUP(L252,'[2]tabela de preços'!$A:$D,4,0)</f>
        <v>BRASILUX</v>
      </c>
      <c r="W252" t="str">
        <f>VLOOKUP(L252,'[2]tabela de preços'!$A:$F,6,0)</f>
        <v>ESMALTES</v>
      </c>
      <c r="X252" t="str">
        <f>VLOOKUP(L252,'[2]tabela de preços'!$A:$G,7,0)</f>
        <v>INDUSTRIAL</v>
      </c>
    </row>
    <row r="253" spans="1:24" x14ac:dyDescent="0.3">
      <c r="A253" t="s">
        <v>279</v>
      </c>
      <c r="C253" t="s">
        <v>280</v>
      </c>
      <c r="D253" s="1">
        <v>46028</v>
      </c>
      <c r="E253" t="s">
        <v>281</v>
      </c>
      <c r="F253">
        <v>9</v>
      </c>
      <c r="G253">
        <v>197</v>
      </c>
      <c r="H253" t="str">
        <f>VLOOKUP(G253,[1]OPERADORES!$A:$B,2,0)</f>
        <v xml:space="preserve">POLIANA LORRANE DE AMORIM </v>
      </c>
      <c r="I253" t="s">
        <v>282</v>
      </c>
      <c r="J253" t="s">
        <v>283</v>
      </c>
      <c r="K253" t="s">
        <v>284</v>
      </c>
      <c r="L253">
        <v>84124</v>
      </c>
      <c r="M253" t="s">
        <v>288</v>
      </c>
      <c r="O253" t="s">
        <v>11</v>
      </c>
      <c r="P253">
        <v>6403</v>
      </c>
      <c r="Q253">
        <v>6</v>
      </c>
      <c r="R253">
        <v>17.61</v>
      </c>
      <c r="S253">
        <v>105.66</v>
      </c>
      <c r="T253">
        <v>80.22</v>
      </c>
      <c r="U253">
        <v>24.08</v>
      </c>
      <c r="V253" t="str">
        <f>VLOOKUP(L253,'[2]tabela de preços'!$A:$D,4,0)</f>
        <v>BRASILUX</v>
      </c>
      <c r="W253" t="str">
        <f>VLOOKUP(L253,'[2]tabela de preços'!$A:$F,6,0)</f>
        <v>ESMALTES</v>
      </c>
      <c r="X253" t="str">
        <f>VLOOKUP(L253,'[2]tabela de preços'!$A:$G,7,0)</f>
        <v>INDUSTRIAL</v>
      </c>
    </row>
    <row r="254" spans="1:24" x14ac:dyDescent="0.3">
      <c r="A254" t="s">
        <v>279</v>
      </c>
      <c r="C254" t="s">
        <v>280</v>
      </c>
      <c r="D254" s="1">
        <v>46028</v>
      </c>
      <c r="E254" t="s">
        <v>281</v>
      </c>
      <c r="F254">
        <v>9</v>
      </c>
      <c r="G254">
        <v>197</v>
      </c>
      <c r="H254" t="str">
        <f>VLOOKUP(G254,[1]OPERADORES!$A:$B,2,0)</f>
        <v xml:space="preserve">POLIANA LORRANE DE AMORIM </v>
      </c>
      <c r="I254" t="s">
        <v>282</v>
      </c>
      <c r="J254" t="s">
        <v>283</v>
      </c>
      <c r="K254" t="s">
        <v>284</v>
      </c>
      <c r="L254">
        <v>84036</v>
      </c>
      <c r="M254" t="s">
        <v>289</v>
      </c>
      <c r="O254" t="s">
        <v>11</v>
      </c>
      <c r="P254">
        <v>6102</v>
      </c>
      <c r="Q254">
        <v>15</v>
      </c>
      <c r="R254">
        <v>47.89</v>
      </c>
      <c r="S254">
        <v>718.35</v>
      </c>
      <c r="T254">
        <v>624.45000000000005</v>
      </c>
      <c r="U254">
        <v>13.07</v>
      </c>
      <c r="V254" t="str">
        <f>VLOOKUP(L254,'[2]tabela de preços'!$A:$D,4,0)</f>
        <v>BRASILUX</v>
      </c>
      <c r="W254" t="str">
        <f>VLOOKUP(L254,'[2]tabela de preços'!$A:$F,6,0)</f>
        <v>MASSA CORRIDA / ACRÍLICA</v>
      </c>
      <c r="X254" t="str">
        <f>VLOOKUP(L254,'[2]tabela de preços'!$A:$G,7,0)</f>
        <v>IMOBILIÁRIO</v>
      </c>
    </row>
    <row r="255" spans="1:24" x14ac:dyDescent="0.3">
      <c r="A255" t="s">
        <v>279</v>
      </c>
      <c r="C255" t="s">
        <v>290</v>
      </c>
      <c r="D255" s="1">
        <v>46030</v>
      </c>
      <c r="E255" t="s">
        <v>291</v>
      </c>
      <c r="F255">
        <v>9</v>
      </c>
      <c r="G255">
        <v>197</v>
      </c>
      <c r="H255" t="str">
        <f>VLOOKUP(G255,[1]OPERADORES!$A:$B,2,0)</f>
        <v xml:space="preserve">POLIANA LORRANE DE AMORIM </v>
      </c>
      <c r="I255" t="s">
        <v>282</v>
      </c>
      <c r="J255" t="s">
        <v>283</v>
      </c>
      <c r="K255" t="s">
        <v>284</v>
      </c>
      <c r="L255">
        <v>84114</v>
      </c>
      <c r="M255" t="s">
        <v>292</v>
      </c>
      <c r="O255" t="s">
        <v>11</v>
      </c>
      <c r="P255">
        <v>6403</v>
      </c>
      <c r="Q255">
        <v>20</v>
      </c>
      <c r="R255">
        <v>155.80000000000001</v>
      </c>
      <c r="S255" s="2">
        <v>3116</v>
      </c>
      <c r="T255" s="2">
        <v>2337.6</v>
      </c>
      <c r="U255">
        <v>24.98</v>
      </c>
      <c r="V255" t="str">
        <f>VLOOKUP(L255,'[2]tabela de preços'!$A:$D,4,0)</f>
        <v>BRASILUX</v>
      </c>
      <c r="W255" t="str">
        <f>VLOOKUP(L255,'[2]tabela de preços'!$A:$F,6,0)</f>
        <v>EPOXI</v>
      </c>
      <c r="X255" t="str">
        <f>VLOOKUP(L255,'[2]tabela de preços'!$A:$G,7,0)</f>
        <v>INDUSTRIAL</v>
      </c>
    </row>
    <row r="256" spans="1:24" x14ac:dyDescent="0.3">
      <c r="A256" t="s">
        <v>279</v>
      </c>
      <c r="C256" t="s">
        <v>293</v>
      </c>
      <c r="D256" s="1">
        <v>46041</v>
      </c>
      <c r="E256" t="s">
        <v>294</v>
      </c>
      <c r="F256">
        <v>9</v>
      </c>
      <c r="G256">
        <v>197</v>
      </c>
      <c r="H256" t="str">
        <f>VLOOKUP(G256,[1]OPERADORES!$A:$B,2,0)</f>
        <v xml:space="preserve">POLIANA LORRANE DE AMORIM </v>
      </c>
      <c r="I256" t="s">
        <v>282</v>
      </c>
      <c r="J256" t="s">
        <v>283</v>
      </c>
      <c r="K256" t="s">
        <v>284</v>
      </c>
      <c r="L256">
        <v>84277</v>
      </c>
      <c r="M256" t="s">
        <v>295</v>
      </c>
      <c r="O256" t="s">
        <v>11</v>
      </c>
      <c r="P256">
        <v>6403</v>
      </c>
      <c r="Q256">
        <v>4</v>
      </c>
      <c r="R256">
        <v>50.32</v>
      </c>
      <c r="S256">
        <v>201.28</v>
      </c>
      <c r="T256">
        <v>147.56</v>
      </c>
      <c r="U256">
        <v>26.69</v>
      </c>
      <c r="V256" t="str">
        <f>VLOOKUP(L256,'[2]tabela de preços'!$A:$D,4,0)</f>
        <v>BRASILUX</v>
      </c>
      <c r="W256" t="str">
        <f>VLOOKUP(L256,'[2]tabela de preços'!$A:$F,6,0)</f>
        <v>TINTA PAREDE</v>
      </c>
      <c r="X256" t="str">
        <f>VLOOKUP(L256,'[2]tabela de preços'!$A:$G,7,0)</f>
        <v>IMOBILIÁRIO</v>
      </c>
    </row>
    <row r="257" spans="1:24" x14ac:dyDescent="0.3">
      <c r="A257" t="s">
        <v>279</v>
      </c>
      <c r="C257" t="s">
        <v>293</v>
      </c>
      <c r="D257" s="1">
        <v>46041</v>
      </c>
      <c r="E257" t="s">
        <v>294</v>
      </c>
      <c r="F257">
        <v>9</v>
      </c>
      <c r="G257">
        <v>197</v>
      </c>
      <c r="H257" t="str">
        <f>VLOOKUP(G257,[1]OPERADORES!$A:$B,2,0)</f>
        <v xml:space="preserve">POLIANA LORRANE DE AMORIM </v>
      </c>
      <c r="I257" t="s">
        <v>282</v>
      </c>
      <c r="J257" t="s">
        <v>283</v>
      </c>
      <c r="K257" t="s">
        <v>284</v>
      </c>
      <c r="L257">
        <v>84076</v>
      </c>
      <c r="M257" t="s">
        <v>30</v>
      </c>
      <c r="O257" t="s">
        <v>11</v>
      </c>
      <c r="P257">
        <v>6403</v>
      </c>
      <c r="Q257">
        <v>6</v>
      </c>
      <c r="R257">
        <v>22.11</v>
      </c>
      <c r="S257">
        <v>132.66</v>
      </c>
      <c r="T257">
        <v>97.26</v>
      </c>
      <c r="U257">
        <v>26.68</v>
      </c>
      <c r="V257" t="str">
        <f>VLOOKUP(L257,'[2]tabela de preços'!$A:$D,4,0)</f>
        <v>BRASILUX</v>
      </c>
      <c r="W257" t="str">
        <f>VLOOKUP(L257,'[2]tabela de preços'!$A:$F,6,0)</f>
        <v>LINHA MOVELEIRA</v>
      </c>
      <c r="X257" t="str">
        <f>VLOOKUP(L257,'[2]tabela de preços'!$A:$G,7,0)</f>
        <v>MOVELEIRA</v>
      </c>
    </row>
    <row r="258" spans="1:24" x14ac:dyDescent="0.3">
      <c r="A258" t="s">
        <v>279</v>
      </c>
      <c r="C258" t="s">
        <v>293</v>
      </c>
      <c r="D258" s="1">
        <v>46041</v>
      </c>
      <c r="E258" t="s">
        <v>294</v>
      </c>
      <c r="F258">
        <v>9</v>
      </c>
      <c r="G258">
        <v>197</v>
      </c>
      <c r="H258" t="str">
        <f>VLOOKUP(G258,[1]OPERADORES!$A:$B,2,0)</f>
        <v xml:space="preserve">POLIANA LORRANE DE AMORIM </v>
      </c>
      <c r="I258" t="s">
        <v>282</v>
      </c>
      <c r="J258" t="s">
        <v>283</v>
      </c>
      <c r="K258" t="s">
        <v>284</v>
      </c>
      <c r="L258">
        <v>84123</v>
      </c>
      <c r="M258" t="s">
        <v>296</v>
      </c>
      <c r="O258" t="s">
        <v>11</v>
      </c>
      <c r="P258">
        <v>6403</v>
      </c>
      <c r="Q258">
        <v>6</v>
      </c>
      <c r="R258">
        <v>19.100000000000001</v>
      </c>
      <c r="S258">
        <v>114.6</v>
      </c>
      <c r="T258">
        <v>87</v>
      </c>
      <c r="U258">
        <v>24.08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279</v>
      </c>
      <c r="C259" t="s">
        <v>293</v>
      </c>
      <c r="D259" s="1">
        <v>46041</v>
      </c>
      <c r="E259" t="s">
        <v>294</v>
      </c>
      <c r="F259">
        <v>9</v>
      </c>
      <c r="G259">
        <v>197</v>
      </c>
      <c r="H259" t="str">
        <f>VLOOKUP(G259,[1]OPERADORES!$A:$B,2,0)</f>
        <v xml:space="preserve">POLIANA LORRANE DE AMORIM </v>
      </c>
      <c r="I259" t="s">
        <v>282</v>
      </c>
      <c r="J259" t="s">
        <v>283</v>
      </c>
      <c r="K259" t="s">
        <v>284</v>
      </c>
      <c r="L259">
        <v>84297</v>
      </c>
      <c r="M259" t="s">
        <v>297</v>
      </c>
      <c r="O259" t="s">
        <v>11</v>
      </c>
      <c r="P259">
        <v>6403</v>
      </c>
      <c r="Q259">
        <v>2</v>
      </c>
      <c r="R259">
        <v>81.569999999999993</v>
      </c>
      <c r="S259">
        <v>163.13999999999999</v>
      </c>
      <c r="T259">
        <v>119.6</v>
      </c>
      <c r="U259">
        <v>26.69</v>
      </c>
      <c r="V259" t="str">
        <f>VLOOKUP(L259,'[2]tabela de preços'!$A:$D,4,0)</f>
        <v>BRASILUX</v>
      </c>
      <c r="W259" t="str">
        <f>VLOOKUP(L259,'[2]tabela de preços'!$A:$F,6,0)</f>
        <v>TINTA EMBORRACHADA</v>
      </c>
      <c r="X259" t="str">
        <f>VLOOKUP(L259,'[2]tabela de preços'!$A:$G,7,0)</f>
        <v>IMOBILIÁRIO</v>
      </c>
    </row>
    <row r="260" spans="1:24" x14ac:dyDescent="0.3">
      <c r="A260" t="s">
        <v>279</v>
      </c>
      <c r="C260" t="s">
        <v>293</v>
      </c>
      <c r="D260" s="1">
        <v>46041</v>
      </c>
      <c r="E260" t="s">
        <v>294</v>
      </c>
      <c r="F260">
        <v>9</v>
      </c>
      <c r="G260">
        <v>197</v>
      </c>
      <c r="H260" t="str">
        <f>VLOOKUP(G260,[1]OPERADORES!$A:$B,2,0)</f>
        <v xml:space="preserve">POLIANA LORRANE DE AMORIM </v>
      </c>
      <c r="I260" t="s">
        <v>282</v>
      </c>
      <c r="J260" t="s">
        <v>283</v>
      </c>
      <c r="K260" t="s">
        <v>284</v>
      </c>
      <c r="L260">
        <v>84172</v>
      </c>
      <c r="M260" t="s">
        <v>298</v>
      </c>
      <c r="O260" t="s">
        <v>11</v>
      </c>
      <c r="P260">
        <v>6403</v>
      </c>
      <c r="Q260">
        <v>4</v>
      </c>
      <c r="R260">
        <v>27.33</v>
      </c>
      <c r="S260">
        <v>109.32</v>
      </c>
      <c r="T260">
        <v>80.16</v>
      </c>
      <c r="U260">
        <v>26.67</v>
      </c>
      <c r="V260" t="str">
        <f>VLOOKUP(L260,'[2]tabela de preços'!$A:$D,4,0)</f>
        <v>BRASILUX</v>
      </c>
      <c r="W260" t="str">
        <f>VLOOKUP(L260,'[2]tabela de preços'!$A:$F,6,0)</f>
        <v>ESMALTES</v>
      </c>
      <c r="X260" t="str">
        <f>VLOOKUP(L260,'[2]tabela de preços'!$A:$G,7,0)</f>
        <v>INDUSTRIAL</v>
      </c>
    </row>
    <row r="261" spans="1:24" x14ac:dyDescent="0.3">
      <c r="A261" t="s">
        <v>279</v>
      </c>
      <c r="C261" t="s">
        <v>299</v>
      </c>
      <c r="D261" s="1">
        <v>46044</v>
      </c>
      <c r="E261" t="s">
        <v>300</v>
      </c>
      <c r="F261">
        <v>9</v>
      </c>
      <c r="G261">
        <v>197</v>
      </c>
      <c r="H261" t="str">
        <f>VLOOKUP(G261,[1]OPERADORES!$A:$B,2,0)</f>
        <v xml:space="preserve">POLIANA LORRANE DE AMORIM </v>
      </c>
      <c r="I261" t="s">
        <v>282</v>
      </c>
      <c r="J261" t="s">
        <v>283</v>
      </c>
      <c r="K261" t="s">
        <v>284</v>
      </c>
      <c r="L261">
        <v>84145</v>
      </c>
      <c r="M261" t="s">
        <v>301</v>
      </c>
      <c r="O261" t="s">
        <v>11</v>
      </c>
      <c r="P261">
        <v>6403</v>
      </c>
      <c r="Q261">
        <v>4</v>
      </c>
      <c r="R261">
        <v>59.98</v>
      </c>
      <c r="S261">
        <v>239.92</v>
      </c>
      <c r="T261">
        <v>208.04</v>
      </c>
      <c r="U261">
        <v>13.29</v>
      </c>
      <c r="V261" t="str">
        <f>VLOOKUP(L261,'[2]tabela de preços'!$A:$D,4,0)</f>
        <v>BRASILUX</v>
      </c>
      <c r="W261" t="str">
        <f>VLOOKUP(L261,'[2]tabela de preços'!$A:$F,6,0)</f>
        <v>ESMALTES</v>
      </c>
      <c r="X261" t="str">
        <f>VLOOKUP(L261,'[2]tabela de preços'!$A:$G,7,0)</f>
        <v>INDUSTRIAL</v>
      </c>
    </row>
    <row r="262" spans="1:24" x14ac:dyDescent="0.3">
      <c r="A262" t="s">
        <v>279</v>
      </c>
      <c r="C262" t="s">
        <v>299</v>
      </c>
      <c r="D262" s="1">
        <v>46044</v>
      </c>
      <c r="E262" t="s">
        <v>300</v>
      </c>
      <c r="F262">
        <v>9</v>
      </c>
      <c r="G262">
        <v>197</v>
      </c>
      <c r="H262" t="str">
        <f>VLOOKUP(G262,[1]OPERADORES!$A:$B,2,0)</f>
        <v xml:space="preserve">POLIANA LORRANE DE AMORIM </v>
      </c>
      <c r="I262" t="s">
        <v>282</v>
      </c>
      <c r="J262" t="s">
        <v>283</v>
      </c>
      <c r="K262" t="s">
        <v>284</v>
      </c>
      <c r="L262">
        <v>84381</v>
      </c>
      <c r="M262" t="s">
        <v>91</v>
      </c>
      <c r="O262" t="s">
        <v>11</v>
      </c>
      <c r="P262">
        <v>6403</v>
      </c>
      <c r="Q262">
        <v>5</v>
      </c>
      <c r="R262">
        <v>159.9</v>
      </c>
      <c r="S262">
        <v>799.5</v>
      </c>
      <c r="T262">
        <v>688.05</v>
      </c>
      <c r="U262">
        <v>13.94</v>
      </c>
      <c r="V262" t="str">
        <f>VLOOKUP(L262,'[2]tabela de preços'!$A:$D,4,0)</f>
        <v>BRASILUX</v>
      </c>
      <c r="W262" t="str">
        <f>VLOOKUP(L262,'[2]tabela de preços'!$A:$F,6,0)</f>
        <v>TINTA PARA PISO</v>
      </c>
      <c r="X262" t="str">
        <f>VLOOKUP(L262,'[2]tabela de preços'!$A:$G,7,0)</f>
        <v>IMOBILIÁRIO</v>
      </c>
    </row>
    <row r="263" spans="1:24" x14ac:dyDescent="0.3">
      <c r="A263" t="s">
        <v>302</v>
      </c>
      <c r="B263" t="s">
        <v>303</v>
      </c>
      <c r="C263" t="s">
        <v>304</v>
      </c>
      <c r="D263" s="1">
        <v>46030</v>
      </c>
      <c r="E263" t="s">
        <v>305</v>
      </c>
      <c r="F263">
        <v>9</v>
      </c>
      <c r="G263">
        <v>174</v>
      </c>
      <c r="H263" t="str">
        <f>VLOOKUP(G263,[1]OPERADORES!$A:$B,2,0)</f>
        <v>MIRIÃ LOBATO RODRIGUES</v>
      </c>
      <c r="I263" t="s">
        <v>21</v>
      </c>
      <c r="J263" t="s">
        <v>306</v>
      </c>
      <c r="K263" t="s">
        <v>307</v>
      </c>
      <c r="L263">
        <v>10226</v>
      </c>
      <c r="M263" t="s">
        <v>145</v>
      </c>
      <c r="O263" t="s">
        <v>11</v>
      </c>
      <c r="P263">
        <v>5102</v>
      </c>
      <c r="Q263">
        <v>408</v>
      </c>
      <c r="R263">
        <v>2.79</v>
      </c>
      <c r="S263" s="2">
        <v>1138.32</v>
      </c>
      <c r="T263">
        <v>966.96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302</v>
      </c>
      <c r="B264" t="s">
        <v>303</v>
      </c>
      <c r="C264" t="s">
        <v>304</v>
      </c>
      <c r="D264" s="1">
        <v>46030</v>
      </c>
      <c r="E264" t="s">
        <v>305</v>
      </c>
      <c r="F264">
        <v>9</v>
      </c>
      <c r="G264">
        <v>174</v>
      </c>
      <c r="H264" t="str">
        <f>VLOOKUP(G264,[1]OPERADORES!$A:$B,2,0)</f>
        <v>MIRIÃ LOBATO RODRIGUES</v>
      </c>
      <c r="I264" t="s">
        <v>21</v>
      </c>
      <c r="J264" t="s">
        <v>306</v>
      </c>
      <c r="K264" t="s">
        <v>307</v>
      </c>
      <c r="L264">
        <v>10238</v>
      </c>
      <c r="M264" t="s">
        <v>79</v>
      </c>
      <c r="O264" t="s">
        <v>11</v>
      </c>
      <c r="P264">
        <v>5102</v>
      </c>
      <c r="Q264" s="2">
        <v>1000</v>
      </c>
      <c r="R264">
        <v>2.79</v>
      </c>
      <c r="S264" s="2">
        <v>2790</v>
      </c>
      <c r="T264" s="2">
        <v>2270</v>
      </c>
      <c r="U264">
        <v>18.64</v>
      </c>
      <c r="V264" t="str">
        <f>VLOOKUP(L264,'[2]tabela de preços'!$A:$D,4,0)</f>
        <v>NORTON</v>
      </c>
      <c r="W264" t="str">
        <f>VLOOKUP(L264,'[2]tabela de preços'!$A:$F,6,0)</f>
        <v xml:space="preserve">DISCOS / LIXAS / ABRASIVOS </v>
      </c>
      <c r="X264" t="str">
        <f>VLOOKUP(L264,'[2]tabela de preços'!$A:$G,7,0)</f>
        <v>AUTOMOTIVO</v>
      </c>
    </row>
    <row r="265" spans="1:24" x14ac:dyDescent="0.3">
      <c r="A265" t="s">
        <v>302</v>
      </c>
      <c r="B265" t="s">
        <v>303</v>
      </c>
      <c r="C265" t="s">
        <v>304</v>
      </c>
      <c r="D265" s="1">
        <v>46030</v>
      </c>
      <c r="E265" t="s">
        <v>305</v>
      </c>
      <c r="F265">
        <v>9</v>
      </c>
      <c r="G265">
        <v>174</v>
      </c>
      <c r="H265" t="str">
        <f>VLOOKUP(G265,[1]OPERADORES!$A:$B,2,0)</f>
        <v>MIRIÃ LOBATO RODRIGUES</v>
      </c>
      <c r="I265" t="s">
        <v>21</v>
      </c>
      <c r="J265" t="s">
        <v>306</v>
      </c>
      <c r="K265" t="s">
        <v>307</v>
      </c>
      <c r="L265">
        <v>10242</v>
      </c>
      <c r="M265" t="s">
        <v>82</v>
      </c>
      <c r="O265" t="s">
        <v>11</v>
      </c>
      <c r="P265">
        <v>5102</v>
      </c>
      <c r="Q265">
        <v>200</v>
      </c>
      <c r="R265">
        <v>2.79</v>
      </c>
      <c r="S265">
        <v>558</v>
      </c>
      <c r="T265">
        <v>456</v>
      </c>
      <c r="U265">
        <v>18.28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308</v>
      </c>
      <c r="C266" t="s">
        <v>309</v>
      </c>
      <c r="D266" s="1">
        <v>46049</v>
      </c>
      <c r="E266" t="s">
        <v>310</v>
      </c>
      <c r="F266">
        <v>9</v>
      </c>
      <c r="G266">
        <v>236</v>
      </c>
      <c r="H266" t="str">
        <f>VLOOKUP(G266,[1]OPERADORES!$A:$B,2,0)</f>
        <v>DANIEL</v>
      </c>
      <c r="I266" t="s">
        <v>21</v>
      </c>
      <c r="J266" t="s">
        <v>311</v>
      </c>
      <c r="K266" t="s">
        <v>312</v>
      </c>
      <c r="L266">
        <v>22684</v>
      </c>
      <c r="M266" t="s">
        <v>73</v>
      </c>
      <c r="O266" t="s">
        <v>11</v>
      </c>
      <c r="P266">
        <v>5102</v>
      </c>
      <c r="Q266">
        <v>160</v>
      </c>
      <c r="R266">
        <v>3.65</v>
      </c>
      <c r="S266">
        <v>584</v>
      </c>
      <c r="T266">
        <v>492.8</v>
      </c>
      <c r="U266">
        <v>15.62</v>
      </c>
      <c r="V266" t="str">
        <f>VLOOKUP(L266,'[2]tabela de preços'!$A:$D,4,0)</f>
        <v>3M</v>
      </c>
      <c r="W266" t="str">
        <f>VLOOKUP(L266,'[2]tabela de preços'!$A:$F,6,0)</f>
        <v>FITA AUTOMOTIVA</v>
      </c>
      <c r="X266" t="str">
        <f>VLOOKUP(L266,'[2]tabela de preços'!$A:$G,7,0)</f>
        <v>AUTOMOTIVO</v>
      </c>
    </row>
    <row r="267" spans="1:24" x14ac:dyDescent="0.3">
      <c r="A267" t="s">
        <v>313</v>
      </c>
      <c r="B267" t="s">
        <v>314</v>
      </c>
      <c r="C267" t="s">
        <v>315</v>
      </c>
      <c r="D267" s="1">
        <v>46028</v>
      </c>
      <c r="E267" t="s">
        <v>316</v>
      </c>
      <c r="F267">
        <v>9</v>
      </c>
      <c r="G267">
        <v>197</v>
      </c>
      <c r="H267" t="str">
        <f>VLOOKUP(G267,[1]OPERADORES!$A:$B,2,0)</f>
        <v xml:space="preserve">POLIANA LORRANE DE AMORIM </v>
      </c>
      <c r="I267" t="s">
        <v>317</v>
      </c>
      <c r="J267" t="s">
        <v>318</v>
      </c>
      <c r="K267" t="s">
        <v>319</v>
      </c>
      <c r="L267">
        <v>23714</v>
      </c>
      <c r="M267" t="s">
        <v>213</v>
      </c>
      <c r="O267" t="s">
        <v>11</v>
      </c>
      <c r="P267">
        <v>6102</v>
      </c>
      <c r="Q267">
        <v>2</v>
      </c>
      <c r="R267">
        <v>40.71</v>
      </c>
      <c r="S267">
        <v>81.42</v>
      </c>
      <c r="T267">
        <v>61.8</v>
      </c>
      <c r="U267">
        <v>24.1</v>
      </c>
      <c r="V267" t="str">
        <f>VLOOKUP(L267,'[2]tabela de preços'!$A:$D,4,0)</f>
        <v>NEW PAD</v>
      </c>
      <c r="W267" t="str">
        <f>VLOOKUP(L267,'[2]tabela de preços'!$A:$F,6,0)</f>
        <v>BOINAS PARA POLIMENTO</v>
      </c>
      <c r="X267" t="str">
        <f>VLOOKUP(L267,'[2]tabela de preços'!$A:$G,7,0)</f>
        <v>AUTOMOTIVO</v>
      </c>
    </row>
    <row r="268" spans="1:24" x14ac:dyDescent="0.3">
      <c r="A268" t="s">
        <v>313</v>
      </c>
      <c r="B268" t="s">
        <v>314</v>
      </c>
      <c r="C268" t="s">
        <v>315</v>
      </c>
      <c r="D268" s="1">
        <v>46028</v>
      </c>
      <c r="E268" t="s">
        <v>316</v>
      </c>
      <c r="F268">
        <v>9</v>
      </c>
      <c r="G268">
        <v>197</v>
      </c>
      <c r="H268" t="str">
        <f>VLOOKUP(G268,[1]OPERADORES!$A:$B,2,0)</f>
        <v xml:space="preserve">POLIANA LORRANE DE AMORIM </v>
      </c>
      <c r="I268" t="s">
        <v>317</v>
      </c>
      <c r="J268" t="s">
        <v>318</v>
      </c>
      <c r="K268" t="s">
        <v>319</v>
      </c>
      <c r="L268">
        <v>16</v>
      </c>
      <c r="M268" t="s">
        <v>122</v>
      </c>
      <c r="O268" t="s">
        <v>11</v>
      </c>
      <c r="P268">
        <v>6102</v>
      </c>
      <c r="Q268">
        <v>15</v>
      </c>
      <c r="R268">
        <v>2.9</v>
      </c>
      <c r="S268">
        <v>43.5</v>
      </c>
      <c r="T268">
        <v>33</v>
      </c>
      <c r="U268">
        <v>24.14</v>
      </c>
      <c r="V268" t="str">
        <f>VLOOKUP(L268,'[2]tabela de preços'!$A:$D,4,0)</f>
        <v>3M</v>
      </c>
      <c r="W268" t="str">
        <f>VLOOKUP(L268,'[2]tabela de preços'!$A:$F,6,0)</f>
        <v>LIXA DÁGUA</v>
      </c>
      <c r="X268" t="str">
        <f>VLOOKUP(L268,'[2]tabela de preços'!$A:$G,7,0)</f>
        <v>AUTOMOTIVO</v>
      </c>
    </row>
    <row r="269" spans="1:24" x14ac:dyDescent="0.3">
      <c r="A269" t="s">
        <v>313</v>
      </c>
      <c r="B269" t="s">
        <v>314</v>
      </c>
      <c r="C269" t="s">
        <v>315</v>
      </c>
      <c r="D269" s="1">
        <v>46028</v>
      </c>
      <c r="E269" t="s">
        <v>316</v>
      </c>
      <c r="F269">
        <v>9</v>
      </c>
      <c r="G269">
        <v>197</v>
      </c>
      <c r="H269" t="str">
        <f>VLOOKUP(G269,[1]OPERADORES!$A:$B,2,0)</f>
        <v xml:space="preserve">POLIANA LORRANE DE AMORIM </v>
      </c>
      <c r="I269" t="s">
        <v>317</v>
      </c>
      <c r="J269" t="s">
        <v>318</v>
      </c>
      <c r="K269" t="s">
        <v>319</v>
      </c>
      <c r="L269">
        <v>20021</v>
      </c>
      <c r="M269" t="s">
        <v>276</v>
      </c>
      <c r="O269" t="s">
        <v>11</v>
      </c>
      <c r="P269">
        <v>6102</v>
      </c>
      <c r="Q269">
        <v>15</v>
      </c>
      <c r="R269">
        <v>3.43</v>
      </c>
      <c r="S269">
        <v>51.45</v>
      </c>
      <c r="T269">
        <v>39</v>
      </c>
      <c r="U269">
        <v>24.2</v>
      </c>
      <c r="V269" t="str">
        <f>VLOOKUP(L269,'[2]tabela de preços'!$A:$D,4,0)</f>
        <v>3M</v>
      </c>
      <c r="W269" t="str">
        <f>VLOOKUP(L269,'[2]tabela de preços'!$A:$F,6,0)</f>
        <v>LIXA DÁGUA</v>
      </c>
      <c r="X269" t="str">
        <f>VLOOKUP(L269,'[2]tabela de preços'!$A:$G,7,0)</f>
        <v>AUTOMOTIVO</v>
      </c>
    </row>
    <row r="270" spans="1:24" x14ac:dyDescent="0.3">
      <c r="A270" t="s">
        <v>313</v>
      </c>
      <c r="B270" t="s">
        <v>314</v>
      </c>
      <c r="C270" t="s">
        <v>315</v>
      </c>
      <c r="D270" s="1">
        <v>46028</v>
      </c>
      <c r="E270" t="s">
        <v>316</v>
      </c>
      <c r="F270">
        <v>9</v>
      </c>
      <c r="G270">
        <v>197</v>
      </c>
      <c r="H270" t="str">
        <f>VLOOKUP(G270,[1]OPERADORES!$A:$B,2,0)</f>
        <v xml:space="preserve">POLIANA LORRANE DE AMORIM </v>
      </c>
      <c r="I270" t="s">
        <v>317</v>
      </c>
      <c r="J270" t="s">
        <v>318</v>
      </c>
      <c r="K270" t="s">
        <v>319</v>
      </c>
      <c r="L270">
        <v>20525</v>
      </c>
      <c r="M270" t="s">
        <v>137</v>
      </c>
      <c r="O270" t="s">
        <v>11</v>
      </c>
      <c r="P270">
        <v>6102</v>
      </c>
      <c r="Q270">
        <v>6</v>
      </c>
      <c r="R270">
        <v>13.65</v>
      </c>
      <c r="S270">
        <v>81.900000000000006</v>
      </c>
      <c r="T270">
        <v>62.16</v>
      </c>
      <c r="U270">
        <v>24.1</v>
      </c>
      <c r="V270" t="str">
        <f>VLOOKUP(L270,'[2]tabela de preços'!$A:$D,4,0)</f>
        <v>SHERWIN WILLIAMS</v>
      </c>
      <c r="W270" t="str">
        <f>VLOOKUP(L270,'[2]tabela de preços'!$A:$F,6,0)</f>
        <v>MASSA DE PEQUENOS REPAROS</v>
      </c>
      <c r="X270" t="str">
        <f>VLOOKUP(L270,'[2]tabela de preços'!$A:$G,7,0)</f>
        <v>AUTOMOTIVO</v>
      </c>
    </row>
    <row r="271" spans="1:24" x14ac:dyDescent="0.3">
      <c r="A271" t="s">
        <v>313</v>
      </c>
      <c r="B271" t="s">
        <v>314</v>
      </c>
      <c r="C271" t="s">
        <v>315</v>
      </c>
      <c r="D271" s="1">
        <v>46028</v>
      </c>
      <c r="E271" t="s">
        <v>316</v>
      </c>
      <c r="F271">
        <v>9</v>
      </c>
      <c r="G271">
        <v>197</v>
      </c>
      <c r="H271" t="str">
        <f>VLOOKUP(G271,[1]OPERADORES!$A:$B,2,0)</f>
        <v xml:space="preserve">POLIANA LORRANE DE AMORIM </v>
      </c>
      <c r="I271" t="s">
        <v>317</v>
      </c>
      <c r="J271" t="s">
        <v>318</v>
      </c>
      <c r="K271" t="s">
        <v>319</v>
      </c>
      <c r="L271">
        <v>23584</v>
      </c>
      <c r="M271" t="s">
        <v>196</v>
      </c>
      <c r="O271" t="s">
        <v>11</v>
      </c>
      <c r="P271">
        <v>6102</v>
      </c>
      <c r="Q271">
        <v>12</v>
      </c>
      <c r="R271">
        <v>23.04</v>
      </c>
      <c r="S271">
        <v>276.48</v>
      </c>
      <c r="T271">
        <v>209.88</v>
      </c>
      <c r="U271">
        <v>24.09</v>
      </c>
      <c r="V271" t="str">
        <f>VLOOKUP(L271,'[2]tabela de preços'!$A:$D,4,0)</f>
        <v>MAXI RUBBER</v>
      </c>
      <c r="W271" t="str">
        <f>VLOOKUP(L271,'[2]tabela de preços'!$A:$F,6,0)</f>
        <v>MASSA POLIÉSTER</v>
      </c>
      <c r="X271" t="str">
        <f>VLOOKUP(L271,'[2]tabela de preços'!$A:$G,7,0)</f>
        <v>AUTOMOTIVO</v>
      </c>
    </row>
    <row r="272" spans="1:24" x14ac:dyDescent="0.3">
      <c r="A272" t="s">
        <v>313</v>
      </c>
      <c r="B272" t="s">
        <v>314</v>
      </c>
      <c r="C272" t="s">
        <v>315</v>
      </c>
      <c r="D272" s="1">
        <v>46028</v>
      </c>
      <c r="E272" t="s">
        <v>316</v>
      </c>
      <c r="F272">
        <v>9</v>
      </c>
      <c r="G272">
        <v>197</v>
      </c>
      <c r="H272" t="str">
        <f>VLOOKUP(G272,[1]OPERADORES!$A:$B,2,0)</f>
        <v xml:space="preserve">POLIANA LORRANE DE AMORIM </v>
      </c>
      <c r="I272" t="s">
        <v>317</v>
      </c>
      <c r="J272" t="s">
        <v>318</v>
      </c>
      <c r="K272" t="s">
        <v>319</v>
      </c>
      <c r="L272">
        <v>21321</v>
      </c>
      <c r="M272" t="s">
        <v>272</v>
      </c>
      <c r="O272" t="s">
        <v>11</v>
      </c>
      <c r="P272">
        <v>6102</v>
      </c>
      <c r="Q272">
        <v>4</v>
      </c>
      <c r="R272">
        <v>18.899999999999999</v>
      </c>
      <c r="S272">
        <v>75.599999999999994</v>
      </c>
      <c r="T272">
        <v>61.44</v>
      </c>
      <c r="U272">
        <v>18.73</v>
      </c>
      <c r="V272" t="str">
        <f>VLOOKUP(L272,'[2]tabela de preços'!$A:$D,4,0)</f>
        <v>AUTO AMERICA</v>
      </c>
      <c r="W272" t="str">
        <f>VLOOKUP(L272,'[2]tabela de preços'!$A:$F,6,0)</f>
        <v>CERA  / LIMPEZA /  POLIMENTO VEICULAR</v>
      </c>
      <c r="X272" t="str">
        <f>VLOOKUP(L272,'[2]tabela de preços'!$A:$G,7,0)</f>
        <v>AUTOMOTIVO</v>
      </c>
    </row>
    <row r="273" spans="1:24" x14ac:dyDescent="0.3">
      <c r="A273" t="s">
        <v>313</v>
      </c>
      <c r="B273" t="s">
        <v>314</v>
      </c>
      <c r="C273" t="s">
        <v>320</v>
      </c>
      <c r="D273" s="1">
        <v>46051</v>
      </c>
      <c r="E273" t="s">
        <v>321</v>
      </c>
      <c r="F273">
        <v>9</v>
      </c>
      <c r="G273">
        <v>197</v>
      </c>
      <c r="H273" t="str">
        <f>VLOOKUP(G273,[1]OPERADORES!$A:$B,2,0)</f>
        <v xml:space="preserve">POLIANA LORRANE DE AMORIM </v>
      </c>
      <c r="I273" t="s">
        <v>317</v>
      </c>
      <c r="J273" t="s">
        <v>318</v>
      </c>
      <c r="K273" t="s">
        <v>319</v>
      </c>
      <c r="L273">
        <v>15</v>
      </c>
      <c r="M273" t="s">
        <v>205</v>
      </c>
      <c r="O273" t="s">
        <v>11</v>
      </c>
      <c r="P273">
        <v>6102</v>
      </c>
      <c r="Q273">
        <v>15</v>
      </c>
      <c r="R273">
        <v>5.79</v>
      </c>
      <c r="S273">
        <v>86.85</v>
      </c>
      <c r="T273">
        <v>62.4</v>
      </c>
      <c r="U273">
        <v>28.15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313</v>
      </c>
      <c r="B274" t="s">
        <v>314</v>
      </c>
      <c r="C274" t="s">
        <v>320</v>
      </c>
      <c r="D274" s="1">
        <v>46051</v>
      </c>
      <c r="E274" t="s">
        <v>321</v>
      </c>
      <c r="F274">
        <v>9</v>
      </c>
      <c r="G274">
        <v>197</v>
      </c>
      <c r="H274" t="str">
        <f>VLOOKUP(G274,[1]OPERADORES!$A:$B,2,0)</f>
        <v xml:space="preserve">POLIANA LORRANE DE AMORIM </v>
      </c>
      <c r="I274" t="s">
        <v>317</v>
      </c>
      <c r="J274" t="s">
        <v>318</v>
      </c>
      <c r="K274" t="s">
        <v>319</v>
      </c>
      <c r="L274">
        <v>10243</v>
      </c>
      <c r="M274" t="s">
        <v>83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96.5</v>
      </c>
      <c r="U274">
        <v>30.82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313</v>
      </c>
      <c r="B275" t="s">
        <v>314</v>
      </c>
      <c r="C275" t="s">
        <v>320</v>
      </c>
      <c r="D275" s="1">
        <v>46051</v>
      </c>
      <c r="E275" t="s">
        <v>321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317</v>
      </c>
      <c r="J275" t="s">
        <v>318</v>
      </c>
      <c r="K275" t="s">
        <v>319</v>
      </c>
      <c r="L275">
        <v>87043</v>
      </c>
      <c r="M275" t="s">
        <v>217</v>
      </c>
      <c r="O275" t="s">
        <v>11</v>
      </c>
      <c r="P275">
        <v>6102</v>
      </c>
      <c r="Q275">
        <v>8</v>
      </c>
      <c r="R275">
        <v>21.95</v>
      </c>
      <c r="S275">
        <v>175.6</v>
      </c>
      <c r="T275">
        <v>144.16</v>
      </c>
      <c r="U275">
        <v>17.899999999999999</v>
      </c>
      <c r="V275" t="str">
        <f>VLOOKUP(L275,'[2]tabela de preços'!$A:$D,4,0)</f>
        <v>ROBERLO</v>
      </c>
      <c r="W275" t="str">
        <f>VLOOKUP(L275,'[2]tabela de preços'!$A:$F,6,0)</f>
        <v>MASSA POLIÉSTER</v>
      </c>
      <c r="X275" t="str">
        <f>VLOOKUP(L275,'[2]tabela de preços'!$A:$G,7,0)</f>
        <v>AUTOMOTIVO</v>
      </c>
    </row>
    <row r="276" spans="1:24" x14ac:dyDescent="0.3">
      <c r="A276" t="s">
        <v>313</v>
      </c>
      <c r="B276" t="s">
        <v>314</v>
      </c>
      <c r="C276" t="s">
        <v>320</v>
      </c>
      <c r="D276" s="1">
        <v>46051</v>
      </c>
      <c r="E276" t="s">
        <v>321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317</v>
      </c>
      <c r="J276" t="s">
        <v>318</v>
      </c>
      <c r="K276" t="s">
        <v>319</v>
      </c>
      <c r="L276">
        <v>84460</v>
      </c>
      <c r="M276" t="s">
        <v>322</v>
      </c>
      <c r="O276" t="s">
        <v>11</v>
      </c>
      <c r="P276">
        <v>6102</v>
      </c>
      <c r="Q276">
        <v>4</v>
      </c>
      <c r="R276">
        <v>31.07</v>
      </c>
      <c r="S276">
        <v>124.28</v>
      </c>
      <c r="T276">
        <v>94.32</v>
      </c>
      <c r="U276">
        <v>24.11</v>
      </c>
      <c r="V276" t="str">
        <f>VLOOKUP(L276,'[2]tabela de preços'!$A:$D,4,0)</f>
        <v>BRASILUX</v>
      </c>
      <c r="W276" t="str">
        <f>VLOOKUP(L276,'[2]tabela de preços'!$A:$F,6,0)</f>
        <v>VEDADORES / SELANTES</v>
      </c>
      <c r="X276" t="str">
        <f>VLOOKUP(L276,'[2]tabela de preços'!$A:$G,7,0)</f>
        <v>AUTOMOTIVO</v>
      </c>
    </row>
    <row r="277" spans="1:24" x14ac:dyDescent="0.3">
      <c r="A277" t="s">
        <v>313</v>
      </c>
      <c r="B277" t="s">
        <v>314</v>
      </c>
      <c r="C277" t="s">
        <v>320</v>
      </c>
      <c r="D277" s="1">
        <v>46051</v>
      </c>
      <c r="E277" t="s">
        <v>321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317</v>
      </c>
      <c r="J277" t="s">
        <v>318</v>
      </c>
      <c r="K277" t="s">
        <v>319</v>
      </c>
      <c r="L277">
        <v>10404</v>
      </c>
      <c r="M277" t="s">
        <v>130</v>
      </c>
      <c r="O277" t="s">
        <v>11</v>
      </c>
      <c r="P277">
        <v>6102</v>
      </c>
      <c r="Q277">
        <v>12</v>
      </c>
      <c r="R277">
        <v>16.29</v>
      </c>
      <c r="S277">
        <v>195.48</v>
      </c>
      <c r="T277">
        <v>150.12</v>
      </c>
      <c r="U277">
        <v>23.2</v>
      </c>
      <c r="V277" t="str">
        <f>VLOOKUP(L277,'[2]tabela de preços'!$A:$D,4,0)</f>
        <v>MAXI RUBBER</v>
      </c>
      <c r="W277" t="str">
        <f>VLOOKUP(L277,'[2]tabela de preços'!$A:$F,6,0)</f>
        <v>VEDADORES / SELANTES</v>
      </c>
      <c r="X277" t="str">
        <f>VLOOKUP(L277,'[2]tabela de preços'!$A:$G,7,0)</f>
        <v>AUTOMOTIVO</v>
      </c>
    </row>
    <row r="278" spans="1:24" x14ac:dyDescent="0.3">
      <c r="A278" t="s">
        <v>323</v>
      </c>
      <c r="B278" t="s">
        <v>324</v>
      </c>
      <c r="C278" t="s">
        <v>325</v>
      </c>
      <c r="D278" s="1">
        <v>46045</v>
      </c>
      <c r="E278" t="s">
        <v>326</v>
      </c>
      <c r="F278">
        <v>9</v>
      </c>
      <c r="G278">
        <v>174</v>
      </c>
      <c r="H278" t="str">
        <f>VLOOKUP(G278,[1]OPERADORES!$A:$B,2,0)</f>
        <v>MIRIÃ LOBATO RODRIGUES</v>
      </c>
      <c r="I278" t="s">
        <v>327</v>
      </c>
      <c r="J278" t="s">
        <v>328</v>
      </c>
      <c r="K278" t="s">
        <v>329</v>
      </c>
      <c r="L278">
        <v>85176</v>
      </c>
      <c r="M278" t="s">
        <v>330</v>
      </c>
      <c r="O278" t="s">
        <v>11</v>
      </c>
      <c r="P278">
        <v>6102</v>
      </c>
      <c r="Q278">
        <v>18</v>
      </c>
      <c r="R278">
        <v>28.41</v>
      </c>
      <c r="S278">
        <v>511.38</v>
      </c>
      <c r="T278">
        <v>388.08</v>
      </c>
      <c r="U278">
        <v>24.11</v>
      </c>
      <c r="V278" t="str">
        <f>VLOOKUP(L278,'[2]tabela de preços'!$A:$D,4,0)</f>
        <v>BRASILUX</v>
      </c>
      <c r="W278" t="str">
        <f>VLOOKUP(L278,'[2]tabela de preços'!$A:$F,6,0)</f>
        <v>VERNIZ AUTOMOTIVO</v>
      </c>
      <c r="X278" t="str">
        <f>VLOOKUP(L278,'[2]tabela de preços'!$A:$G,7,0)</f>
        <v>AUTOMOTIVO</v>
      </c>
    </row>
    <row r="279" spans="1:24" x14ac:dyDescent="0.3">
      <c r="A279" t="s">
        <v>323</v>
      </c>
      <c r="B279" t="s">
        <v>324</v>
      </c>
      <c r="C279" t="s">
        <v>325</v>
      </c>
      <c r="D279" s="1">
        <v>46045</v>
      </c>
      <c r="E279" t="s">
        <v>326</v>
      </c>
      <c r="F279">
        <v>9</v>
      </c>
      <c r="G279">
        <v>174</v>
      </c>
      <c r="H279" t="str">
        <f>VLOOKUP(G279,[1]OPERADORES!$A:$B,2,0)</f>
        <v>MIRIÃ LOBATO RODRIGUES</v>
      </c>
      <c r="I279" t="s">
        <v>327</v>
      </c>
      <c r="J279" t="s">
        <v>328</v>
      </c>
      <c r="K279" t="s">
        <v>329</v>
      </c>
      <c r="L279">
        <v>23580</v>
      </c>
      <c r="M279" t="s">
        <v>115</v>
      </c>
      <c r="O279" t="s">
        <v>11</v>
      </c>
      <c r="P279">
        <v>6102</v>
      </c>
      <c r="Q279">
        <v>20</v>
      </c>
      <c r="R279">
        <v>0.56000000000000005</v>
      </c>
      <c r="S279">
        <v>11.2</v>
      </c>
      <c r="T279">
        <v>7.2</v>
      </c>
      <c r="U279">
        <v>35.71</v>
      </c>
      <c r="V279" t="str">
        <f>VLOOKUP(L279,'[2]tabela de preços'!$A:$D,4,0)</f>
        <v>RENOVA COADORES</v>
      </c>
      <c r="W279" t="str">
        <f>VLOOKUP(L279,'[2]tabela de preços'!$A:$F,6,0)</f>
        <v>COADORES</v>
      </c>
      <c r="X279" t="str">
        <f>VLOOKUP(L279,'[2]tabela de preços'!$A:$G,7,0)</f>
        <v>AUTOMOTIVO</v>
      </c>
    </row>
    <row r="280" spans="1:24" x14ac:dyDescent="0.3">
      <c r="A280" t="s">
        <v>323</v>
      </c>
      <c r="B280" t="s">
        <v>324</v>
      </c>
      <c r="C280" t="s">
        <v>325</v>
      </c>
      <c r="D280" s="1">
        <v>46045</v>
      </c>
      <c r="E280" t="s">
        <v>326</v>
      </c>
      <c r="F280">
        <v>9</v>
      </c>
      <c r="G280">
        <v>174</v>
      </c>
      <c r="H280" t="str">
        <f>VLOOKUP(G280,[1]OPERADORES!$A:$B,2,0)</f>
        <v>MIRIÃ LOBATO RODRIGUES</v>
      </c>
      <c r="I280" t="s">
        <v>327</v>
      </c>
      <c r="J280" t="s">
        <v>328</v>
      </c>
      <c r="K280" t="s">
        <v>329</v>
      </c>
      <c r="L280">
        <v>84823</v>
      </c>
      <c r="M280" t="s">
        <v>331</v>
      </c>
      <c r="O280" t="s">
        <v>11</v>
      </c>
      <c r="P280">
        <v>6102</v>
      </c>
      <c r="Q280">
        <v>2</v>
      </c>
      <c r="R280">
        <v>94.64</v>
      </c>
      <c r="S280">
        <v>189.28</v>
      </c>
      <c r="T280">
        <v>143.66</v>
      </c>
      <c r="U280">
        <v>24.1</v>
      </c>
      <c r="V280" t="str">
        <f>VLOOKUP(L280,'[2]tabela de preços'!$A:$D,4,0)</f>
        <v>BRASILUX</v>
      </c>
      <c r="W280" t="str">
        <f>VLOOKUP(L280,'[2]tabela de preços'!$A:$F,6,0)</f>
        <v>DILUENTE</v>
      </c>
      <c r="X280" t="str">
        <f>VLOOKUP(L280,'[2]tabela de preços'!$A:$G,7,0)</f>
        <v>AUTOMOTIVO</v>
      </c>
    </row>
    <row r="281" spans="1:24" x14ac:dyDescent="0.3">
      <c r="A281" t="s">
        <v>323</v>
      </c>
      <c r="B281" t="s">
        <v>324</v>
      </c>
      <c r="C281" t="s">
        <v>325</v>
      </c>
      <c r="D281" s="1">
        <v>46045</v>
      </c>
      <c r="E281" t="s">
        <v>326</v>
      </c>
      <c r="F281">
        <v>9</v>
      </c>
      <c r="G281">
        <v>174</v>
      </c>
      <c r="H281" t="str">
        <f>VLOOKUP(G281,[1]OPERADORES!$A:$B,2,0)</f>
        <v>MIRIÃ LOBATO RODRIGUES</v>
      </c>
      <c r="I281" t="s">
        <v>327</v>
      </c>
      <c r="J281" t="s">
        <v>328</v>
      </c>
      <c r="K281" t="s">
        <v>329</v>
      </c>
      <c r="L281">
        <v>83825</v>
      </c>
      <c r="M281" t="s">
        <v>332</v>
      </c>
      <c r="O281" t="s">
        <v>11</v>
      </c>
      <c r="P281">
        <v>6102</v>
      </c>
      <c r="Q281">
        <v>50</v>
      </c>
      <c r="R281">
        <v>2.65</v>
      </c>
      <c r="S281">
        <v>132.5</v>
      </c>
      <c r="T281">
        <v>101</v>
      </c>
      <c r="U281">
        <v>23.77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323</v>
      </c>
      <c r="B282" t="s">
        <v>324</v>
      </c>
      <c r="C282" t="s">
        <v>325</v>
      </c>
      <c r="D282" s="1">
        <v>46045</v>
      </c>
      <c r="E282" t="s">
        <v>326</v>
      </c>
      <c r="F282">
        <v>9</v>
      </c>
      <c r="G282">
        <v>174</v>
      </c>
      <c r="H282" t="str">
        <f>VLOOKUP(G282,[1]OPERADORES!$A:$B,2,0)</f>
        <v>MIRIÃ LOBATO RODRIGUES</v>
      </c>
      <c r="I282" t="s">
        <v>327</v>
      </c>
      <c r="J282" t="s">
        <v>328</v>
      </c>
      <c r="K282" t="s">
        <v>329</v>
      </c>
      <c r="L282">
        <v>24240</v>
      </c>
      <c r="M282" t="s">
        <v>240</v>
      </c>
      <c r="O282" t="s">
        <v>11</v>
      </c>
      <c r="P282">
        <v>6102</v>
      </c>
      <c r="Q282">
        <v>20</v>
      </c>
      <c r="R282">
        <v>3.81</v>
      </c>
      <c r="S282">
        <v>76.2</v>
      </c>
      <c r="T282">
        <v>65.599999999999994</v>
      </c>
      <c r="U282">
        <v>13.91</v>
      </c>
      <c r="V282" t="str">
        <f>VLOOKUP(L282,'[2]tabela de preços'!$A:$D,4,0)</f>
        <v>ADERE</v>
      </c>
      <c r="W282" t="str">
        <f>VLOOKUP(L282,'[2]tabela de preços'!$A:$F,6,0)</f>
        <v>FITA AUTOMOTIVA</v>
      </c>
      <c r="X282" t="str">
        <f>VLOOKUP(L282,'[2]tabela de preços'!$A:$G,7,0)</f>
        <v>AUTOMOTIVO</v>
      </c>
    </row>
    <row r="283" spans="1:24" x14ac:dyDescent="0.3">
      <c r="A283" t="s">
        <v>323</v>
      </c>
      <c r="B283" t="s">
        <v>324</v>
      </c>
      <c r="C283" t="s">
        <v>325</v>
      </c>
      <c r="D283" s="1">
        <v>46045</v>
      </c>
      <c r="E283" t="s">
        <v>326</v>
      </c>
      <c r="F283">
        <v>9</v>
      </c>
      <c r="G283">
        <v>174</v>
      </c>
      <c r="H283" t="str">
        <f>VLOOKUP(G283,[1]OPERADORES!$A:$B,2,0)</f>
        <v>MIRIÃ LOBATO RODRIGUES</v>
      </c>
      <c r="I283" t="s">
        <v>327</v>
      </c>
      <c r="J283" t="s">
        <v>328</v>
      </c>
      <c r="K283" t="s">
        <v>329</v>
      </c>
      <c r="L283">
        <v>24241</v>
      </c>
      <c r="M283" t="s">
        <v>233</v>
      </c>
      <c r="O283" t="s">
        <v>11</v>
      </c>
      <c r="P283">
        <v>6102</v>
      </c>
      <c r="Q283">
        <v>10</v>
      </c>
      <c r="R283">
        <v>12.2</v>
      </c>
      <c r="S283">
        <v>122</v>
      </c>
      <c r="T283">
        <v>92.6</v>
      </c>
      <c r="U283">
        <v>24.1</v>
      </c>
      <c r="V283" t="str">
        <f>VLOOKUP(L283,'[2]tabela de preços'!$A:$D,4,0)</f>
        <v>ADERE</v>
      </c>
      <c r="W283" t="str">
        <f>VLOOKUP(L283,'[2]tabela de preços'!$A:$F,6,0)</f>
        <v>FITA AUTOMOTIVA</v>
      </c>
      <c r="X283" t="str">
        <f>VLOOKUP(L283,'[2]tabela de preços'!$A:$G,7,0)</f>
        <v>AUTOMOTIVO</v>
      </c>
    </row>
    <row r="284" spans="1:24" x14ac:dyDescent="0.3">
      <c r="A284" t="s">
        <v>323</v>
      </c>
      <c r="B284" t="s">
        <v>324</v>
      </c>
      <c r="C284" t="s">
        <v>325</v>
      </c>
      <c r="D284" s="1">
        <v>46045</v>
      </c>
      <c r="E284" t="s">
        <v>326</v>
      </c>
      <c r="F284">
        <v>9</v>
      </c>
      <c r="G284">
        <v>174</v>
      </c>
      <c r="H284" t="str">
        <f>VLOOKUP(G284,[1]OPERADORES!$A:$B,2,0)</f>
        <v>MIRIÃ LOBATO RODRIGUES</v>
      </c>
      <c r="I284" t="s">
        <v>327</v>
      </c>
      <c r="J284" t="s">
        <v>328</v>
      </c>
      <c r="K284" t="s">
        <v>329</v>
      </c>
      <c r="L284">
        <v>23076</v>
      </c>
      <c r="M284" t="s">
        <v>97</v>
      </c>
      <c r="O284" t="s">
        <v>11</v>
      </c>
      <c r="P284">
        <v>6403</v>
      </c>
      <c r="Q284">
        <v>12</v>
      </c>
      <c r="R284">
        <v>34.89</v>
      </c>
      <c r="S284">
        <v>418.68</v>
      </c>
      <c r="T284">
        <v>318.36</v>
      </c>
      <c r="U284">
        <v>23.96</v>
      </c>
      <c r="V284" t="str">
        <f>VLOOKUP(L284,'[2]tabela de preços'!$A:$D,4,0)</f>
        <v>WANDA</v>
      </c>
      <c r="W284" t="str">
        <f>VLOOKUP(L284,'[2]tabela de preços'!$A:$F,6,0)</f>
        <v>PRIMER AUTOMOTIVO</v>
      </c>
      <c r="X284" t="str">
        <f>VLOOKUP(L284,'[2]tabela de preços'!$A:$G,7,0)</f>
        <v>AUTOMOTIVO</v>
      </c>
    </row>
    <row r="285" spans="1:24" x14ac:dyDescent="0.3">
      <c r="A285" t="s">
        <v>323</v>
      </c>
      <c r="B285" t="s">
        <v>324</v>
      </c>
      <c r="C285" t="s">
        <v>325</v>
      </c>
      <c r="D285" s="1">
        <v>46045</v>
      </c>
      <c r="E285" t="s">
        <v>326</v>
      </c>
      <c r="F285">
        <v>9</v>
      </c>
      <c r="G285">
        <v>174</v>
      </c>
      <c r="H285" t="str">
        <f>VLOOKUP(G285,[1]OPERADORES!$A:$B,2,0)</f>
        <v>MIRIÃ LOBATO RODRIGUES</v>
      </c>
      <c r="I285" t="s">
        <v>327</v>
      </c>
      <c r="J285" t="s">
        <v>328</v>
      </c>
      <c r="K285" t="s">
        <v>329</v>
      </c>
      <c r="L285">
        <v>13</v>
      </c>
      <c r="M285" t="s">
        <v>152</v>
      </c>
      <c r="O285" t="s">
        <v>11</v>
      </c>
      <c r="P285">
        <v>6102</v>
      </c>
      <c r="Q285">
        <v>25</v>
      </c>
      <c r="R285">
        <v>5.79</v>
      </c>
      <c r="S285">
        <v>144.75</v>
      </c>
      <c r="T285">
        <v>104</v>
      </c>
      <c r="U285">
        <v>28.15</v>
      </c>
      <c r="V285" t="str">
        <f>VLOOKUP(L285,'[2]tabela de preços'!$A:$D,4,0)</f>
        <v>3M</v>
      </c>
      <c r="W285" t="str">
        <f>VLOOKUP(L285,'[2]tabela de preços'!$A:$F,6,0)</f>
        <v>LIXA DÁGUA</v>
      </c>
      <c r="X285" t="str">
        <f>VLOOKUP(L285,'[2]tabela de preços'!$A:$G,7,0)</f>
        <v>AUTOMOTIVO</v>
      </c>
    </row>
    <row r="286" spans="1:24" x14ac:dyDescent="0.3">
      <c r="A286" t="s">
        <v>323</v>
      </c>
      <c r="B286" t="s">
        <v>324</v>
      </c>
      <c r="C286" t="s">
        <v>325</v>
      </c>
      <c r="D286" s="1">
        <v>46045</v>
      </c>
      <c r="E286" t="s">
        <v>326</v>
      </c>
      <c r="F286">
        <v>9</v>
      </c>
      <c r="G286">
        <v>174</v>
      </c>
      <c r="H286" t="str">
        <f>VLOOKUP(G286,[1]OPERADORES!$A:$B,2,0)</f>
        <v>MIRIÃ LOBATO RODRIGUES</v>
      </c>
      <c r="I286" t="s">
        <v>327</v>
      </c>
      <c r="J286" t="s">
        <v>328</v>
      </c>
      <c r="K286" t="s">
        <v>329</v>
      </c>
      <c r="L286">
        <v>15</v>
      </c>
      <c r="M286" t="s">
        <v>205</v>
      </c>
      <c r="O286" t="s">
        <v>11</v>
      </c>
      <c r="P286">
        <v>6102</v>
      </c>
      <c r="Q286">
        <v>25</v>
      </c>
      <c r="R286">
        <v>5.79</v>
      </c>
      <c r="S286">
        <v>144.75</v>
      </c>
      <c r="T286">
        <v>104</v>
      </c>
      <c r="U286">
        <v>28.15</v>
      </c>
      <c r="V286" t="str">
        <f>VLOOKUP(L286,'[2]tabela de preços'!$A:$D,4,0)</f>
        <v>3M</v>
      </c>
      <c r="W286" t="str">
        <f>VLOOKUP(L286,'[2]tabela de preços'!$A:$F,6,0)</f>
        <v>LIXA DÁGUA</v>
      </c>
      <c r="X286" t="str">
        <f>VLOOKUP(L286,'[2]tabela de preços'!$A:$G,7,0)</f>
        <v>AUTOMOTIVO</v>
      </c>
    </row>
    <row r="287" spans="1:24" x14ac:dyDescent="0.3">
      <c r="A287" t="s">
        <v>323</v>
      </c>
      <c r="B287" t="s">
        <v>324</v>
      </c>
      <c r="C287" t="s">
        <v>325</v>
      </c>
      <c r="D287" s="1">
        <v>46045</v>
      </c>
      <c r="E287" t="s">
        <v>326</v>
      </c>
      <c r="F287">
        <v>9</v>
      </c>
      <c r="G287">
        <v>174</v>
      </c>
      <c r="H287" t="str">
        <f>VLOOKUP(G287,[1]OPERADORES!$A:$B,2,0)</f>
        <v>MIRIÃ LOBATO RODRIGUES</v>
      </c>
      <c r="I287" t="s">
        <v>327</v>
      </c>
      <c r="J287" t="s">
        <v>328</v>
      </c>
      <c r="K287" t="s">
        <v>329</v>
      </c>
      <c r="L287">
        <v>10242</v>
      </c>
      <c r="M287" t="s">
        <v>82</v>
      </c>
      <c r="O287" t="s">
        <v>11</v>
      </c>
      <c r="P287">
        <v>6102</v>
      </c>
      <c r="Q287">
        <v>25</v>
      </c>
      <c r="R287">
        <v>2.79</v>
      </c>
      <c r="S287">
        <v>69.75</v>
      </c>
      <c r="T287">
        <v>56</v>
      </c>
      <c r="U287">
        <v>19.71</v>
      </c>
      <c r="V287" t="str">
        <f>VLOOKUP(L287,'[2]tabela de preços'!$A:$D,4,0)</f>
        <v>NORTON</v>
      </c>
      <c r="W287" t="str">
        <f>VLOOKUP(L287,'[2]tabela de preços'!$A:$F,6,0)</f>
        <v xml:space="preserve">DISCOS / LIXAS / ABRASIVOS </v>
      </c>
      <c r="X287" t="str">
        <f>VLOOKUP(L287,'[2]tabela de preços'!$A:$G,7,0)</f>
        <v>AUTOMOTIVO</v>
      </c>
    </row>
    <row r="288" spans="1:24" x14ac:dyDescent="0.3">
      <c r="A288" t="s">
        <v>323</v>
      </c>
      <c r="B288" t="s">
        <v>324</v>
      </c>
      <c r="C288" t="s">
        <v>325</v>
      </c>
      <c r="D288" s="1">
        <v>46045</v>
      </c>
      <c r="E288" t="s">
        <v>326</v>
      </c>
      <c r="F288">
        <v>9</v>
      </c>
      <c r="G288">
        <v>174</v>
      </c>
      <c r="H288" t="str">
        <f>VLOOKUP(G288,[1]OPERADORES!$A:$B,2,0)</f>
        <v>MIRIÃ LOBATO RODRIGUES</v>
      </c>
      <c r="I288" t="s">
        <v>327</v>
      </c>
      <c r="J288" t="s">
        <v>328</v>
      </c>
      <c r="K288" t="s">
        <v>329</v>
      </c>
      <c r="L288">
        <v>10245</v>
      </c>
      <c r="M288" t="s">
        <v>195</v>
      </c>
      <c r="O288" t="s">
        <v>11</v>
      </c>
      <c r="P288">
        <v>6102</v>
      </c>
      <c r="Q288">
        <v>25</v>
      </c>
      <c r="R288">
        <v>2.79</v>
      </c>
      <c r="S288">
        <v>69.75</v>
      </c>
      <c r="T288">
        <v>48.25</v>
      </c>
      <c r="U288">
        <v>30.82</v>
      </c>
      <c r="V288" t="str">
        <f>VLOOKUP(L288,'[2]tabela de preços'!$A:$D,4,0)</f>
        <v>NORTON</v>
      </c>
      <c r="W288" t="str">
        <f>VLOOKUP(L288,'[2]tabela de preços'!$A:$F,6,0)</f>
        <v xml:space="preserve">DISCOS / LIXAS / ABRASIVOS </v>
      </c>
      <c r="X288" t="str">
        <f>VLOOKUP(L288,'[2]tabela de preços'!$A:$G,7,0)</f>
        <v>AUTOMOTIVO</v>
      </c>
    </row>
    <row r="289" spans="1:24" x14ac:dyDescent="0.3">
      <c r="A289" t="s">
        <v>323</v>
      </c>
      <c r="B289" t="s">
        <v>324</v>
      </c>
      <c r="C289" t="s">
        <v>325</v>
      </c>
      <c r="D289" s="1">
        <v>46045</v>
      </c>
      <c r="E289" t="s">
        <v>326</v>
      </c>
      <c r="F289">
        <v>9</v>
      </c>
      <c r="G289">
        <v>174</v>
      </c>
      <c r="H289" t="str">
        <f>VLOOKUP(G289,[1]OPERADORES!$A:$B,2,0)</f>
        <v>MIRIÃ LOBATO RODRIGUES</v>
      </c>
      <c r="I289" t="s">
        <v>327</v>
      </c>
      <c r="J289" t="s">
        <v>328</v>
      </c>
      <c r="K289" t="s">
        <v>329</v>
      </c>
      <c r="L289">
        <v>10246</v>
      </c>
      <c r="M289" t="s">
        <v>206</v>
      </c>
      <c r="O289" t="s">
        <v>11</v>
      </c>
      <c r="P289">
        <v>6102</v>
      </c>
      <c r="Q289">
        <v>25</v>
      </c>
      <c r="R289">
        <v>2.79</v>
      </c>
      <c r="S289">
        <v>69.75</v>
      </c>
      <c r="T289">
        <v>48.25</v>
      </c>
      <c r="U289">
        <v>30.82</v>
      </c>
      <c r="V289" t="str">
        <f>VLOOKUP(L289,'[2]tabela de preços'!$A:$D,4,0)</f>
        <v>NORTON</v>
      </c>
      <c r="W289" t="str">
        <f>VLOOKUP(L289,'[2]tabela de preços'!$A:$F,6,0)</f>
        <v xml:space="preserve">DISCOS / LIXAS / ABRASIVOS </v>
      </c>
      <c r="X289" t="str">
        <f>VLOOKUP(L289,'[2]tabela de preços'!$A:$G,7,0)</f>
        <v>AUTOMOTIVO</v>
      </c>
    </row>
    <row r="290" spans="1:24" x14ac:dyDescent="0.3">
      <c r="A290" t="s">
        <v>323</v>
      </c>
      <c r="B290" t="s">
        <v>324</v>
      </c>
      <c r="C290" t="s">
        <v>325</v>
      </c>
      <c r="D290" s="1">
        <v>46045</v>
      </c>
      <c r="E290" t="s">
        <v>326</v>
      </c>
      <c r="F290">
        <v>9</v>
      </c>
      <c r="G290">
        <v>174</v>
      </c>
      <c r="H290" t="str">
        <f>VLOOKUP(G290,[1]OPERADORES!$A:$B,2,0)</f>
        <v>MIRIÃ LOBATO RODRIGUES</v>
      </c>
      <c r="I290" t="s">
        <v>327</v>
      </c>
      <c r="J290" t="s">
        <v>328</v>
      </c>
      <c r="K290" t="s">
        <v>329</v>
      </c>
      <c r="L290">
        <v>87000</v>
      </c>
      <c r="M290" t="s">
        <v>333</v>
      </c>
      <c r="O290" t="s">
        <v>11</v>
      </c>
      <c r="P290">
        <v>6102</v>
      </c>
      <c r="Q290">
        <v>12</v>
      </c>
      <c r="R290">
        <v>19.89</v>
      </c>
      <c r="S290">
        <v>238.68</v>
      </c>
      <c r="T290">
        <v>202.08</v>
      </c>
      <c r="U290">
        <v>15.33</v>
      </c>
      <c r="V290" t="str">
        <f>VLOOKUP(L290,'[2]tabela de preços'!$A:$D,4,0)</f>
        <v>WANDA</v>
      </c>
      <c r="W290" t="str">
        <f>VLOOKUP(L290,'[2]tabela de preços'!$A:$F,6,0)</f>
        <v>MASSA POLIÉSTER</v>
      </c>
      <c r="X290" t="str">
        <f>VLOOKUP(L290,'[2]tabela de preços'!$A:$G,7,0)</f>
        <v>AUTOMOTIVO</v>
      </c>
    </row>
    <row r="291" spans="1:24" x14ac:dyDescent="0.3">
      <c r="A291" t="s">
        <v>323</v>
      </c>
      <c r="B291" t="s">
        <v>324</v>
      </c>
      <c r="C291" t="s">
        <v>325</v>
      </c>
      <c r="D291" s="1">
        <v>46045</v>
      </c>
      <c r="E291" t="s">
        <v>326</v>
      </c>
      <c r="F291">
        <v>9</v>
      </c>
      <c r="G291">
        <v>174</v>
      </c>
      <c r="H291" t="str">
        <f>VLOOKUP(G291,[1]OPERADORES!$A:$B,2,0)</f>
        <v>MIRIÃ LOBATO RODRIGUES</v>
      </c>
      <c r="I291" t="s">
        <v>327</v>
      </c>
      <c r="J291" t="s">
        <v>328</v>
      </c>
      <c r="K291" t="s">
        <v>329</v>
      </c>
      <c r="L291">
        <v>20212</v>
      </c>
      <c r="M291" t="s">
        <v>198</v>
      </c>
      <c r="O291" t="s">
        <v>11</v>
      </c>
      <c r="P291">
        <v>6403</v>
      </c>
      <c r="Q291">
        <v>2</v>
      </c>
      <c r="R291">
        <v>26.95</v>
      </c>
      <c r="S291">
        <v>53.9</v>
      </c>
      <c r="T291">
        <v>40.92</v>
      </c>
      <c r="U291">
        <v>24.08</v>
      </c>
      <c r="V291" t="str">
        <f>VLOOKUP(L291,'[2]tabela de preços'!$A:$D,4,0)</f>
        <v>MAXI RUBBER</v>
      </c>
      <c r="W291" t="str">
        <f>VLOOKUP(L291,'[2]tabela de preços'!$A:$F,6,0)</f>
        <v>SELADORA P/ PLASTICO</v>
      </c>
      <c r="X291" t="str">
        <f>VLOOKUP(L291,'[2]tabela de preços'!$A:$G,7,0)</f>
        <v>AUTOMOTIVO</v>
      </c>
    </row>
    <row r="292" spans="1:24" x14ac:dyDescent="0.3">
      <c r="A292" t="s">
        <v>323</v>
      </c>
      <c r="B292" t="s">
        <v>324</v>
      </c>
      <c r="C292" t="s">
        <v>325</v>
      </c>
      <c r="D292" s="1">
        <v>46045</v>
      </c>
      <c r="E292" t="s">
        <v>326</v>
      </c>
      <c r="F292">
        <v>9</v>
      </c>
      <c r="G292">
        <v>174</v>
      </c>
      <c r="H292" t="str">
        <f>VLOOKUP(G292,[1]OPERADORES!$A:$B,2,0)</f>
        <v>MIRIÃ LOBATO RODRIGUES</v>
      </c>
      <c r="I292" t="s">
        <v>327</v>
      </c>
      <c r="J292" t="s">
        <v>328</v>
      </c>
      <c r="K292" t="s">
        <v>329</v>
      </c>
      <c r="L292">
        <v>10296</v>
      </c>
      <c r="M292" t="s">
        <v>334</v>
      </c>
      <c r="O292" t="s">
        <v>11</v>
      </c>
      <c r="P292">
        <v>6102</v>
      </c>
      <c r="Q292">
        <v>2</v>
      </c>
      <c r="R292">
        <v>17.02</v>
      </c>
      <c r="S292">
        <v>34.04</v>
      </c>
      <c r="T292">
        <v>25.14</v>
      </c>
      <c r="U292">
        <v>26.15</v>
      </c>
      <c r="V292" t="str">
        <f>VLOOKUP(L292,'[2]tabela de preços'!$A:$D,4,0)</f>
        <v>ANJO</v>
      </c>
      <c r="W292" t="str">
        <f>VLOOKUP(L292,'[2]tabela de preços'!$A:$F,6,0)</f>
        <v>DESENGRAXANTE</v>
      </c>
      <c r="X292" t="str">
        <f>VLOOKUP(L292,'[2]tabela de preços'!$A:$G,7,0)</f>
        <v>AUTOMOTIVO</v>
      </c>
    </row>
    <row r="293" spans="1:24" x14ac:dyDescent="0.3">
      <c r="A293" t="s">
        <v>323</v>
      </c>
      <c r="B293" t="s">
        <v>324</v>
      </c>
      <c r="C293" t="s">
        <v>325</v>
      </c>
      <c r="D293" s="1">
        <v>46045</v>
      </c>
      <c r="E293" t="s">
        <v>326</v>
      </c>
      <c r="F293">
        <v>9</v>
      </c>
      <c r="G293">
        <v>174</v>
      </c>
      <c r="H293" t="str">
        <f>VLOOKUP(G293,[1]OPERADORES!$A:$B,2,0)</f>
        <v>MIRIÃ LOBATO RODRIGUES</v>
      </c>
      <c r="I293" t="s">
        <v>327</v>
      </c>
      <c r="J293" t="s">
        <v>328</v>
      </c>
      <c r="K293" t="s">
        <v>329</v>
      </c>
      <c r="L293">
        <v>84560</v>
      </c>
      <c r="M293" t="s">
        <v>118</v>
      </c>
      <c r="O293" t="s">
        <v>11</v>
      </c>
      <c r="P293">
        <v>6102</v>
      </c>
      <c r="Q293">
        <v>1</v>
      </c>
      <c r="R293">
        <v>47.89</v>
      </c>
      <c r="S293">
        <v>47.89</v>
      </c>
      <c r="T293">
        <v>39.159999999999997</v>
      </c>
      <c r="U293">
        <v>18.23</v>
      </c>
      <c r="V293" t="str">
        <f>VLOOKUP(L293,'[2]tabela de preços'!$A:$D,4,0)</f>
        <v>BRASILUX</v>
      </c>
      <c r="W293" t="str">
        <f>VLOOKUP(L293,'[2]tabela de preços'!$A:$F,6,0)</f>
        <v>THINNER DE LIMPEZA</v>
      </c>
      <c r="X293" t="str">
        <f>VLOOKUP(L293,'[2]tabela de preços'!$A:$G,7,0)</f>
        <v>THINNER</v>
      </c>
    </row>
    <row r="294" spans="1:24" x14ac:dyDescent="0.3">
      <c r="A294" t="s">
        <v>323</v>
      </c>
      <c r="B294" t="s">
        <v>324</v>
      </c>
      <c r="C294" t="s">
        <v>325</v>
      </c>
      <c r="D294" s="1">
        <v>46045</v>
      </c>
      <c r="E294" t="s">
        <v>326</v>
      </c>
      <c r="F294">
        <v>9</v>
      </c>
      <c r="G294">
        <v>174</v>
      </c>
      <c r="H294" t="str">
        <f>VLOOKUP(G294,[1]OPERADORES!$A:$B,2,0)</f>
        <v>MIRIÃ LOBATO RODRIGUES</v>
      </c>
      <c r="I294" t="s">
        <v>327</v>
      </c>
      <c r="J294" t="s">
        <v>328</v>
      </c>
      <c r="K294" t="s">
        <v>329</v>
      </c>
      <c r="L294">
        <v>85163</v>
      </c>
      <c r="M294" t="s">
        <v>335</v>
      </c>
      <c r="O294" t="s">
        <v>11</v>
      </c>
      <c r="P294">
        <v>6403</v>
      </c>
      <c r="Q294">
        <v>18</v>
      </c>
      <c r="R294">
        <v>33.590000000000003</v>
      </c>
      <c r="S294">
        <v>604.62</v>
      </c>
      <c r="T294">
        <v>459</v>
      </c>
      <c r="U294">
        <v>24.08</v>
      </c>
      <c r="V294" t="str">
        <f>VLOOKUP(L294,'[2]tabela de preços'!$A:$D,4,0)</f>
        <v>BRASILUX</v>
      </c>
      <c r="W294" t="str">
        <f>VLOOKUP(L294,'[2]tabela de preços'!$A:$F,6,0)</f>
        <v>VERNIZ AUTOMOTIVO</v>
      </c>
      <c r="X294" t="str">
        <f>VLOOKUP(L294,'[2]tabela de preços'!$A:$G,7,0)</f>
        <v>AUTOMOTIVO</v>
      </c>
    </row>
    <row r="295" spans="1:24" x14ac:dyDescent="0.3">
      <c r="A295" t="s">
        <v>336</v>
      </c>
      <c r="C295" t="s">
        <v>337</v>
      </c>
      <c r="D295" s="1">
        <v>46030</v>
      </c>
      <c r="E295" t="s">
        <v>338</v>
      </c>
      <c r="F295">
        <v>9</v>
      </c>
      <c r="G295">
        <v>236</v>
      </c>
      <c r="H295" t="str">
        <f>VLOOKUP(G295,[1]OPERADORES!$A:$B,2,0)</f>
        <v>DANIEL</v>
      </c>
      <c r="I295" t="s">
        <v>21</v>
      </c>
      <c r="J295" t="s">
        <v>339</v>
      </c>
      <c r="K295" t="s">
        <v>340</v>
      </c>
      <c r="L295">
        <v>85666</v>
      </c>
      <c r="M295" t="s">
        <v>341</v>
      </c>
      <c r="O295" t="s">
        <v>11</v>
      </c>
      <c r="P295">
        <v>5403</v>
      </c>
      <c r="Q295">
        <v>20</v>
      </c>
      <c r="R295">
        <v>13.89</v>
      </c>
      <c r="S295">
        <v>277.8</v>
      </c>
      <c r="T295">
        <v>239.8</v>
      </c>
      <c r="U295">
        <v>13.68</v>
      </c>
      <c r="V295" t="str">
        <f>VLOOKUP(L295,'[2]tabela de preços'!$A:$D,4,0)</f>
        <v>UNIPEGA</v>
      </c>
      <c r="W295" t="str">
        <f>VLOOKUP(L295,'[2]tabela de preços'!$A:$F,6,0)</f>
        <v xml:space="preserve">SPRAYS </v>
      </c>
      <c r="X295" t="str">
        <f>VLOOKUP(L295,'[2]tabela de preços'!$A:$G,7,0)</f>
        <v>AUTOMOTIVO</v>
      </c>
    </row>
    <row r="296" spans="1:24" x14ac:dyDescent="0.3">
      <c r="A296" t="s">
        <v>336</v>
      </c>
      <c r="C296" t="s">
        <v>337</v>
      </c>
      <c r="D296" s="1">
        <v>46030</v>
      </c>
      <c r="E296" t="s">
        <v>338</v>
      </c>
      <c r="F296">
        <v>9</v>
      </c>
      <c r="G296">
        <v>236</v>
      </c>
      <c r="H296" t="str">
        <f>VLOOKUP(G296,[1]OPERADORES!$A:$B,2,0)</f>
        <v>DANIEL</v>
      </c>
      <c r="I296" t="s">
        <v>21</v>
      </c>
      <c r="J296" t="s">
        <v>339</v>
      </c>
      <c r="K296" t="s">
        <v>340</v>
      </c>
      <c r="L296">
        <v>85661</v>
      </c>
      <c r="M296" t="s">
        <v>342</v>
      </c>
      <c r="O296" t="s">
        <v>11</v>
      </c>
      <c r="P296">
        <v>5403</v>
      </c>
      <c r="Q296">
        <v>10</v>
      </c>
      <c r="R296">
        <v>13.89</v>
      </c>
      <c r="S296">
        <v>138.9</v>
      </c>
      <c r="T296">
        <v>110</v>
      </c>
      <c r="U296">
        <v>20.81</v>
      </c>
      <c r="V296" t="str">
        <f>VLOOKUP(L296,'[2]tabela de preços'!$A:$D,4,0)</f>
        <v>UNIPEGA</v>
      </c>
      <c r="W296" t="str">
        <f>VLOOKUP(L296,'[2]tabela de preços'!$A:$F,6,0)</f>
        <v xml:space="preserve">SPRAYS </v>
      </c>
      <c r="X296" t="str">
        <f>VLOOKUP(L296,'[2]tabela de preços'!$A:$G,7,0)</f>
        <v>AUTOMOTIVO</v>
      </c>
    </row>
    <row r="297" spans="1:24" x14ac:dyDescent="0.3">
      <c r="A297" t="s">
        <v>336</v>
      </c>
      <c r="C297" t="s">
        <v>343</v>
      </c>
      <c r="D297" s="1">
        <v>46037</v>
      </c>
      <c r="E297" t="s">
        <v>344</v>
      </c>
      <c r="F297">
        <v>9</v>
      </c>
      <c r="G297">
        <v>236</v>
      </c>
      <c r="H297" t="str">
        <f>VLOOKUP(G297,[1]OPERADORES!$A:$B,2,0)</f>
        <v>DANIEL</v>
      </c>
      <c r="I297" t="s">
        <v>21</v>
      </c>
      <c r="J297" t="s">
        <v>339</v>
      </c>
      <c r="K297" t="s">
        <v>340</v>
      </c>
      <c r="L297">
        <v>85283</v>
      </c>
      <c r="M297" t="s">
        <v>345</v>
      </c>
      <c r="O297" t="s">
        <v>11</v>
      </c>
      <c r="P297">
        <v>5403</v>
      </c>
      <c r="Q297">
        <v>8</v>
      </c>
      <c r="R297">
        <v>172.93</v>
      </c>
      <c r="S297" s="2">
        <v>1383.44</v>
      </c>
      <c r="T297" s="2">
        <v>1050.08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TINTA PARA PISO</v>
      </c>
      <c r="X297" t="str">
        <f>VLOOKUP(L297,'[2]tabela de preços'!$A:$G,7,0)</f>
        <v>IMOBILIÁRIO</v>
      </c>
    </row>
    <row r="298" spans="1:24" x14ac:dyDescent="0.3">
      <c r="A298" t="s">
        <v>336</v>
      </c>
      <c r="C298" t="s">
        <v>343</v>
      </c>
      <c r="D298" s="1">
        <v>46037</v>
      </c>
      <c r="E298" t="s">
        <v>344</v>
      </c>
      <c r="F298">
        <v>9</v>
      </c>
      <c r="G298">
        <v>236</v>
      </c>
      <c r="H298" t="str">
        <f>VLOOKUP(G298,[1]OPERADORES!$A:$B,2,0)</f>
        <v>DANIEL</v>
      </c>
      <c r="I298" t="s">
        <v>21</v>
      </c>
      <c r="J298" t="s">
        <v>339</v>
      </c>
      <c r="K298" t="s">
        <v>340</v>
      </c>
      <c r="L298">
        <v>86939</v>
      </c>
      <c r="M298" t="s">
        <v>346</v>
      </c>
      <c r="O298" t="s">
        <v>11</v>
      </c>
      <c r="P298">
        <v>5102</v>
      </c>
      <c r="Q298">
        <v>2</v>
      </c>
      <c r="R298">
        <v>52.92</v>
      </c>
      <c r="S298">
        <v>105.84</v>
      </c>
      <c r="T298">
        <v>80.34</v>
      </c>
      <c r="U298">
        <v>24.09</v>
      </c>
      <c r="V298" t="str">
        <f>VLOOKUP(L298,'[2]tabela de preços'!$A:$D,4,0)</f>
        <v>ATLAS</v>
      </c>
      <c r="W298" t="str">
        <f>VLOOKUP(L298,'[2]tabela de preços'!$A:$F,6,0)</f>
        <v>ROLOS / TRINCHAS / PINCÉIS / ESPÁTULAS</v>
      </c>
      <c r="X298" t="str">
        <f>VLOOKUP(L298,'[2]tabela de preços'!$A:$G,7,0)</f>
        <v>IMOBILIÁRIO</v>
      </c>
    </row>
    <row r="299" spans="1:24" x14ac:dyDescent="0.3">
      <c r="A299" t="s">
        <v>347</v>
      </c>
      <c r="C299" t="s">
        <v>348</v>
      </c>
      <c r="D299" s="1">
        <v>46044</v>
      </c>
      <c r="E299" t="s">
        <v>349</v>
      </c>
      <c r="F299">
        <v>9</v>
      </c>
      <c r="G299">
        <v>174</v>
      </c>
      <c r="H299" t="str">
        <f>VLOOKUP(G299,[1]OPERADORES!$A:$B,2,0)</f>
        <v>MIRIÃ LOBATO RODRIGUES</v>
      </c>
      <c r="I299" t="s">
        <v>21</v>
      </c>
      <c r="J299" t="s">
        <v>350</v>
      </c>
      <c r="K299" t="s">
        <v>351</v>
      </c>
      <c r="L299">
        <v>86542</v>
      </c>
      <c r="M299" t="s">
        <v>352</v>
      </c>
      <c r="O299" t="s">
        <v>11</v>
      </c>
      <c r="P299">
        <v>5102</v>
      </c>
      <c r="Q299">
        <v>1</v>
      </c>
      <c r="R299">
        <v>78.900000000000006</v>
      </c>
      <c r="S299">
        <v>78.900000000000006</v>
      </c>
      <c r="T299">
        <v>69.16</v>
      </c>
      <c r="U299">
        <v>12.34</v>
      </c>
      <c r="V299" t="str">
        <f>VLOOKUP(L299,'[2]tabela de preços'!$A:$D,4,0)</f>
        <v>CORAL</v>
      </c>
      <c r="W299" t="str">
        <f>VLOOKUP(L299,'[2]tabela de preços'!$A:$F,6,0)</f>
        <v>MASSA CORRIDA / ACRÍLICA</v>
      </c>
      <c r="X299" t="str">
        <f>VLOOKUP(L299,'[2]tabela de preços'!$A:$G,7,0)</f>
        <v>IMOBILIÁRIO</v>
      </c>
    </row>
    <row r="300" spans="1:24" x14ac:dyDescent="0.3">
      <c r="A300" t="s">
        <v>347</v>
      </c>
      <c r="C300" t="s">
        <v>348</v>
      </c>
      <c r="D300" s="1">
        <v>46044</v>
      </c>
      <c r="E300" t="s">
        <v>349</v>
      </c>
      <c r="F300">
        <v>9</v>
      </c>
      <c r="G300">
        <v>174</v>
      </c>
      <c r="H300" t="str">
        <f>VLOOKUP(G300,[1]OPERADORES!$A:$B,2,0)</f>
        <v>MIRIÃ LOBATO RODRIGUES</v>
      </c>
      <c r="I300" t="s">
        <v>21</v>
      </c>
      <c r="J300" t="s">
        <v>350</v>
      </c>
      <c r="K300" t="s">
        <v>351</v>
      </c>
      <c r="L300">
        <v>84420</v>
      </c>
      <c r="M300" t="s">
        <v>353</v>
      </c>
      <c r="O300" t="s">
        <v>11</v>
      </c>
      <c r="P300">
        <v>5102</v>
      </c>
      <c r="Q300">
        <v>2</v>
      </c>
      <c r="R300">
        <v>20.82</v>
      </c>
      <c r="S300">
        <v>41.64</v>
      </c>
      <c r="T300">
        <v>30.88</v>
      </c>
      <c r="U300">
        <v>25.84</v>
      </c>
      <c r="V300" t="str">
        <f>VLOOKUP(L300,'[2]tabela de preços'!$A:$D,4,0)</f>
        <v>ATLAS</v>
      </c>
      <c r="W300" t="str">
        <f>VLOOKUP(L300,'[2]tabela de preços'!$A:$F,6,0)</f>
        <v>ROLOS / TRINCHAS / PINCÉIS / ESPÁTULAS</v>
      </c>
      <c r="X300" t="str">
        <f>VLOOKUP(L300,'[2]tabela de preços'!$A:$G,7,0)</f>
        <v>IMOBILIÁRIO</v>
      </c>
    </row>
    <row r="301" spans="1:24" x14ac:dyDescent="0.3">
      <c r="A301" t="s">
        <v>347</v>
      </c>
      <c r="C301" t="s">
        <v>348</v>
      </c>
      <c r="D301" s="1">
        <v>46044</v>
      </c>
      <c r="E301" t="s">
        <v>349</v>
      </c>
      <c r="F301">
        <v>9</v>
      </c>
      <c r="G301">
        <v>174</v>
      </c>
      <c r="H301" t="str">
        <f>VLOOKUP(G301,[1]OPERADORES!$A:$B,2,0)</f>
        <v>MIRIÃ LOBATO RODRIGUES</v>
      </c>
      <c r="I301" t="s">
        <v>21</v>
      </c>
      <c r="J301" t="s">
        <v>350</v>
      </c>
      <c r="K301" t="s">
        <v>351</v>
      </c>
      <c r="L301">
        <v>85037</v>
      </c>
      <c r="M301" t="s">
        <v>60</v>
      </c>
      <c r="O301" t="s">
        <v>11</v>
      </c>
      <c r="P301">
        <v>5102</v>
      </c>
      <c r="Q301">
        <v>2</v>
      </c>
      <c r="R301">
        <v>6.12</v>
      </c>
      <c r="S301">
        <v>12.24</v>
      </c>
      <c r="T301">
        <v>9.08</v>
      </c>
      <c r="U301">
        <v>25.82</v>
      </c>
      <c r="V301" t="str">
        <f>VLOOKUP(L301,'[2]tabela de preços'!$A:$D,4,0)</f>
        <v>ATLAS</v>
      </c>
      <c r="W301" t="str">
        <f>VLOOKUP(L301,'[2]tabela de preços'!$A:$F,6,0)</f>
        <v>ROLOS / TRINCHAS / PINCÉIS / ESPÁTULAS</v>
      </c>
      <c r="X301" t="str">
        <f>VLOOKUP(L301,'[2]tabela de preços'!$A:$G,7,0)</f>
        <v>IMOBILIÁRIO</v>
      </c>
    </row>
    <row r="302" spans="1:24" x14ac:dyDescent="0.3">
      <c r="A302" t="s">
        <v>354</v>
      </c>
      <c r="C302" t="s">
        <v>355</v>
      </c>
      <c r="D302" s="1">
        <v>46043</v>
      </c>
      <c r="E302" t="s">
        <v>356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357</v>
      </c>
      <c r="K302" t="s">
        <v>358</v>
      </c>
      <c r="L302">
        <v>84324</v>
      </c>
      <c r="M302" t="s">
        <v>359</v>
      </c>
      <c r="O302" t="s">
        <v>11</v>
      </c>
      <c r="P302">
        <v>5403</v>
      </c>
      <c r="Q302">
        <v>40</v>
      </c>
      <c r="R302">
        <v>86.55</v>
      </c>
      <c r="S302" s="2">
        <v>3462</v>
      </c>
      <c r="T302" s="2">
        <v>2788.4</v>
      </c>
      <c r="U302">
        <v>19.46</v>
      </c>
      <c r="V302" t="str">
        <f>VLOOKUP(L302,'[2]tabela de preços'!$A:$D,4,0)</f>
        <v>BRASILUX</v>
      </c>
      <c r="W302" t="str">
        <f>VLOOKUP(L302,'[2]tabela de preços'!$A:$F,6,0)</f>
        <v>ESMALTES</v>
      </c>
      <c r="X302" t="str">
        <f>VLOOKUP(L302,'[2]tabela de preços'!$A:$G,7,0)</f>
        <v>INDUSTRIAL</v>
      </c>
    </row>
    <row r="303" spans="1:24" x14ac:dyDescent="0.3">
      <c r="A303" t="s">
        <v>360</v>
      </c>
      <c r="C303" t="s">
        <v>361</v>
      </c>
      <c r="D303" s="1">
        <v>46027</v>
      </c>
      <c r="E303" t="s">
        <v>362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363</v>
      </c>
      <c r="K303" t="s">
        <v>364</v>
      </c>
      <c r="L303">
        <v>85316</v>
      </c>
      <c r="M303" t="s">
        <v>365</v>
      </c>
      <c r="O303" t="s">
        <v>11</v>
      </c>
      <c r="P303">
        <v>5102</v>
      </c>
      <c r="Q303">
        <v>1</v>
      </c>
      <c r="R303">
        <v>670.83</v>
      </c>
      <c r="S303">
        <v>670.83</v>
      </c>
      <c r="T303">
        <v>478.31</v>
      </c>
      <c r="U303">
        <v>28.7</v>
      </c>
      <c r="V303" t="str">
        <f>VLOOKUP(L303,'[2]tabela de preços'!$A:$D,4,0)</f>
        <v>BRASILUX</v>
      </c>
      <c r="W303" t="str">
        <f>VLOOKUP(L303,'[2]tabela de preços'!$A:$F,6,0)</f>
        <v>TINTA EM PÓ</v>
      </c>
      <c r="X303" t="str">
        <f>VLOOKUP(L303,'[2]tabela de preços'!$A:$G,7,0)</f>
        <v>INDUSTRIAL</v>
      </c>
    </row>
    <row r="304" spans="1:24" x14ac:dyDescent="0.3">
      <c r="A304" t="s">
        <v>360</v>
      </c>
      <c r="C304" t="s">
        <v>366</v>
      </c>
      <c r="D304" s="1">
        <v>46037</v>
      </c>
      <c r="E304" t="s">
        <v>367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363</v>
      </c>
      <c r="K304" t="s">
        <v>364</v>
      </c>
      <c r="L304">
        <v>85397</v>
      </c>
      <c r="M304" t="s">
        <v>368</v>
      </c>
      <c r="O304" t="s">
        <v>11</v>
      </c>
      <c r="P304">
        <v>5102</v>
      </c>
      <c r="Q304">
        <v>1</v>
      </c>
      <c r="R304">
        <v>590.23</v>
      </c>
      <c r="S304">
        <v>590.23</v>
      </c>
      <c r="T304">
        <v>420.84</v>
      </c>
      <c r="U304">
        <v>28.7</v>
      </c>
      <c r="V304" t="str">
        <f>VLOOKUP(L304,'[2]tabela de preços'!$A:$D,4,0)</f>
        <v>BRASILUX</v>
      </c>
      <c r="W304" t="str">
        <f>VLOOKUP(L304,'[2]tabela de preços'!$A:$F,6,0)</f>
        <v>TINTA EM PÓ</v>
      </c>
      <c r="X304" t="str">
        <f>VLOOKUP(L304,'[2]tabela de preços'!$A:$G,7,0)</f>
        <v>INDUSTRIAL</v>
      </c>
    </row>
    <row r="305" spans="1:24" x14ac:dyDescent="0.3">
      <c r="A305" t="s">
        <v>369</v>
      </c>
      <c r="C305" t="s">
        <v>370</v>
      </c>
      <c r="D305" s="1">
        <v>46042</v>
      </c>
      <c r="E305" t="s">
        <v>371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372</v>
      </c>
      <c r="K305" t="s">
        <v>373</v>
      </c>
      <c r="L305">
        <v>85936</v>
      </c>
      <c r="M305" t="s">
        <v>374</v>
      </c>
      <c r="O305" t="s">
        <v>11</v>
      </c>
      <c r="P305">
        <v>5403</v>
      </c>
      <c r="Q305">
        <v>1</v>
      </c>
      <c r="R305">
        <v>129.36000000000001</v>
      </c>
      <c r="S305">
        <v>129.36000000000001</v>
      </c>
      <c r="T305">
        <v>98.19</v>
      </c>
      <c r="U305">
        <v>24.1</v>
      </c>
      <c r="V305" t="str">
        <f>VLOOKUP(L305,'[2]tabela de preços'!$A:$D,4,0)</f>
        <v>CORAL</v>
      </c>
      <c r="W305" t="str">
        <f>VLOOKUP(L305,'[2]tabela de preços'!$A:$F,6,0)</f>
        <v>ESMALTES</v>
      </c>
      <c r="X305" t="str">
        <f>VLOOKUP(L305,'[2]tabela de preços'!$A:$G,7,0)</f>
        <v>INDUSTRIAL</v>
      </c>
    </row>
    <row r="306" spans="1:24" x14ac:dyDescent="0.3">
      <c r="A306" t="s">
        <v>369</v>
      </c>
      <c r="C306" t="s">
        <v>370</v>
      </c>
      <c r="D306" s="1">
        <v>46042</v>
      </c>
      <c r="E306" t="s">
        <v>371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372</v>
      </c>
      <c r="K306" t="s">
        <v>373</v>
      </c>
      <c r="L306">
        <v>86230</v>
      </c>
      <c r="M306" t="s">
        <v>375</v>
      </c>
      <c r="O306" t="s">
        <v>11</v>
      </c>
      <c r="P306">
        <v>5403</v>
      </c>
      <c r="Q306">
        <v>1</v>
      </c>
      <c r="R306">
        <v>290.88</v>
      </c>
      <c r="S306">
        <v>290.88</v>
      </c>
      <c r="T306">
        <v>220.78</v>
      </c>
      <c r="U306">
        <v>24.1</v>
      </c>
      <c r="V306" t="str">
        <f>VLOOKUP(L306,'[2]tabela de preços'!$A:$D,4,0)</f>
        <v>CORAL</v>
      </c>
      <c r="W306" t="str">
        <f>VLOOKUP(L306,'[2]tabela de preços'!$A:$F,6,0)</f>
        <v>TINTA PAREDE</v>
      </c>
      <c r="X306" t="str">
        <f>VLOOKUP(L306,'[2]tabela de preços'!$A:$G,7,0)</f>
        <v>IMOBILIÁRIO</v>
      </c>
    </row>
    <row r="307" spans="1:24" x14ac:dyDescent="0.3">
      <c r="A307" t="s">
        <v>369</v>
      </c>
      <c r="C307" t="s">
        <v>370</v>
      </c>
      <c r="D307" s="1">
        <v>46042</v>
      </c>
      <c r="E307" t="s">
        <v>371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372</v>
      </c>
      <c r="K307" t="s">
        <v>373</v>
      </c>
      <c r="L307">
        <v>84928</v>
      </c>
      <c r="M307" t="s">
        <v>36</v>
      </c>
      <c r="O307" t="s">
        <v>11</v>
      </c>
      <c r="P307">
        <v>5102</v>
      </c>
      <c r="Q307">
        <v>5</v>
      </c>
      <c r="R307">
        <v>9.39</v>
      </c>
      <c r="S307">
        <v>46.95</v>
      </c>
      <c r="T307">
        <v>35.65</v>
      </c>
      <c r="U307">
        <v>24.07</v>
      </c>
      <c r="V307" t="str">
        <f>VLOOKUP(L307,'[2]tabela de preços'!$A:$D,4,0)</f>
        <v>ADERE</v>
      </c>
      <c r="W307" t="str">
        <f>VLOOKUP(L307,'[2]tabela de preços'!$A:$F,6,0)</f>
        <v xml:space="preserve">FITA DE USO GERAL </v>
      </c>
      <c r="X307" t="str">
        <f>VLOOKUP(L307,'[2]tabela de preços'!$A:$G,7,0)</f>
        <v>IMOBILIÁRIO</v>
      </c>
    </row>
    <row r="308" spans="1:24" x14ac:dyDescent="0.3">
      <c r="A308" t="s">
        <v>369</v>
      </c>
      <c r="C308" t="s">
        <v>370</v>
      </c>
      <c r="D308" s="1">
        <v>46042</v>
      </c>
      <c r="E308" t="s">
        <v>371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372</v>
      </c>
      <c r="K308" t="s">
        <v>373</v>
      </c>
      <c r="L308">
        <v>84560</v>
      </c>
      <c r="M308" t="s">
        <v>118</v>
      </c>
      <c r="O308" t="s">
        <v>11</v>
      </c>
      <c r="P308">
        <v>5102</v>
      </c>
      <c r="Q308">
        <v>1</v>
      </c>
      <c r="R308">
        <v>47.89</v>
      </c>
      <c r="S308">
        <v>47.89</v>
      </c>
      <c r="T308">
        <v>39.159999999999997</v>
      </c>
      <c r="U308">
        <v>18.23</v>
      </c>
      <c r="V308" t="str">
        <f>VLOOKUP(L308,'[2]tabela de preços'!$A:$D,4,0)</f>
        <v>BRASILUX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369</v>
      </c>
      <c r="C309" t="s">
        <v>376</v>
      </c>
      <c r="D309" s="1">
        <v>46044</v>
      </c>
      <c r="E309" t="s">
        <v>377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372</v>
      </c>
      <c r="K309" t="s">
        <v>373</v>
      </c>
      <c r="L309">
        <v>86230</v>
      </c>
      <c r="M309" t="s">
        <v>375</v>
      </c>
      <c r="O309" t="s">
        <v>11</v>
      </c>
      <c r="P309">
        <v>5403</v>
      </c>
      <c r="Q309">
        <v>1</v>
      </c>
      <c r="R309">
        <v>280.61</v>
      </c>
      <c r="S309">
        <v>280.61</v>
      </c>
      <c r="T309">
        <v>220.78</v>
      </c>
      <c r="U309">
        <v>21.32</v>
      </c>
      <c r="V309" t="str">
        <f>VLOOKUP(L309,'[2]tabela de preços'!$A:$D,4,0)</f>
        <v>CORAL</v>
      </c>
      <c r="W309" t="str">
        <f>VLOOKUP(L309,'[2]tabela de preços'!$A:$F,6,0)</f>
        <v>TINTA PAREDE</v>
      </c>
      <c r="X309" t="str">
        <f>VLOOKUP(L309,'[2]tabela de preços'!$A:$G,7,0)</f>
        <v>IMOBILIÁRIO</v>
      </c>
    </row>
    <row r="310" spans="1:24" x14ac:dyDescent="0.3">
      <c r="A310" t="s">
        <v>369</v>
      </c>
      <c r="C310" t="s">
        <v>376</v>
      </c>
      <c r="D310" s="1">
        <v>46044</v>
      </c>
      <c r="E310" t="s">
        <v>377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372</v>
      </c>
      <c r="K310" t="s">
        <v>373</v>
      </c>
      <c r="L310">
        <v>84928</v>
      </c>
      <c r="M310" t="s">
        <v>36</v>
      </c>
      <c r="O310" t="s">
        <v>11</v>
      </c>
      <c r="P310">
        <v>5102</v>
      </c>
      <c r="Q310">
        <v>10</v>
      </c>
      <c r="R310">
        <v>9.39</v>
      </c>
      <c r="S310">
        <v>93.9</v>
      </c>
      <c r="T310">
        <v>71.3</v>
      </c>
      <c r="U310">
        <v>24.07</v>
      </c>
      <c r="V310" t="str">
        <f>VLOOKUP(L310,'[2]tabela de preços'!$A:$D,4,0)</f>
        <v>ADERE</v>
      </c>
      <c r="W310" t="str">
        <f>VLOOKUP(L310,'[2]tabela de preços'!$A:$F,6,0)</f>
        <v xml:space="preserve">FITA DE USO GERAL </v>
      </c>
      <c r="X310" t="str">
        <f>VLOOKUP(L310,'[2]tabela de preços'!$A:$G,7,0)</f>
        <v>IMOBILIÁRIO</v>
      </c>
    </row>
    <row r="311" spans="1:24" x14ac:dyDescent="0.3">
      <c r="A311" t="s">
        <v>378</v>
      </c>
      <c r="C311" t="s">
        <v>379</v>
      </c>
      <c r="D311" s="1">
        <v>46024</v>
      </c>
      <c r="E311" t="s">
        <v>380</v>
      </c>
      <c r="F311">
        <v>9</v>
      </c>
      <c r="G311">
        <v>174</v>
      </c>
      <c r="H311" t="str">
        <f>VLOOKUP(G311,[1]OPERADORES!$A:$B,2,0)</f>
        <v>MIRIÃ LOBATO RODRIGUES</v>
      </c>
      <c r="I311" t="s">
        <v>21</v>
      </c>
      <c r="J311" t="s">
        <v>381</v>
      </c>
      <c r="K311" t="s">
        <v>382</v>
      </c>
      <c r="L311">
        <v>23267</v>
      </c>
      <c r="M311" t="s">
        <v>164</v>
      </c>
      <c r="O311" t="s">
        <v>11</v>
      </c>
      <c r="P311">
        <v>5102</v>
      </c>
      <c r="Q311">
        <v>24</v>
      </c>
      <c r="R311">
        <v>25.75</v>
      </c>
      <c r="S311">
        <v>618</v>
      </c>
      <c r="T311">
        <v>468.96</v>
      </c>
      <c r="U311">
        <v>24.12</v>
      </c>
      <c r="V311" t="str">
        <f>VLOOKUP(L311,'[2]tabela de preços'!$A:$D,4,0)</f>
        <v>ANJO</v>
      </c>
      <c r="W311" t="str">
        <f>VLOOKUP(L311,'[2]tabela de preços'!$A:$F,6,0)</f>
        <v>MASSA POLIÉSTER</v>
      </c>
      <c r="X311" t="str">
        <f>VLOOKUP(L311,'[2]tabela de preços'!$A:$G,7,0)</f>
        <v>AUTOMOTIVO</v>
      </c>
    </row>
    <row r="312" spans="1:24" x14ac:dyDescent="0.3">
      <c r="A312" t="s">
        <v>378</v>
      </c>
      <c r="C312" t="s">
        <v>379</v>
      </c>
      <c r="D312" s="1">
        <v>46024</v>
      </c>
      <c r="E312" t="s">
        <v>380</v>
      </c>
      <c r="F312">
        <v>9</v>
      </c>
      <c r="G312">
        <v>174</v>
      </c>
      <c r="H312" t="str">
        <f>VLOOKUP(G312,[1]OPERADORES!$A:$B,2,0)</f>
        <v>MIRIÃ LOBATO RODRIGUES</v>
      </c>
      <c r="I312" t="s">
        <v>21</v>
      </c>
      <c r="J312" t="s">
        <v>381</v>
      </c>
      <c r="K312" t="s">
        <v>382</v>
      </c>
      <c r="L312">
        <v>9895</v>
      </c>
      <c r="M312" t="s">
        <v>383</v>
      </c>
      <c r="O312" t="s">
        <v>11</v>
      </c>
      <c r="P312">
        <v>5403</v>
      </c>
      <c r="Q312">
        <v>1</v>
      </c>
      <c r="R312">
        <v>112.83</v>
      </c>
      <c r="S312">
        <v>112.83</v>
      </c>
      <c r="T312">
        <v>82.72</v>
      </c>
      <c r="U312">
        <v>26.69</v>
      </c>
      <c r="V312" t="str">
        <f>VLOOKUP(L312,'[2]tabela de preços'!$A:$D,4,0)</f>
        <v>WANDA</v>
      </c>
      <c r="W312" t="str">
        <f>VLOOKUP(L312,'[2]tabela de preços'!$A:$F,6,0)</f>
        <v>BASES POLIÉSTER</v>
      </c>
      <c r="X312" t="str">
        <f>VLOOKUP(L312,'[2]tabela de preços'!$A:$G,7,0)</f>
        <v>AUTOMOTIVO</v>
      </c>
    </row>
    <row r="313" spans="1:24" x14ac:dyDescent="0.3">
      <c r="A313" t="s">
        <v>378</v>
      </c>
      <c r="C313" t="s">
        <v>379</v>
      </c>
      <c r="D313" s="1">
        <v>46024</v>
      </c>
      <c r="E313" t="s">
        <v>380</v>
      </c>
      <c r="F313">
        <v>9</v>
      </c>
      <c r="G313">
        <v>174</v>
      </c>
      <c r="H313" t="str">
        <f>VLOOKUP(G313,[1]OPERADORES!$A:$B,2,0)</f>
        <v>MIRIÃ LOBATO RODRIGUES</v>
      </c>
      <c r="I313" t="s">
        <v>21</v>
      </c>
      <c r="J313" t="s">
        <v>381</v>
      </c>
      <c r="K313" t="s">
        <v>382</v>
      </c>
      <c r="L313">
        <v>9899</v>
      </c>
      <c r="M313" t="s">
        <v>384</v>
      </c>
      <c r="O313" t="s">
        <v>11</v>
      </c>
      <c r="P313">
        <v>5403</v>
      </c>
      <c r="Q313">
        <v>1</v>
      </c>
      <c r="R313">
        <v>191.9</v>
      </c>
      <c r="S313">
        <v>191.9</v>
      </c>
      <c r="T313">
        <v>140.69</v>
      </c>
      <c r="U313">
        <v>26.69</v>
      </c>
      <c r="V313" t="str">
        <f>VLOOKUP(L313,'[2]tabela de preços'!$A:$D,4,0)</f>
        <v>WANDA</v>
      </c>
      <c r="W313" t="str">
        <f>VLOOKUP(L313,'[2]tabela de preços'!$A:$F,6,0)</f>
        <v>BASES POLIÉSTER</v>
      </c>
      <c r="X313" t="str">
        <f>VLOOKUP(L313,'[2]tabela de preços'!$A:$G,7,0)</f>
        <v>AUTOMOTIVO</v>
      </c>
    </row>
    <row r="314" spans="1:24" x14ac:dyDescent="0.3">
      <c r="A314" t="s">
        <v>378</v>
      </c>
      <c r="C314" t="s">
        <v>385</v>
      </c>
      <c r="D314" s="1">
        <v>46028</v>
      </c>
      <c r="E314" t="s">
        <v>386</v>
      </c>
      <c r="F314">
        <v>9</v>
      </c>
      <c r="G314">
        <v>174</v>
      </c>
      <c r="H314" t="str">
        <f>VLOOKUP(G314,[1]OPERADORES!$A:$B,2,0)</f>
        <v>MIRIÃ LOBATO RODRIGUES</v>
      </c>
      <c r="I314" t="s">
        <v>21</v>
      </c>
      <c r="J314" t="s">
        <v>381</v>
      </c>
      <c r="K314" t="s">
        <v>382</v>
      </c>
      <c r="L314">
        <v>10277</v>
      </c>
      <c r="M314" t="s">
        <v>135</v>
      </c>
      <c r="O314" t="s">
        <v>11</v>
      </c>
      <c r="P314">
        <v>5102</v>
      </c>
      <c r="Q314">
        <v>60</v>
      </c>
      <c r="R314">
        <v>16.97</v>
      </c>
      <c r="S314" s="2">
        <v>1018.2</v>
      </c>
      <c r="T314">
        <v>772.8</v>
      </c>
      <c r="U314">
        <v>24.1</v>
      </c>
      <c r="V314" t="str">
        <f>VLOOKUP(L314,'[2]tabela de preços'!$A:$D,4,0)</f>
        <v>RETOQUE</v>
      </c>
      <c r="W314" t="str">
        <f>VLOOKUP(L314,'[2]tabela de preços'!$A:$F,6,0)</f>
        <v xml:space="preserve">COLA  PLÁSTICA </v>
      </c>
      <c r="X314" t="str">
        <f>VLOOKUP(L314,'[2]tabela de preços'!$A:$G,7,0)</f>
        <v>AUTOMOTIVO</v>
      </c>
    </row>
    <row r="315" spans="1:24" x14ac:dyDescent="0.3">
      <c r="A315" t="s">
        <v>378</v>
      </c>
      <c r="C315" t="s">
        <v>385</v>
      </c>
      <c r="D315" s="1">
        <v>46028</v>
      </c>
      <c r="E315" t="s">
        <v>386</v>
      </c>
      <c r="F315">
        <v>9</v>
      </c>
      <c r="G315">
        <v>174</v>
      </c>
      <c r="H315" t="str">
        <f>VLOOKUP(G315,[1]OPERADORES!$A:$B,2,0)</f>
        <v>MIRIÃ LOBATO RODRIGUES</v>
      </c>
      <c r="I315" t="s">
        <v>21</v>
      </c>
      <c r="J315" t="s">
        <v>381</v>
      </c>
      <c r="K315" t="s">
        <v>382</v>
      </c>
      <c r="L315">
        <v>10238</v>
      </c>
      <c r="M315" t="s">
        <v>79</v>
      </c>
      <c r="O315" t="s">
        <v>11</v>
      </c>
      <c r="P315">
        <v>5102</v>
      </c>
      <c r="Q315">
        <v>100</v>
      </c>
      <c r="R315">
        <v>2.79</v>
      </c>
      <c r="S315">
        <v>279</v>
      </c>
      <c r="T315">
        <v>227</v>
      </c>
      <c r="U315">
        <v>18.64</v>
      </c>
      <c r="V315" t="str">
        <f>VLOOKUP(L315,'[2]tabela de preços'!$A:$D,4,0)</f>
        <v>NORTON</v>
      </c>
      <c r="W315" t="str">
        <f>VLOOKUP(L315,'[2]tabela de preços'!$A:$F,6,0)</f>
        <v xml:space="preserve">DISCOS / LIXAS / ABRASIVOS </v>
      </c>
      <c r="X315" t="str">
        <f>VLOOKUP(L315,'[2]tabela de preços'!$A:$G,7,0)</f>
        <v>AUTOMOTIVO</v>
      </c>
    </row>
    <row r="316" spans="1:24" x14ac:dyDescent="0.3">
      <c r="A316" t="s">
        <v>378</v>
      </c>
      <c r="C316" t="s">
        <v>387</v>
      </c>
      <c r="D316" s="1">
        <v>46050</v>
      </c>
      <c r="E316" t="s">
        <v>388</v>
      </c>
      <c r="F316">
        <v>9</v>
      </c>
      <c r="G316">
        <v>174</v>
      </c>
      <c r="H316" t="str">
        <f>VLOOKUP(G316,[1]OPERADORES!$A:$B,2,0)</f>
        <v>MIRIÃ LOBATO RODRIGUES</v>
      </c>
      <c r="I316" t="s">
        <v>21</v>
      </c>
      <c r="J316" t="s">
        <v>381</v>
      </c>
      <c r="K316" t="s">
        <v>382</v>
      </c>
      <c r="L316">
        <v>58</v>
      </c>
      <c r="M316" t="s">
        <v>389</v>
      </c>
      <c r="O316" t="s">
        <v>11</v>
      </c>
      <c r="P316">
        <v>5102</v>
      </c>
      <c r="Q316">
        <v>100</v>
      </c>
      <c r="R316">
        <v>1.19</v>
      </c>
      <c r="S316">
        <v>119</v>
      </c>
      <c r="T316">
        <v>77</v>
      </c>
      <c r="U316">
        <v>35.29</v>
      </c>
      <c r="V316" t="str">
        <f>VLOOKUP(L316,'[2]tabela de preços'!$A:$D,4,0)</f>
        <v>3M</v>
      </c>
      <c r="W316" t="str">
        <f>VLOOKUP(L316,'[2]tabela de preços'!$A:$F,6,0)</f>
        <v>LIXA DÁGUA</v>
      </c>
      <c r="X316" t="str">
        <f>VLOOKUP(L316,'[2]tabela de preços'!$A:$G,7,0)</f>
        <v>AUTOMOTIVO</v>
      </c>
    </row>
    <row r="317" spans="1:24" x14ac:dyDescent="0.3">
      <c r="A317" t="s">
        <v>378</v>
      </c>
      <c r="C317" t="s">
        <v>387</v>
      </c>
      <c r="D317" s="1">
        <v>46050</v>
      </c>
      <c r="E317" t="s">
        <v>388</v>
      </c>
      <c r="F317">
        <v>9</v>
      </c>
      <c r="G317">
        <v>174</v>
      </c>
      <c r="H317" t="str">
        <f>VLOOKUP(G317,[1]OPERADORES!$A:$B,2,0)</f>
        <v>MIRIÃ LOBATO RODRIGUES</v>
      </c>
      <c r="I317" t="s">
        <v>21</v>
      </c>
      <c r="J317" t="s">
        <v>381</v>
      </c>
      <c r="K317" t="s">
        <v>382</v>
      </c>
      <c r="L317">
        <v>10240</v>
      </c>
      <c r="M317" t="s">
        <v>81</v>
      </c>
      <c r="O317" t="s">
        <v>11</v>
      </c>
      <c r="P317">
        <v>5102</v>
      </c>
      <c r="Q317">
        <v>100</v>
      </c>
      <c r="R317">
        <v>2.79</v>
      </c>
      <c r="S317">
        <v>279</v>
      </c>
      <c r="T317">
        <v>224</v>
      </c>
      <c r="U317">
        <v>19.71</v>
      </c>
      <c r="V317" t="str">
        <f>VLOOKUP(L317,'[2]tabela de preços'!$A:$D,4,0)</f>
        <v>NORTON</v>
      </c>
      <c r="W317" t="str">
        <f>VLOOKUP(L317,'[2]tabela de preços'!$A:$F,6,0)</f>
        <v xml:space="preserve">DISCOS / LIXAS / ABRASIVOS </v>
      </c>
      <c r="X317" t="str">
        <f>VLOOKUP(L317,'[2]tabela de preços'!$A:$G,7,0)</f>
        <v>AUTOMOTIVO</v>
      </c>
    </row>
    <row r="318" spans="1:24" x14ac:dyDescent="0.3">
      <c r="A318" t="s">
        <v>378</v>
      </c>
      <c r="C318" t="s">
        <v>387</v>
      </c>
      <c r="D318" s="1">
        <v>46050</v>
      </c>
      <c r="E318" t="s">
        <v>388</v>
      </c>
      <c r="F318">
        <v>9</v>
      </c>
      <c r="G318">
        <v>174</v>
      </c>
      <c r="H318" t="str">
        <f>VLOOKUP(G318,[1]OPERADORES!$A:$B,2,0)</f>
        <v>MIRIÃ LOBATO RODRIGUES</v>
      </c>
      <c r="I318" t="s">
        <v>21</v>
      </c>
      <c r="J318" t="s">
        <v>381</v>
      </c>
      <c r="K318" t="s">
        <v>382</v>
      </c>
      <c r="L318">
        <v>10243</v>
      </c>
      <c r="M318" t="s">
        <v>83</v>
      </c>
      <c r="O318" t="s">
        <v>11</v>
      </c>
      <c r="P318">
        <v>5102</v>
      </c>
      <c r="Q318">
        <v>100</v>
      </c>
      <c r="R318">
        <v>2.79</v>
      </c>
      <c r="S318">
        <v>279</v>
      </c>
      <c r="T318">
        <v>193</v>
      </c>
      <c r="U318">
        <v>30.82</v>
      </c>
      <c r="V318" t="str">
        <f>VLOOKUP(L318,'[2]tabela de preços'!$A:$D,4,0)</f>
        <v>NORTON</v>
      </c>
      <c r="W318" t="str">
        <f>VLOOKUP(L318,'[2]tabela de preços'!$A:$F,6,0)</f>
        <v xml:space="preserve">DISCOS / LIXAS / ABRASIVOS </v>
      </c>
      <c r="X318" t="str">
        <f>VLOOKUP(L318,'[2]tabela de preços'!$A:$G,7,0)</f>
        <v>AUTOMOTIVO</v>
      </c>
    </row>
    <row r="319" spans="1:24" x14ac:dyDescent="0.3">
      <c r="A319" t="s">
        <v>378</v>
      </c>
      <c r="C319" t="s">
        <v>387</v>
      </c>
      <c r="D319" s="1">
        <v>46050</v>
      </c>
      <c r="E319" t="s">
        <v>388</v>
      </c>
      <c r="F319">
        <v>9</v>
      </c>
      <c r="G319">
        <v>174</v>
      </c>
      <c r="H319" t="str">
        <f>VLOOKUP(G319,[1]OPERADORES!$A:$B,2,0)</f>
        <v>MIRIÃ LOBATO RODRIGUES</v>
      </c>
      <c r="I319" t="s">
        <v>21</v>
      </c>
      <c r="J319" t="s">
        <v>381</v>
      </c>
      <c r="K319" t="s">
        <v>382</v>
      </c>
      <c r="L319">
        <v>9869</v>
      </c>
      <c r="M319" t="s">
        <v>390</v>
      </c>
      <c r="O319" t="s">
        <v>11</v>
      </c>
      <c r="P319">
        <v>5403</v>
      </c>
      <c r="Q319">
        <v>1</v>
      </c>
      <c r="R319">
        <v>68.680000000000007</v>
      </c>
      <c r="S319">
        <v>68.680000000000007</v>
      </c>
      <c r="T319">
        <v>50.34</v>
      </c>
      <c r="U319">
        <v>26.7</v>
      </c>
      <c r="V319" t="str">
        <f>VLOOKUP(L319,'[2]tabela de preços'!$A:$D,4,0)</f>
        <v>WANDA</v>
      </c>
      <c r="W319" t="str">
        <f>VLOOKUP(L319,'[2]tabela de preços'!$A:$F,6,0)</f>
        <v>BASES POLIÉSTER</v>
      </c>
      <c r="X319" t="str">
        <f>VLOOKUP(L319,'[2]tabela de preços'!$A:$G,7,0)</f>
        <v>AUTOMOTIVO</v>
      </c>
    </row>
    <row r="320" spans="1:24" x14ac:dyDescent="0.3">
      <c r="A320" t="s">
        <v>378</v>
      </c>
      <c r="C320" t="s">
        <v>387</v>
      </c>
      <c r="D320" s="1">
        <v>46050</v>
      </c>
      <c r="E320" t="s">
        <v>388</v>
      </c>
      <c r="F320">
        <v>9</v>
      </c>
      <c r="G320">
        <v>174</v>
      </c>
      <c r="H320" t="str">
        <f>VLOOKUP(G320,[1]OPERADORES!$A:$B,2,0)</f>
        <v>MIRIÃ LOBATO RODRIGUES</v>
      </c>
      <c r="I320" t="s">
        <v>21</v>
      </c>
      <c r="J320" t="s">
        <v>381</v>
      </c>
      <c r="K320" t="s">
        <v>382</v>
      </c>
      <c r="L320">
        <v>9883</v>
      </c>
      <c r="M320" t="s">
        <v>391</v>
      </c>
      <c r="O320" t="s">
        <v>11</v>
      </c>
      <c r="P320">
        <v>5403</v>
      </c>
      <c r="Q320">
        <v>1</v>
      </c>
      <c r="R320">
        <v>90.67</v>
      </c>
      <c r="S320">
        <v>90.67</v>
      </c>
      <c r="T320">
        <v>66.47</v>
      </c>
      <c r="U320">
        <v>26.69</v>
      </c>
      <c r="V320" t="str">
        <f>VLOOKUP(L320,'[2]tabela de preços'!$A:$D,4,0)</f>
        <v>WANDA</v>
      </c>
      <c r="W320" t="str">
        <f>VLOOKUP(L320,'[2]tabela de preços'!$A:$F,6,0)</f>
        <v>BASES POLIÉSTER</v>
      </c>
      <c r="X320" t="str">
        <f>VLOOKUP(L320,'[2]tabela de preços'!$A:$G,7,0)</f>
        <v>AUTOMOTIVO</v>
      </c>
    </row>
    <row r="321" spans="1:24" x14ac:dyDescent="0.3">
      <c r="A321" t="s">
        <v>378</v>
      </c>
      <c r="C321" t="s">
        <v>387</v>
      </c>
      <c r="D321" s="1">
        <v>46050</v>
      </c>
      <c r="E321" t="s">
        <v>388</v>
      </c>
      <c r="F321">
        <v>9</v>
      </c>
      <c r="G321">
        <v>174</v>
      </c>
      <c r="H321" t="str">
        <f>VLOOKUP(G321,[1]OPERADORES!$A:$B,2,0)</f>
        <v>MIRIÃ LOBATO RODRIGUES</v>
      </c>
      <c r="I321" t="s">
        <v>21</v>
      </c>
      <c r="J321" t="s">
        <v>381</v>
      </c>
      <c r="K321" t="s">
        <v>382</v>
      </c>
      <c r="L321">
        <v>9900</v>
      </c>
      <c r="M321" t="s">
        <v>392</v>
      </c>
      <c r="O321" t="s">
        <v>11</v>
      </c>
      <c r="P321">
        <v>5403</v>
      </c>
      <c r="Q321">
        <v>1</v>
      </c>
      <c r="R321">
        <v>171.69</v>
      </c>
      <c r="S321">
        <v>171.69</v>
      </c>
      <c r="T321">
        <v>125.87</v>
      </c>
      <c r="U321">
        <v>26.69</v>
      </c>
      <c r="V321" t="str">
        <f>VLOOKUP(L321,'[2]tabela de preços'!$A:$D,4,0)</f>
        <v>WANDA</v>
      </c>
      <c r="W321" t="str">
        <f>VLOOKUP(L321,'[2]tabela de preços'!$A:$F,6,0)</f>
        <v>BASES POLIÉSTER</v>
      </c>
      <c r="X321" t="str">
        <f>VLOOKUP(L321,'[2]tabela de preços'!$A:$G,7,0)</f>
        <v>AUTOMOTIVO</v>
      </c>
    </row>
    <row r="322" spans="1:24" x14ac:dyDescent="0.3">
      <c r="A322" t="s">
        <v>393</v>
      </c>
      <c r="B322" t="s">
        <v>394</v>
      </c>
      <c r="C322" t="s">
        <v>395</v>
      </c>
      <c r="D322" s="1">
        <v>46027</v>
      </c>
      <c r="E322" t="s">
        <v>396</v>
      </c>
      <c r="F322">
        <v>9</v>
      </c>
      <c r="G322">
        <v>174</v>
      </c>
      <c r="H322" t="str">
        <f>VLOOKUP(G322,[1]OPERADORES!$A:$B,2,0)</f>
        <v>MIRIÃ LOBATO RODRIGUES</v>
      </c>
      <c r="I322" t="s">
        <v>21</v>
      </c>
      <c r="J322" t="s">
        <v>397</v>
      </c>
      <c r="K322" t="s">
        <v>398</v>
      </c>
      <c r="L322">
        <v>21037</v>
      </c>
      <c r="M322" t="s">
        <v>108</v>
      </c>
      <c r="O322" t="s">
        <v>11</v>
      </c>
      <c r="P322">
        <v>5102</v>
      </c>
      <c r="Q322">
        <v>2</v>
      </c>
      <c r="R322">
        <v>17.43</v>
      </c>
      <c r="S322">
        <v>34.86</v>
      </c>
      <c r="T322">
        <v>25.84</v>
      </c>
      <c r="U322">
        <v>25.87</v>
      </c>
      <c r="V322" t="str">
        <f>VLOOKUP(L322,'[2]tabela de preços'!$A:$D,4,0)</f>
        <v>SHERWIN WILLIAMS</v>
      </c>
      <c r="W322" t="str">
        <f>VLOOKUP(L322,'[2]tabela de preços'!$A:$F,6,0)</f>
        <v>CATALISADORES INDIVIDUAS</v>
      </c>
      <c r="X322" t="str">
        <f>VLOOKUP(L322,'[2]tabela de preços'!$A:$G,7,0)</f>
        <v>AUTOMOTIVO</v>
      </c>
    </row>
    <row r="323" spans="1:24" x14ac:dyDescent="0.3">
      <c r="A323" t="s">
        <v>393</v>
      </c>
      <c r="B323" t="s">
        <v>394</v>
      </c>
      <c r="C323" t="s">
        <v>395</v>
      </c>
      <c r="D323" s="1">
        <v>46027</v>
      </c>
      <c r="E323" t="s">
        <v>396</v>
      </c>
      <c r="F323">
        <v>9</v>
      </c>
      <c r="G323">
        <v>174</v>
      </c>
      <c r="H323" t="str">
        <f>VLOOKUP(G323,[1]OPERADORES!$A:$B,2,0)</f>
        <v>MIRIÃ LOBATO RODRIGUES</v>
      </c>
      <c r="I323" t="s">
        <v>21</v>
      </c>
      <c r="J323" t="s">
        <v>397</v>
      </c>
      <c r="K323" t="s">
        <v>398</v>
      </c>
      <c r="L323">
        <v>21036</v>
      </c>
      <c r="M323" t="s">
        <v>399</v>
      </c>
      <c r="O323" t="s">
        <v>11</v>
      </c>
      <c r="P323">
        <v>5403</v>
      </c>
      <c r="Q323">
        <v>2</v>
      </c>
      <c r="R323">
        <v>35.14</v>
      </c>
      <c r="S323">
        <v>70.28</v>
      </c>
      <c r="T323">
        <v>52.12</v>
      </c>
      <c r="U323">
        <v>25.84</v>
      </c>
      <c r="V323" t="str">
        <f>VLOOKUP(L323,'[2]tabela de preços'!$A:$D,4,0)</f>
        <v>SHERWIN WILLIAMS</v>
      </c>
      <c r="W323" t="str">
        <f>VLOOKUP(L323,'[2]tabela de preços'!$A:$F,6,0)</f>
        <v>TINTAS PU</v>
      </c>
      <c r="X323" t="str">
        <f>VLOOKUP(L323,'[2]tabela de preços'!$A:$G,7,0)</f>
        <v>AUTOMOTIVO</v>
      </c>
    </row>
    <row r="324" spans="1:24" x14ac:dyDescent="0.3">
      <c r="A324" t="s">
        <v>393</v>
      </c>
      <c r="B324" t="s">
        <v>394</v>
      </c>
      <c r="C324" t="s">
        <v>400</v>
      </c>
      <c r="D324" s="1">
        <v>46029</v>
      </c>
      <c r="E324" t="s">
        <v>401</v>
      </c>
      <c r="F324">
        <v>9</v>
      </c>
      <c r="G324">
        <v>174</v>
      </c>
      <c r="H324" t="str">
        <f>VLOOKUP(G324,[1]OPERADORES!$A:$B,2,0)</f>
        <v>MIRIÃ LOBATO RODRIGUES</v>
      </c>
      <c r="I324" t="s">
        <v>21</v>
      </c>
      <c r="J324" t="s">
        <v>397</v>
      </c>
      <c r="K324" t="s">
        <v>398</v>
      </c>
      <c r="L324">
        <v>23105</v>
      </c>
      <c r="M324" t="s">
        <v>402</v>
      </c>
      <c r="O324" t="s">
        <v>11</v>
      </c>
      <c r="P324">
        <v>5102</v>
      </c>
      <c r="Q324">
        <v>20</v>
      </c>
      <c r="R324">
        <v>2.35</v>
      </c>
      <c r="S324">
        <v>47</v>
      </c>
      <c r="T324">
        <v>38.4</v>
      </c>
      <c r="U324">
        <v>18.3</v>
      </c>
      <c r="V324" t="str">
        <f>VLOOKUP(L324,'[2]tabela de preços'!$A:$D,4,0)</f>
        <v>3M</v>
      </c>
      <c r="W324" t="str">
        <f>VLOOKUP(L324,'[2]tabela de preços'!$A:$F,6,0)</f>
        <v xml:space="preserve">DISCOS / LIXAS / ABRASIVOS </v>
      </c>
      <c r="X324" t="str">
        <f>VLOOKUP(L324,'[2]tabela de preços'!$A:$G,7,0)</f>
        <v>AUTOMOTIVO</v>
      </c>
    </row>
    <row r="325" spans="1:24" x14ac:dyDescent="0.3">
      <c r="A325" t="s">
        <v>393</v>
      </c>
      <c r="B325" t="s">
        <v>394</v>
      </c>
      <c r="C325" t="s">
        <v>400</v>
      </c>
      <c r="D325" s="1">
        <v>46029</v>
      </c>
      <c r="E325" t="s">
        <v>401</v>
      </c>
      <c r="F325">
        <v>9</v>
      </c>
      <c r="G325">
        <v>174</v>
      </c>
      <c r="H325" t="str">
        <f>VLOOKUP(G325,[1]OPERADORES!$A:$B,2,0)</f>
        <v>MIRIÃ LOBATO RODRIGUES</v>
      </c>
      <c r="I325" t="s">
        <v>21</v>
      </c>
      <c r="J325" t="s">
        <v>397</v>
      </c>
      <c r="K325" t="s">
        <v>398</v>
      </c>
      <c r="L325">
        <v>23106</v>
      </c>
      <c r="M325" t="s">
        <v>403</v>
      </c>
      <c r="O325" t="s">
        <v>11</v>
      </c>
      <c r="P325">
        <v>5102</v>
      </c>
      <c r="Q325">
        <v>20</v>
      </c>
      <c r="R325">
        <v>2.35</v>
      </c>
      <c r="S325">
        <v>47</v>
      </c>
      <c r="T325">
        <v>38.4</v>
      </c>
      <c r="U325">
        <v>18.3</v>
      </c>
      <c r="V325" t="str">
        <f>VLOOKUP(L325,'[2]tabela de preços'!$A:$D,4,0)</f>
        <v>3M</v>
      </c>
      <c r="W325" t="str">
        <f>VLOOKUP(L325,'[2]tabela de preços'!$A:$F,6,0)</f>
        <v xml:space="preserve">DISCOS / LIXAS / ABRASIVOS </v>
      </c>
      <c r="X325" t="str">
        <f>VLOOKUP(L325,'[2]tabela de preços'!$A:$G,7,0)</f>
        <v>AUTOMOTIVO</v>
      </c>
    </row>
    <row r="326" spans="1:24" x14ac:dyDescent="0.3">
      <c r="A326" t="s">
        <v>393</v>
      </c>
      <c r="B326" t="s">
        <v>394</v>
      </c>
      <c r="C326" t="s">
        <v>400</v>
      </c>
      <c r="D326" s="1">
        <v>46029</v>
      </c>
      <c r="E326" t="s">
        <v>401</v>
      </c>
      <c r="F326">
        <v>9</v>
      </c>
      <c r="G326">
        <v>174</v>
      </c>
      <c r="H326" t="str">
        <f>VLOOKUP(G326,[1]OPERADORES!$A:$B,2,0)</f>
        <v>MIRIÃ LOBATO RODRIGUES</v>
      </c>
      <c r="I326" t="s">
        <v>21</v>
      </c>
      <c r="J326" t="s">
        <v>397</v>
      </c>
      <c r="K326" t="s">
        <v>398</v>
      </c>
      <c r="L326">
        <v>22180</v>
      </c>
      <c r="M326" t="s">
        <v>404</v>
      </c>
      <c r="O326" t="s">
        <v>11</v>
      </c>
      <c r="P326">
        <v>5102</v>
      </c>
      <c r="Q326">
        <v>2</v>
      </c>
      <c r="R326">
        <v>22.69</v>
      </c>
      <c r="S326">
        <v>45.38</v>
      </c>
      <c r="T326">
        <v>29.28</v>
      </c>
      <c r="U326">
        <v>35.479999999999997</v>
      </c>
      <c r="V326" t="str">
        <f>VLOOKUP(L326,'[2]tabela de preços'!$A:$D,4,0)</f>
        <v>MADRUGA</v>
      </c>
      <c r="W326" t="str">
        <f>VLOOKUP(L326,'[2]tabela de preços'!$A:$F,6,0)</f>
        <v>PAPEL DE MASCARAMENTO</v>
      </c>
      <c r="X326" t="str">
        <f>VLOOKUP(L326,'[2]tabela de preços'!$A:$G,7,0)</f>
        <v>AUTOMOTIVO</v>
      </c>
    </row>
    <row r="327" spans="1:24" x14ac:dyDescent="0.3">
      <c r="A327" t="s">
        <v>393</v>
      </c>
      <c r="B327" t="s">
        <v>394</v>
      </c>
      <c r="C327" t="s">
        <v>405</v>
      </c>
      <c r="D327" s="1">
        <v>46031</v>
      </c>
      <c r="E327" t="s">
        <v>406</v>
      </c>
      <c r="F327">
        <v>9</v>
      </c>
      <c r="G327">
        <v>174</v>
      </c>
      <c r="H327" t="str">
        <f>VLOOKUP(G327,[1]OPERADORES!$A:$B,2,0)</f>
        <v>MIRIÃ LOBATO RODRIGUES</v>
      </c>
      <c r="I327" t="s">
        <v>21</v>
      </c>
      <c r="J327" t="s">
        <v>397</v>
      </c>
      <c r="K327" t="s">
        <v>398</v>
      </c>
      <c r="L327">
        <v>23377</v>
      </c>
      <c r="M327" t="s">
        <v>407</v>
      </c>
      <c r="O327" t="s">
        <v>11</v>
      </c>
      <c r="P327">
        <v>5403</v>
      </c>
      <c r="Q327">
        <v>1</v>
      </c>
      <c r="R327">
        <v>43.82</v>
      </c>
      <c r="S327">
        <v>43.82</v>
      </c>
      <c r="T327">
        <v>33.26</v>
      </c>
      <c r="U327">
        <v>24.1</v>
      </c>
      <c r="V327" t="str">
        <f>VLOOKUP(L327,'[2]tabela de preços'!$A:$D,4,0)</f>
        <v>WANDA</v>
      </c>
      <c r="W327" t="str">
        <f>VLOOKUP(L327,'[2]tabela de preços'!$A:$F,6,0)</f>
        <v>TINTAS POLIÉSTER</v>
      </c>
      <c r="X327" t="str">
        <f>VLOOKUP(L327,'[2]tabela de preços'!$A:$G,7,0)</f>
        <v>AUTOMOTIVO</v>
      </c>
    </row>
    <row r="328" spans="1:24" x14ac:dyDescent="0.3">
      <c r="A328" t="s">
        <v>393</v>
      </c>
      <c r="B328" t="s">
        <v>394</v>
      </c>
      <c r="C328" t="s">
        <v>405</v>
      </c>
      <c r="D328" s="1">
        <v>46031</v>
      </c>
      <c r="E328" t="s">
        <v>406</v>
      </c>
      <c r="F328">
        <v>9</v>
      </c>
      <c r="G328">
        <v>174</v>
      </c>
      <c r="H328" t="str">
        <f>VLOOKUP(G328,[1]OPERADORES!$A:$B,2,0)</f>
        <v>MIRIÃ LOBATO RODRIGUES</v>
      </c>
      <c r="I328" t="s">
        <v>21</v>
      </c>
      <c r="J328" t="s">
        <v>397</v>
      </c>
      <c r="K328" t="s">
        <v>398</v>
      </c>
      <c r="L328">
        <v>23126</v>
      </c>
      <c r="M328" t="s">
        <v>408</v>
      </c>
      <c r="O328" t="s">
        <v>11</v>
      </c>
      <c r="P328">
        <v>5102</v>
      </c>
      <c r="Q328">
        <v>10</v>
      </c>
      <c r="R328">
        <v>3.05</v>
      </c>
      <c r="S328">
        <v>30.5</v>
      </c>
      <c r="T328">
        <v>22.4</v>
      </c>
      <c r="U328">
        <v>26.56</v>
      </c>
      <c r="V328" t="str">
        <f>VLOOKUP(L328,'[2]tabela de preços'!$A:$D,4,0)</f>
        <v>3M</v>
      </c>
      <c r="W328" t="str">
        <f>VLOOKUP(L328,'[2]tabela de preços'!$A:$F,6,0)</f>
        <v xml:space="preserve">DISCOS / LIXAS / ABRASIVOS </v>
      </c>
      <c r="X328" t="str">
        <f>VLOOKUP(L328,'[2]tabela de preços'!$A:$G,7,0)</f>
        <v>AUTOMOTIVO</v>
      </c>
    </row>
    <row r="329" spans="1:24" x14ac:dyDescent="0.3">
      <c r="A329" t="s">
        <v>393</v>
      </c>
      <c r="B329" t="s">
        <v>394</v>
      </c>
      <c r="C329" t="s">
        <v>405</v>
      </c>
      <c r="D329" s="1">
        <v>46031</v>
      </c>
      <c r="E329" t="s">
        <v>406</v>
      </c>
      <c r="F329">
        <v>9</v>
      </c>
      <c r="G329">
        <v>174</v>
      </c>
      <c r="H329" t="str">
        <f>VLOOKUP(G329,[1]OPERADORES!$A:$B,2,0)</f>
        <v>MIRIÃ LOBATO RODRIGUES</v>
      </c>
      <c r="I329" t="s">
        <v>21</v>
      </c>
      <c r="J329" t="s">
        <v>397</v>
      </c>
      <c r="K329" t="s">
        <v>398</v>
      </c>
      <c r="L329">
        <v>23110</v>
      </c>
      <c r="M329" t="s">
        <v>409</v>
      </c>
      <c r="O329" t="s">
        <v>11</v>
      </c>
      <c r="P329">
        <v>5102</v>
      </c>
      <c r="Q329">
        <v>10</v>
      </c>
      <c r="R329">
        <v>2.35</v>
      </c>
      <c r="S329">
        <v>23.5</v>
      </c>
      <c r="T329">
        <v>18.5</v>
      </c>
      <c r="U329">
        <v>21.28</v>
      </c>
      <c r="V329" t="str">
        <f>VLOOKUP(L329,'[2]tabela de preços'!$A:$D,4,0)</f>
        <v>3M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393</v>
      </c>
      <c r="B330" t="s">
        <v>394</v>
      </c>
      <c r="C330" t="s">
        <v>405</v>
      </c>
      <c r="D330" s="1">
        <v>46031</v>
      </c>
      <c r="E330" t="s">
        <v>406</v>
      </c>
      <c r="F330">
        <v>9</v>
      </c>
      <c r="G330">
        <v>174</v>
      </c>
      <c r="H330" t="str">
        <f>VLOOKUP(G330,[1]OPERADORES!$A:$B,2,0)</f>
        <v>MIRIÃ LOBATO RODRIGUES</v>
      </c>
      <c r="I330" t="s">
        <v>21</v>
      </c>
      <c r="J330" t="s">
        <v>397</v>
      </c>
      <c r="K330" t="s">
        <v>398</v>
      </c>
      <c r="L330">
        <v>24248</v>
      </c>
      <c r="M330" t="s">
        <v>107</v>
      </c>
      <c r="O330" t="s">
        <v>11</v>
      </c>
      <c r="P330">
        <v>5102</v>
      </c>
      <c r="Q330">
        <v>12</v>
      </c>
      <c r="R330">
        <v>9.9</v>
      </c>
      <c r="S330">
        <v>118.8</v>
      </c>
      <c r="T330">
        <v>76.92</v>
      </c>
      <c r="U330">
        <v>35.25</v>
      </c>
      <c r="V330" t="str">
        <f>VLOOKUP(L330,'[2]tabela de preços'!$A:$D,4,0)</f>
        <v>SHERWIN WILLIAMS</v>
      </c>
      <c r="W330" t="str">
        <f>VLOOKUP(L330,'[2]tabela de preços'!$A:$F,6,0)</f>
        <v>PRIMER AUTOMOTIVO</v>
      </c>
      <c r="X330" t="str">
        <f>VLOOKUP(L330,'[2]tabela de preços'!$A:$G,7,0)</f>
        <v>AUTOMOTIVO</v>
      </c>
    </row>
    <row r="331" spans="1:24" x14ac:dyDescent="0.3">
      <c r="A331" t="s">
        <v>393</v>
      </c>
      <c r="B331" t="s">
        <v>394</v>
      </c>
      <c r="C331" t="s">
        <v>405</v>
      </c>
      <c r="D331" s="1">
        <v>46031</v>
      </c>
      <c r="E331" t="s">
        <v>406</v>
      </c>
      <c r="F331">
        <v>9</v>
      </c>
      <c r="G331">
        <v>174</v>
      </c>
      <c r="H331" t="str">
        <f>VLOOKUP(G331,[1]OPERADORES!$A:$B,2,0)</f>
        <v>MIRIÃ LOBATO RODRIGUES</v>
      </c>
      <c r="I331" t="s">
        <v>21</v>
      </c>
      <c r="J331" t="s">
        <v>397</v>
      </c>
      <c r="K331" t="s">
        <v>398</v>
      </c>
      <c r="L331">
        <v>86995</v>
      </c>
      <c r="M331" t="s">
        <v>37</v>
      </c>
      <c r="O331" t="s">
        <v>11</v>
      </c>
      <c r="P331">
        <v>5102</v>
      </c>
      <c r="Q331">
        <v>6</v>
      </c>
      <c r="R331">
        <v>7.39</v>
      </c>
      <c r="S331">
        <v>44.34</v>
      </c>
      <c r="T331">
        <v>34.979999999999997</v>
      </c>
      <c r="U331">
        <v>21.11</v>
      </c>
      <c r="V331" t="str">
        <f>VLOOKUP(L331,'[2]tabela de preços'!$A:$D,4,0)</f>
        <v>AUTOAMERICA</v>
      </c>
      <c r="W331" t="str">
        <f>VLOOKUP(L331,'[2]tabela de preços'!$A:$F,6,0)</f>
        <v>FLANELAS / PANOS</v>
      </c>
      <c r="X331" t="str">
        <f>VLOOKUP(L331,'[2]tabela de preços'!$A:$G,7,0)</f>
        <v>AUTOMOTIVO</v>
      </c>
    </row>
    <row r="332" spans="1:24" x14ac:dyDescent="0.3">
      <c r="A332" t="s">
        <v>393</v>
      </c>
      <c r="B332" t="s">
        <v>394</v>
      </c>
      <c r="C332" t="s">
        <v>405</v>
      </c>
      <c r="D332" s="1">
        <v>46031</v>
      </c>
      <c r="E332" t="s">
        <v>406</v>
      </c>
      <c r="F332">
        <v>9</v>
      </c>
      <c r="G332">
        <v>174</v>
      </c>
      <c r="H332" t="str">
        <f>VLOOKUP(G332,[1]OPERADORES!$A:$B,2,0)</f>
        <v>MIRIÃ LOBATO RODRIGUES</v>
      </c>
      <c r="I332" t="s">
        <v>21</v>
      </c>
      <c r="J332" t="s">
        <v>397</v>
      </c>
      <c r="K332" t="s">
        <v>398</v>
      </c>
      <c r="L332">
        <v>21037</v>
      </c>
      <c r="M332" t="s">
        <v>108</v>
      </c>
      <c r="O332" t="s">
        <v>11</v>
      </c>
      <c r="P332">
        <v>5102</v>
      </c>
      <c r="Q332">
        <v>1</v>
      </c>
      <c r="R332">
        <v>17.03</v>
      </c>
      <c r="S332">
        <v>17.03</v>
      </c>
      <c r="T332">
        <v>12.92</v>
      </c>
      <c r="U332">
        <v>24.13</v>
      </c>
      <c r="V332" t="str">
        <f>VLOOKUP(L332,'[2]tabela de preços'!$A:$D,4,0)</f>
        <v>SHERWIN WILLIAMS</v>
      </c>
      <c r="W332" t="str">
        <f>VLOOKUP(L332,'[2]tabela de preços'!$A:$F,6,0)</f>
        <v>CATALISADORES INDIVIDUAS</v>
      </c>
      <c r="X332" t="str">
        <f>VLOOKUP(L332,'[2]tabela de preços'!$A:$G,7,0)</f>
        <v>AUTOMOTIVO</v>
      </c>
    </row>
    <row r="333" spans="1:24" x14ac:dyDescent="0.3">
      <c r="A333" t="s">
        <v>393</v>
      </c>
      <c r="B333" t="s">
        <v>394</v>
      </c>
      <c r="C333" t="s">
        <v>405</v>
      </c>
      <c r="D333" s="1">
        <v>46031</v>
      </c>
      <c r="E333" t="s">
        <v>406</v>
      </c>
      <c r="F333">
        <v>9</v>
      </c>
      <c r="G333">
        <v>174</v>
      </c>
      <c r="H333" t="str">
        <f>VLOOKUP(G333,[1]OPERADORES!$A:$B,2,0)</f>
        <v>MIRIÃ LOBATO RODRIGUES</v>
      </c>
      <c r="I333" t="s">
        <v>21</v>
      </c>
      <c r="J333" t="s">
        <v>397</v>
      </c>
      <c r="K333" t="s">
        <v>398</v>
      </c>
      <c r="L333">
        <v>21036</v>
      </c>
      <c r="M333" t="s">
        <v>399</v>
      </c>
      <c r="O333" t="s">
        <v>11</v>
      </c>
      <c r="P333">
        <v>5403</v>
      </c>
      <c r="Q333">
        <v>1</v>
      </c>
      <c r="R333">
        <v>34.33</v>
      </c>
      <c r="S333">
        <v>34.33</v>
      </c>
      <c r="T333">
        <v>26.06</v>
      </c>
      <c r="U333">
        <v>24.09</v>
      </c>
      <c r="V333" t="str">
        <f>VLOOKUP(L333,'[2]tabela de preços'!$A:$D,4,0)</f>
        <v>SHERWIN WILLIAMS</v>
      </c>
      <c r="W333" t="str">
        <f>VLOOKUP(L333,'[2]tabela de preços'!$A:$F,6,0)</f>
        <v>TINTAS PU</v>
      </c>
      <c r="X333" t="str">
        <f>VLOOKUP(L333,'[2]tabela de preços'!$A:$G,7,0)</f>
        <v>AUTOMOTIVO</v>
      </c>
    </row>
    <row r="334" spans="1:24" x14ac:dyDescent="0.3">
      <c r="A334" t="s">
        <v>393</v>
      </c>
      <c r="B334" t="s">
        <v>394</v>
      </c>
      <c r="C334" t="s">
        <v>405</v>
      </c>
      <c r="D334" s="1">
        <v>46031</v>
      </c>
      <c r="E334" t="s">
        <v>406</v>
      </c>
      <c r="F334">
        <v>9</v>
      </c>
      <c r="G334">
        <v>174</v>
      </c>
      <c r="H334" t="str">
        <f>VLOOKUP(G334,[1]OPERADORES!$A:$B,2,0)</f>
        <v>MIRIÃ LOBATO RODRIGUES</v>
      </c>
      <c r="I334" t="s">
        <v>21</v>
      </c>
      <c r="J334" t="s">
        <v>397</v>
      </c>
      <c r="K334" t="s">
        <v>398</v>
      </c>
      <c r="L334">
        <v>23100</v>
      </c>
      <c r="M334" t="s">
        <v>99</v>
      </c>
      <c r="O334" t="s">
        <v>11</v>
      </c>
      <c r="P334">
        <v>5102</v>
      </c>
      <c r="Q334">
        <v>15</v>
      </c>
      <c r="R334">
        <v>2.35</v>
      </c>
      <c r="S334">
        <v>35.25</v>
      </c>
      <c r="T334">
        <v>25.35</v>
      </c>
      <c r="U334">
        <v>28.09</v>
      </c>
      <c r="V334" t="str">
        <f>VLOOKUP(L334,'[2]tabela de preços'!$A:$D,4,0)</f>
        <v>3M</v>
      </c>
      <c r="W334" t="str">
        <f>VLOOKUP(L334,'[2]tabela de preços'!$A:$F,6,0)</f>
        <v xml:space="preserve">DISCOS / LIXAS / ABRASIVOS </v>
      </c>
      <c r="X334" t="str">
        <f>VLOOKUP(L334,'[2]tabela de preços'!$A:$G,7,0)</f>
        <v>AUTOMOTIVO</v>
      </c>
    </row>
    <row r="335" spans="1:24" x14ac:dyDescent="0.3">
      <c r="A335" t="s">
        <v>393</v>
      </c>
      <c r="B335" t="s">
        <v>394</v>
      </c>
      <c r="C335" t="s">
        <v>405</v>
      </c>
      <c r="D335" s="1">
        <v>46031</v>
      </c>
      <c r="E335" t="s">
        <v>406</v>
      </c>
      <c r="F335">
        <v>9</v>
      </c>
      <c r="G335">
        <v>174</v>
      </c>
      <c r="H335" t="str">
        <f>VLOOKUP(G335,[1]OPERADORES!$A:$B,2,0)</f>
        <v>MIRIÃ LOBATO RODRIGUES</v>
      </c>
      <c r="I335" t="s">
        <v>21</v>
      </c>
      <c r="J335" t="s">
        <v>397</v>
      </c>
      <c r="K335" t="s">
        <v>398</v>
      </c>
      <c r="L335">
        <v>23101</v>
      </c>
      <c r="M335" t="s">
        <v>410</v>
      </c>
      <c r="O335" t="s">
        <v>411</v>
      </c>
      <c r="P335">
        <v>5102</v>
      </c>
      <c r="Q335">
        <v>15</v>
      </c>
      <c r="R335">
        <v>2.35</v>
      </c>
      <c r="S335">
        <v>35.25</v>
      </c>
      <c r="T335">
        <v>25.35</v>
      </c>
      <c r="U335">
        <v>28.09</v>
      </c>
      <c r="V335" t="str">
        <f>VLOOKUP(L335,'[2]tabela de preços'!$A:$D,4,0)</f>
        <v>3M</v>
      </c>
      <c r="W335" t="str">
        <f>VLOOKUP(L335,'[2]tabela de preços'!$A:$F,6,0)</f>
        <v xml:space="preserve">DISCOS / LIXAS / ABRASIVOS </v>
      </c>
      <c r="X335" t="str">
        <f>VLOOKUP(L335,'[2]tabela de preços'!$A:$G,7,0)</f>
        <v>AUTOMOTIVO</v>
      </c>
    </row>
    <row r="336" spans="1:24" x14ac:dyDescent="0.3">
      <c r="A336" t="s">
        <v>393</v>
      </c>
      <c r="B336" t="s">
        <v>394</v>
      </c>
      <c r="C336" t="s">
        <v>405</v>
      </c>
      <c r="D336" s="1">
        <v>46031</v>
      </c>
      <c r="E336" t="s">
        <v>406</v>
      </c>
      <c r="F336">
        <v>9</v>
      </c>
      <c r="G336">
        <v>174</v>
      </c>
      <c r="H336" t="str">
        <f>VLOOKUP(G336,[1]OPERADORES!$A:$B,2,0)</f>
        <v>MIRIÃ LOBATO RODRIGUES</v>
      </c>
      <c r="I336" t="s">
        <v>21</v>
      </c>
      <c r="J336" t="s">
        <v>397</v>
      </c>
      <c r="K336" t="s">
        <v>398</v>
      </c>
      <c r="L336">
        <v>23097</v>
      </c>
      <c r="M336" t="s">
        <v>412</v>
      </c>
      <c r="O336" t="s">
        <v>411</v>
      </c>
      <c r="P336">
        <v>5102</v>
      </c>
      <c r="Q336">
        <v>15</v>
      </c>
      <c r="R336">
        <v>2.35</v>
      </c>
      <c r="S336">
        <v>35.25</v>
      </c>
      <c r="T336">
        <v>20.399999999999999</v>
      </c>
      <c r="U336">
        <v>42.13</v>
      </c>
      <c r="V336" t="str">
        <f>VLOOKUP(L336,'[2]tabela de preços'!$A:$D,4,0)</f>
        <v>3M</v>
      </c>
      <c r="W336" t="str">
        <f>VLOOKUP(L336,'[2]tabela de preços'!$A:$F,6,0)</f>
        <v xml:space="preserve">DISCOS / LIXAS / ABRASIVOS </v>
      </c>
      <c r="X336" t="str">
        <f>VLOOKUP(L336,'[2]tabela de preços'!$A:$G,7,0)</f>
        <v>AUTOMOTIVO</v>
      </c>
    </row>
    <row r="337" spans="1:24" x14ac:dyDescent="0.3">
      <c r="A337" t="s">
        <v>393</v>
      </c>
      <c r="B337" t="s">
        <v>394</v>
      </c>
      <c r="C337" t="s">
        <v>405</v>
      </c>
      <c r="D337" s="1">
        <v>46031</v>
      </c>
      <c r="E337" t="s">
        <v>406</v>
      </c>
      <c r="F337">
        <v>9</v>
      </c>
      <c r="G337">
        <v>174</v>
      </c>
      <c r="H337" t="str">
        <f>VLOOKUP(G337,[1]OPERADORES!$A:$B,2,0)</f>
        <v>MIRIÃ LOBATO RODRIGUES</v>
      </c>
      <c r="I337" t="s">
        <v>21</v>
      </c>
      <c r="J337" t="s">
        <v>397</v>
      </c>
      <c r="K337" t="s">
        <v>398</v>
      </c>
      <c r="L337">
        <v>23102</v>
      </c>
      <c r="M337" t="s">
        <v>413</v>
      </c>
      <c r="O337" t="s">
        <v>11</v>
      </c>
      <c r="P337">
        <v>5102</v>
      </c>
      <c r="Q337">
        <v>15</v>
      </c>
      <c r="R337">
        <v>2.35</v>
      </c>
      <c r="S337">
        <v>35.25</v>
      </c>
      <c r="T337">
        <v>19.350000000000001</v>
      </c>
      <c r="U337">
        <v>45.11</v>
      </c>
      <c r="V337" t="str">
        <f>VLOOKUP(L337,'[2]tabela de preços'!$A:$D,4,0)</f>
        <v>3M</v>
      </c>
      <c r="W337" t="str">
        <f>VLOOKUP(L337,'[2]tabela de preços'!$A:$F,6,0)</f>
        <v xml:space="preserve">DISCOS / LIXAS / ABRASIVOS </v>
      </c>
      <c r="X337" t="str">
        <f>VLOOKUP(L337,'[2]tabela de preços'!$A:$G,7,0)</f>
        <v>AUTOMOTIVO</v>
      </c>
    </row>
    <row r="338" spans="1:24" x14ac:dyDescent="0.3">
      <c r="A338" t="s">
        <v>393</v>
      </c>
      <c r="B338" t="s">
        <v>394</v>
      </c>
      <c r="C338" t="s">
        <v>405</v>
      </c>
      <c r="D338" s="1">
        <v>46031</v>
      </c>
      <c r="E338" t="s">
        <v>406</v>
      </c>
      <c r="F338">
        <v>9</v>
      </c>
      <c r="G338">
        <v>174</v>
      </c>
      <c r="H338" t="str">
        <f>VLOOKUP(G338,[1]OPERADORES!$A:$B,2,0)</f>
        <v>MIRIÃ LOBATO RODRIGUES</v>
      </c>
      <c r="I338" t="s">
        <v>21</v>
      </c>
      <c r="J338" t="s">
        <v>397</v>
      </c>
      <c r="K338" t="s">
        <v>398</v>
      </c>
      <c r="L338">
        <v>23103</v>
      </c>
      <c r="M338" t="s">
        <v>414</v>
      </c>
      <c r="O338" t="s">
        <v>11</v>
      </c>
      <c r="P338">
        <v>5102</v>
      </c>
      <c r="Q338">
        <v>15</v>
      </c>
      <c r="R338">
        <v>2.35</v>
      </c>
      <c r="S338">
        <v>35.25</v>
      </c>
      <c r="T338">
        <v>25.35</v>
      </c>
      <c r="U338">
        <v>28.09</v>
      </c>
      <c r="V338" t="str">
        <f>VLOOKUP(L338,'[2]tabela de preços'!$A:$D,4,0)</f>
        <v>3M</v>
      </c>
      <c r="W338" t="str">
        <f>VLOOKUP(L338,'[2]tabela de preços'!$A:$F,6,0)</f>
        <v xml:space="preserve">DISCOS / LIXAS / ABRASIVOS </v>
      </c>
      <c r="X338" t="str">
        <f>VLOOKUP(L338,'[2]tabela de preços'!$A:$G,7,0)</f>
        <v>AUTOMOTIVO</v>
      </c>
    </row>
    <row r="339" spans="1:24" x14ac:dyDescent="0.3">
      <c r="A339" t="s">
        <v>393</v>
      </c>
      <c r="B339" t="s">
        <v>394</v>
      </c>
      <c r="C339" t="s">
        <v>405</v>
      </c>
      <c r="D339" s="1">
        <v>46031</v>
      </c>
      <c r="E339" t="s">
        <v>406</v>
      </c>
      <c r="F339">
        <v>9</v>
      </c>
      <c r="G339">
        <v>174</v>
      </c>
      <c r="H339" t="str">
        <f>VLOOKUP(G339,[1]OPERADORES!$A:$B,2,0)</f>
        <v>MIRIÃ LOBATO RODRIGUES</v>
      </c>
      <c r="I339" t="s">
        <v>21</v>
      </c>
      <c r="J339" t="s">
        <v>397</v>
      </c>
      <c r="K339" t="s">
        <v>398</v>
      </c>
      <c r="L339">
        <v>87043</v>
      </c>
      <c r="M339" t="s">
        <v>217</v>
      </c>
      <c r="O339" t="s">
        <v>11</v>
      </c>
      <c r="P339">
        <v>5102</v>
      </c>
      <c r="Q339">
        <v>8</v>
      </c>
      <c r="R339">
        <v>22.89</v>
      </c>
      <c r="S339">
        <v>183.12</v>
      </c>
      <c r="T339">
        <v>144.16</v>
      </c>
      <c r="U339">
        <v>21.28</v>
      </c>
      <c r="V339" t="str">
        <f>VLOOKUP(L339,'[2]tabela de preços'!$A:$D,4,0)</f>
        <v>ROBERLO</v>
      </c>
      <c r="W339" t="str">
        <f>VLOOKUP(L339,'[2]tabela de preços'!$A:$F,6,0)</f>
        <v>MASSA POLIÉSTER</v>
      </c>
      <c r="X339" t="str">
        <f>VLOOKUP(L339,'[2]tabela de preços'!$A:$G,7,0)</f>
        <v>AUTOMOTIVO</v>
      </c>
    </row>
    <row r="340" spans="1:24" x14ac:dyDescent="0.3">
      <c r="A340" t="s">
        <v>393</v>
      </c>
      <c r="B340" t="s">
        <v>394</v>
      </c>
      <c r="C340" t="s">
        <v>405</v>
      </c>
      <c r="D340" s="1">
        <v>46031</v>
      </c>
      <c r="E340" t="s">
        <v>406</v>
      </c>
      <c r="F340">
        <v>9</v>
      </c>
      <c r="G340">
        <v>174</v>
      </c>
      <c r="H340" t="str">
        <f>VLOOKUP(G340,[1]OPERADORES!$A:$B,2,0)</f>
        <v>MIRIÃ LOBATO RODRIGUES</v>
      </c>
      <c r="I340" t="s">
        <v>21</v>
      </c>
      <c r="J340" t="s">
        <v>397</v>
      </c>
      <c r="K340" t="s">
        <v>398</v>
      </c>
      <c r="L340">
        <v>24247</v>
      </c>
      <c r="M340" t="s">
        <v>111</v>
      </c>
      <c r="O340" t="s">
        <v>11</v>
      </c>
      <c r="P340">
        <v>5403</v>
      </c>
      <c r="Q340">
        <v>12</v>
      </c>
      <c r="R340">
        <v>19.899999999999999</v>
      </c>
      <c r="S340">
        <v>238.8</v>
      </c>
      <c r="T340">
        <v>199.2</v>
      </c>
      <c r="U340">
        <v>16.579999999999998</v>
      </c>
      <c r="V340" t="str">
        <f>VLOOKUP(L340,'[2]tabela de preços'!$A:$D,4,0)</f>
        <v>SHERWIN WILLIAMS</v>
      </c>
      <c r="W340" t="str">
        <f>VLOOKUP(L340,'[2]tabela de preços'!$A:$F,6,0)</f>
        <v>PRIMER AUTOMOTIVO</v>
      </c>
      <c r="X340" t="str">
        <f>VLOOKUP(L340,'[2]tabela de preços'!$A:$G,7,0)</f>
        <v>AUTOMOTIVO</v>
      </c>
    </row>
    <row r="341" spans="1:24" x14ac:dyDescent="0.3">
      <c r="A341" t="s">
        <v>393</v>
      </c>
      <c r="B341" t="s">
        <v>394</v>
      </c>
      <c r="C341" t="s">
        <v>415</v>
      </c>
      <c r="D341" s="1">
        <v>46042</v>
      </c>
      <c r="E341" t="s">
        <v>416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397</v>
      </c>
      <c r="K341" t="s">
        <v>398</v>
      </c>
      <c r="L341">
        <v>23373</v>
      </c>
      <c r="M341" t="s">
        <v>417</v>
      </c>
      <c r="O341" t="s">
        <v>11</v>
      </c>
      <c r="P341">
        <v>5403</v>
      </c>
      <c r="Q341">
        <v>2</v>
      </c>
      <c r="R341">
        <v>34.1</v>
      </c>
      <c r="S341">
        <v>68.2</v>
      </c>
      <c r="T341">
        <v>51.76</v>
      </c>
      <c r="U341">
        <v>24.11</v>
      </c>
      <c r="V341" t="str">
        <f>VLOOKUP(L341,'[2]tabela de preços'!$A:$D,4,0)</f>
        <v>WANDA</v>
      </c>
      <c r="W341" t="str">
        <f>VLOOKUP(L341,'[2]tabela de preços'!$A:$F,6,0)</f>
        <v>TINTAS POLIÉSTER</v>
      </c>
      <c r="X341" t="str">
        <f>VLOOKUP(L341,'[2]tabela de preços'!$A:$G,7,0)</f>
        <v>AUTOMOTIVO</v>
      </c>
    </row>
    <row r="342" spans="1:24" x14ac:dyDescent="0.3">
      <c r="A342" t="s">
        <v>393</v>
      </c>
      <c r="B342" t="s">
        <v>394</v>
      </c>
      <c r="C342" t="s">
        <v>415</v>
      </c>
      <c r="D342" s="1">
        <v>46042</v>
      </c>
      <c r="E342" t="s">
        <v>416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397</v>
      </c>
      <c r="K342" t="s">
        <v>398</v>
      </c>
      <c r="L342">
        <v>23105</v>
      </c>
      <c r="M342" t="s">
        <v>402</v>
      </c>
      <c r="O342" t="s">
        <v>11</v>
      </c>
      <c r="P342">
        <v>5102</v>
      </c>
      <c r="Q342">
        <v>10</v>
      </c>
      <c r="R342">
        <v>2.35</v>
      </c>
      <c r="S342">
        <v>23.5</v>
      </c>
      <c r="T342">
        <v>19.2</v>
      </c>
      <c r="U342">
        <v>18.3</v>
      </c>
      <c r="V342" t="str">
        <f>VLOOKUP(L342,'[2]tabela de preços'!$A:$D,4,0)</f>
        <v>3M</v>
      </c>
      <c r="W342" t="str">
        <f>VLOOKUP(L342,'[2]tabela de preços'!$A:$F,6,0)</f>
        <v xml:space="preserve">DISCOS / LIXAS / ABRASIVOS </v>
      </c>
      <c r="X342" t="str">
        <f>VLOOKUP(L342,'[2]tabela de preços'!$A:$G,7,0)</f>
        <v>AUTOMOTIVO</v>
      </c>
    </row>
    <row r="343" spans="1:24" x14ac:dyDescent="0.3">
      <c r="A343" t="s">
        <v>393</v>
      </c>
      <c r="B343" t="s">
        <v>394</v>
      </c>
      <c r="C343" t="s">
        <v>415</v>
      </c>
      <c r="D343" s="1">
        <v>46042</v>
      </c>
      <c r="E343" t="s">
        <v>416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397</v>
      </c>
      <c r="K343" t="s">
        <v>398</v>
      </c>
      <c r="L343">
        <v>23106</v>
      </c>
      <c r="M343" t="s">
        <v>403</v>
      </c>
      <c r="O343" t="s">
        <v>11</v>
      </c>
      <c r="P343">
        <v>5102</v>
      </c>
      <c r="Q343">
        <v>10</v>
      </c>
      <c r="R343">
        <v>2.35</v>
      </c>
      <c r="S343">
        <v>23.5</v>
      </c>
      <c r="T343">
        <v>19.2</v>
      </c>
      <c r="U343">
        <v>18.3</v>
      </c>
      <c r="V343" t="str">
        <f>VLOOKUP(L343,'[2]tabela de preços'!$A:$D,4,0)</f>
        <v>3M</v>
      </c>
      <c r="W343" t="str">
        <f>VLOOKUP(L343,'[2]tabela de preços'!$A:$F,6,0)</f>
        <v xml:space="preserve">DISCOS / LIXAS / ABRASIVOS </v>
      </c>
      <c r="X343" t="str">
        <f>VLOOKUP(L343,'[2]tabela de preços'!$A:$G,7,0)</f>
        <v>AUTOMOTIVO</v>
      </c>
    </row>
    <row r="344" spans="1:24" x14ac:dyDescent="0.3">
      <c r="A344" t="s">
        <v>393</v>
      </c>
      <c r="B344" t="s">
        <v>394</v>
      </c>
      <c r="C344" t="s">
        <v>415</v>
      </c>
      <c r="D344" s="1">
        <v>46042</v>
      </c>
      <c r="E344" t="s">
        <v>416</v>
      </c>
      <c r="F344">
        <v>9</v>
      </c>
      <c r="G344">
        <v>174</v>
      </c>
      <c r="H344" t="str">
        <f>VLOOKUP(G344,[1]OPERADORES!$A:$B,2,0)</f>
        <v>MIRIÃ LOBATO RODRIGUES</v>
      </c>
      <c r="I344" t="s">
        <v>21</v>
      </c>
      <c r="J344" t="s">
        <v>397</v>
      </c>
      <c r="K344" t="s">
        <v>398</v>
      </c>
      <c r="L344">
        <v>23109</v>
      </c>
      <c r="M344" t="s">
        <v>418</v>
      </c>
      <c r="O344" t="s">
        <v>11</v>
      </c>
      <c r="P344">
        <v>5102</v>
      </c>
      <c r="Q344">
        <v>5</v>
      </c>
      <c r="R344">
        <v>2.35</v>
      </c>
      <c r="S344">
        <v>11.75</v>
      </c>
      <c r="T344">
        <v>9.25</v>
      </c>
      <c r="U344">
        <v>21.28</v>
      </c>
      <c r="V344" t="str">
        <f>VLOOKUP(L344,'[2]tabela de preços'!$A:$D,4,0)</f>
        <v>3M</v>
      </c>
      <c r="W344" t="str">
        <f>VLOOKUP(L344,'[2]tabela de preços'!$A:$F,6,0)</f>
        <v xml:space="preserve">DISCOS / LIXAS / ABRASIVOS </v>
      </c>
      <c r="X344" t="str">
        <f>VLOOKUP(L344,'[2]tabela de preços'!$A:$G,7,0)</f>
        <v>AUTOMOTIVO</v>
      </c>
    </row>
    <row r="345" spans="1:24" x14ac:dyDescent="0.3">
      <c r="A345" t="s">
        <v>393</v>
      </c>
      <c r="B345" t="s">
        <v>394</v>
      </c>
      <c r="C345" t="s">
        <v>415</v>
      </c>
      <c r="D345" s="1">
        <v>46042</v>
      </c>
      <c r="E345" t="s">
        <v>416</v>
      </c>
      <c r="F345">
        <v>9</v>
      </c>
      <c r="G345">
        <v>174</v>
      </c>
      <c r="H345" t="str">
        <f>VLOOKUP(G345,[1]OPERADORES!$A:$B,2,0)</f>
        <v>MIRIÃ LOBATO RODRIGUES</v>
      </c>
      <c r="I345" t="s">
        <v>21</v>
      </c>
      <c r="J345" t="s">
        <v>397</v>
      </c>
      <c r="K345" t="s">
        <v>398</v>
      </c>
      <c r="L345">
        <v>24240</v>
      </c>
      <c r="M345" t="s">
        <v>240</v>
      </c>
      <c r="O345" t="s">
        <v>11</v>
      </c>
      <c r="P345">
        <v>5102</v>
      </c>
      <c r="Q345">
        <v>32</v>
      </c>
      <c r="R345">
        <v>3.81</v>
      </c>
      <c r="S345">
        <v>121.92</v>
      </c>
      <c r="T345">
        <v>104.96</v>
      </c>
      <c r="U345">
        <v>13.91</v>
      </c>
      <c r="V345" t="str">
        <f>VLOOKUP(L345,'[2]tabela de preços'!$A:$D,4,0)</f>
        <v>ADERE</v>
      </c>
      <c r="W345" t="str">
        <f>VLOOKUP(L345,'[2]tabela de preços'!$A:$F,6,0)</f>
        <v>FITA AUTOMOTIVA</v>
      </c>
      <c r="X345" t="str">
        <f>VLOOKUP(L345,'[2]tabela de preços'!$A:$G,7,0)</f>
        <v>AUTOMOTIVO</v>
      </c>
    </row>
    <row r="346" spans="1:24" x14ac:dyDescent="0.3">
      <c r="A346" t="s">
        <v>393</v>
      </c>
      <c r="B346" t="s">
        <v>394</v>
      </c>
      <c r="C346" t="s">
        <v>415</v>
      </c>
      <c r="D346" s="1">
        <v>46042</v>
      </c>
      <c r="E346" t="s">
        <v>416</v>
      </c>
      <c r="F346">
        <v>9</v>
      </c>
      <c r="G346">
        <v>174</v>
      </c>
      <c r="H346" t="str">
        <f>VLOOKUP(G346,[1]OPERADORES!$A:$B,2,0)</f>
        <v>MIRIÃ LOBATO RODRIGUES</v>
      </c>
      <c r="I346" t="s">
        <v>21</v>
      </c>
      <c r="J346" t="s">
        <v>397</v>
      </c>
      <c r="K346" t="s">
        <v>398</v>
      </c>
      <c r="L346">
        <v>23383</v>
      </c>
      <c r="M346" t="s">
        <v>419</v>
      </c>
      <c r="O346" t="s">
        <v>11</v>
      </c>
      <c r="P346">
        <v>5403</v>
      </c>
      <c r="Q346">
        <v>3</v>
      </c>
      <c r="R346">
        <v>51.6</v>
      </c>
      <c r="S346">
        <v>154.80000000000001</v>
      </c>
      <c r="T346">
        <v>117.48</v>
      </c>
      <c r="U346">
        <v>24.11</v>
      </c>
      <c r="V346" t="str">
        <f>VLOOKUP(L346,'[2]tabela de preços'!$A:$D,4,0)</f>
        <v>WANDA</v>
      </c>
      <c r="W346" t="str">
        <f>VLOOKUP(L346,'[2]tabela de preços'!$A:$F,6,0)</f>
        <v>TINTAS PU</v>
      </c>
      <c r="X346" t="str">
        <f>VLOOKUP(L346,'[2]tabela de preços'!$A:$G,7,0)</f>
        <v>AUTOMOTIVO</v>
      </c>
    </row>
    <row r="347" spans="1:24" x14ac:dyDescent="0.3">
      <c r="A347" t="s">
        <v>393</v>
      </c>
      <c r="B347" t="s">
        <v>394</v>
      </c>
      <c r="C347" t="s">
        <v>415</v>
      </c>
      <c r="D347" s="1">
        <v>46042</v>
      </c>
      <c r="E347" t="s">
        <v>416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20325</v>
      </c>
      <c r="M347" t="s">
        <v>150</v>
      </c>
      <c r="O347" t="s">
        <v>11</v>
      </c>
      <c r="P347">
        <v>5403</v>
      </c>
      <c r="Q347">
        <v>1</v>
      </c>
      <c r="R347">
        <v>32.299999999999997</v>
      </c>
      <c r="S347">
        <v>32.299999999999997</v>
      </c>
      <c r="T347">
        <v>23.03</v>
      </c>
      <c r="U347">
        <v>28.7</v>
      </c>
      <c r="V347" t="str">
        <f>VLOOKUP(L347,'[2]tabela de preços'!$A:$D,4,0)</f>
        <v>SHERWIN WILLIAMS</v>
      </c>
      <c r="W347" t="str">
        <f>VLOOKUP(L347,'[2]tabela de preços'!$A:$F,6,0)</f>
        <v>TINTAS POLIÉSTER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415</v>
      </c>
      <c r="D348" s="1">
        <v>46042</v>
      </c>
      <c r="E348" t="s">
        <v>416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23099</v>
      </c>
      <c r="M348" t="s">
        <v>420</v>
      </c>
      <c r="O348" t="s">
        <v>411</v>
      </c>
      <c r="P348">
        <v>5102</v>
      </c>
      <c r="Q348">
        <v>10</v>
      </c>
      <c r="R348">
        <v>2.35</v>
      </c>
      <c r="S348">
        <v>23.5</v>
      </c>
      <c r="T348">
        <v>16.899999999999999</v>
      </c>
      <c r="U348">
        <v>28.09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415</v>
      </c>
      <c r="D349" s="1">
        <v>46042</v>
      </c>
      <c r="E349" t="s">
        <v>416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23097</v>
      </c>
      <c r="M349" t="s">
        <v>412</v>
      </c>
      <c r="O349" t="s">
        <v>411</v>
      </c>
      <c r="P349">
        <v>5102</v>
      </c>
      <c r="Q349">
        <v>10</v>
      </c>
      <c r="R349">
        <v>2.35</v>
      </c>
      <c r="S349">
        <v>23.5</v>
      </c>
      <c r="T349">
        <v>13.6</v>
      </c>
      <c r="U349">
        <v>42.13</v>
      </c>
      <c r="V349" t="str">
        <f>VLOOKUP(L349,'[2]tabela de preços'!$A:$D,4,0)</f>
        <v>3M</v>
      </c>
      <c r="W349" t="str">
        <f>VLOOKUP(L349,'[2]tabela de preços'!$A:$F,6,0)</f>
        <v xml:space="preserve">DISCOS / LIXAS / ABRASIVOS </v>
      </c>
      <c r="X349" t="str">
        <f>VLOOKUP(L349,'[2]tabela de preços'!$A:$G,7,0)</f>
        <v>AUTOMOTIVO</v>
      </c>
    </row>
    <row r="350" spans="1:24" x14ac:dyDescent="0.3">
      <c r="A350" t="s">
        <v>393</v>
      </c>
      <c r="B350" t="s">
        <v>394</v>
      </c>
      <c r="C350" t="s">
        <v>415</v>
      </c>
      <c r="D350" s="1">
        <v>46042</v>
      </c>
      <c r="E350" t="s">
        <v>416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397</v>
      </c>
      <c r="K350" t="s">
        <v>398</v>
      </c>
      <c r="L350">
        <v>23102</v>
      </c>
      <c r="M350" t="s">
        <v>413</v>
      </c>
      <c r="O350" t="s">
        <v>11</v>
      </c>
      <c r="P350">
        <v>5102</v>
      </c>
      <c r="Q350">
        <v>10</v>
      </c>
      <c r="R350">
        <v>2.35</v>
      </c>
      <c r="S350">
        <v>23.5</v>
      </c>
      <c r="T350">
        <v>12.9</v>
      </c>
      <c r="U350">
        <v>45.11</v>
      </c>
      <c r="V350" t="str">
        <f>VLOOKUP(L350,'[2]tabela de preços'!$A:$D,4,0)</f>
        <v>3M</v>
      </c>
      <c r="W350" t="str">
        <f>VLOOKUP(L350,'[2]tabela de preços'!$A:$F,6,0)</f>
        <v xml:space="preserve">DISCOS / LIXAS / ABRASIVOS </v>
      </c>
      <c r="X350" t="str">
        <f>VLOOKUP(L350,'[2]tabela de preços'!$A:$G,7,0)</f>
        <v>AUTOMOTIVO</v>
      </c>
    </row>
    <row r="351" spans="1:24" x14ac:dyDescent="0.3">
      <c r="A351" t="s">
        <v>421</v>
      </c>
      <c r="C351" t="s">
        <v>422</v>
      </c>
      <c r="D351" s="1">
        <v>46045</v>
      </c>
      <c r="E351" t="s">
        <v>423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424</v>
      </c>
      <c r="K351" t="s">
        <v>425</v>
      </c>
      <c r="L351">
        <v>84324</v>
      </c>
      <c r="M351" t="s">
        <v>359</v>
      </c>
      <c r="O351" t="s">
        <v>11</v>
      </c>
      <c r="P351">
        <v>5403</v>
      </c>
      <c r="Q351">
        <v>5</v>
      </c>
      <c r="R351">
        <v>91.84</v>
      </c>
      <c r="S351">
        <v>459.2</v>
      </c>
      <c r="T351">
        <v>348.55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426</v>
      </c>
      <c r="B352" t="s">
        <v>427</v>
      </c>
      <c r="C352" t="s">
        <v>428</v>
      </c>
      <c r="D352" s="1">
        <v>46031</v>
      </c>
      <c r="E352" t="s">
        <v>429</v>
      </c>
      <c r="F352">
        <v>9</v>
      </c>
      <c r="G352">
        <v>236</v>
      </c>
      <c r="H352" t="str">
        <f>VLOOKUP(G352,[1]OPERADORES!$A:$B,2,0)</f>
        <v>DANIEL</v>
      </c>
      <c r="I352" t="s">
        <v>21</v>
      </c>
      <c r="J352" t="s">
        <v>430</v>
      </c>
      <c r="K352" t="s">
        <v>431</v>
      </c>
      <c r="L352">
        <v>84558</v>
      </c>
      <c r="M352" t="s">
        <v>432</v>
      </c>
      <c r="O352" t="s">
        <v>11</v>
      </c>
      <c r="P352">
        <v>5102</v>
      </c>
      <c r="Q352">
        <v>1</v>
      </c>
      <c r="R352">
        <v>7.57</v>
      </c>
      <c r="S352">
        <v>7.57</v>
      </c>
      <c r="T352">
        <v>4.74</v>
      </c>
      <c r="U352">
        <v>37.380000000000003</v>
      </c>
      <c r="V352" t="str">
        <f>VLOOKUP(L352,'[2]tabela de preços'!$A:$D,4,0)</f>
        <v>3M</v>
      </c>
      <c r="W352" t="str">
        <f>VLOOKUP(L352,'[2]tabela de preços'!$A:$F,6,0)</f>
        <v>FITA ISOLANTE</v>
      </c>
      <c r="X352" t="str">
        <f>VLOOKUP(L352,'[2]tabela de preços'!$A:$G,7,0)</f>
        <v>IMOBILIÁRIO</v>
      </c>
    </row>
    <row r="353" spans="1:24" x14ac:dyDescent="0.3">
      <c r="A353" t="s">
        <v>426</v>
      </c>
      <c r="B353" t="s">
        <v>427</v>
      </c>
      <c r="C353" t="s">
        <v>433</v>
      </c>
      <c r="D353" s="1">
        <v>46043</v>
      </c>
      <c r="E353" t="s">
        <v>434</v>
      </c>
      <c r="F353">
        <v>9</v>
      </c>
      <c r="G353">
        <v>236</v>
      </c>
      <c r="H353" t="str">
        <f>VLOOKUP(G353,[1]OPERADORES!$A:$B,2,0)</f>
        <v>DANIEL</v>
      </c>
      <c r="I353" t="s">
        <v>21</v>
      </c>
      <c r="J353" t="s">
        <v>430</v>
      </c>
      <c r="K353" t="s">
        <v>431</v>
      </c>
      <c r="L353">
        <v>85421</v>
      </c>
      <c r="M353" t="s">
        <v>435</v>
      </c>
      <c r="O353" t="s">
        <v>411</v>
      </c>
      <c r="P353">
        <v>5102</v>
      </c>
      <c r="Q353">
        <v>1</v>
      </c>
      <c r="R353">
        <v>15.5</v>
      </c>
      <c r="S353">
        <v>15.5</v>
      </c>
      <c r="T353">
        <v>11.77</v>
      </c>
      <c r="U353">
        <v>24.06</v>
      </c>
      <c r="V353" t="str">
        <f>VLOOKUP(L353,'[2]tabela de preços'!$A:$D,4,0)</f>
        <v>MAXI RUBBER</v>
      </c>
      <c r="W353" t="str">
        <f>VLOOKUP(L353,'[2]tabela de preços'!$A:$F,6,0)</f>
        <v>MASSA DE POLIR</v>
      </c>
      <c r="X353" t="str">
        <f>VLOOKUP(L353,'[2]tabela de preços'!$A:$G,7,0)</f>
        <v>AUTOMOTIVO</v>
      </c>
    </row>
    <row r="354" spans="1:24" x14ac:dyDescent="0.3">
      <c r="A354" t="s">
        <v>426</v>
      </c>
      <c r="B354" t="s">
        <v>427</v>
      </c>
      <c r="C354" t="s">
        <v>436</v>
      </c>
      <c r="D354" s="1">
        <v>46051</v>
      </c>
      <c r="E354" t="s">
        <v>437</v>
      </c>
      <c r="F354">
        <v>9</v>
      </c>
      <c r="G354">
        <v>236</v>
      </c>
      <c r="H354" t="str">
        <f>VLOOKUP(G354,[1]OPERADORES!$A:$B,2,0)</f>
        <v>DANIEL</v>
      </c>
      <c r="I354" t="s">
        <v>21</v>
      </c>
      <c r="J354" t="s">
        <v>430</v>
      </c>
      <c r="K354" t="s">
        <v>431</v>
      </c>
      <c r="L354">
        <v>84558</v>
      </c>
      <c r="M354" t="s">
        <v>432</v>
      </c>
      <c r="O354" t="s">
        <v>11</v>
      </c>
      <c r="P354">
        <v>5102</v>
      </c>
      <c r="Q354">
        <v>1</v>
      </c>
      <c r="R354">
        <v>7.57</v>
      </c>
      <c r="S354">
        <v>7.57</v>
      </c>
      <c r="T354">
        <v>4.74</v>
      </c>
      <c r="U354">
        <v>37.380000000000003</v>
      </c>
      <c r="V354" t="str">
        <f>VLOOKUP(L354,'[2]tabela de preços'!$A:$D,4,0)</f>
        <v>3M</v>
      </c>
      <c r="W354" t="str">
        <f>VLOOKUP(L354,'[2]tabela de preços'!$A:$F,6,0)</f>
        <v>FITA ISOLANTE</v>
      </c>
      <c r="X354" t="str">
        <f>VLOOKUP(L354,'[2]tabela de preços'!$A:$G,7,0)</f>
        <v>IMOBILIÁRIO</v>
      </c>
    </row>
    <row r="355" spans="1:24" x14ac:dyDescent="0.3">
      <c r="A355" t="s">
        <v>426</v>
      </c>
      <c r="B355" t="s">
        <v>427</v>
      </c>
      <c r="C355" t="s">
        <v>436</v>
      </c>
      <c r="D355" s="1">
        <v>46051</v>
      </c>
      <c r="E355" t="s">
        <v>438</v>
      </c>
      <c r="F355">
        <v>9</v>
      </c>
      <c r="G355">
        <v>236</v>
      </c>
      <c r="H355" t="str">
        <f>VLOOKUP(G355,[1]OPERADORES!$A:$B,2,0)</f>
        <v>DANIEL</v>
      </c>
      <c r="I355" t="s">
        <v>21</v>
      </c>
      <c r="J355" t="s">
        <v>430</v>
      </c>
      <c r="K355" t="s">
        <v>431</v>
      </c>
      <c r="L355">
        <v>85650</v>
      </c>
      <c r="M355" t="s">
        <v>439</v>
      </c>
      <c r="O355" t="s">
        <v>11</v>
      </c>
      <c r="P355">
        <v>5405</v>
      </c>
      <c r="Q355">
        <v>1</v>
      </c>
      <c r="R355">
        <v>15</v>
      </c>
      <c r="S355">
        <v>15</v>
      </c>
      <c r="T355">
        <v>6.92</v>
      </c>
      <c r="U355">
        <v>53.87</v>
      </c>
      <c r="V355" t="str">
        <f>VLOOKUP(L355,'[2]tabela de preços'!$A:$D,4,0)</f>
        <v>UNIPEGA</v>
      </c>
      <c r="W355" t="str">
        <f>VLOOKUP(L355,'[2]tabela de preços'!$A:$F,6,0)</f>
        <v xml:space="preserve">SPRAYS </v>
      </c>
      <c r="X355" t="str">
        <f>VLOOKUP(L355,'[2]tabela de preços'!$A:$G,7,0)</f>
        <v>AUTOMOTIVO</v>
      </c>
    </row>
    <row r="356" spans="1:24" x14ac:dyDescent="0.3">
      <c r="A356" t="s">
        <v>426</v>
      </c>
      <c r="B356" t="s">
        <v>427</v>
      </c>
      <c r="C356" t="s">
        <v>440</v>
      </c>
      <c r="D356" s="1">
        <v>46051</v>
      </c>
      <c r="E356" t="s">
        <v>441</v>
      </c>
      <c r="F356">
        <v>9</v>
      </c>
      <c r="G356">
        <v>145</v>
      </c>
      <c r="H356" t="str">
        <f>VLOOKUP(G356,[1]OPERADORES!$A:$B,2,0)</f>
        <v xml:space="preserve">FABRICIA </v>
      </c>
      <c r="I356" t="s">
        <v>21</v>
      </c>
      <c r="J356" t="s">
        <v>430</v>
      </c>
      <c r="K356" t="s">
        <v>431</v>
      </c>
      <c r="L356">
        <v>24267</v>
      </c>
      <c r="M356" t="s">
        <v>442</v>
      </c>
      <c r="O356" t="s">
        <v>11</v>
      </c>
      <c r="P356">
        <v>5102</v>
      </c>
      <c r="Q356">
        <v>1</v>
      </c>
      <c r="R356">
        <v>35.46</v>
      </c>
      <c r="S356">
        <v>35.46</v>
      </c>
      <c r="T356">
        <v>23.18</v>
      </c>
      <c r="U356">
        <v>34.630000000000003</v>
      </c>
      <c r="V356" t="str">
        <f>VLOOKUP(L356,'[2]tabela de preços'!$A:$D,4,0)</f>
        <v>VONIXX</v>
      </c>
      <c r="W356" t="str">
        <f>VLOOKUP(L356,'[2]tabela de preços'!$A:$F,6,0)</f>
        <v>LINHA DE HIGENIZAÇÃO E ESTÉTICA  AUTOMOTIVA</v>
      </c>
      <c r="X356" t="str">
        <f>VLOOKUP(L356,'[2]tabela de preços'!$A:$G,7,0)</f>
        <v>AUTOMOTIVO</v>
      </c>
    </row>
    <row r="357" spans="1:24" x14ac:dyDescent="0.3">
      <c r="A357" t="s">
        <v>426</v>
      </c>
      <c r="B357" t="s">
        <v>427</v>
      </c>
      <c r="C357" t="s">
        <v>443</v>
      </c>
      <c r="D357" s="1">
        <v>46051</v>
      </c>
      <c r="E357" t="s">
        <v>444</v>
      </c>
      <c r="F357">
        <v>9</v>
      </c>
      <c r="G357">
        <v>145</v>
      </c>
      <c r="H357" t="str">
        <f>VLOOKUP(G357,[1]OPERADORES!$A:$B,2,0)</f>
        <v xml:space="preserve">FABRICIA </v>
      </c>
      <c r="I357" t="s">
        <v>21</v>
      </c>
      <c r="J357" t="s">
        <v>430</v>
      </c>
      <c r="K357" t="s">
        <v>431</v>
      </c>
      <c r="L357">
        <v>20814</v>
      </c>
      <c r="M357" t="s">
        <v>445</v>
      </c>
      <c r="O357" t="s">
        <v>11</v>
      </c>
      <c r="P357">
        <v>5102</v>
      </c>
      <c r="Q357">
        <v>1</v>
      </c>
      <c r="R357">
        <v>9.68</v>
      </c>
      <c r="S357">
        <v>9.68</v>
      </c>
      <c r="T357">
        <v>5.93</v>
      </c>
      <c r="U357">
        <v>38.74</v>
      </c>
      <c r="V357" t="str">
        <f>VLOOKUP(L357,'[2]tabela de preços'!$A:$D,4,0)</f>
        <v>AUTO AMERICA</v>
      </c>
      <c r="W357" t="str">
        <f>VLOOKUP(L357,'[2]tabela de preços'!$A:$F,6,0)</f>
        <v>APLICADORES / ADAPTADORES / ENGATES / SUPORTES</v>
      </c>
      <c r="X357" t="str">
        <f>VLOOKUP(L357,'[2]tabela de preços'!$A:$G,7,0)</f>
        <v>AUTOMOTIVO</v>
      </c>
    </row>
    <row r="358" spans="1:24" x14ac:dyDescent="0.3">
      <c r="A358" t="s">
        <v>426</v>
      </c>
      <c r="B358" t="s">
        <v>427</v>
      </c>
      <c r="C358" t="s">
        <v>443</v>
      </c>
      <c r="D358" s="1">
        <v>46051</v>
      </c>
      <c r="E358" t="s">
        <v>444</v>
      </c>
      <c r="F358">
        <v>9</v>
      </c>
      <c r="G358">
        <v>145</v>
      </c>
      <c r="H358" t="str">
        <f>VLOOKUP(G358,[1]OPERADORES!$A:$B,2,0)</f>
        <v xml:space="preserve">FABRICIA </v>
      </c>
      <c r="I358" t="s">
        <v>21</v>
      </c>
      <c r="J358" t="s">
        <v>430</v>
      </c>
      <c r="K358" t="s">
        <v>431</v>
      </c>
      <c r="L358">
        <v>24296</v>
      </c>
      <c r="M358" t="s">
        <v>446</v>
      </c>
      <c r="O358" t="s">
        <v>11</v>
      </c>
      <c r="P358">
        <v>5102</v>
      </c>
      <c r="Q358">
        <v>1</v>
      </c>
      <c r="R358">
        <v>34.44</v>
      </c>
      <c r="S358">
        <v>34.44</v>
      </c>
      <c r="T358">
        <v>22.55</v>
      </c>
      <c r="U358">
        <v>34.520000000000003</v>
      </c>
      <c r="V358" t="str">
        <f>VLOOKUP(L358,'[2]tabela de preços'!$A:$D,4,0)</f>
        <v>VONIXX</v>
      </c>
      <c r="W358" t="str">
        <f>VLOOKUP(L358,'[2]tabela de preços'!$A:$F,6,0)</f>
        <v>LINHA DE HIGENIZAÇÃO E ESTÉTICA  AUTOMOTIVA</v>
      </c>
      <c r="X358" t="str">
        <f>VLOOKUP(L358,'[2]tabela de preços'!$A:$G,7,0)</f>
        <v>AUTOMOTIVO</v>
      </c>
    </row>
    <row r="359" spans="1:24" x14ac:dyDescent="0.3">
      <c r="A359" t="s">
        <v>447</v>
      </c>
      <c r="C359" t="s">
        <v>448</v>
      </c>
      <c r="D359" s="1">
        <v>46034</v>
      </c>
      <c r="E359" t="s">
        <v>449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450</v>
      </c>
      <c r="K359" t="s">
        <v>451</v>
      </c>
      <c r="L359">
        <v>13</v>
      </c>
      <c r="M359" t="s">
        <v>152</v>
      </c>
      <c r="O359" t="s">
        <v>11</v>
      </c>
      <c r="P359">
        <v>5102</v>
      </c>
      <c r="Q359">
        <v>100</v>
      </c>
      <c r="R359">
        <v>5.79</v>
      </c>
      <c r="S359">
        <v>579</v>
      </c>
      <c r="T359">
        <v>416</v>
      </c>
      <c r="U359">
        <v>28.15</v>
      </c>
      <c r="V359" t="str">
        <f>VLOOKUP(L359,'[2]tabela de preços'!$A:$D,4,0)</f>
        <v>3M</v>
      </c>
      <c r="W359" t="str">
        <f>VLOOKUP(L359,'[2]tabela de preços'!$A:$F,6,0)</f>
        <v>LIXA DÁGUA</v>
      </c>
      <c r="X359" t="str">
        <f>VLOOKUP(L359,'[2]tabela de preços'!$A:$G,7,0)</f>
        <v>AUTOMOTIVO</v>
      </c>
    </row>
    <row r="360" spans="1:24" x14ac:dyDescent="0.3">
      <c r="A360" t="s">
        <v>447</v>
      </c>
      <c r="C360" t="s">
        <v>448</v>
      </c>
      <c r="D360" s="1">
        <v>46034</v>
      </c>
      <c r="E360" t="s">
        <v>449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450</v>
      </c>
      <c r="K360" t="s">
        <v>451</v>
      </c>
      <c r="L360">
        <v>15</v>
      </c>
      <c r="M360" t="s">
        <v>205</v>
      </c>
      <c r="O360" t="s">
        <v>11</v>
      </c>
      <c r="P360">
        <v>5102</v>
      </c>
      <c r="Q360">
        <v>50</v>
      </c>
      <c r="R360">
        <v>5.79</v>
      </c>
      <c r="S360">
        <v>289.5</v>
      </c>
      <c r="T360">
        <v>208</v>
      </c>
      <c r="U360">
        <v>28.15</v>
      </c>
      <c r="V360" t="str">
        <f>VLOOKUP(L360,'[2]tabela de preços'!$A:$D,4,0)</f>
        <v>3M</v>
      </c>
      <c r="W360" t="str">
        <f>VLOOKUP(L360,'[2]tabela de preços'!$A:$F,6,0)</f>
        <v>LIXA DÁGUA</v>
      </c>
      <c r="X360" t="str">
        <f>VLOOKUP(L360,'[2]tabela de preços'!$A:$G,7,0)</f>
        <v>AUTOMOTIVO</v>
      </c>
    </row>
    <row r="361" spans="1:24" x14ac:dyDescent="0.3">
      <c r="A361" t="s">
        <v>447</v>
      </c>
      <c r="C361" t="s">
        <v>448</v>
      </c>
      <c r="D361" s="1">
        <v>46034</v>
      </c>
      <c r="E361" t="s">
        <v>449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450</v>
      </c>
      <c r="K361" t="s">
        <v>451</v>
      </c>
      <c r="L361">
        <v>16</v>
      </c>
      <c r="M361" t="s">
        <v>122</v>
      </c>
      <c r="O361" t="s">
        <v>11</v>
      </c>
      <c r="P361">
        <v>5102</v>
      </c>
      <c r="Q361">
        <v>50</v>
      </c>
      <c r="R361">
        <v>2.9</v>
      </c>
      <c r="S361">
        <v>145</v>
      </c>
      <c r="T361">
        <v>110</v>
      </c>
      <c r="U361">
        <v>24.14</v>
      </c>
      <c r="V361" t="str">
        <f>VLOOKUP(L361,'[2]tabela de preços'!$A:$D,4,0)</f>
        <v>3M</v>
      </c>
      <c r="W361" t="str">
        <f>VLOOKUP(L361,'[2]tabela de preços'!$A:$F,6,0)</f>
        <v>LIXA DÁGUA</v>
      </c>
      <c r="X361" t="str">
        <f>VLOOKUP(L361,'[2]tabela de preços'!$A:$G,7,0)</f>
        <v>AUTOMOTIVO</v>
      </c>
    </row>
    <row r="362" spans="1:24" x14ac:dyDescent="0.3">
      <c r="A362" t="s">
        <v>447</v>
      </c>
      <c r="C362" t="s">
        <v>448</v>
      </c>
      <c r="D362" s="1">
        <v>46034</v>
      </c>
      <c r="E362" t="s">
        <v>449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450</v>
      </c>
      <c r="K362" t="s">
        <v>451</v>
      </c>
      <c r="L362">
        <v>10298</v>
      </c>
      <c r="M362" t="s">
        <v>85</v>
      </c>
      <c r="O362" t="s">
        <v>11</v>
      </c>
      <c r="P362">
        <v>5102</v>
      </c>
      <c r="Q362">
        <v>4</v>
      </c>
      <c r="R362">
        <v>56.89</v>
      </c>
      <c r="S362">
        <v>227.56</v>
      </c>
      <c r="T362">
        <v>189.52</v>
      </c>
      <c r="U362">
        <v>16.72</v>
      </c>
      <c r="V362" t="str">
        <f>VLOOKUP(L362,'[2]tabela de preços'!$A:$D,4,0)</f>
        <v>ANJO</v>
      </c>
      <c r="W362" t="str">
        <f>VLOOKUP(L362,'[2]tabela de preços'!$A:$F,6,0)</f>
        <v>THINNER DE LIMPEZA</v>
      </c>
      <c r="X362" t="str">
        <f>VLOOKUP(L362,'[2]tabela de preços'!$A:$G,7,0)</f>
        <v>THINNER</v>
      </c>
    </row>
    <row r="363" spans="1:24" x14ac:dyDescent="0.3">
      <c r="A363" t="s">
        <v>452</v>
      </c>
      <c r="C363" t="s">
        <v>453</v>
      </c>
      <c r="D363" s="1">
        <v>46027</v>
      </c>
      <c r="E363" t="s">
        <v>454</v>
      </c>
      <c r="F363">
        <v>9</v>
      </c>
      <c r="G363">
        <v>174</v>
      </c>
      <c r="H363" t="str">
        <f>VLOOKUP(G363,[1]OPERADORES!$A:$B,2,0)</f>
        <v>MIRIÃ LOBATO RODRIGUES</v>
      </c>
      <c r="I363" t="s">
        <v>455</v>
      </c>
      <c r="J363" t="s">
        <v>456</v>
      </c>
      <c r="K363" t="s">
        <v>457</v>
      </c>
      <c r="L363">
        <v>10067</v>
      </c>
      <c r="M363" t="s">
        <v>177</v>
      </c>
      <c r="O363" t="s">
        <v>11</v>
      </c>
      <c r="P363">
        <v>6102</v>
      </c>
      <c r="Q363">
        <v>2</v>
      </c>
      <c r="R363">
        <v>89.9</v>
      </c>
      <c r="S363">
        <v>179.8</v>
      </c>
      <c r="T363">
        <v>147.16</v>
      </c>
      <c r="U363">
        <v>18.149999999999999</v>
      </c>
      <c r="V363" t="str">
        <f>VLOOKUP(L363,'[2]tabela de preços'!$A:$D,4,0)</f>
        <v>3M</v>
      </c>
      <c r="W363" t="str">
        <f>VLOOKUP(L363,'[2]tabela de preços'!$A:$F,6,0)</f>
        <v>BOINAS PARA POLIMENTO</v>
      </c>
      <c r="X363" t="str">
        <f>VLOOKUP(L363,'[2]tabela de preços'!$A:$G,7,0)</f>
        <v>AUTOMOTIVO</v>
      </c>
    </row>
    <row r="364" spans="1:24" x14ac:dyDescent="0.3">
      <c r="A364" t="s">
        <v>452</v>
      </c>
      <c r="C364" t="s">
        <v>453</v>
      </c>
      <c r="D364" s="1">
        <v>46027</v>
      </c>
      <c r="E364" t="s">
        <v>454</v>
      </c>
      <c r="F364">
        <v>9</v>
      </c>
      <c r="G364">
        <v>174</v>
      </c>
      <c r="H364" t="str">
        <f>VLOOKUP(G364,[1]OPERADORES!$A:$B,2,0)</f>
        <v>MIRIÃ LOBATO RODRIGUES</v>
      </c>
      <c r="I364" t="s">
        <v>455</v>
      </c>
      <c r="J364" t="s">
        <v>456</v>
      </c>
      <c r="K364" t="s">
        <v>457</v>
      </c>
      <c r="L364">
        <v>84108</v>
      </c>
      <c r="M364" t="s">
        <v>144</v>
      </c>
      <c r="O364" t="s">
        <v>11</v>
      </c>
      <c r="P364">
        <v>6403</v>
      </c>
      <c r="Q364">
        <v>3</v>
      </c>
      <c r="R364">
        <v>27.29</v>
      </c>
      <c r="S364">
        <v>81.87</v>
      </c>
      <c r="T364">
        <v>62.13</v>
      </c>
      <c r="U364">
        <v>24.11</v>
      </c>
      <c r="V364" t="str">
        <f>VLOOKUP(L364,'[2]tabela de preços'!$A:$D,4,0)</f>
        <v>BRASILUX</v>
      </c>
      <c r="W364" t="str">
        <f>VLOOKUP(L364,'[2]tabela de preços'!$A:$F,6,0)</f>
        <v>TINTAS LACA</v>
      </c>
      <c r="X364" t="str">
        <f>VLOOKUP(L364,'[2]tabela de preços'!$A:$G,7,0)</f>
        <v>AUTOMOTIVO</v>
      </c>
    </row>
    <row r="365" spans="1:24" x14ac:dyDescent="0.3">
      <c r="A365" t="s">
        <v>452</v>
      </c>
      <c r="C365" t="s">
        <v>453</v>
      </c>
      <c r="D365" s="1">
        <v>46027</v>
      </c>
      <c r="E365" t="s">
        <v>454</v>
      </c>
      <c r="F365">
        <v>9</v>
      </c>
      <c r="G365">
        <v>174</v>
      </c>
      <c r="H365" t="str">
        <f>VLOOKUP(G365,[1]OPERADORES!$A:$B,2,0)</f>
        <v>MIRIÃ LOBATO RODRIGUES</v>
      </c>
      <c r="I365" t="s">
        <v>455</v>
      </c>
      <c r="J365" t="s">
        <v>456</v>
      </c>
      <c r="K365" t="s">
        <v>457</v>
      </c>
      <c r="L365">
        <v>23580</v>
      </c>
      <c r="M365" t="s">
        <v>115</v>
      </c>
      <c r="O365" t="s">
        <v>11</v>
      </c>
      <c r="P365">
        <v>6102</v>
      </c>
      <c r="Q365">
        <v>40</v>
      </c>
      <c r="R365">
        <v>0.48</v>
      </c>
      <c r="S365">
        <v>19.2</v>
      </c>
      <c r="T365">
        <v>14.4</v>
      </c>
      <c r="U365">
        <v>25</v>
      </c>
      <c r="V365" t="str">
        <f>VLOOKUP(L365,'[2]tabela de preços'!$A:$D,4,0)</f>
        <v>RENOVA COADORES</v>
      </c>
      <c r="W365" t="str">
        <f>VLOOKUP(L365,'[2]tabela de preços'!$A:$F,6,0)</f>
        <v>COADORES</v>
      </c>
      <c r="X365" t="str">
        <f>VLOOKUP(L365,'[2]tabela de preços'!$A:$G,7,0)</f>
        <v>AUTOMOTIVO</v>
      </c>
    </row>
    <row r="366" spans="1:24" x14ac:dyDescent="0.3">
      <c r="A366" t="s">
        <v>452</v>
      </c>
      <c r="C366" t="s">
        <v>453</v>
      </c>
      <c r="D366" s="1">
        <v>46027</v>
      </c>
      <c r="E366" t="s">
        <v>458</v>
      </c>
      <c r="F366">
        <v>9</v>
      </c>
      <c r="G366">
        <v>174</v>
      </c>
      <c r="H366" t="str">
        <f>VLOOKUP(G366,[1]OPERADORES!$A:$B,2,0)</f>
        <v>MIRIÃ LOBATO RODRIGUES</v>
      </c>
      <c r="I366" t="s">
        <v>455</v>
      </c>
      <c r="J366" t="s">
        <v>456</v>
      </c>
      <c r="K366" t="s">
        <v>457</v>
      </c>
      <c r="L366">
        <v>10236</v>
      </c>
      <c r="M366" t="s">
        <v>133</v>
      </c>
      <c r="O366" t="s">
        <v>11</v>
      </c>
      <c r="P366">
        <v>6102</v>
      </c>
      <c r="Q366">
        <v>102</v>
      </c>
      <c r="R366">
        <v>2.79</v>
      </c>
      <c r="S366">
        <v>284.58</v>
      </c>
      <c r="T366">
        <v>241.74</v>
      </c>
      <c r="U366">
        <v>15.05</v>
      </c>
      <c r="V366" t="str">
        <f>VLOOKUP(L366,'[2]tabela de preços'!$A:$D,4,0)</f>
        <v>NORTON</v>
      </c>
      <c r="W366" t="str">
        <f>VLOOKUP(L366,'[2]tabela de preços'!$A:$F,6,0)</f>
        <v xml:space="preserve">DISCOS / LIXAS / ABRASIVOS </v>
      </c>
      <c r="X366" t="str">
        <f>VLOOKUP(L366,'[2]tabela de preços'!$A:$G,7,0)</f>
        <v>AUTOMOTIVO</v>
      </c>
    </row>
    <row r="367" spans="1:24" x14ac:dyDescent="0.3">
      <c r="A367" t="s">
        <v>452</v>
      </c>
      <c r="C367" t="s">
        <v>453</v>
      </c>
      <c r="D367" s="1">
        <v>46027</v>
      </c>
      <c r="E367" t="s">
        <v>454</v>
      </c>
      <c r="F367">
        <v>9</v>
      </c>
      <c r="G367">
        <v>174</v>
      </c>
      <c r="H367" t="str">
        <f>VLOOKUP(G367,[1]OPERADORES!$A:$B,2,0)</f>
        <v>MIRIÃ LOBATO RODRIGUES</v>
      </c>
      <c r="I367" t="s">
        <v>455</v>
      </c>
      <c r="J367" t="s">
        <v>456</v>
      </c>
      <c r="K367" t="s">
        <v>457</v>
      </c>
      <c r="L367">
        <v>20135</v>
      </c>
      <c r="M367" t="s">
        <v>459</v>
      </c>
      <c r="O367" t="s">
        <v>11</v>
      </c>
      <c r="P367">
        <v>6102</v>
      </c>
      <c r="Q367">
        <v>5</v>
      </c>
      <c r="R367">
        <v>25.37</v>
      </c>
      <c r="S367">
        <v>126.85</v>
      </c>
      <c r="T367">
        <v>96.3</v>
      </c>
      <c r="U367">
        <v>24.08</v>
      </c>
      <c r="V367" t="str">
        <f>VLOOKUP(L367,'[2]tabela de preços'!$A:$D,4,0)</f>
        <v>3M</v>
      </c>
      <c r="W367" t="str">
        <f>VLOOKUP(L367,'[2]tabela de preços'!$A:$F,6,0)</f>
        <v>DISCO TRIZACT</v>
      </c>
      <c r="X367" t="str">
        <f>VLOOKUP(L367,'[2]tabela de preços'!$A:$G,7,0)</f>
        <v>AUTOMOTIVO</v>
      </c>
    </row>
    <row r="368" spans="1:24" x14ac:dyDescent="0.3">
      <c r="A368" t="s">
        <v>452</v>
      </c>
      <c r="C368" t="s">
        <v>453</v>
      </c>
      <c r="D368" s="1">
        <v>46027</v>
      </c>
      <c r="E368" t="s">
        <v>454</v>
      </c>
      <c r="F368">
        <v>9</v>
      </c>
      <c r="G368">
        <v>174</v>
      </c>
      <c r="H368" t="str">
        <f>VLOOKUP(G368,[1]OPERADORES!$A:$B,2,0)</f>
        <v>MIRIÃ LOBATO RODRIGUES</v>
      </c>
      <c r="I368" t="s">
        <v>455</v>
      </c>
      <c r="J368" t="s">
        <v>456</v>
      </c>
      <c r="K368" t="s">
        <v>457</v>
      </c>
      <c r="L368">
        <v>20433</v>
      </c>
      <c r="M368" t="s">
        <v>460</v>
      </c>
      <c r="O368" t="s">
        <v>11</v>
      </c>
      <c r="P368">
        <v>6102</v>
      </c>
      <c r="Q368">
        <v>4</v>
      </c>
      <c r="R368">
        <v>31.66</v>
      </c>
      <c r="S368">
        <v>126.64</v>
      </c>
      <c r="T368">
        <v>96.12</v>
      </c>
      <c r="U368">
        <v>24.1</v>
      </c>
      <c r="V368" t="str">
        <f>VLOOKUP(L368,'[2]tabela de preços'!$A:$D,4,0)</f>
        <v>SHERWIN WILLIAMS</v>
      </c>
      <c r="W368" t="str">
        <f>VLOOKUP(L368,'[2]tabela de preços'!$A:$F,6,0)</f>
        <v>VERNIZ AUTOMOTIVO</v>
      </c>
      <c r="X368" t="str">
        <f>VLOOKUP(L368,'[2]tabela de preços'!$A:$G,7,0)</f>
        <v>AUTOMOTIVO</v>
      </c>
    </row>
    <row r="369" spans="1:24" x14ac:dyDescent="0.3">
      <c r="A369" t="s">
        <v>452</v>
      </c>
      <c r="C369" t="s">
        <v>453</v>
      </c>
      <c r="D369" s="1">
        <v>46027</v>
      </c>
      <c r="E369" t="s">
        <v>454</v>
      </c>
      <c r="F369">
        <v>9</v>
      </c>
      <c r="G369">
        <v>174</v>
      </c>
      <c r="H369" t="str">
        <f>VLOOKUP(G369,[1]OPERADORES!$A:$B,2,0)</f>
        <v>MIRIÃ LOBATO RODRIGUES</v>
      </c>
      <c r="I369" t="s">
        <v>455</v>
      </c>
      <c r="J369" t="s">
        <v>456</v>
      </c>
      <c r="K369" t="s">
        <v>457</v>
      </c>
      <c r="L369">
        <v>5</v>
      </c>
      <c r="M369" t="s">
        <v>147</v>
      </c>
      <c r="O369" t="s">
        <v>11</v>
      </c>
      <c r="P369">
        <v>6102</v>
      </c>
      <c r="Q369">
        <v>16</v>
      </c>
      <c r="R369">
        <v>4.8499999999999996</v>
      </c>
      <c r="S369">
        <v>77.599999999999994</v>
      </c>
      <c r="T369">
        <v>62.56</v>
      </c>
      <c r="U369">
        <v>19.38</v>
      </c>
      <c r="V369" t="str">
        <f>VLOOKUP(L369,'[2]tabela de preços'!$A:$D,4,0)</f>
        <v>BRILHO ESTOPA</v>
      </c>
      <c r="W369" t="str">
        <f>VLOOKUP(L369,'[2]tabela de preços'!$A:$F,6,0)</f>
        <v>ESTOPAS</v>
      </c>
      <c r="X369" t="str">
        <f>VLOOKUP(L369,'[2]tabela de preços'!$A:$G,7,0)</f>
        <v>AUTOMOTIVO</v>
      </c>
    </row>
    <row r="370" spans="1:24" x14ac:dyDescent="0.3">
      <c r="A370" t="s">
        <v>452</v>
      </c>
      <c r="C370" t="s">
        <v>453</v>
      </c>
      <c r="D370" s="1">
        <v>46027</v>
      </c>
      <c r="E370" t="s">
        <v>454</v>
      </c>
      <c r="F370">
        <v>9</v>
      </c>
      <c r="G370">
        <v>174</v>
      </c>
      <c r="H370" t="str">
        <f>VLOOKUP(G370,[1]OPERADORES!$A:$B,2,0)</f>
        <v>MIRIÃ LOBATO RODRIGUES</v>
      </c>
      <c r="I370" t="s">
        <v>455</v>
      </c>
      <c r="J370" t="s">
        <v>456</v>
      </c>
      <c r="K370" t="s">
        <v>457</v>
      </c>
      <c r="L370">
        <v>10097</v>
      </c>
      <c r="M370" t="s">
        <v>461</v>
      </c>
      <c r="O370" t="s">
        <v>11</v>
      </c>
      <c r="P370">
        <v>6102</v>
      </c>
      <c r="Q370">
        <v>8</v>
      </c>
      <c r="R370">
        <v>8.82</v>
      </c>
      <c r="S370">
        <v>70.56</v>
      </c>
      <c r="T370">
        <v>53.6</v>
      </c>
      <c r="U370">
        <v>24.04</v>
      </c>
      <c r="V370" t="str">
        <f>VLOOKUP(L370,'[2]tabela de preços'!$A:$D,4,0)</f>
        <v>3M</v>
      </c>
      <c r="W370" t="str">
        <f>VLOOKUP(L370,'[2]tabela de preços'!$A:$F,6,0)</f>
        <v>EPI´S</v>
      </c>
      <c r="X370" t="str">
        <f>VLOOKUP(L370,'[2]tabela de preços'!$A:$G,7,0)</f>
        <v>AUTOMOTIVO</v>
      </c>
    </row>
    <row r="371" spans="1:24" x14ac:dyDescent="0.3">
      <c r="A371" t="s">
        <v>452</v>
      </c>
      <c r="C371" t="s">
        <v>453</v>
      </c>
      <c r="D371" s="1">
        <v>46027</v>
      </c>
      <c r="E371" t="s">
        <v>454</v>
      </c>
      <c r="F371">
        <v>9</v>
      </c>
      <c r="G371">
        <v>174</v>
      </c>
      <c r="H371" t="str">
        <f>VLOOKUP(G371,[1]OPERADORES!$A:$B,2,0)</f>
        <v>MIRIÃ LOBATO RODRIGUES</v>
      </c>
      <c r="I371" t="s">
        <v>455</v>
      </c>
      <c r="J371" t="s">
        <v>456</v>
      </c>
      <c r="K371" t="s">
        <v>457</v>
      </c>
      <c r="L371">
        <v>22684</v>
      </c>
      <c r="M371" t="s">
        <v>73</v>
      </c>
      <c r="O371" t="s">
        <v>11</v>
      </c>
      <c r="P371">
        <v>6102</v>
      </c>
      <c r="Q371">
        <v>80</v>
      </c>
      <c r="R371">
        <v>3.65</v>
      </c>
      <c r="S371">
        <v>292</v>
      </c>
      <c r="T371">
        <v>246.4</v>
      </c>
      <c r="U371">
        <v>15.62</v>
      </c>
      <c r="V371" t="str">
        <f>VLOOKUP(L371,'[2]tabela de preços'!$A:$D,4,0)</f>
        <v>3M</v>
      </c>
      <c r="W371" t="str">
        <f>VLOOKUP(L371,'[2]tabela de preços'!$A:$F,6,0)</f>
        <v>FITA AUTOMOTIVA</v>
      </c>
      <c r="X371" t="str">
        <f>VLOOKUP(L371,'[2]tabela de preços'!$A:$G,7,0)</f>
        <v>AUTOMOTIVO</v>
      </c>
    </row>
    <row r="372" spans="1:24" x14ac:dyDescent="0.3">
      <c r="A372" t="s">
        <v>452</v>
      </c>
      <c r="C372" t="s">
        <v>453</v>
      </c>
      <c r="D372" s="1">
        <v>46027</v>
      </c>
      <c r="E372" t="s">
        <v>454</v>
      </c>
      <c r="F372">
        <v>9</v>
      </c>
      <c r="G372">
        <v>174</v>
      </c>
      <c r="H372" t="str">
        <f>VLOOKUP(G372,[1]OPERADORES!$A:$B,2,0)</f>
        <v>MIRIÃ LOBATO RODRIGUES</v>
      </c>
      <c r="I372" t="s">
        <v>455</v>
      </c>
      <c r="J372" t="s">
        <v>456</v>
      </c>
      <c r="K372" t="s">
        <v>457</v>
      </c>
      <c r="L372">
        <v>22233</v>
      </c>
      <c r="M372" t="s">
        <v>184</v>
      </c>
      <c r="O372" t="s">
        <v>11</v>
      </c>
      <c r="P372">
        <v>6102</v>
      </c>
      <c r="Q372">
        <v>3</v>
      </c>
      <c r="R372">
        <v>30.17</v>
      </c>
      <c r="S372">
        <v>90.51</v>
      </c>
      <c r="T372">
        <v>68.7</v>
      </c>
      <c r="U372">
        <v>24.1</v>
      </c>
      <c r="V372" t="str">
        <f>VLOOKUP(L372,'[2]tabela de preços'!$A:$D,4,0)</f>
        <v>3M</v>
      </c>
      <c r="W372" t="str">
        <f>VLOOKUP(L372,'[2]tabela de preços'!$A:$F,6,0)</f>
        <v>FITA DUPLA FACE</v>
      </c>
      <c r="X372" t="str">
        <f>VLOOKUP(L372,'[2]tabela de preços'!$A:$G,7,0)</f>
        <v>AUTOMOTIVO</v>
      </c>
    </row>
    <row r="373" spans="1:24" x14ac:dyDescent="0.3">
      <c r="A373" t="s">
        <v>452</v>
      </c>
      <c r="C373" t="s">
        <v>453</v>
      </c>
      <c r="D373" s="1">
        <v>46027</v>
      </c>
      <c r="E373" t="s">
        <v>454</v>
      </c>
      <c r="F373">
        <v>9</v>
      </c>
      <c r="G373">
        <v>174</v>
      </c>
      <c r="H373" t="str">
        <f>VLOOKUP(G373,[1]OPERADORES!$A:$B,2,0)</f>
        <v>MIRIÃ LOBATO RODRIGUES</v>
      </c>
      <c r="I373" t="s">
        <v>455</v>
      </c>
      <c r="J373" t="s">
        <v>456</v>
      </c>
      <c r="K373" t="s">
        <v>457</v>
      </c>
      <c r="L373">
        <v>86995</v>
      </c>
      <c r="M373" t="s">
        <v>37</v>
      </c>
      <c r="O373" t="s">
        <v>11</v>
      </c>
      <c r="P373">
        <v>6102</v>
      </c>
      <c r="Q373">
        <v>8</v>
      </c>
      <c r="R373">
        <v>7.39</v>
      </c>
      <c r="S373">
        <v>59.12</v>
      </c>
      <c r="T373">
        <v>46.64</v>
      </c>
      <c r="U373">
        <v>21.11</v>
      </c>
      <c r="V373" t="str">
        <f>VLOOKUP(L373,'[2]tabela de preços'!$A:$D,4,0)</f>
        <v>AUTOAMERICA</v>
      </c>
      <c r="W373" t="str">
        <f>VLOOKUP(L373,'[2]tabela de preços'!$A:$F,6,0)</f>
        <v>FLANELAS / PANOS</v>
      </c>
      <c r="X373" t="str">
        <f>VLOOKUP(L373,'[2]tabela de preços'!$A:$G,7,0)</f>
        <v>AUTOMOTIVO</v>
      </c>
    </row>
    <row r="374" spans="1:24" x14ac:dyDescent="0.3">
      <c r="A374" t="s">
        <v>452</v>
      </c>
      <c r="C374" t="s">
        <v>453</v>
      </c>
      <c r="D374" s="1">
        <v>46027</v>
      </c>
      <c r="E374" t="s">
        <v>454</v>
      </c>
      <c r="F374">
        <v>9</v>
      </c>
      <c r="G374">
        <v>174</v>
      </c>
      <c r="H374" t="str">
        <f>VLOOKUP(G374,[1]OPERADORES!$A:$B,2,0)</f>
        <v>MIRIÃ LOBATO RODRIGUES</v>
      </c>
      <c r="I374" t="s">
        <v>455</v>
      </c>
      <c r="J374" t="s">
        <v>456</v>
      </c>
      <c r="K374" t="s">
        <v>457</v>
      </c>
      <c r="L374">
        <v>23076</v>
      </c>
      <c r="M374" t="s">
        <v>97</v>
      </c>
      <c r="O374" t="s">
        <v>11</v>
      </c>
      <c r="P374">
        <v>6403</v>
      </c>
      <c r="Q374">
        <v>30</v>
      </c>
      <c r="R374">
        <v>33.89</v>
      </c>
      <c r="S374" s="2">
        <v>1016.7</v>
      </c>
      <c r="T374">
        <v>795.9</v>
      </c>
      <c r="U374">
        <v>21.72</v>
      </c>
      <c r="V374" t="str">
        <f>VLOOKUP(L374,'[2]tabela de preços'!$A:$D,4,0)</f>
        <v>WANDA</v>
      </c>
      <c r="W374" t="str">
        <f>VLOOKUP(L374,'[2]tabela de preços'!$A:$F,6,0)</f>
        <v>PRIMER AUTOMOTIVO</v>
      </c>
      <c r="X374" t="str">
        <f>VLOOKUP(L374,'[2]tabela de preços'!$A:$G,7,0)</f>
        <v>AUTOMOTIVO</v>
      </c>
    </row>
    <row r="375" spans="1:24" x14ac:dyDescent="0.3">
      <c r="A375" t="s">
        <v>452</v>
      </c>
      <c r="C375" t="s">
        <v>453</v>
      </c>
      <c r="D375" s="1">
        <v>46027</v>
      </c>
      <c r="E375" t="s">
        <v>454</v>
      </c>
      <c r="F375">
        <v>9</v>
      </c>
      <c r="G375">
        <v>174</v>
      </c>
      <c r="H375" t="str">
        <f>VLOOKUP(G375,[1]OPERADORES!$A:$B,2,0)</f>
        <v>MIRIÃ LOBATO RODRIGUES</v>
      </c>
      <c r="I375" t="s">
        <v>455</v>
      </c>
      <c r="J375" t="s">
        <v>456</v>
      </c>
      <c r="K375" t="s">
        <v>457</v>
      </c>
      <c r="L375">
        <v>23399</v>
      </c>
      <c r="M375" t="s">
        <v>462</v>
      </c>
      <c r="O375" t="s">
        <v>11</v>
      </c>
      <c r="P375">
        <v>6102</v>
      </c>
      <c r="Q375">
        <v>1</v>
      </c>
      <c r="R375">
        <v>231.14</v>
      </c>
      <c r="S375">
        <v>231.14</v>
      </c>
      <c r="T375">
        <v>175.44</v>
      </c>
      <c r="U375">
        <v>24.1</v>
      </c>
      <c r="V375" t="str">
        <f>VLOOKUP(L375,'[2]tabela de preços'!$A:$D,4,0)</f>
        <v>3M</v>
      </c>
      <c r="W375" t="str">
        <f>VLOOKUP(L375,'[2]tabela de preços'!$A:$F,6,0)</f>
        <v>EPI´S</v>
      </c>
      <c r="X375" t="str">
        <f>VLOOKUP(L375,'[2]tabela de preços'!$A:$G,7,0)</f>
        <v>AUTOMOTIVO</v>
      </c>
    </row>
    <row r="376" spans="1:24" x14ac:dyDescent="0.3">
      <c r="A376" t="s">
        <v>452</v>
      </c>
      <c r="C376" t="s">
        <v>453</v>
      </c>
      <c r="D376" s="1">
        <v>46027</v>
      </c>
      <c r="E376" t="s">
        <v>454</v>
      </c>
      <c r="F376">
        <v>9</v>
      </c>
      <c r="G376">
        <v>174</v>
      </c>
      <c r="H376" t="str">
        <f>VLOOKUP(G376,[1]OPERADORES!$A:$B,2,0)</f>
        <v>MIRIÃ LOBATO RODRIGUES</v>
      </c>
      <c r="I376" t="s">
        <v>455</v>
      </c>
      <c r="J376" t="s">
        <v>456</v>
      </c>
      <c r="K376" t="s">
        <v>457</v>
      </c>
      <c r="L376">
        <v>13</v>
      </c>
      <c r="M376" t="s">
        <v>152</v>
      </c>
      <c r="O376" t="s">
        <v>11</v>
      </c>
      <c r="P376">
        <v>6102</v>
      </c>
      <c r="Q376">
        <v>50</v>
      </c>
      <c r="R376">
        <v>5.65</v>
      </c>
      <c r="S376">
        <v>282.5</v>
      </c>
      <c r="T376">
        <v>208</v>
      </c>
      <c r="U376">
        <v>26.37</v>
      </c>
      <c r="V376" t="str">
        <f>VLOOKUP(L376,'[2]tabela de preços'!$A:$D,4,0)</f>
        <v>3M</v>
      </c>
      <c r="W376" t="str">
        <f>VLOOKUP(L376,'[2]tabela de preços'!$A:$F,6,0)</f>
        <v>LIXA DÁGUA</v>
      </c>
      <c r="X376" t="str">
        <f>VLOOKUP(L376,'[2]tabela de preços'!$A:$G,7,0)</f>
        <v>AUTOMOTIVO</v>
      </c>
    </row>
    <row r="377" spans="1:24" x14ac:dyDescent="0.3">
      <c r="A377" t="s">
        <v>452</v>
      </c>
      <c r="C377" t="s">
        <v>453</v>
      </c>
      <c r="D377" s="1">
        <v>46027</v>
      </c>
      <c r="E377" t="s">
        <v>454</v>
      </c>
      <c r="F377">
        <v>9</v>
      </c>
      <c r="G377">
        <v>174</v>
      </c>
      <c r="H377" t="str">
        <f>VLOOKUP(G377,[1]OPERADORES!$A:$B,2,0)</f>
        <v>MIRIÃ LOBATO RODRIGUES</v>
      </c>
      <c r="I377" t="s">
        <v>455</v>
      </c>
      <c r="J377" t="s">
        <v>456</v>
      </c>
      <c r="K377" t="s">
        <v>457</v>
      </c>
      <c r="L377">
        <v>10238</v>
      </c>
      <c r="M377" t="s">
        <v>79</v>
      </c>
      <c r="O377" t="s">
        <v>11</v>
      </c>
      <c r="P377">
        <v>6102</v>
      </c>
      <c r="Q377">
        <v>50</v>
      </c>
      <c r="R377">
        <v>2.79</v>
      </c>
      <c r="S377">
        <v>139.5</v>
      </c>
      <c r="T377">
        <v>113.5</v>
      </c>
      <c r="U377">
        <v>18.64</v>
      </c>
      <c r="V377" t="str">
        <f>VLOOKUP(L377,'[2]tabela de preços'!$A:$D,4,0)</f>
        <v>NORTON</v>
      </c>
      <c r="W377" t="str">
        <f>VLOOKUP(L377,'[2]tabela de preços'!$A:$F,6,0)</f>
        <v xml:space="preserve">DISCOS / LIXAS / ABRASIVOS </v>
      </c>
      <c r="X377" t="str">
        <f>VLOOKUP(L377,'[2]tabela de preços'!$A:$G,7,0)</f>
        <v>AUTOMOTIVO</v>
      </c>
    </row>
    <row r="378" spans="1:24" x14ac:dyDescent="0.3">
      <c r="A378" t="s">
        <v>452</v>
      </c>
      <c r="C378" t="s">
        <v>453</v>
      </c>
      <c r="D378" s="1">
        <v>46027</v>
      </c>
      <c r="E378" t="s">
        <v>454</v>
      </c>
      <c r="F378">
        <v>9</v>
      </c>
      <c r="G378">
        <v>174</v>
      </c>
      <c r="H378" t="str">
        <f>VLOOKUP(G378,[1]OPERADORES!$A:$B,2,0)</f>
        <v>MIRIÃ LOBATO RODRIGUES</v>
      </c>
      <c r="I378" t="s">
        <v>455</v>
      </c>
      <c r="J378" t="s">
        <v>456</v>
      </c>
      <c r="K378" t="s">
        <v>457</v>
      </c>
      <c r="L378">
        <v>10240</v>
      </c>
      <c r="M378" t="s">
        <v>81</v>
      </c>
      <c r="O378" t="s">
        <v>11</v>
      </c>
      <c r="P378">
        <v>6102</v>
      </c>
      <c r="Q378">
        <v>50</v>
      </c>
      <c r="R378">
        <v>2.79</v>
      </c>
      <c r="S378">
        <v>139.5</v>
      </c>
      <c r="T378">
        <v>114</v>
      </c>
      <c r="U378">
        <v>18.28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452</v>
      </c>
      <c r="C379" t="s">
        <v>453</v>
      </c>
      <c r="D379" s="1">
        <v>46027</v>
      </c>
      <c r="E379" t="s">
        <v>454</v>
      </c>
      <c r="F379">
        <v>9</v>
      </c>
      <c r="G379">
        <v>174</v>
      </c>
      <c r="H379" t="str">
        <f>VLOOKUP(G379,[1]OPERADORES!$A:$B,2,0)</f>
        <v>MIRIÃ LOBATO RODRIGUES</v>
      </c>
      <c r="I379" t="s">
        <v>455</v>
      </c>
      <c r="J379" t="s">
        <v>456</v>
      </c>
      <c r="K379" t="s">
        <v>457</v>
      </c>
      <c r="L379">
        <v>10242</v>
      </c>
      <c r="M379" t="s">
        <v>82</v>
      </c>
      <c r="O379" t="s">
        <v>11</v>
      </c>
      <c r="P379">
        <v>6102</v>
      </c>
      <c r="Q379">
        <v>50</v>
      </c>
      <c r="R379">
        <v>2.79</v>
      </c>
      <c r="S379">
        <v>139.5</v>
      </c>
      <c r="T379">
        <v>114</v>
      </c>
      <c r="U379">
        <v>18.28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452</v>
      </c>
      <c r="C380" t="s">
        <v>453</v>
      </c>
      <c r="D380" s="1">
        <v>46027</v>
      </c>
      <c r="E380" t="s">
        <v>454</v>
      </c>
      <c r="F380">
        <v>9</v>
      </c>
      <c r="G380">
        <v>174</v>
      </c>
      <c r="H380" t="str">
        <f>VLOOKUP(G380,[1]OPERADORES!$A:$B,2,0)</f>
        <v>MIRIÃ LOBATO RODRIGUES</v>
      </c>
      <c r="I380" t="s">
        <v>455</v>
      </c>
      <c r="J380" t="s">
        <v>456</v>
      </c>
      <c r="K380" t="s">
        <v>457</v>
      </c>
      <c r="L380">
        <v>10243</v>
      </c>
      <c r="M380" t="s">
        <v>83</v>
      </c>
      <c r="O380" t="s">
        <v>11</v>
      </c>
      <c r="P380">
        <v>6102</v>
      </c>
      <c r="Q380">
        <v>50</v>
      </c>
      <c r="R380">
        <v>2.79</v>
      </c>
      <c r="S380">
        <v>139.5</v>
      </c>
      <c r="T380">
        <v>97.5</v>
      </c>
      <c r="U380">
        <v>30.11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452</v>
      </c>
      <c r="C381" t="s">
        <v>453</v>
      </c>
      <c r="D381" s="1">
        <v>46027</v>
      </c>
      <c r="E381" t="s">
        <v>454</v>
      </c>
      <c r="F381">
        <v>9</v>
      </c>
      <c r="G381">
        <v>174</v>
      </c>
      <c r="H381" t="str">
        <f>VLOOKUP(G381,[1]OPERADORES!$A:$B,2,0)</f>
        <v>MIRIÃ LOBATO RODRIGUES</v>
      </c>
      <c r="I381" t="s">
        <v>455</v>
      </c>
      <c r="J381" t="s">
        <v>456</v>
      </c>
      <c r="K381" t="s">
        <v>457</v>
      </c>
      <c r="L381">
        <v>10244</v>
      </c>
      <c r="M381" t="s">
        <v>84</v>
      </c>
      <c r="O381" t="s">
        <v>11</v>
      </c>
      <c r="P381">
        <v>6102</v>
      </c>
      <c r="Q381">
        <v>50</v>
      </c>
      <c r="R381">
        <v>2.79</v>
      </c>
      <c r="S381">
        <v>139.5</v>
      </c>
      <c r="T381">
        <v>98.5</v>
      </c>
      <c r="U381">
        <v>29.39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452</v>
      </c>
      <c r="C382" t="s">
        <v>453</v>
      </c>
      <c r="D382" s="1">
        <v>46027</v>
      </c>
      <c r="E382" t="s">
        <v>454</v>
      </c>
      <c r="F382">
        <v>9</v>
      </c>
      <c r="G382">
        <v>174</v>
      </c>
      <c r="H382" t="str">
        <f>VLOOKUP(G382,[1]OPERADORES!$A:$B,2,0)</f>
        <v>MIRIÃ LOBATO RODRIGUES</v>
      </c>
      <c r="I382" t="s">
        <v>455</v>
      </c>
      <c r="J382" t="s">
        <v>456</v>
      </c>
      <c r="K382" t="s">
        <v>457</v>
      </c>
      <c r="L382">
        <v>10245</v>
      </c>
      <c r="M382" t="s">
        <v>195</v>
      </c>
      <c r="O382" t="s">
        <v>11</v>
      </c>
      <c r="P382">
        <v>6102</v>
      </c>
      <c r="Q382">
        <v>50</v>
      </c>
      <c r="R382">
        <v>2.79</v>
      </c>
      <c r="S382">
        <v>139.5</v>
      </c>
      <c r="T382">
        <v>97.5</v>
      </c>
      <c r="U382">
        <v>30.11</v>
      </c>
      <c r="V382" t="str">
        <f>VLOOKUP(L382,'[2]tabela de preços'!$A:$D,4,0)</f>
        <v>NORTON</v>
      </c>
      <c r="W382" t="str">
        <f>VLOOKUP(L382,'[2]tabela de preços'!$A:$F,6,0)</f>
        <v xml:space="preserve">DISCOS / LIXAS / ABRASIVOS </v>
      </c>
      <c r="X382" t="str">
        <f>VLOOKUP(L382,'[2]tabela de preços'!$A:$G,7,0)</f>
        <v>AUTOMOTIVO</v>
      </c>
    </row>
    <row r="383" spans="1:24" x14ac:dyDescent="0.3">
      <c r="A383" t="s">
        <v>452</v>
      </c>
      <c r="C383" t="s">
        <v>453</v>
      </c>
      <c r="D383" s="1">
        <v>46027</v>
      </c>
      <c r="E383" t="s">
        <v>454</v>
      </c>
      <c r="F383">
        <v>9</v>
      </c>
      <c r="G383">
        <v>174</v>
      </c>
      <c r="H383" t="str">
        <f>VLOOKUP(G383,[1]OPERADORES!$A:$B,2,0)</f>
        <v>MIRIÃ LOBATO RODRIGUES</v>
      </c>
      <c r="I383" t="s">
        <v>455</v>
      </c>
      <c r="J383" t="s">
        <v>456</v>
      </c>
      <c r="K383" t="s">
        <v>457</v>
      </c>
      <c r="L383">
        <v>10246</v>
      </c>
      <c r="M383" t="s">
        <v>206</v>
      </c>
      <c r="O383" t="s">
        <v>11</v>
      </c>
      <c r="P383">
        <v>6102</v>
      </c>
      <c r="Q383">
        <v>50</v>
      </c>
      <c r="R383">
        <v>2.79</v>
      </c>
      <c r="S383">
        <v>139.5</v>
      </c>
      <c r="T383">
        <v>97.5</v>
      </c>
      <c r="U383">
        <v>30.11</v>
      </c>
      <c r="V383" t="str">
        <f>VLOOKUP(L383,'[2]tabela de preços'!$A:$D,4,0)</f>
        <v>NORTON</v>
      </c>
      <c r="W383" t="str">
        <f>VLOOKUP(L383,'[2]tabela de preços'!$A:$F,6,0)</f>
        <v xml:space="preserve">DISCOS / LIXAS / ABRASIVOS </v>
      </c>
      <c r="X383" t="str">
        <f>VLOOKUP(L383,'[2]tabela de preços'!$A:$G,7,0)</f>
        <v>AUTOMOTIVO</v>
      </c>
    </row>
    <row r="384" spans="1:24" x14ac:dyDescent="0.3">
      <c r="A384" t="s">
        <v>452</v>
      </c>
      <c r="C384" t="s">
        <v>453</v>
      </c>
      <c r="D384" s="1">
        <v>46027</v>
      </c>
      <c r="E384" t="s">
        <v>454</v>
      </c>
      <c r="F384">
        <v>9</v>
      </c>
      <c r="G384">
        <v>174</v>
      </c>
      <c r="H384" t="str">
        <f>VLOOKUP(G384,[1]OPERADORES!$A:$B,2,0)</f>
        <v>MIRIÃ LOBATO RODRIGUES</v>
      </c>
      <c r="I384" t="s">
        <v>455</v>
      </c>
      <c r="J384" t="s">
        <v>456</v>
      </c>
      <c r="K384" t="s">
        <v>457</v>
      </c>
      <c r="L384">
        <v>20817</v>
      </c>
      <c r="M384" t="s">
        <v>153</v>
      </c>
      <c r="O384" t="s">
        <v>11</v>
      </c>
      <c r="P384">
        <v>6102</v>
      </c>
      <c r="Q384">
        <v>6</v>
      </c>
      <c r="R384">
        <v>22.89</v>
      </c>
      <c r="S384">
        <v>137.34</v>
      </c>
      <c r="T384">
        <v>111.72</v>
      </c>
      <c r="U384">
        <v>18.649999999999999</v>
      </c>
      <c r="V384" t="str">
        <f>VLOOKUP(L384,'[2]tabela de preços'!$A:$D,4,0)</f>
        <v>AUTO AMERICA</v>
      </c>
      <c r="W384" t="str">
        <f>VLOOKUP(L384,'[2]tabela de preços'!$A:$F,6,0)</f>
        <v>MASSA DE POLIR</v>
      </c>
      <c r="X384" t="str">
        <f>VLOOKUP(L384,'[2]tabela de preços'!$A:$G,7,0)</f>
        <v>AUTOMOTIVO</v>
      </c>
    </row>
    <row r="385" spans="1:24" x14ac:dyDescent="0.3">
      <c r="A385" t="s">
        <v>452</v>
      </c>
      <c r="C385" t="s">
        <v>453</v>
      </c>
      <c r="D385" s="1">
        <v>46027</v>
      </c>
      <c r="E385" t="s">
        <v>454</v>
      </c>
      <c r="F385">
        <v>9</v>
      </c>
      <c r="G385">
        <v>174</v>
      </c>
      <c r="H385" t="str">
        <f>VLOOKUP(G385,[1]OPERADORES!$A:$B,2,0)</f>
        <v>MIRIÃ LOBATO RODRIGUES</v>
      </c>
      <c r="I385" t="s">
        <v>455</v>
      </c>
      <c r="J385" t="s">
        <v>456</v>
      </c>
      <c r="K385" t="s">
        <v>457</v>
      </c>
      <c r="L385">
        <v>9764</v>
      </c>
      <c r="M385" t="s">
        <v>173</v>
      </c>
      <c r="O385" t="s">
        <v>11</v>
      </c>
      <c r="P385">
        <v>6102</v>
      </c>
      <c r="Q385">
        <v>3</v>
      </c>
      <c r="R385">
        <v>33.54</v>
      </c>
      <c r="S385">
        <v>100.62</v>
      </c>
      <c r="T385">
        <v>76.38</v>
      </c>
      <c r="U385">
        <v>24.09</v>
      </c>
      <c r="V385" t="str">
        <f>VLOOKUP(L385,'[2]tabela de preços'!$A:$D,4,0)</f>
        <v>SIKKENS</v>
      </c>
      <c r="W385" t="str">
        <f>VLOOKUP(L385,'[2]tabela de preços'!$A:$F,6,0)</f>
        <v>MASSA DE PEQUENOS REPAROS</v>
      </c>
      <c r="X385" t="str">
        <f>VLOOKUP(L385,'[2]tabela de preços'!$A:$G,7,0)</f>
        <v>AUTOMOTIVO</v>
      </c>
    </row>
    <row r="386" spans="1:24" x14ac:dyDescent="0.3">
      <c r="A386" t="s">
        <v>452</v>
      </c>
      <c r="C386" t="s">
        <v>453</v>
      </c>
      <c r="D386" s="1">
        <v>46027</v>
      </c>
      <c r="E386" t="s">
        <v>454</v>
      </c>
      <c r="F386">
        <v>9</v>
      </c>
      <c r="G386">
        <v>174</v>
      </c>
      <c r="H386" t="str">
        <f>VLOOKUP(G386,[1]OPERADORES!$A:$B,2,0)</f>
        <v>MIRIÃ LOBATO RODRIGUES</v>
      </c>
      <c r="I386" t="s">
        <v>455</v>
      </c>
      <c r="J386" t="s">
        <v>456</v>
      </c>
      <c r="K386" t="s">
        <v>457</v>
      </c>
      <c r="L386">
        <v>84658</v>
      </c>
      <c r="M386" t="s">
        <v>100</v>
      </c>
      <c r="O386" t="s">
        <v>11</v>
      </c>
      <c r="P386">
        <v>6102</v>
      </c>
      <c r="Q386">
        <v>8</v>
      </c>
      <c r="R386">
        <v>40.840000000000003</v>
      </c>
      <c r="S386">
        <v>326.72000000000003</v>
      </c>
      <c r="T386">
        <v>248</v>
      </c>
      <c r="U386">
        <v>24.09</v>
      </c>
      <c r="V386" t="str">
        <f>VLOOKUP(L386,'[2]tabela de preços'!$A:$D,4,0)</f>
        <v>ANJO</v>
      </c>
      <c r="W386" t="str">
        <f>VLOOKUP(L386,'[2]tabela de preços'!$A:$F,6,0)</f>
        <v>MASSA POLIÉSTER</v>
      </c>
      <c r="X386" t="str">
        <f>VLOOKUP(L386,'[2]tabela de preços'!$A:$G,7,0)</f>
        <v>AUTOMOTIVO</v>
      </c>
    </row>
    <row r="387" spans="1:24" x14ac:dyDescent="0.3">
      <c r="A387" t="s">
        <v>452</v>
      </c>
      <c r="C387" t="s">
        <v>453</v>
      </c>
      <c r="D387" s="1">
        <v>46027</v>
      </c>
      <c r="E387" t="s">
        <v>454</v>
      </c>
      <c r="F387">
        <v>9</v>
      </c>
      <c r="G387">
        <v>174</v>
      </c>
      <c r="H387" t="str">
        <f>VLOOKUP(G387,[1]OPERADORES!$A:$B,2,0)</f>
        <v>MIRIÃ LOBATO RODRIGUES</v>
      </c>
      <c r="I387" t="s">
        <v>455</v>
      </c>
      <c r="J387" t="s">
        <v>456</v>
      </c>
      <c r="K387" t="s">
        <v>457</v>
      </c>
      <c r="L387">
        <v>84445</v>
      </c>
      <c r="M387" t="s">
        <v>463</v>
      </c>
      <c r="O387" t="s">
        <v>11</v>
      </c>
      <c r="P387">
        <v>6102</v>
      </c>
      <c r="Q387">
        <v>5</v>
      </c>
      <c r="R387">
        <v>50.21</v>
      </c>
      <c r="S387">
        <v>251.05</v>
      </c>
      <c r="T387">
        <v>190.55</v>
      </c>
      <c r="U387">
        <v>24.1</v>
      </c>
      <c r="V387" t="str">
        <f>VLOOKUP(L387,'[2]tabela de preços'!$A:$D,4,0)</f>
        <v>ALEC</v>
      </c>
      <c r="W387" t="str">
        <f>VLOOKUP(L387,'[2]tabela de preços'!$A:$F,6,0)</f>
        <v>PAPEL DE MASCARAMENTO</v>
      </c>
      <c r="X387" t="str">
        <f>VLOOKUP(L387,'[2]tabela de preços'!$A:$G,7,0)</f>
        <v>AUTOMOTIVO</v>
      </c>
    </row>
    <row r="388" spans="1:24" x14ac:dyDescent="0.3">
      <c r="A388" t="s">
        <v>452</v>
      </c>
      <c r="C388" t="s">
        <v>453</v>
      </c>
      <c r="D388" s="1">
        <v>46027</v>
      </c>
      <c r="E388" t="s">
        <v>454</v>
      </c>
      <c r="F388">
        <v>9</v>
      </c>
      <c r="G388">
        <v>174</v>
      </c>
      <c r="H388" t="str">
        <f>VLOOKUP(G388,[1]OPERADORES!$A:$B,2,0)</f>
        <v>MIRIÃ LOBATO RODRIGUES</v>
      </c>
      <c r="I388" t="s">
        <v>455</v>
      </c>
      <c r="J388" t="s">
        <v>456</v>
      </c>
      <c r="K388" t="s">
        <v>457</v>
      </c>
      <c r="L388">
        <v>24267</v>
      </c>
      <c r="M388" t="s">
        <v>442</v>
      </c>
      <c r="O388" t="s">
        <v>11</v>
      </c>
      <c r="P388">
        <v>6102</v>
      </c>
      <c r="Q388">
        <v>1</v>
      </c>
      <c r="R388">
        <v>30.54</v>
      </c>
      <c r="S388">
        <v>30.54</v>
      </c>
      <c r="T388">
        <v>23.18</v>
      </c>
      <c r="U388">
        <v>24.1</v>
      </c>
      <c r="V388" t="str">
        <f>VLOOKUP(L388,'[2]tabela de preços'!$A:$D,4,0)</f>
        <v>VONIXX</v>
      </c>
      <c r="W388" t="str">
        <f>VLOOKUP(L388,'[2]tabela de preços'!$A:$F,6,0)</f>
        <v>LINHA DE HIGENIZAÇÃO E ESTÉTICA  AUTOMOTIVA</v>
      </c>
      <c r="X388" t="str">
        <f>VLOOKUP(L388,'[2]tabela de preços'!$A:$G,7,0)</f>
        <v>AUTOMOTIVO</v>
      </c>
    </row>
    <row r="389" spans="1:24" x14ac:dyDescent="0.3">
      <c r="A389" t="s">
        <v>452</v>
      </c>
      <c r="C389" t="s">
        <v>453</v>
      </c>
      <c r="D389" s="1">
        <v>46027</v>
      </c>
      <c r="E389" t="s">
        <v>454</v>
      </c>
      <c r="F389">
        <v>9</v>
      </c>
      <c r="G389">
        <v>174</v>
      </c>
      <c r="H389" t="str">
        <f>VLOOKUP(G389,[1]OPERADORES!$A:$B,2,0)</f>
        <v>MIRIÃ LOBATO RODRIGUES</v>
      </c>
      <c r="I389" t="s">
        <v>455</v>
      </c>
      <c r="J389" t="s">
        <v>456</v>
      </c>
      <c r="K389" t="s">
        <v>457</v>
      </c>
      <c r="L389">
        <v>10298</v>
      </c>
      <c r="M389" t="s">
        <v>85</v>
      </c>
      <c r="O389" t="s">
        <v>11</v>
      </c>
      <c r="P389">
        <v>6102</v>
      </c>
      <c r="Q389">
        <v>8</v>
      </c>
      <c r="R389">
        <v>56.8</v>
      </c>
      <c r="S389">
        <v>454.4</v>
      </c>
      <c r="T389">
        <v>379.04</v>
      </c>
      <c r="U389">
        <v>16.579999999999998</v>
      </c>
      <c r="V389" t="str">
        <f>VLOOKUP(L389,'[2]tabela de preços'!$A:$D,4,0)</f>
        <v>ANJO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452</v>
      </c>
      <c r="C390" t="s">
        <v>453</v>
      </c>
      <c r="D390" s="1">
        <v>46027</v>
      </c>
      <c r="E390" t="s">
        <v>454</v>
      </c>
      <c r="F390">
        <v>9</v>
      </c>
      <c r="G390">
        <v>174</v>
      </c>
      <c r="H390" t="str">
        <f>VLOOKUP(G390,[1]OPERADORES!$A:$B,2,0)</f>
        <v>MIRIÃ LOBATO RODRIGUES</v>
      </c>
      <c r="I390" t="s">
        <v>455</v>
      </c>
      <c r="J390" t="s">
        <v>456</v>
      </c>
      <c r="K390" t="s">
        <v>457</v>
      </c>
      <c r="L390">
        <v>20414</v>
      </c>
      <c r="M390" t="s">
        <v>112</v>
      </c>
      <c r="O390" t="s">
        <v>11</v>
      </c>
      <c r="P390">
        <v>6102</v>
      </c>
      <c r="Q390">
        <v>10</v>
      </c>
      <c r="R390">
        <v>21.89</v>
      </c>
      <c r="S390">
        <v>218.9</v>
      </c>
      <c r="T390">
        <v>180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452</v>
      </c>
      <c r="C391" t="s">
        <v>453</v>
      </c>
      <c r="D391" s="1">
        <v>46027</v>
      </c>
      <c r="E391" t="s">
        <v>454</v>
      </c>
      <c r="F391">
        <v>9</v>
      </c>
      <c r="G391">
        <v>174</v>
      </c>
      <c r="H391" t="str">
        <f>VLOOKUP(G391,[1]OPERADORES!$A:$B,2,0)</f>
        <v>MIRIÃ LOBATO RODRIGUES</v>
      </c>
      <c r="I391" t="s">
        <v>455</v>
      </c>
      <c r="J391" t="s">
        <v>456</v>
      </c>
      <c r="K391" t="s">
        <v>457</v>
      </c>
      <c r="L391">
        <v>84873</v>
      </c>
      <c r="M391" t="s">
        <v>464</v>
      </c>
      <c r="O391" t="s">
        <v>11</v>
      </c>
      <c r="P391">
        <v>6102</v>
      </c>
      <c r="Q391">
        <v>1</v>
      </c>
      <c r="R391">
        <v>20.6</v>
      </c>
      <c r="S391">
        <v>20.6</v>
      </c>
      <c r="T391">
        <v>15.64</v>
      </c>
      <c r="U391">
        <v>24.08</v>
      </c>
      <c r="V391" t="str">
        <f>VLOOKUP(L391,'[2]tabela de preços'!$A:$D,4,0)</f>
        <v>VONIXX</v>
      </c>
      <c r="W391" t="str">
        <f>VLOOKUP(L391,'[2]tabela de preços'!$A:$F,6,0)</f>
        <v>LINHA DE HIGENIZAÇÃO E ESTÉTICA  AUTOMOTIVA</v>
      </c>
      <c r="X391" t="str">
        <f>VLOOKUP(L391,'[2]tabela de preços'!$A:$G,7,0)</f>
        <v>AUTOMOTIVO</v>
      </c>
    </row>
    <row r="392" spans="1:24" x14ac:dyDescent="0.3">
      <c r="A392" t="s">
        <v>452</v>
      </c>
      <c r="C392" t="s">
        <v>453</v>
      </c>
      <c r="D392" s="1">
        <v>46027</v>
      </c>
      <c r="E392" t="s">
        <v>454</v>
      </c>
      <c r="F392">
        <v>9</v>
      </c>
      <c r="G392">
        <v>174</v>
      </c>
      <c r="H392" t="str">
        <f>VLOOKUP(G392,[1]OPERADORES!$A:$B,2,0)</f>
        <v>MIRIÃ LOBATO RODRIGUES</v>
      </c>
      <c r="I392" t="s">
        <v>455</v>
      </c>
      <c r="J392" t="s">
        <v>456</v>
      </c>
      <c r="K392" t="s">
        <v>457</v>
      </c>
      <c r="L392">
        <v>10404</v>
      </c>
      <c r="M392" t="s">
        <v>130</v>
      </c>
      <c r="O392" t="s">
        <v>11</v>
      </c>
      <c r="P392">
        <v>6102</v>
      </c>
      <c r="Q392">
        <v>7</v>
      </c>
      <c r="R392">
        <v>16.09</v>
      </c>
      <c r="S392">
        <v>112.63</v>
      </c>
      <c r="T392">
        <v>93.24</v>
      </c>
      <c r="U392">
        <v>17.22</v>
      </c>
      <c r="V392" t="str">
        <f>VLOOKUP(L392,'[2]tabela de preços'!$A:$D,4,0)</f>
        <v>MAXI RUBBER</v>
      </c>
      <c r="W392" t="str">
        <f>VLOOKUP(L392,'[2]tabela de preços'!$A:$F,6,0)</f>
        <v>VEDADORES / SELANTES</v>
      </c>
      <c r="X392" t="str">
        <f>VLOOKUP(L392,'[2]tabela de preços'!$A:$G,7,0)</f>
        <v>AUTOMOTIVO</v>
      </c>
    </row>
    <row r="393" spans="1:24" x14ac:dyDescent="0.3">
      <c r="A393" t="s">
        <v>452</v>
      </c>
      <c r="C393" t="s">
        <v>453</v>
      </c>
      <c r="D393" s="1">
        <v>46027</v>
      </c>
      <c r="E393" t="s">
        <v>454</v>
      </c>
      <c r="F393">
        <v>9</v>
      </c>
      <c r="G393">
        <v>174</v>
      </c>
      <c r="H393" t="str">
        <f>VLOOKUP(G393,[1]OPERADORES!$A:$B,2,0)</f>
        <v>MIRIÃ LOBATO RODRIGUES</v>
      </c>
      <c r="I393" t="s">
        <v>455</v>
      </c>
      <c r="J393" t="s">
        <v>456</v>
      </c>
      <c r="K393" t="s">
        <v>457</v>
      </c>
      <c r="L393">
        <v>20399</v>
      </c>
      <c r="M393" t="s">
        <v>465</v>
      </c>
      <c r="O393" t="s">
        <v>11</v>
      </c>
      <c r="P393">
        <v>6403</v>
      </c>
      <c r="Q393">
        <v>4</v>
      </c>
      <c r="R393">
        <v>34.700000000000003</v>
      </c>
      <c r="S393">
        <v>138.80000000000001</v>
      </c>
      <c r="T393">
        <v>105.4</v>
      </c>
      <c r="U393">
        <v>24.06</v>
      </c>
      <c r="V393" t="str">
        <f>VLOOKUP(L393,'[2]tabela de preços'!$A:$D,4,0)</f>
        <v>SHERWIN WILLIAMS</v>
      </c>
      <c r="W393" t="str">
        <f>VLOOKUP(L393,'[2]tabela de preços'!$A:$F,6,0)</f>
        <v>VERNIZ AUTOMOTIVO</v>
      </c>
      <c r="X393" t="str">
        <f>VLOOKUP(L393,'[2]tabela de preços'!$A:$G,7,0)</f>
        <v>AUTOMOTIVO</v>
      </c>
    </row>
    <row r="394" spans="1:24" x14ac:dyDescent="0.3">
      <c r="A394" t="s">
        <v>466</v>
      </c>
      <c r="C394" t="s">
        <v>467</v>
      </c>
      <c r="D394" s="1">
        <v>46028</v>
      </c>
      <c r="E394" t="s">
        <v>468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469</v>
      </c>
      <c r="K394" t="s">
        <v>470</v>
      </c>
      <c r="L394">
        <v>22684</v>
      </c>
      <c r="M394" t="s">
        <v>73</v>
      </c>
      <c r="O394" t="s">
        <v>11</v>
      </c>
      <c r="P394">
        <v>5102</v>
      </c>
      <c r="Q394">
        <v>24</v>
      </c>
      <c r="R394">
        <v>3.65</v>
      </c>
      <c r="S394">
        <v>87.6</v>
      </c>
      <c r="T394">
        <v>73.92</v>
      </c>
      <c r="U394">
        <v>15.62</v>
      </c>
      <c r="V394" t="str">
        <f>VLOOKUP(L394,'[2]tabela de preços'!$A:$D,4,0)</f>
        <v>3M</v>
      </c>
      <c r="W394" t="str">
        <f>VLOOKUP(L394,'[2]tabela de preços'!$A:$F,6,0)</f>
        <v>FITA AUTOMOTIVA</v>
      </c>
      <c r="X394" t="str">
        <f>VLOOKUP(L394,'[2]tabela de preços'!$A:$G,7,0)</f>
        <v>AUTOMOTIVO</v>
      </c>
    </row>
    <row r="395" spans="1:24" x14ac:dyDescent="0.3">
      <c r="A395" t="s">
        <v>466</v>
      </c>
      <c r="C395" t="s">
        <v>467</v>
      </c>
      <c r="D395" s="1">
        <v>46028</v>
      </c>
      <c r="E395" t="s">
        <v>468</v>
      </c>
      <c r="F395">
        <v>9</v>
      </c>
      <c r="G395">
        <v>197</v>
      </c>
      <c r="H395" t="str">
        <f>VLOOKUP(G395,[1]OPERADORES!$A:$B,2,0)</f>
        <v xml:space="preserve">POLIANA LORRANE DE AMORIM </v>
      </c>
      <c r="I395" t="s">
        <v>21</v>
      </c>
      <c r="J395" t="s">
        <v>469</v>
      </c>
      <c r="K395" t="s">
        <v>470</v>
      </c>
      <c r="L395">
        <v>85616</v>
      </c>
      <c r="M395" t="s">
        <v>471</v>
      </c>
      <c r="O395" t="s">
        <v>11</v>
      </c>
      <c r="P395">
        <v>5102</v>
      </c>
      <c r="Q395">
        <v>12</v>
      </c>
      <c r="R395">
        <v>2.64</v>
      </c>
      <c r="S395">
        <v>31.68</v>
      </c>
      <c r="T395">
        <v>27.36</v>
      </c>
      <c r="U395">
        <v>13.64</v>
      </c>
      <c r="V395" t="str">
        <f>VLOOKUP(L395,'[2]tabela de preços'!$A:$D,4,0)</f>
        <v>ADERE</v>
      </c>
      <c r="W395" t="str">
        <f>VLOOKUP(L395,'[2]tabela de preços'!$A:$F,6,0)</f>
        <v xml:space="preserve">FITA DE USO GERAL </v>
      </c>
      <c r="X395" t="str">
        <f>VLOOKUP(L395,'[2]tabela de preços'!$A:$G,7,0)</f>
        <v>IMOBILIÁRIO</v>
      </c>
    </row>
    <row r="396" spans="1:24" x14ac:dyDescent="0.3">
      <c r="A396" t="s">
        <v>466</v>
      </c>
      <c r="C396" t="s">
        <v>467</v>
      </c>
      <c r="D396" s="1">
        <v>46028</v>
      </c>
      <c r="E396" t="s">
        <v>468</v>
      </c>
      <c r="F396">
        <v>9</v>
      </c>
      <c r="G396">
        <v>197</v>
      </c>
      <c r="H396" t="str">
        <f>VLOOKUP(G396,[1]OPERADORES!$A:$B,2,0)</f>
        <v xml:space="preserve">POLIANA LORRANE DE AMORIM </v>
      </c>
      <c r="I396" t="s">
        <v>21</v>
      </c>
      <c r="J396" t="s">
        <v>469</v>
      </c>
      <c r="K396" t="s">
        <v>470</v>
      </c>
      <c r="L396">
        <v>85599</v>
      </c>
      <c r="M396" t="s">
        <v>38</v>
      </c>
      <c r="O396" t="s">
        <v>11</v>
      </c>
      <c r="P396">
        <v>5102</v>
      </c>
      <c r="Q396">
        <v>20</v>
      </c>
      <c r="R396">
        <v>2.68</v>
      </c>
      <c r="S396">
        <v>53.6</v>
      </c>
      <c r="T396">
        <v>39.200000000000003</v>
      </c>
      <c r="U396">
        <v>26.87</v>
      </c>
      <c r="V396" t="str">
        <f>VLOOKUP(L396,'[2]tabela de preços'!$A:$D,4,0)</f>
        <v>REJUMASSA</v>
      </c>
      <c r="W396" t="str">
        <f>VLOOKUP(L396,'[2]tabela de preços'!$A:$F,6,0)</f>
        <v>GESSO</v>
      </c>
      <c r="X396" t="str">
        <f>VLOOKUP(L396,'[2]tabela de preços'!$A:$G,7,0)</f>
        <v>IMOBILIÁRIO</v>
      </c>
    </row>
    <row r="397" spans="1:24" x14ac:dyDescent="0.3">
      <c r="A397" t="s">
        <v>466</v>
      </c>
      <c r="C397" t="s">
        <v>467</v>
      </c>
      <c r="D397" s="1">
        <v>46028</v>
      </c>
      <c r="E397" t="s">
        <v>468</v>
      </c>
      <c r="F397">
        <v>9</v>
      </c>
      <c r="G397">
        <v>197</v>
      </c>
      <c r="H397" t="str">
        <f>VLOOKUP(G397,[1]OPERADORES!$A:$B,2,0)</f>
        <v xml:space="preserve">POLIANA LORRANE DE AMORIM </v>
      </c>
      <c r="I397" t="s">
        <v>21</v>
      </c>
      <c r="J397" t="s">
        <v>469</v>
      </c>
      <c r="K397" t="s">
        <v>470</v>
      </c>
      <c r="L397">
        <v>10297</v>
      </c>
      <c r="M397" t="s">
        <v>41</v>
      </c>
      <c r="O397" t="s">
        <v>11</v>
      </c>
      <c r="P397">
        <v>5102</v>
      </c>
      <c r="Q397">
        <v>36</v>
      </c>
      <c r="R397">
        <v>10.49</v>
      </c>
      <c r="S397">
        <v>377.64</v>
      </c>
      <c r="T397">
        <v>330.12</v>
      </c>
      <c r="U397">
        <v>12.58</v>
      </c>
      <c r="V397" t="str">
        <f>VLOOKUP(L397,'[2]tabela de preços'!$A:$D,4,0)</f>
        <v>ANJO</v>
      </c>
      <c r="W397" t="str">
        <f>VLOOKUP(L397,'[2]tabela de preços'!$A:$F,6,0)</f>
        <v>THINNER DE LIMPEZA</v>
      </c>
      <c r="X397" t="str">
        <f>VLOOKUP(L397,'[2]tabela de preços'!$A:$G,7,0)</f>
        <v>THINNER</v>
      </c>
    </row>
    <row r="398" spans="1:24" x14ac:dyDescent="0.3">
      <c r="A398" t="s">
        <v>466</v>
      </c>
      <c r="C398" t="s">
        <v>467</v>
      </c>
      <c r="D398" s="1">
        <v>46028</v>
      </c>
      <c r="E398" t="s">
        <v>468</v>
      </c>
      <c r="F398">
        <v>9</v>
      </c>
      <c r="G398">
        <v>197</v>
      </c>
      <c r="H398" t="str">
        <f>VLOOKUP(G398,[1]OPERADORES!$A:$B,2,0)</f>
        <v xml:space="preserve">POLIANA LORRANE DE AMORIM </v>
      </c>
      <c r="I398" t="s">
        <v>21</v>
      </c>
      <c r="J398" t="s">
        <v>469</v>
      </c>
      <c r="K398" t="s">
        <v>470</v>
      </c>
      <c r="L398">
        <v>85667</v>
      </c>
      <c r="M398" t="s">
        <v>472</v>
      </c>
      <c r="O398" t="s">
        <v>11</v>
      </c>
      <c r="P398">
        <v>5403</v>
      </c>
      <c r="Q398">
        <v>6</v>
      </c>
      <c r="R398">
        <v>13.89</v>
      </c>
      <c r="S398">
        <v>83.34</v>
      </c>
      <c r="T398">
        <v>71.94</v>
      </c>
      <c r="U398">
        <v>13.68</v>
      </c>
      <c r="V398" t="str">
        <f>VLOOKUP(L398,'[2]tabela de preços'!$A:$D,4,0)</f>
        <v>UNIPEGA</v>
      </c>
      <c r="W398" t="str">
        <f>VLOOKUP(L398,'[2]tabela de preços'!$A:$F,6,0)</f>
        <v xml:space="preserve">SPRAYS </v>
      </c>
      <c r="X398" t="str">
        <f>VLOOKUP(L398,'[2]tabela de preços'!$A:$G,7,0)</f>
        <v>AUTOMOTIVO</v>
      </c>
    </row>
    <row r="399" spans="1:24" x14ac:dyDescent="0.3">
      <c r="A399" t="s">
        <v>466</v>
      </c>
      <c r="C399" t="s">
        <v>467</v>
      </c>
      <c r="D399" s="1">
        <v>46028</v>
      </c>
      <c r="E399" t="s">
        <v>468</v>
      </c>
      <c r="F399">
        <v>9</v>
      </c>
      <c r="G399">
        <v>197</v>
      </c>
      <c r="H399" t="str">
        <f>VLOOKUP(G399,[1]OPERADORES!$A:$B,2,0)</f>
        <v xml:space="preserve">POLIANA LORRANE DE AMORIM </v>
      </c>
      <c r="I399" t="s">
        <v>21</v>
      </c>
      <c r="J399" t="s">
        <v>469</v>
      </c>
      <c r="K399" t="s">
        <v>470</v>
      </c>
      <c r="L399">
        <v>85665</v>
      </c>
      <c r="M399" t="s">
        <v>473</v>
      </c>
      <c r="O399" t="s">
        <v>11</v>
      </c>
      <c r="P399">
        <v>5403</v>
      </c>
      <c r="Q399">
        <v>6</v>
      </c>
      <c r="R399">
        <v>13.89</v>
      </c>
      <c r="S399">
        <v>83.34</v>
      </c>
      <c r="T399">
        <v>71.94</v>
      </c>
      <c r="U399">
        <v>13.68</v>
      </c>
      <c r="V399" t="str">
        <f>VLOOKUP(L399,'[2]tabela de preços'!$A:$D,4,0)</f>
        <v>UNIPEGA</v>
      </c>
      <c r="W399" t="str">
        <f>VLOOKUP(L399,'[2]tabela de preços'!$A:$F,6,0)</f>
        <v xml:space="preserve">SPRAYS </v>
      </c>
      <c r="X399" t="str">
        <f>VLOOKUP(L399,'[2]tabela de preços'!$A:$G,7,0)</f>
        <v>AUTOMOTIVO</v>
      </c>
    </row>
    <row r="400" spans="1:24" x14ac:dyDescent="0.3">
      <c r="A400" t="s">
        <v>466</v>
      </c>
      <c r="C400" t="s">
        <v>467</v>
      </c>
      <c r="D400" s="1">
        <v>46028</v>
      </c>
      <c r="E400" t="s">
        <v>468</v>
      </c>
      <c r="F400">
        <v>9</v>
      </c>
      <c r="G400">
        <v>197</v>
      </c>
      <c r="H400" t="str">
        <f>VLOOKUP(G400,[1]OPERADORES!$A:$B,2,0)</f>
        <v xml:space="preserve">POLIANA LORRANE DE AMORIM </v>
      </c>
      <c r="I400" t="s">
        <v>21</v>
      </c>
      <c r="J400" t="s">
        <v>469</v>
      </c>
      <c r="K400" t="s">
        <v>470</v>
      </c>
      <c r="L400">
        <v>85666</v>
      </c>
      <c r="M400" t="s">
        <v>341</v>
      </c>
      <c r="O400" t="s">
        <v>11</v>
      </c>
      <c r="P400">
        <v>5403</v>
      </c>
      <c r="Q400">
        <v>6</v>
      </c>
      <c r="R400">
        <v>13.89</v>
      </c>
      <c r="S400">
        <v>83.34</v>
      </c>
      <c r="T400">
        <v>71.94</v>
      </c>
      <c r="U400">
        <v>13.68</v>
      </c>
      <c r="V400" t="str">
        <f>VLOOKUP(L400,'[2]tabela de preços'!$A:$D,4,0)</f>
        <v>UNIPEGA</v>
      </c>
      <c r="W400" t="str">
        <f>VLOOKUP(L400,'[2]tabela de preços'!$A:$F,6,0)</f>
        <v xml:space="preserve">SPRAYS </v>
      </c>
      <c r="X400" t="str">
        <f>VLOOKUP(L400,'[2]tabela de preços'!$A:$G,7,0)</f>
        <v>AUTOMOTIVO</v>
      </c>
    </row>
    <row r="401" spans="1:24" x14ac:dyDescent="0.3">
      <c r="A401" t="s">
        <v>466</v>
      </c>
      <c r="C401" t="s">
        <v>467</v>
      </c>
      <c r="D401" s="1">
        <v>46028</v>
      </c>
      <c r="E401" t="s">
        <v>468</v>
      </c>
      <c r="F401">
        <v>9</v>
      </c>
      <c r="G401">
        <v>197</v>
      </c>
      <c r="H401" t="str">
        <f>VLOOKUP(G401,[1]OPERADORES!$A:$B,2,0)</f>
        <v xml:space="preserve">POLIANA LORRANE DE AMORIM </v>
      </c>
      <c r="I401" t="s">
        <v>21</v>
      </c>
      <c r="J401" t="s">
        <v>469</v>
      </c>
      <c r="K401" t="s">
        <v>470</v>
      </c>
      <c r="L401">
        <v>85639</v>
      </c>
      <c r="M401" t="s">
        <v>474</v>
      </c>
      <c r="O401" t="s">
        <v>11</v>
      </c>
      <c r="P401">
        <v>5403</v>
      </c>
      <c r="Q401">
        <v>6</v>
      </c>
      <c r="R401">
        <v>8.19</v>
      </c>
      <c r="S401">
        <v>49.14</v>
      </c>
      <c r="T401">
        <v>41.52</v>
      </c>
      <c r="U401">
        <v>15.51</v>
      </c>
      <c r="V401" t="str">
        <f>VLOOKUP(L401,'[2]tabela de preços'!$A:$D,4,0)</f>
        <v>UNIPEGA</v>
      </c>
      <c r="W401" t="str">
        <f>VLOOKUP(L401,'[2]tabela de preços'!$A:$F,6,0)</f>
        <v xml:space="preserve">SPRAYS </v>
      </c>
      <c r="X401" t="str">
        <f>VLOOKUP(L401,'[2]tabela de preços'!$A:$G,7,0)</f>
        <v>AUTOMOTIVO</v>
      </c>
    </row>
    <row r="402" spans="1:24" x14ac:dyDescent="0.3">
      <c r="A402" t="s">
        <v>466</v>
      </c>
      <c r="C402" t="s">
        <v>467</v>
      </c>
      <c r="D402" s="1">
        <v>46028</v>
      </c>
      <c r="E402" t="s">
        <v>468</v>
      </c>
      <c r="F402">
        <v>9</v>
      </c>
      <c r="G402">
        <v>197</v>
      </c>
      <c r="H402" t="str">
        <f>VLOOKUP(G402,[1]OPERADORES!$A:$B,2,0)</f>
        <v xml:space="preserve">POLIANA LORRANE DE AMORIM </v>
      </c>
      <c r="I402" t="s">
        <v>21</v>
      </c>
      <c r="J402" t="s">
        <v>469</v>
      </c>
      <c r="K402" t="s">
        <v>470</v>
      </c>
      <c r="L402">
        <v>85640</v>
      </c>
      <c r="M402" t="s">
        <v>475</v>
      </c>
      <c r="O402" t="s">
        <v>11</v>
      </c>
      <c r="P402">
        <v>5403</v>
      </c>
      <c r="Q402">
        <v>6</v>
      </c>
      <c r="R402">
        <v>8.19</v>
      </c>
      <c r="S402">
        <v>49.14</v>
      </c>
      <c r="T402">
        <v>41.52</v>
      </c>
      <c r="U402">
        <v>15.51</v>
      </c>
      <c r="V402" t="str">
        <f>VLOOKUP(L402,'[2]tabela de preços'!$A:$D,4,0)</f>
        <v>UNIPEGA</v>
      </c>
      <c r="W402" t="str">
        <f>VLOOKUP(L402,'[2]tabela de preços'!$A:$F,6,0)</f>
        <v xml:space="preserve">SPRAYS </v>
      </c>
      <c r="X402" t="str">
        <f>VLOOKUP(L402,'[2]tabela de preços'!$A:$G,7,0)</f>
        <v>AUTOMOTIVO</v>
      </c>
    </row>
    <row r="403" spans="1:24" x14ac:dyDescent="0.3">
      <c r="A403" t="s">
        <v>466</v>
      </c>
      <c r="C403" t="s">
        <v>467</v>
      </c>
      <c r="D403" s="1">
        <v>46028</v>
      </c>
      <c r="E403" t="s">
        <v>468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469</v>
      </c>
      <c r="K403" t="s">
        <v>470</v>
      </c>
      <c r="L403">
        <v>85643</v>
      </c>
      <c r="M403" t="s">
        <v>476</v>
      </c>
      <c r="O403" t="s">
        <v>11</v>
      </c>
      <c r="P403">
        <v>5403</v>
      </c>
      <c r="Q403">
        <v>6</v>
      </c>
      <c r="R403">
        <v>8.19</v>
      </c>
      <c r="S403">
        <v>49.14</v>
      </c>
      <c r="T403">
        <v>40.26</v>
      </c>
      <c r="U403">
        <v>18.07</v>
      </c>
      <c r="V403" t="str">
        <f>VLOOKUP(L403,'[2]tabela de preços'!$A:$D,4,0)</f>
        <v>UNIPEGA</v>
      </c>
      <c r="W403" t="str">
        <f>VLOOKUP(L403,'[2]tabela de preços'!$A:$F,6,0)</f>
        <v xml:space="preserve">SPRAYS </v>
      </c>
      <c r="X403" t="str">
        <f>VLOOKUP(L403,'[2]tabela de preços'!$A:$G,7,0)</f>
        <v>AUTOMOTIVO</v>
      </c>
    </row>
    <row r="404" spans="1:24" x14ac:dyDescent="0.3">
      <c r="A404" t="s">
        <v>466</v>
      </c>
      <c r="C404" t="s">
        <v>467</v>
      </c>
      <c r="D404" s="1">
        <v>46028</v>
      </c>
      <c r="E404" t="s">
        <v>468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469</v>
      </c>
      <c r="K404" t="s">
        <v>470</v>
      </c>
      <c r="L404">
        <v>85646</v>
      </c>
      <c r="M404" t="s">
        <v>477</v>
      </c>
      <c r="O404" t="s">
        <v>11</v>
      </c>
      <c r="P404">
        <v>5403</v>
      </c>
      <c r="Q404">
        <v>6</v>
      </c>
      <c r="R404">
        <v>8.19</v>
      </c>
      <c r="S404">
        <v>49.14</v>
      </c>
      <c r="T404">
        <v>41.52</v>
      </c>
      <c r="U404">
        <v>15.51</v>
      </c>
      <c r="V404" t="str">
        <f>VLOOKUP(L404,'[2]tabela de preços'!$A:$D,4,0)</f>
        <v>UNIPEGA</v>
      </c>
      <c r="W404" t="str">
        <f>VLOOKUP(L404,'[2]tabela de preços'!$A:$F,6,0)</f>
        <v xml:space="preserve">SPRAYS </v>
      </c>
      <c r="X404" t="str">
        <f>VLOOKUP(L404,'[2]tabela de preços'!$A:$G,7,0)</f>
        <v>AUTOMOTIVO</v>
      </c>
    </row>
    <row r="405" spans="1:24" x14ac:dyDescent="0.3">
      <c r="A405" t="s">
        <v>466</v>
      </c>
      <c r="C405" t="s">
        <v>467</v>
      </c>
      <c r="D405" s="1">
        <v>46028</v>
      </c>
      <c r="E405" t="s">
        <v>468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469</v>
      </c>
      <c r="K405" t="s">
        <v>470</v>
      </c>
      <c r="L405">
        <v>85649</v>
      </c>
      <c r="M405" t="s">
        <v>478</v>
      </c>
      <c r="O405" t="s">
        <v>11</v>
      </c>
      <c r="P405">
        <v>5403</v>
      </c>
      <c r="Q405">
        <v>12</v>
      </c>
      <c r="R405">
        <v>8.19</v>
      </c>
      <c r="S405">
        <v>98.28</v>
      </c>
      <c r="T405">
        <v>83.04</v>
      </c>
      <c r="U405">
        <v>15.51</v>
      </c>
      <c r="V405" t="str">
        <f>VLOOKUP(L405,'[2]tabela de preços'!$A:$D,4,0)</f>
        <v>UNIPEGA</v>
      </c>
      <c r="W405" t="str">
        <f>VLOOKUP(L405,'[2]tabela de preços'!$A:$F,6,0)</f>
        <v xml:space="preserve">SPRAYS </v>
      </c>
      <c r="X405" t="str">
        <f>VLOOKUP(L405,'[2]tabela de preços'!$A:$G,7,0)</f>
        <v>AUTOMOTIVO</v>
      </c>
    </row>
    <row r="406" spans="1:24" x14ac:dyDescent="0.3">
      <c r="A406" t="s">
        <v>479</v>
      </c>
      <c r="B406" t="s">
        <v>480</v>
      </c>
      <c r="C406" t="s">
        <v>481</v>
      </c>
      <c r="D406" s="1">
        <v>46029</v>
      </c>
      <c r="E406" t="s">
        <v>482</v>
      </c>
      <c r="F406">
        <v>9</v>
      </c>
      <c r="G406">
        <v>230</v>
      </c>
      <c r="H406" t="str">
        <f>VLOOKUP(G406,[1]OPERADORES!$A:$B,2,0)</f>
        <v>SÔNIA</v>
      </c>
      <c r="I406" t="s">
        <v>21</v>
      </c>
      <c r="J406" t="s">
        <v>483</v>
      </c>
      <c r="K406" t="s">
        <v>484</v>
      </c>
      <c r="L406">
        <v>85315</v>
      </c>
      <c r="M406" t="s">
        <v>485</v>
      </c>
      <c r="O406" t="s">
        <v>11</v>
      </c>
      <c r="P406">
        <v>5102</v>
      </c>
      <c r="Q406">
        <v>2</v>
      </c>
      <c r="R406">
        <v>569.72</v>
      </c>
      <c r="S406" s="2">
        <v>1139.44</v>
      </c>
      <c r="T406">
        <v>812.44</v>
      </c>
      <c r="U406">
        <v>28.7</v>
      </c>
      <c r="V406" t="str">
        <f>VLOOKUP(L406,'[2]tabela de preços'!$A:$D,4,0)</f>
        <v>BRASILUX</v>
      </c>
      <c r="W406" t="str">
        <f>VLOOKUP(L406,'[2]tabela de preços'!$A:$F,6,0)</f>
        <v>TINTA EM PÓ</v>
      </c>
      <c r="X406" t="str">
        <f>VLOOKUP(L406,'[2]tabela de preços'!$A:$G,7,0)</f>
        <v>INDUSTRIAL</v>
      </c>
    </row>
    <row r="407" spans="1:24" x14ac:dyDescent="0.3">
      <c r="A407" t="s">
        <v>486</v>
      </c>
      <c r="C407" t="s">
        <v>487</v>
      </c>
      <c r="D407" s="1">
        <v>46041</v>
      </c>
      <c r="E407" t="s">
        <v>488</v>
      </c>
      <c r="F407">
        <v>9</v>
      </c>
      <c r="G407">
        <v>197</v>
      </c>
      <c r="H407" t="str">
        <f>VLOOKUP(G407,[1]OPERADORES!$A:$B,2,0)</f>
        <v xml:space="preserve">POLIANA LORRANE DE AMORIM </v>
      </c>
      <c r="I407" t="s">
        <v>21</v>
      </c>
      <c r="J407" t="s">
        <v>265</v>
      </c>
      <c r="K407" t="s">
        <v>489</v>
      </c>
      <c r="L407">
        <v>84496</v>
      </c>
      <c r="M407" t="s">
        <v>490</v>
      </c>
      <c r="O407" t="s">
        <v>11</v>
      </c>
      <c r="P407">
        <v>5403</v>
      </c>
      <c r="Q407">
        <v>13</v>
      </c>
      <c r="R407">
        <v>114.86</v>
      </c>
      <c r="S407" s="2">
        <v>1493.18</v>
      </c>
      <c r="T407" s="2">
        <v>1094.73</v>
      </c>
      <c r="U407">
        <v>26.68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491</v>
      </c>
      <c r="C408" t="s">
        <v>492</v>
      </c>
      <c r="D408" s="1">
        <v>46050</v>
      </c>
      <c r="E408" t="s">
        <v>493</v>
      </c>
      <c r="F408">
        <v>9</v>
      </c>
      <c r="G408">
        <v>236</v>
      </c>
      <c r="H408" t="str">
        <f>VLOOKUP(G408,[1]OPERADORES!$A:$B,2,0)</f>
        <v>DANIEL</v>
      </c>
      <c r="I408" t="s">
        <v>21</v>
      </c>
      <c r="J408" t="s">
        <v>494</v>
      </c>
      <c r="K408" t="s">
        <v>495</v>
      </c>
      <c r="L408">
        <v>84328</v>
      </c>
      <c r="M408" t="s">
        <v>496</v>
      </c>
      <c r="O408" t="s">
        <v>11</v>
      </c>
      <c r="P408">
        <v>5403</v>
      </c>
      <c r="Q408">
        <v>2</v>
      </c>
      <c r="R408">
        <v>59.98</v>
      </c>
      <c r="S408">
        <v>119.96</v>
      </c>
      <c r="T408">
        <v>92.38</v>
      </c>
      <c r="U408">
        <v>22.99</v>
      </c>
      <c r="V408" t="str">
        <f>VLOOKUP(L408,'[2]tabela de preços'!$A:$D,4,0)</f>
        <v>BRASILUX</v>
      </c>
      <c r="W408" t="str">
        <f>VLOOKUP(L408,'[2]tabela de preços'!$A:$F,6,0)</f>
        <v>ESMALTES</v>
      </c>
      <c r="X408" t="str">
        <f>VLOOKUP(L408,'[2]tabela de preços'!$A:$G,7,0)</f>
        <v>INDUSTRIAL</v>
      </c>
    </row>
    <row r="409" spans="1:24" x14ac:dyDescent="0.3">
      <c r="A409" t="s">
        <v>491</v>
      </c>
      <c r="C409" t="s">
        <v>492</v>
      </c>
      <c r="D409" s="1">
        <v>46050</v>
      </c>
      <c r="E409" t="s">
        <v>493</v>
      </c>
      <c r="F409">
        <v>9</v>
      </c>
      <c r="G409">
        <v>236</v>
      </c>
      <c r="H409" t="str">
        <f>VLOOKUP(G409,[1]OPERADORES!$A:$B,2,0)</f>
        <v>DANIEL</v>
      </c>
      <c r="I409" t="s">
        <v>21</v>
      </c>
      <c r="J409" t="s">
        <v>494</v>
      </c>
      <c r="K409" t="s">
        <v>495</v>
      </c>
      <c r="L409">
        <v>84331</v>
      </c>
      <c r="M409" t="s">
        <v>497</v>
      </c>
      <c r="O409" t="s">
        <v>11</v>
      </c>
      <c r="P409">
        <v>5403</v>
      </c>
      <c r="Q409">
        <v>3</v>
      </c>
      <c r="R409">
        <v>59.98</v>
      </c>
      <c r="S409">
        <v>179.94</v>
      </c>
      <c r="T409">
        <v>156</v>
      </c>
      <c r="U409">
        <v>13.3</v>
      </c>
      <c r="V409" t="str">
        <f>VLOOKUP(L409,'[2]tabela de preços'!$A:$D,4,0)</f>
        <v>BRASILUX</v>
      </c>
      <c r="W409" t="str">
        <f>VLOOKUP(L409,'[2]tabela de preços'!$A:$F,6,0)</f>
        <v>ESMALTES</v>
      </c>
      <c r="X409" t="str">
        <f>VLOOKUP(L409,'[2]tabela de preços'!$A:$G,7,0)</f>
        <v>INDUSTRIAL</v>
      </c>
    </row>
    <row r="410" spans="1:24" x14ac:dyDescent="0.3">
      <c r="A410" t="s">
        <v>491</v>
      </c>
      <c r="C410" t="s">
        <v>492</v>
      </c>
      <c r="D410" s="1">
        <v>46050</v>
      </c>
      <c r="E410" t="s">
        <v>493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494</v>
      </c>
      <c r="K410" t="s">
        <v>495</v>
      </c>
      <c r="L410">
        <v>84342</v>
      </c>
      <c r="M410" t="s">
        <v>498</v>
      </c>
      <c r="O410" t="s">
        <v>11</v>
      </c>
      <c r="P410">
        <v>5403</v>
      </c>
      <c r="Q410">
        <v>2</v>
      </c>
      <c r="R410">
        <v>59.98</v>
      </c>
      <c r="S410">
        <v>119.96</v>
      </c>
      <c r="T410">
        <v>91.56</v>
      </c>
      <c r="U410">
        <v>23.67</v>
      </c>
      <c r="V410" t="str">
        <f>VLOOKUP(L410,'[2]tabela de preços'!$A:$D,4,0)</f>
        <v>BRASILUX</v>
      </c>
      <c r="W410" t="str">
        <f>VLOOKUP(L410,'[2]tabela de preços'!$A:$F,6,0)</f>
        <v>ESMALTES</v>
      </c>
      <c r="X410" t="str">
        <f>VLOOKUP(L410,'[2]tabela de preços'!$A:$G,7,0)</f>
        <v>INDUSTRIAL</v>
      </c>
    </row>
    <row r="411" spans="1:24" x14ac:dyDescent="0.3">
      <c r="A411" t="s">
        <v>491</v>
      </c>
      <c r="C411" t="s">
        <v>492</v>
      </c>
      <c r="D411" s="1">
        <v>46050</v>
      </c>
      <c r="E411" t="s">
        <v>493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494</v>
      </c>
      <c r="K411" t="s">
        <v>495</v>
      </c>
      <c r="L411">
        <v>84694</v>
      </c>
      <c r="M411" t="s">
        <v>499</v>
      </c>
      <c r="O411" t="s">
        <v>11</v>
      </c>
      <c r="P411">
        <v>5102</v>
      </c>
      <c r="Q411">
        <v>2</v>
      </c>
      <c r="R411">
        <v>6.68</v>
      </c>
      <c r="S411">
        <v>13.36</v>
      </c>
      <c r="T411">
        <v>8.6199999999999992</v>
      </c>
      <c r="U411">
        <v>35.479999999999997</v>
      </c>
      <c r="V411" t="str">
        <f>VLOOKUP(L411,'[2]tabela de preços'!$A:$D,4,0)</f>
        <v>BRASILUX</v>
      </c>
      <c r="W411" t="str">
        <f>VLOOKUP(L411,'[2]tabela de preços'!$A:$F,6,0)</f>
        <v>LINHA MOVELEIRA</v>
      </c>
      <c r="X411" t="str">
        <f>VLOOKUP(L411,'[2]tabela de preços'!$A:$G,7,0)</f>
        <v>MOVELEIRA</v>
      </c>
    </row>
    <row r="412" spans="1:24" x14ac:dyDescent="0.3">
      <c r="A412" t="s">
        <v>491</v>
      </c>
      <c r="C412" t="s">
        <v>492</v>
      </c>
      <c r="D412" s="1">
        <v>46050</v>
      </c>
      <c r="E412" t="s">
        <v>493</v>
      </c>
      <c r="F412">
        <v>9</v>
      </c>
      <c r="G412">
        <v>236</v>
      </c>
      <c r="H412" t="str">
        <f>VLOOKUP(G412,[1]OPERADORES!$A:$B,2,0)</f>
        <v>DANIEL</v>
      </c>
      <c r="I412" t="s">
        <v>21</v>
      </c>
      <c r="J412" t="s">
        <v>494</v>
      </c>
      <c r="K412" t="s">
        <v>495</v>
      </c>
      <c r="L412">
        <v>84696</v>
      </c>
      <c r="M412" t="s">
        <v>500</v>
      </c>
      <c r="O412" t="s">
        <v>11</v>
      </c>
      <c r="P412">
        <v>5102</v>
      </c>
      <c r="Q412">
        <v>4</v>
      </c>
      <c r="R412">
        <v>6.79</v>
      </c>
      <c r="S412">
        <v>27.16</v>
      </c>
      <c r="T412">
        <v>17.52</v>
      </c>
      <c r="U412">
        <v>35.49</v>
      </c>
      <c r="V412" t="str">
        <f>VLOOKUP(L412,'[2]tabela de preços'!$A:$D,4,0)</f>
        <v>BRASILUX</v>
      </c>
      <c r="W412" t="str">
        <f>VLOOKUP(L412,'[2]tabela de preços'!$A:$F,6,0)</f>
        <v>LINHA MOVELEIRA</v>
      </c>
      <c r="X412" t="str">
        <f>VLOOKUP(L412,'[2]tabela de preços'!$A:$G,7,0)</f>
        <v>MOVELEIRA</v>
      </c>
    </row>
    <row r="413" spans="1:24" x14ac:dyDescent="0.3">
      <c r="A413" t="s">
        <v>491</v>
      </c>
      <c r="C413" t="s">
        <v>492</v>
      </c>
      <c r="D413" s="1">
        <v>46050</v>
      </c>
      <c r="E413" t="s">
        <v>493</v>
      </c>
      <c r="F413">
        <v>9</v>
      </c>
      <c r="G413">
        <v>236</v>
      </c>
      <c r="H413" t="str">
        <f>VLOOKUP(G413,[1]OPERADORES!$A:$B,2,0)</f>
        <v>DANIEL</v>
      </c>
      <c r="I413" t="s">
        <v>21</v>
      </c>
      <c r="J413" t="s">
        <v>494</v>
      </c>
      <c r="K413" t="s">
        <v>495</v>
      </c>
      <c r="L413">
        <v>84695</v>
      </c>
      <c r="M413" t="s">
        <v>277</v>
      </c>
      <c r="O413" t="s">
        <v>11</v>
      </c>
      <c r="P413">
        <v>5102</v>
      </c>
      <c r="Q413">
        <v>4</v>
      </c>
      <c r="R413">
        <v>6.29</v>
      </c>
      <c r="S413">
        <v>25.16</v>
      </c>
      <c r="T413">
        <v>16.239999999999998</v>
      </c>
      <c r="U413">
        <v>35.450000000000003</v>
      </c>
      <c r="V413" t="str">
        <f>VLOOKUP(L413,'[2]tabela de preços'!$A:$D,4,0)</f>
        <v>BRASILUX</v>
      </c>
      <c r="W413" t="str">
        <f>VLOOKUP(L413,'[2]tabela de preços'!$A:$F,6,0)</f>
        <v>LINHA MOVELEIRA</v>
      </c>
      <c r="X413" t="str">
        <f>VLOOKUP(L413,'[2]tabela de preços'!$A:$G,7,0)</f>
        <v>MOVELEIRA</v>
      </c>
    </row>
    <row r="414" spans="1:24" x14ac:dyDescent="0.3">
      <c r="A414" t="s">
        <v>501</v>
      </c>
      <c r="C414" t="s">
        <v>502</v>
      </c>
      <c r="D414" s="1">
        <v>46030</v>
      </c>
      <c r="E414" t="s">
        <v>503</v>
      </c>
      <c r="F414">
        <v>9</v>
      </c>
      <c r="G414">
        <v>197</v>
      </c>
      <c r="H414" t="str">
        <f>VLOOKUP(G414,[1]OPERADORES!$A:$B,2,0)</f>
        <v xml:space="preserve">POLIANA LORRANE DE AMORIM </v>
      </c>
      <c r="I414" t="s">
        <v>21</v>
      </c>
      <c r="J414" t="s">
        <v>504</v>
      </c>
      <c r="K414" t="s">
        <v>505</v>
      </c>
      <c r="L414">
        <v>23076</v>
      </c>
      <c r="M414" t="s">
        <v>97</v>
      </c>
      <c r="O414" t="s">
        <v>11</v>
      </c>
      <c r="P414">
        <v>5403</v>
      </c>
      <c r="Q414">
        <v>60</v>
      </c>
      <c r="R414">
        <v>33.89</v>
      </c>
      <c r="S414" s="2">
        <v>2033.4</v>
      </c>
      <c r="T414" s="2">
        <v>1591.8</v>
      </c>
      <c r="U414">
        <v>21.72</v>
      </c>
      <c r="V414" t="str">
        <f>VLOOKUP(L414,'[2]tabela de preços'!$A:$D,4,0)</f>
        <v>WANDA</v>
      </c>
      <c r="W414" t="str">
        <f>VLOOKUP(L414,'[2]tabela de preços'!$A:$F,6,0)</f>
        <v>PRIMER AUTOMOTIVO</v>
      </c>
      <c r="X414" t="str">
        <f>VLOOKUP(L414,'[2]tabela de preços'!$A:$G,7,0)</f>
        <v>AUTOMOTIVO</v>
      </c>
    </row>
    <row r="415" spans="1:24" x14ac:dyDescent="0.3">
      <c r="A415" t="s">
        <v>501</v>
      </c>
      <c r="C415" t="s">
        <v>502</v>
      </c>
      <c r="D415" s="1">
        <v>46030</v>
      </c>
      <c r="E415" t="s">
        <v>503</v>
      </c>
      <c r="F415">
        <v>9</v>
      </c>
      <c r="G415">
        <v>197</v>
      </c>
      <c r="H415" t="str">
        <f>VLOOKUP(G415,[1]OPERADORES!$A:$B,2,0)</f>
        <v xml:space="preserve">POLIANA LORRANE DE AMORIM </v>
      </c>
      <c r="I415" t="s">
        <v>21</v>
      </c>
      <c r="J415" t="s">
        <v>504</v>
      </c>
      <c r="K415" t="s">
        <v>505</v>
      </c>
      <c r="L415">
        <v>9764</v>
      </c>
      <c r="M415" t="s">
        <v>173</v>
      </c>
      <c r="O415" t="s">
        <v>11</v>
      </c>
      <c r="P415">
        <v>5102</v>
      </c>
      <c r="Q415">
        <v>24</v>
      </c>
      <c r="R415">
        <v>33.54</v>
      </c>
      <c r="S415">
        <v>804.96</v>
      </c>
      <c r="T415">
        <v>611.04</v>
      </c>
      <c r="U415">
        <v>24.09</v>
      </c>
      <c r="V415" t="str">
        <f>VLOOKUP(L415,'[2]tabela de preços'!$A:$D,4,0)</f>
        <v>SIKKENS</v>
      </c>
      <c r="W415" t="str">
        <f>VLOOKUP(L415,'[2]tabela de preços'!$A:$F,6,0)</f>
        <v>MASSA DE PEQUENOS REPAROS</v>
      </c>
      <c r="X415" t="str">
        <f>VLOOKUP(L415,'[2]tabela de preços'!$A:$G,7,0)</f>
        <v>AUTOMOTIVO</v>
      </c>
    </row>
    <row r="416" spans="1:24" x14ac:dyDescent="0.3">
      <c r="A416" t="s">
        <v>501</v>
      </c>
      <c r="C416" t="s">
        <v>506</v>
      </c>
      <c r="D416" s="1">
        <v>46030</v>
      </c>
      <c r="E416" t="s">
        <v>507</v>
      </c>
      <c r="F416">
        <v>9</v>
      </c>
      <c r="G416">
        <v>197</v>
      </c>
      <c r="H416" t="str">
        <f>VLOOKUP(G416,[1]OPERADORES!$A:$B,2,0)</f>
        <v xml:space="preserve">POLIANA LORRANE DE AMORIM </v>
      </c>
      <c r="I416" t="s">
        <v>21</v>
      </c>
      <c r="J416" t="s">
        <v>504</v>
      </c>
      <c r="K416" t="s">
        <v>505</v>
      </c>
      <c r="L416">
        <v>23076</v>
      </c>
      <c r="M416" t="s">
        <v>97</v>
      </c>
      <c r="O416" t="s">
        <v>11</v>
      </c>
      <c r="P416">
        <v>5403</v>
      </c>
      <c r="Q416">
        <v>30</v>
      </c>
      <c r="R416">
        <v>33.89</v>
      </c>
      <c r="S416" s="2">
        <v>1016.7</v>
      </c>
      <c r="T416">
        <v>795.9</v>
      </c>
      <c r="U416">
        <v>21.72</v>
      </c>
      <c r="V416" t="str">
        <f>VLOOKUP(L416,'[2]tabela de preços'!$A:$D,4,0)</f>
        <v>WANDA</v>
      </c>
      <c r="W416" t="str">
        <f>VLOOKUP(L416,'[2]tabela de preços'!$A:$F,6,0)</f>
        <v>PRIMER AUTOMOTIVO</v>
      </c>
      <c r="X416" t="str">
        <f>VLOOKUP(L416,'[2]tabela de preços'!$A:$G,7,0)</f>
        <v>AUTOMOTIVO</v>
      </c>
    </row>
    <row r="417" spans="1:24" x14ac:dyDescent="0.3">
      <c r="A417" t="s">
        <v>508</v>
      </c>
      <c r="C417" t="s">
        <v>509</v>
      </c>
      <c r="D417" s="1">
        <v>46027</v>
      </c>
      <c r="E417" t="s">
        <v>510</v>
      </c>
      <c r="F417">
        <v>9</v>
      </c>
      <c r="G417">
        <v>231</v>
      </c>
      <c r="H417" t="str">
        <f>VLOOKUP(G417,[1]OPERADORES!$A:$B,2,0)</f>
        <v>EDIJANE</v>
      </c>
      <c r="I417" t="s">
        <v>21</v>
      </c>
      <c r="J417" t="s">
        <v>66</v>
      </c>
      <c r="K417" t="s">
        <v>511</v>
      </c>
      <c r="L417">
        <v>86875</v>
      </c>
      <c r="M417" t="s">
        <v>512</v>
      </c>
      <c r="O417" t="s">
        <v>11</v>
      </c>
      <c r="P417">
        <v>5102</v>
      </c>
      <c r="Q417">
        <v>12</v>
      </c>
      <c r="R417">
        <v>29.85</v>
      </c>
      <c r="S417">
        <v>358.2</v>
      </c>
      <c r="T417">
        <v>271.92</v>
      </c>
      <c r="U417">
        <v>24.09</v>
      </c>
      <c r="V417" t="str">
        <f>VLOOKUP(L417,'[2]tabela de preços'!$A:$D,4,0)</f>
        <v>UNIFORTE</v>
      </c>
      <c r="W417" t="str">
        <f>VLOOKUP(L417,'[2]tabela de preços'!$A:$F,6,0)</f>
        <v>ASSENTOS / SIFÕES</v>
      </c>
      <c r="X417" t="str">
        <f>VLOOKUP(L417,'[2]tabela de preços'!$A:$G,7,0)</f>
        <v>IMOBILIÁRIO</v>
      </c>
    </row>
    <row r="418" spans="1:24" x14ac:dyDescent="0.3">
      <c r="A418" t="s">
        <v>508</v>
      </c>
      <c r="C418" t="s">
        <v>509</v>
      </c>
      <c r="D418" s="1">
        <v>46027</v>
      </c>
      <c r="E418" t="s">
        <v>510</v>
      </c>
      <c r="F418">
        <v>9</v>
      </c>
      <c r="G418">
        <v>231</v>
      </c>
      <c r="H418" t="str">
        <f>VLOOKUP(G418,[1]OPERADORES!$A:$B,2,0)</f>
        <v>EDIJANE</v>
      </c>
      <c r="I418" t="s">
        <v>21</v>
      </c>
      <c r="J418" t="s">
        <v>66</v>
      </c>
      <c r="K418" t="s">
        <v>511</v>
      </c>
      <c r="L418">
        <v>86874</v>
      </c>
      <c r="M418" t="s">
        <v>513</v>
      </c>
      <c r="O418" t="s">
        <v>11</v>
      </c>
      <c r="P418">
        <v>5102</v>
      </c>
      <c r="Q418">
        <v>20</v>
      </c>
      <c r="R418">
        <v>15.61</v>
      </c>
      <c r="S418">
        <v>312.2</v>
      </c>
      <c r="T418">
        <v>237</v>
      </c>
      <c r="U418">
        <v>24.09</v>
      </c>
      <c r="V418" t="str">
        <f>VLOOKUP(L418,'[2]tabela de preços'!$A:$D,4,0)</f>
        <v>UNIFORTE</v>
      </c>
      <c r="W418" t="str">
        <f>VLOOKUP(L418,'[2]tabela de preços'!$A:$F,6,0)</f>
        <v>ASSENTOS / SIFÕES</v>
      </c>
      <c r="X418" t="str">
        <f>VLOOKUP(L418,'[2]tabela de preços'!$A:$G,7,0)</f>
        <v>IMOBILIÁRIO</v>
      </c>
    </row>
    <row r="419" spans="1:24" x14ac:dyDescent="0.3">
      <c r="A419" t="s">
        <v>508</v>
      </c>
      <c r="C419" t="s">
        <v>509</v>
      </c>
      <c r="D419" s="1">
        <v>46027</v>
      </c>
      <c r="E419" t="s">
        <v>510</v>
      </c>
      <c r="F419">
        <v>9</v>
      </c>
      <c r="G419">
        <v>231</v>
      </c>
      <c r="H419" t="str">
        <f>VLOOKUP(G419,[1]OPERADORES!$A:$B,2,0)</f>
        <v>EDIJANE</v>
      </c>
      <c r="I419" t="s">
        <v>21</v>
      </c>
      <c r="J419" t="s">
        <v>66</v>
      </c>
      <c r="K419" t="s">
        <v>511</v>
      </c>
      <c r="L419">
        <v>10109</v>
      </c>
      <c r="M419" t="s">
        <v>514</v>
      </c>
      <c r="O419" t="s">
        <v>11</v>
      </c>
      <c r="P419">
        <v>5102</v>
      </c>
      <c r="Q419">
        <v>6</v>
      </c>
      <c r="R419">
        <v>11.98</v>
      </c>
      <c r="S419">
        <v>71.88</v>
      </c>
      <c r="T419">
        <v>54.54</v>
      </c>
      <c r="U419">
        <v>24.12</v>
      </c>
      <c r="V419" t="str">
        <f>VLOOKUP(L419,'[2]tabela de preços'!$A:$D,4,0)</f>
        <v>ATLAS</v>
      </c>
      <c r="W419" t="str">
        <f>VLOOKUP(L419,'[2]tabela de preços'!$A:$F,6,0)</f>
        <v>ROLOS / TRINCHAS / PINCÉIS / ESPÁTULAS</v>
      </c>
      <c r="X419" t="str">
        <f>VLOOKUP(L419,'[2]tabela de preços'!$A:$G,7,0)</f>
        <v>IMOBILIÁRIO</v>
      </c>
    </row>
    <row r="420" spans="1:24" x14ac:dyDescent="0.3">
      <c r="A420" t="s">
        <v>508</v>
      </c>
      <c r="C420" t="s">
        <v>509</v>
      </c>
      <c r="D420" s="1">
        <v>46027</v>
      </c>
      <c r="E420" t="s">
        <v>510</v>
      </c>
      <c r="F420">
        <v>9</v>
      </c>
      <c r="G420">
        <v>231</v>
      </c>
      <c r="H420" t="str">
        <f>VLOOKUP(G420,[1]OPERADORES!$A:$B,2,0)</f>
        <v>EDIJANE</v>
      </c>
      <c r="I420" t="s">
        <v>21</v>
      </c>
      <c r="J420" t="s">
        <v>66</v>
      </c>
      <c r="K420" t="s">
        <v>511</v>
      </c>
      <c r="L420">
        <v>20029</v>
      </c>
      <c r="M420" t="s">
        <v>515</v>
      </c>
      <c r="O420" t="s">
        <v>11</v>
      </c>
      <c r="P420">
        <v>5102</v>
      </c>
      <c r="Q420">
        <v>5</v>
      </c>
      <c r="R420">
        <v>13.57</v>
      </c>
      <c r="S420">
        <v>67.849999999999994</v>
      </c>
      <c r="T420">
        <v>51.5</v>
      </c>
      <c r="U420">
        <v>24.1</v>
      </c>
      <c r="V420" t="str">
        <f>VLOOKUP(L420,'[2]tabela de preços'!$A:$D,4,0)</f>
        <v>ATLAS</v>
      </c>
      <c r="W420" t="str">
        <f>VLOOKUP(L420,'[2]tabela de preços'!$A:$F,6,0)</f>
        <v>ROLOS / TRINCHAS / PINCÉIS / ESPÁTULAS</v>
      </c>
      <c r="X420" t="str">
        <f>VLOOKUP(L420,'[2]tabela de preços'!$A:$G,7,0)</f>
        <v>IMOBILIÁRIO</v>
      </c>
    </row>
    <row r="421" spans="1:24" x14ac:dyDescent="0.3">
      <c r="A421" t="s">
        <v>508</v>
      </c>
      <c r="C421" t="s">
        <v>509</v>
      </c>
      <c r="D421" s="1">
        <v>46027</v>
      </c>
      <c r="E421" t="s">
        <v>510</v>
      </c>
      <c r="F421">
        <v>9</v>
      </c>
      <c r="G421">
        <v>231</v>
      </c>
      <c r="H421" t="str">
        <f>VLOOKUP(G421,[1]OPERADORES!$A:$B,2,0)</f>
        <v>EDIJANE</v>
      </c>
      <c r="I421" t="s">
        <v>21</v>
      </c>
      <c r="J421" t="s">
        <v>66</v>
      </c>
      <c r="K421" t="s">
        <v>511</v>
      </c>
      <c r="L421">
        <v>84428</v>
      </c>
      <c r="M421" t="s">
        <v>516</v>
      </c>
      <c r="O421" t="s">
        <v>11</v>
      </c>
      <c r="P421">
        <v>5102</v>
      </c>
      <c r="Q421">
        <v>2</v>
      </c>
      <c r="R421">
        <v>18.3</v>
      </c>
      <c r="S421">
        <v>36.6</v>
      </c>
      <c r="T421">
        <v>27.78</v>
      </c>
      <c r="U421">
        <v>24.1</v>
      </c>
      <c r="V421" t="str">
        <f>VLOOKUP(L421,'[2]tabela de preços'!$A:$D,4,0)</f>
        <v>ATLAS</v>
      </c>
      <c r="W421" t="str">
        <f>VLOOKUP(L421,'[2]tabela de preços'!$A:$F,6,0)</f>
        <v>ROLOS / TRINCHAS / PINCÉIS / ESPÁTULAS</v>
      </c>
      <c r="X421" t="str">
        <f>VLOOKUP(L421,'[2]tabela de preços'!$A:$G,7,0)</f>
        <v>IMOBILIÁRIO</v>
      </c>
    </row>
    <row r="422" spans="1:24" x14ac:dyDescent="0.3">
      <c r="A422" t="s">
        <v>508</v>
      </c>
      <c r="C422" t="s">
        <v>509</v>
      </c>
      <c r="D422" s="1">
        <v>46027</v>
      </c>
      <c r="E422" t="s">
        <v>510</v>
      </c>
      <c r="F422">
        <v>9</v>
      </c>
      <c r="G422">
        <v>231</v>
      </c>
      <c r="H422" t="str">
        <f>VLOOKUP(G422,[1]OPERADORES!$A:$B,2,0)</f>
        <v>EDIJANE</v>
      </c>
      <c r="I422" t="s">
        <v>21</v>
      </c>
      <c r="J422" t="s">
        <v>66</v>
      </c>
      <c r="K422" t="s">
        <v>511</v>
      </c>
      <c r="L422">
        <v>10108</v>
      </c>
      <c r="M422" t="s">
        <v>517</v>
      </c>
      <c r="O422" t="s">
        <v>11</v>
      </c>
      <c r="P422">
        <v>5102</v>
      </c>
      <c r="Q422">
        <v>6</v>
      </c>
      <c r="R422">
        <v>9.2100000000000009</v>
      </c>
      <c r="S422">
        <v>55.26</v>
      </c>
      <c r="T422">
        <v>41.94</v>
      </c>
      <c r="U422">
        <v>24.1</v>
      </c>
      <c r="V422" t="str">
        <f>VLOOKUP(L422,'[2]tabela de preços'!$A:$D,4,0)</f>
        <v>ATLAS</v>
      </c>
      <c r="W422" t="str">
        <f>VLOOKUP(L422,'[2]tabela de preços'!$A:$F,6,0)</f>
        <v>ROLOS / TRINCHAS / PINCÉIS / ESPÁTULAS</v>
      </c>
      <c r="X422" t="str">
        <f>VLOOKUP(L422,'[2]tabela de preços'!$A:$G,7,0)</f>
        <v>IMOBILIÁRIO</v>
      </c>
    </row>
    <row r="423" spans="1:24" x14ac:dyDescent="0.3">
      <c r="A423" t="s">
        <v>508</v>
      </c>
      <c r="C423" t="s">
        <v>509</v>
      </c>
      <c r="D423" s="1">
        <v>46027</v>
      </c>
      <c r="E423" t="s">
        <v>510</v>
      </c>
      <c r="F423">
        <v>9</v>
      </c>
      <c r="G423">
        <v>231</v>
      </c>
      <c r="H423" t="str">
        <f>VLOOKUP(G423,[1]OPERADORES!$A:$B,2,0)</f>
        <v>EDIJANE</v>
      </c>
      <c r="I423" t="s">
        <v>21</v>
      </c>
      <c r="J423" t="s">
        <v>66</v>
      </c>
      <c r="K423" t="s">
        <v>511</v>
      </c>
      <c r="L423">
        <v>84020</v>
      </c>
      <c r="M423" t="s">
        <v>518</v>
      </c>
      <c r="O423" t="s">
        <v>11</v>
      </c>
      <c r="P423">
        <v>5102</v>
      </c>
      <c r="Q423">
        <v>50</v>
      </c>
      <c r="R423">
        <v>0.82</v>
      </c>
      <c r="S423">
        <v>41</v>
      </c>
      <c r="T423">
        <v>34.5</v>
      </c>
      <c r="U423">
        <v>15.85</v>
      </c>
      <c r="V423" t="str">
        <f>VLOOKUP(L423,'[2]tabela de preços'!$A:$D,4,0)</f>
        <v>3M</v>
      </c>
      <c r="W423" t="str">
        <f>VLOOKUP(L423,'[2]tabela de preços'!$A:$F,6,0)</f>
        <v>LIXA MASSA  /MADEIRA / PAREDE</v>
      </c>
      <c r="X423" t="str">
        <f>VLOOKUP(L423,'[2]tabela de preços'!$A:$G,7,0)</f>
        <v>IMOBILIÁRIO</v>
      </c>
    </row>
    <row r="424" spans="1:24" x14ac:dyDescent="0.3">
      <c r="A424" t="s">
        <v>508</v>
      </c>
      <c r="C424" t="s">
        <v>509</v>
      </c>
      <c r="D424" s="1">
        <v>46027</v>
      </c>
      <c r="E424" t="s">
        <v>510</v>
      </c>
      <c r="F424">
        <v>9</v>
      </c>
      <c r="G424">
        <v>231</v>
      </c>
      <c r="H424" t="str">
        <f>VLOOKUP(G424,[1]OPERADORES!$A:$B,2,0)</f>
        <v>EDIJANE</v>
      </c>
      <c r="I424" t="s">
        <v>21</v>
      </c>
      <c r="J424" t="s">
        <v>66</v>
      </c>
      <c r="K424" t="s">
        <v>511</v>
      </c>
      <c r="L424">
        <v>84017</v>
      </c>
      <c r="M424" t="s">
        <v>519</v>
      </c>
      <c r="O424" t="s">
        <v>11</v>
      </c>
      <c r="P424">
        <v>5102</v>
      </c>
      <c r="Q424">
        <v>50</v>
      </c>
      <c r="R424">
        <v>0.52</v>
      </c>
      <c r="S424">
        <v>26</v>
      </c>
      <c r="T424">
        <v>23</v>
      </c>
      <c r="U424">
        <v>11.54</v>
      </c>
      <c r="V424" t="str">
        <f>VLOOKUP(L424,'[2]tabela de preços'!$A:$D,4,0)</f>
        <v>3M</v>
      </c>
      <c r="W424" t="str">
        <f>VLOOKUP(L424,'[2]tabela de preços'!$A:$F,6,0)</f>
        <v>LIXA MASSA  /MADEIRA / PAREDE</v>
      </c>
      <c r="X424" t="str">
        <f>VLOOKUP(L424,'[2]tabela de preços'!$A:$G,7,0)</f>
        <v>IMOBILIÁRIO</v>
      </c>
    </row>
    <row r="425" spans="1:24" x14ac:dyDescent="0.3">
      <c r="A425" t="s">
        <v>508</v>
      </c>
      <c r="C425" t="s">
        <v>509</v>
      </c>
      <c r="D425" s="1">
        <v>46027</v>
      </c>
      <c r="E425" t="s">
        <v>510</v>
      </c>
      <c r="F425">
        <v>9</v>
      </c>
      <c r="G425">
        <v>231</v>
      </c>
      <c r="H425" t="str">
        <f>VLOOKUP(G425,[1]OPERADORES!$A:$B,2,0)</f>
        <v>EDIJANE</v>
      </c>
      <c r="I425" t="s">
        <v>21</v>
      </c>
      <c r="J425" t="s">
        <v>66</v>
      </c>
      <c r="K425" t="s">
        <v>511</v>
      </c>
      <c r="L425">
        <v>24300</v>
      </c>
      <c r="M425" t="s">
        <v>520</v>
      </c>
      <c r="O425" t="s">
        <v>46</v>
      </c>
      <c r="P425">
        <v>5403</v>
      </c>
      <c r="Q425">
        <v>50</v>
      </c>
      <c r="R425">
        <v>3.54</v>
      </c>
      <c r="S425">
        <v>177</v>
      </c>
      <c r="T425">
        <v>134.5</v>
      </c>
      <c r="U425">
        <v>24.01</v>
      </c>
      <c r="V425" t="str">
        <f>VLOOKUP(L425,'[2]tabela de preços'!$A:$D,4,0)</f>
        <v>VONDER</v>
      </c>
      <c r="W425" t="str">
        <f>VLOOKUP(L425,'[2]tabela de preços'!$A:$F,6,0)</f>
        <v>APLICADORES / ADAPTADORES / ENGATES / SUPORTES</v>
      </c>
      <c r="X425" t="str">
        <f>VLOOKUP(L425,'[2]tabela de preços'!$A:$G,7,0)</f>
        <v>AUTOMOTIVO</v>
      </c>
    </row>
    <row r="426" spans="1:24" x14ac:dyDescent="0.3">
      <c r="A426" t="s">
        <v>508</v>
      </c>
      <c r="C426" t="s">
        <v>509</v>
      </c>
      <c r="D426" s="1">
        <v>46027</v>
      </c>
      <c r="E426" t="s">
        <v>510</v>
      </c>
      <c r="F426">
        <v>9</v>
      </c>
      <c r="G426">
        <v>231</v>
      </c>
      <c r="H426" t="str">
        <f>VLOOKUP(G426,[1]OPERADORES!$A:$B,2,0)</f>
        <v>EDIJANE</v>
      </c>
      <c r="I426" t="s">
        <v>21</v>
      </c>
      <c r="J426" t="s">
        <v>66</v>
      </c>
      <c r="K426" t="s">
        <v>511</v>
      </c>
      <c r="L426">
        <v>85683</v>
      </c>
      <c r="M426" t="s">
        <v>521</v>
      </c>
      <c r="O426" t="s">
        <v>11</v>
      </c>
      <c r="P426">
        <v>5102</v>
      </c>
      <c r="Q426">
        <v>6</v>
      </c>
      <c r="R426">
        <v>8.68</v>
      </c>
      <c r="S426">
        <v>52.08</v>
      </c>
      <c r="T426">
        <v>39.54</v>
      </c>
      <c r="U426">
        <v>24.08</v>
      </c>
      <c r="V426" t="str">
        <f>VLOOKUP(L426,'[2]tabela de preços'!$A:$D,4,0)</f>
        <v>UNIPEGA</v>
      </c>
      <c r="W426" t="str">
        <f>VLOOKUP(L426,'[2]tabela de preços'!$A:$F,6,0)</f>
        <v>SILICONE</v>
      </c>
      <c r="X426" t="str">
        <f>VLOOKUP(L426,'[2]tabela de preços'!$A:$G,7,0)</f>
        <v>IMOBILIÁRIO</v>
      </c>
    </row>
    <row r="427" spans="1:24" x14ac:dyDescent="0.3">
      <c r="A427" t="s">
        <v>508</v>
      </c>
      <c r="C427" t="s">
        <v>509</v>
      </c>
      <c r="D427" s="1">
        <v>46027</v>
      </c>
      <c r="E427" t="s">
        <v>510</v>
      </c>
      <c r="F427">
        <v>9</v>
      </c>
      <c r="G427">
        <v>231</v>
      </c>
      <c r="H427" t="str">
        <f>VLOOKUP(G427,[1]OPERADORES!$A:$B,2,0)</f>
        <v>EDIJANE</v>
      </c>
      <c r="I427" t="s">
        <v>21</v>
      </c>
      <c r="J427" t="s">
        <v>66</v>
      </c>
      <c r="K427" t="s">
        <v>511</v>
      </c>
      <c r="L427">
        <v>23750</v>
      </c>
      <c r="M427" t="s">
        <v>522</v>
      </c>
      <c r="O427" t="s">
        <v>11</v>
      </c>
      <c r="P427">
        <v>5102</v>
      </c>
      <c r="Q427">
        <v>2</v>
      </c>
      <c r="R427">
        <v>15.89</v>
      </c>
      <c r="S427">
        <v>31.78</v>
      </c>
      <c r="T427">
        <v>25.92</v>
      </c>
      <c r="U427">
        <v>18.440000000000001</v>
      </c>
      <c r="V427" t="str">
        <f>VLOOKUP(L427,'[2]tabela de preços'!$A:$D,4,0)</f>
        <v>PURPLEX</v>
      </c>
      <c r="W427" t="str">
        <f>VLOOKUP(L427,'[2]tabela de preços'!$A:$F,6,0)</f>
        <v>TACO LIXADOR</v>
      </c>
      <c r="X427" t="str">
        <f>VLOOKUP(L427,'[2]tabela de preços'!$A:$G,7,0)</f>
        <v>AUTOMOTIVO</v>
      </c>
    </row>
    <row r="428" spans="1:24" x14ac:dyDescent="0.3">
      <c r="A428" t="s">
        <v>508</v>
      </c>
      <c r="C428" t="s">
        <v>509</v>
      </c>
      <c r="D428" s="1">
        <v>46027</v>
      </c>
      <c r="E428" t="s">
        <v>510</v>
      </c>
      <c r="F428">
        <v>9</v>
      </c>
      <c r="G428">
        <v>231</v>
      </c>
      <c r="H428" t="str">
        <f>VLOOKUP(G428,[1]OPERADORES!$A:$B,2,0)</f>
        <v>EDIJANE</v>
      </c>
      <c r="I428" t="s">
        <v>21</v>
      </c>
      <c r="J428" t="s">
        <v>66</v>
      </c>
      <c r="K428" t="s">
        <v>511</v>
      </c>
      <c r="L428">
        <v>20154</v>
      </c>
      <c r="M428" t="s">
        <v>523</v>
      </c>
      <c r="O428" t="s">
        <v>11</v>
      </c>
      <c r="P428">
        <v>5102</v>
      </c>
      <c r="Q428">
        <v>2</v>
      </c>
      <c r="R428">
        <v>12.89</v>
      </c>
      <c r="S428">
        <v>25.78</v>
      </c>
      <c r="T428">
        <v>20.46</v>
      </c>
      <c r="U428">
        <v>20.64</v>
      </c>
      <c r="V428" t="str">
        <f>VLOOKUP(L428,'[2]tabela de preços'!$A:$D,4,0)</f>
        <v>PURPLEX</v>
      </c>
      <c r="W428" t="str">
        <f>VLOOKUP(L428,'[2]tabela de preços'!$A:$F,6,0)</f>
        <v>TACO LIXADOR</v>
      </c>
      <c r="X428" t="str">
        <f>VLOOKUP(L428,'[2]tabela de preços'!$A:$G,7,0)</f>
        <v>AUTOMOTIVO</v>
      </c>
    </row>
    <row r="429" spans="1:24" x14ac:dyDescent="0.3">
      <c r="A429" t="s">
        <v>508</v>
      </c>
      <c r="C429" t="s">
        <v>509</v>
      </c>
      <c r="D429" s="1">
        <v>46027</v>
      </c>
      <c r="E429" t="s">
        <v>510</v>
      </c>
      <c r="F429">
        <v>9</v>
      </c>
      <c r="G429">
        <v>231</v>
      </c>
      <c r="H429" t="str">
        <f>VLOOKUP(G429,[1]OPERADORES!$A:$B,2,0)</f>
        <v>EDIJANE</v>
      </c>
      <c r="I429" t="s">
        <v>21</v>
      </c>
      <c r="J429" t="s">
        <v>66</v>
      </c>
      <c r="K429" t="s">
        <v>511</v>
      </c>
      <c r="L429">
        <v>10297</v>
      </c>
      <c r="M429" t="s">
        <v>41</v>
      </c>
      <c r="O429" t="s">
        <v>11</v>
      </c>
      <c r="P429">
        <v>5102</v>
      </c>
      <c r="Q429">
        <v>12</v>
      </c>
      <c r="R429">
        <v>10.95</v>
      </c>
      <c r="S429">
        <v>131.4</v>
      </c>
      <c r="T429">
        <v>110.04</v>
      </c>
      <c r="U429">
        <v>16.260000000000002</v>
      </c>
      <c r="V429" t="str">
        <f>VLOOKUP(L429,'[2]tabela de preços'!$A:$D,4,0)</f>
        <v>ANJO</v>
      </c>
      <c r="W429" t="str">
        <f>VLOOKUP(L429,'[2]tabela de preços'!$A:$F,6,0)</f>
        <v>THINNER DE LIMPEZA</v>
      </c>
      <c r="X429" t="str">
        <f>VLOOKUP(L429,'[2]tabela de preços'!$A:$G,7,0)</f>
        <v>THINNER</v>
      </c>
    </row>
    <row r="430" spans="1:24" x14ac:dyDescent="0.3">
      <c r="A430" t="s">
        <v>508</v>
      </c>
      <c r="C430" t="s">
        <v>524</v>
      </c>
      <c r="D430" s="1">
        <v>46042</v>
      </c>
      <c r="E430" t="s">
        <v>525</v>
      </c>
      <c r="F430">
        <v>9</v>
      </c>
      <c r="G430">
        <v>231</v>
      </c>
      <c r="H430" t="str">
        <f>VLOOKUP(G430,[1]OPERADORES!$A:$B,2,0)</f>
        <v>EDIJANE</v>
      </c>
      <c r="I430" t="s">
        <v>21</v>
      </c>
      <c r="J430" t="s">
        <v>66</v>
      </c>
      <c r="K430" t="s">
        <v>511</v>
      </c>
      <c r="L430">
        <v>85693</v>
      </c>
      <c r="M430" t="s">
        <v>526</v>
      </c>
      <c r="O430" t="s">
        <v>11</v>
      </c>
      <c r="P430">
        <v>5102</v>
      </c>
      <c r="Q430">
        <v>12</v>
      </c>
      <c r="R430">
        <v>7.89</v>
      </c>
      <c r="S430">
        <v>94.68</v>
      </c>
      <c r="T430">
        <v>78.12</v>
      </c>
      <c r="U430">
        <v>17.489999999999998</v>
      </c>
      <c r="V430" t="str">
        <f>VLOOKUP(L430,'[2]tabela de preços'!$A:$D,4,0)</f>
        <v>UNIPEGA</v>
      </c>
      <c r="W430" t="str">
        <f>VLOOKUP(L430,'[2]tabela de preços'!$A:$F,6,0)</f>
        <v>PU 40</v>
      </c>
      <c r="X430" t="str">
        <f>VLOOKUP(L430,'[2]tabela de preços'!$A:$G,7,0)</f>
        <v>IMOBILIÁRIO</v>
      </c>
    </row>
    <row r="431" spans="1:24" x14ac:dyDescent="0.3">
      <c r="A431" t="s">
        <v>508</v>
      </c>
      <c r="C431" t="s">
        <v>524</v>
      </c>
      <c r="D431" s="1">
        <v>46042</v>
      </c>
      <c r="E431" t="s">
        <v>525</v>
      </c>
      <c r="F431">
        <v>9</v>
      </c>
      <c r="G431">
        <v>231</v>
      </c>
      <c r="H431" t="str">
        <f>VLOOKUP(G431,[1]OPERADORES!$A:$B,2,0)</f>
        <v>EDIJANE</v>
      </c>
      <c r="I431" t="s">
        <v>21</v>
      </c>
      <c r="J431" t="s">
        <v>66</v>
      </c>
      <c r="K431" t="s">
        <v>511</v>
      </c>
      <c r="L431">
        <v>84045</v>
      </c>
      <c r="M431" t="s">
        <v>527</v>
      </c>
      <c r="O431" t="s">
        <v>11</v>
      </c>
      <c r="P431">
        <v>5102</v>
      </c>
      <c r="Q431">
        <v>2</v>
      </c>
      <c r="R431">
        <v>19.48</v>
      </c>
      <c r="S431">
        <v>38.96</v>
      </c>
      <c r="T431">
        <v>29.58</v>
      </c>
      <c r="U431">
        <v>24.08</v>
      </c>
      <c r="V431" t="str">
        <f>VLOOKUP(L431,'[2]tabela de preços'!$A:$D,4,0)</f>
        <v>BRASILUX</v>
      </c>
      <c r="W431" t="str">
        <f>VLOOKUP(L431,'[2]tabela de preços'!$A:$F,6,0)</f>
        <v>REMOVEDOR PASTOSO</v>
      </c>
      <c r="X431" t="str">
        <f>VLOOKUP(L431,'[2]tabela de preços'!$A:$G,7,0)</f>
        <v>AUTOMOTIVO</v>
      </c>
    </row>
    <row r="432" spans="1:24" x14ac:dyDescent="0.3">
      <c r="A432" t="s">
        <v>508</v>
      </c>
      <c r="C432" t="s">
        <v>524</v>
      </c>
      <c r="D432" s="1">
        <v>46042</v>
      </c>
      <c r="E432" t="s">
        <v>525</v>
      </c>
      <c r="F432">
        <v>9</v>
      </c>
      <c r="G432">
        <v>231</v>
      </c>
      <c r="H432" t="str">
        <f>VLOOKUP(G432,[1]OPERADORES!$A:$B,2,0)</f>
        <v>EDIJANE</v>
      </c>
      <c r="I432" t="s">
        <v>21</v>
      </c>
      <c r="J432" t="s">
        <v>66</v>
      </c>
      <c r="K432" t="s">
        <v>511</v>
      </c>
      <c r="L432">
        <v>10297</v>
      </c>
      <c r="M432" t="s">
        <v>41</v>
      </c>
      <c r="O432" t="s">
        <v>11</v>
      </c>
      <c r="P432">
        <v>5102</v>
      </c>
      <c r="Q432">
        <v>12</v>
      </c>
      <c r="R432">
        <v>9.26</v>
      </c>
      <c r="S432">
        <v>111.12</v>
      </c>
      <c r="T432">
        <v>110.04</v>
      </c>
      <c r="U432">
        <v>0.97</v>
      </c>
      <c r="V432" t="str">
        <f>VLOOKUP(L432,'[2]tabela de preços'!$A:$D,4,0)</f>
        <v>ANJO</v>
      </c>
      <c r="W432" t="str">
        <f>VLOOKUP(L432,'[2]tabela de preços'!$A:$F,6,0)</f>
        <v>THINNER DE LIMPEZA</v>
      </c>
      <c r="X432" t="str">
        <f>VLOOKUP(L432,'[2]tabela de preços'!$A:$G,7,0)</f>
        <v>THINNER</v>
      </c>
    </row>
    <row r="433" spans="1:24" x14ac:dyDescent="0.3">
      <c r="A433" t="s">
        <v>508</v>
      </c>
      <c r="C433" t="s">
        <v>524</v>
      </c>
      <c r="D433" s="1">
        <v>46042</v>
      </c>
      <c r="E433" t="s">
        <v>525</v>
      </c>
      <c r="F433">
        <v>9</v>
      </c>
      <c r="G433">
        <v>231</v>
      </c>
      <c r="H433" t="str">
        <f>VLOOKUP(G433,[1]OPERADORES!$A:$B,2,0)</f>
        <v>EDIJANE</v>
      </c>
      <c r="I433" t="s">
        <v>21</v>
      </c>
      <c r="J433" t="s">
        <v>66</v>
      </c>
      <c r="K433" t="s">
        <v>511</v>
      </c>
      <c r="L433">
        <v>85649</v>
      </c>
      <c r="M433" t="s">
        <v>478</v>
      </c>
      <c r="O433" t="s">
        <v>11</v>
      </c>
      <c r="P433">
        <v>5403</v>
      </c>
      <c r="Q433">
        <v>48</v>
      </c>
      <c r="R433">
        <v>9.1199999999999992</v>
      </c>
      <c r="S433">
        <v>437.76</v>
      </c>
      <c r="T433">
        <v>332.16</v>
      </c>
      <c r="U433">
        <v>24.12</v>
      </c>
      <c r="V433" t="str">
        <f>VLOOKUP(L433,'[2]tabela de preços'!$A:$D,4,0)</f>
        <v>UNIPEGA</v>
      </c>
      <c r="W433" t="str">
        <f>VLOOKUP(L433,'[2]tabela de preços'!$A:$F,6,0)</f>
        <v xml:space="preserve">SPRAYS </v>
      </c>
      <c r="X433" t="str">
        <f>VLOOKUP(L433,'[2]tabela de preços'!$A:$G,7,0)</f>
        <v>AUTOMOTIVO</v>
      </c>
    </row>
    <row r="434" spans="1:24" x14ac:dyDescent="0.3">
      <c r="A434" t="s">
        <v>508</v>
      </c>
      <c r="C434" t="s">
        <v>524</v>
      </c>
      <c r="D434" s="1">
        <v>46042</v>
      </c>
      <c r="E434" t="s">
        <v>525</v>
      </c>
      <c r="F434">
        <v>9</v>
      </c>
      <c r="G434">
        <v>231</v>
      </c>
      <c r="H434" t="str">
        <f>VLOOKUP(G434,[1]OPERADORES!$A:$B,2,0)</f>
        <v>EDIJANE</v>
      </c>
      <c r="I434" t="s">
        <v>21</v>
      </c>
      <c r="J434" t="s">
        <v>66</v>
      </c>
      <c r="K434" t="s">
        <v>511</v>
      </c>
      <c r="L434">
        <v>85650</v>
      </c>
      <c r="M434" t="s">
        <v>439</v>
      </c>
      <c r="O434" t="s">
        <v>11</v>
      </c>
      <c r="P434">
        <v>5403</v>
      </c>
      <c r="Q434">
        <v>36</v>
      </c>
      <c r="R434">
        <v>9.1199999999999992</v>
      </c>
      <c r="S434">
        <v>328.32</v>
      </c>
      <c r="T434">
        <v>249.12</v>
      </c>
      <c r="U434">
        <v>24.12</v>
      </c>
      <c r="V434" t="str">
        <f>VLOOKUP(L434,'[2]tabela de preços'!$A:$D,4,0)</f>
        <v>UNIPEGA</v>
      </c>
      <c r="W434" t="str">
        <f>VLOOKUP(L434,'[2]tabela de preços'!$A:$F,6,0)</f>
        <v xml:space="preserve">SPRAYS </v>
      </c>
      <c r="X434" t="str">
        <f>VLOOKUP(L434,'[2]tabela de preços'!$A:$G,7,0)</f>
        <v>AUTOMOTIVO</v>
      </c>
    </row>
    <row r="435" spans="1:24" x14ac:dyDescent="0.3">
      <c r="A435" t="s">
        <v>528</v>
      </c>
      <c r="C435" t="s">
        <v>529</v>
      </c>
      <c r="D435" s="1">
        <v>46029</v>
      </c>
      <c r="E435" t="s">
        <v>530</v>
      </c>
      <c r="F435">
        <v>9</v>
      </c>
      <c r="G435">
        <v>231</v>
      </c>
      <c r="H435" t="str">
        <f>VLOOKUP(G435,[1]OPERADORES!$A:$B,2,0)</f>
        <v>EDIJANE</v>
      </c>
      <c r="I435" t="s">
        <v>21</v>
      </c>
      <c r="J435" t="s">
        <v>531</v>
      </c>
      <c r="K435" t="s">
        <v>532</v>
      </c>
      <c r="L435">
        <v>84498</v>
      </c>
      <c r="M435" t="s">
        <v>533</v>
      </c>
      <c r="O435" t="s">
        <v>11</v>
      </c>
      <c r="P435">
        <v>5403</v>
      </c>
      <c r="Q435">
        <v>3</v>
      </c>
      <c r="R435">
        <v>412.35</v>
      </c>
      <c r="S435" s="2">
        <v>1237.05</v>
      </c>
      <c r="T435">
        <v>938.94</v>
      </c>
      <c r="U435">
        <v>24.1</v>
      </c>
      <c r="V435" t="str">
        <f>VLOOKUP(L435,'[2]tabela de preços'!$A:$D,4,0)</f>
        <v>BRASILUX</v>
      </c>
      <c r="W435" t="str">
        <f>VLOOKUP(L435,'[2]tabela de preços'!$A:$F,6,0)</f>
        <v>ESMALTES</v>
      </c>
      <c r="X435" t="str">
        <f>VLOOKUP(L435,'[2]tabela de preços'!$A:$G,7,0)</f>
        <v>INDUSTRIAL</v>
      </c>
    </row>
    <row r="436" spans="1:24" x14ac:dyDescent="0.3">
      <c r="A436" t="s">
        <v>528</v>
      </c>
      <c r="C436" t="s">
        <v>529</v>
      </c>
      <c r="D436" s="1">
        <v>46029</v>
      </c>
      <c r="E436" t="s">
        <v>530</v>
      </c>
      <c r="F436">
        <v>9</v>
      </c>
      <c r="G436">
        <v>231</v>
      </c>
      <c r="H436" t="str">
        <f>VLOOKUP(G436,[1]OPERADORES!$A:$B,2,0)</f>
        <v>EDIJANE</v>
      </c>
      <c r="I436" t="s">
        <v>21</v>
      </c>
      <c r="J436" t="s">
        <v>531</v>
      </c>
      <c r="K436" t="s">
        <v>532</v>
      </c>
      <c r="L436">
        <v>84499</v>
      </c>
      <c r="M436" t="s">
        <v>534</v>
      </c>
      <c r="O436" t="s">
        <v>11</v>
      </c>
      <c r="P436">
        <v>5102</v>
      </c>
      <c r="Q436">
        <v>3</v>
      </c>
      <c r="R436">
        <v>176.61</v>
      </c>
      <c r="S436">
        <v>529.83000000000004</v>
      </c>
      <c r="T436">
        <v>402.15</v>
      </c>
      <c r="U436">
        <v>24.1</v>
      </c>
      <c r="V436" t="str">
        <f>VLOOKUP(L436,'[2]tabela de preços'!$A:$D,4,0)</f>
        <v>BRASILUX</v>
      </c>
      <c r="W436" t="str">
        <f>VLOOKUP(L436,'[2]tabela de preços'!$A:$F,6,0)</f>
        <v>THINNER DE LIMPEZA</v>
      </c>
      <c r="X436" t="str">
        <f>VLOOKUP(L436,'[2]tabela de preços'!$A:$G,7,0)</f>
        <v>THINNER</v>
      </c>
    </row>
    <row r="437" spans="1:24" x14ac:dyDescent="0.3">
      <c r="A437" t="s">
        <v>528</v>
      </c>
      <c r="C437" t="s">
        <v>535</v>
      </c>
      <c r="D437" s="1">
        <v>46029</v>
      </c>
      <c r="E437" t="s">
        <v>536</v>
      </c>
      <c r="F437">
        <v>9</v>
      </c>
      <c r="G437">
        <v>231</v>
      </c>
      <c r="H437" t="str">
        <f>VLOOKUP(G437,[1]OPERADORES!$A:$B,2,0)</f>
        <v>EDIJANE</v>
      </c>
      <c r="I437" t="s">
        <v>21</v>
      </c>
      <c r="J437" t="s">
        <v>531</v>
      </c>
      <c r="K437" t="s">
        <v>532</v>
      </c>
      <c r="L437">
        <v>85316</v>
      </c>
      <c r="M437" t="s">
        <v>365</v>
      </c>
      <c r="O437" t="s">
        <v>11</v>
      </c>
      <c r="P437">
        <v>5102</v>
      </c>
      <c r="Q437">
        <v>1</v>
      </c>
      <c r="R437">
        <v>668</v>
      </c>
      <c r="S437">
        <v>668</v>
      </c>
      <c r="T437">
        <v>478.31</v>
      </c>
      <c r="U437">
        <v>28.4</v>
      </c>
      <c r="V437" t="str">
        <f>VLOOKUP(L437,'[2]tabela de preços'!$A:$D,4,0)</f>
        <v>BRASILUX</v>
      </c>
      <c r="W437" t="str">
        <f>VLOOKUP(L437,'[2]tabela de preços'!$A:$F,6,0)</f>
        <v>TINTA EM PÓ</v>
      </c>
      <c r="X437" t="str">
        <f>VLOOKUP(L437,'[2]tabela de preços'!$A:$G,7,0)</f>
        <v>INDUSTRIAL</v>
      </c>
    </row>
    <row r="438" spans="1:24" x14ac:dyDescent="0.3">
      <c r="A438" t="s">
        <v>528</v>
      </c>
      <c r="C438" t="s">
        <v>537</v>
      </c>
      <c r="D438" s="1">
        <v>46037</v>
      </c>
      <c r="E438" t="s">
        <v>538</v>
      </c>
      <c r="F438">
        <v>9</v>
      </c>
      <c r="G438">
        <v>231</v>
      </c>
      <c r="H438" t="str">
        <f>VLOOKUP(G438,[1]OPERADORES!$A:$B,2,0)</f>
        <v>EDIJANE</v>
      </c>
      <c r="I438" t="s">
        <v>21</v>
      </c>
      <c r="J438" t="s">
        <v>531</v>
      </c>
      <c r="K438" t="s">
        <v>532</v>
      </c>
      <c r="L438">
        <v>85316</v>
      </c>
      <c r="M438" t="s">
        <v>365</v>
      </c>
      <c r="O438" t="s">
        <v>11</v>
      </c>
      <c r="P438">
        <v>5102</v>
      </c>
      <c r="Q438">
        <v>1</v>
      </c>
      <c r="R438">
        <v>668</v>
      </c>
      <c r="S438">
        <v>668</v>
      </c>
      <c r="T438">
        <v>478.31</v>
      </c>
      <c r="U438">
        <v>28.4</v>
      </c>
      <c r="V438" t="str">
        <f>VLOOKUP(L438,'[2]tabela de preços'!$A:$D,4,0)</f>
        <v>BRASILUX</v>
      </c>
      <c r="W438" t="str">
        <f>VLOOKUP(L438,'[2]tabela de preços'!$A:$F,6,0)</f>
        <v>TINTA EM PÓ</v>
      </c>
      <c r="X438" t="str">
        <f>VLOOKUP(L438,'[2]tabela de preços'!$A:$G,7,0)</f>
        <v>INDUSTRIAL</v>
      </c>
    </row>
    <row r="439" spans="1:24" x14ac:dyDescent="0.3">
      <c r="A439" t="s">
        <v>528</v>
      </c>
      <c r="C439" t="s">
        <v>539</v>
      </c>
      <c r="D439" s="1">
        <v>46048</v>
      </c>
      <c r="E439" t="s">
        <v>540</v>
      </c>
      <c r="F439">
        <v>9</v>
      </c>
      <c r="G439">
        <v>231</v>
      </c>
      <c r="H439" t="str">
        <f>VLOOKUP(G439,[1]OPERADORES!$A:$B,2,0)</f>
        <v>EDIJANE</v>
      </c>
      <c r="I439" t="s">
        <v>21</v>
      </c>
      <c r="J439" t="s">
        <v>531</v>
      </c>
      <c r="K439" t="s">
        <v>532</v>
      </c>
      <c r="L439">
        <v>84498</v>
      </c>
      <c r="M439" t="s">
        <v>533</v>
      </c>
      <c r="O439" t="s">
        <v>11</v>
      </c>
      <c r="P439">
        <v>5403</v>
      </c>
      <c r="Q439">
        <v>3</v>
      </c>
      <c r="R439">
        <v>412.35</v>
      </c>
      <c r="S439" s="2">
        <v>1237.05</v>
      </c>
      <c r="T439">
        <v>938.94</v>
      </c>
      <c r="U439">
        <v>24.1</v>
      </c>
      <c r="V439" t="str">
        <f>VLOOKUP(L439,'[2]tabela de preços'!$A:$D,4,0)</f>
        <v>BRASILUX</v>
      </c>
      <c r="W439" t="str">
        <f>VLOOKUP(L439,'[2]tabela de preços'!$A:$F,6,0)</f>
        <v>ESMALTES</v>
      </c>
      <c r="X439" t="str">
        <f>VLOOKUP(L439,'[2]tabela de preços'!$A:$G,7,0)</f>
        <v>INDUSTRIAL</v>
      </c>
    </row>
    <row r="440" spans="1:24" x14ac:dyDescent="0.3">
      <c r="A440" t="s">
        <v>528</v>
      </c>
      <c r="C440" t="s">
        <v>539</v>
      </c>
      <c r="D440" s="1">
        <v>46048</v>
      </c>
      <c r="E440" t="s">
        <v>540</v>
      </c>
      <c r="F440">
        <v>9</v>
      </c>
      <c r="G440">
        <v>231</v>
      </c>
      <c r="H440" t="str">
        <f>VLOOKUP(G440,[1]OPERADORES!$A:$B,2,0)</f>
        <v>EDIJANE</v>
      </c>
      <c r="I440" t="s">
        <v>21</v>
      </c>
      <c r="J440" t="s">
        <v>531</v>
      </c>
      <c r="K440" t="s">
        <v>532</v>
      </c>
      <c r="L440">
        <v>84499</v>
      </c>
      <c r="M440" t="s">
        <v>534</v>
      </c>
      <c r="O440" t="s">
        <v>11</v>
      </c>
      <c r="P440">
        <v>5102</v>
      </c>
      <c r="Q440">
        <v>3</v>
      </c>
      <c r="R440">
        <v>176.61</v>
      </c>
      <c r="S440">
        <v>529.83000000000004</v>
      </c>
      <c r="T440">
        <v>402.15</v>
      </c>
      <c r="U440">
        <v>24.1</v>
      </c>
      <c r="V440" t="str">
        <f>VLOOKUP(L440,'[2]tabela de preços'!$A:$D,4,0)</f>
        <v>BRASILUX</v>
      </c>
      <c r="W440" t="str">
        <f>VLOOKUP(L440,'[2]tabela de preços'!$A:$F,6,0)</f>
        <v>THINNER DE LIMPEZA</v>
      </c>
      <c r="X440" t="str">
        <f>VLOOKUP(L440,'[2]tabela de preços'!$A:$G,7,0)</f>
        <v>THINNER</v>
      </c>
    </row>
    <row r="441" spans="1:24" x14ac:dyDescent="0.3">
      <c r="A441" t="s">
        <v>528</v>
      </c>
      <c r="C441" t="s">
        <v>541</v>
      </c>
      <c r="D441" s="1">
        <v>46050</v>
      </c>
      <c r="E441" t="s">
        <v>542</v>
      </c>
      <c r="F441">
        <v>9</v>
      </c>
      <c r="G441">
        <v>231</v>
      </c>
      <c r="H441" t="str">
        <f>VLOOKUP(G441,[1]OPERADORES!$A:$B,2,0)</f>
        <v>EDIJANE</v>
      </c>
      <c r="I441" t="s">
        <v>21</v>
      </c>
      <c r="J441" t="s">
        <v>531</v>
      </c>
      <c r="K441" t="s">
        <v>532</v>
      </c>
      <c r="L441">
        <v>85316</v>
      </c>
      <c r="M441" t="s">
        <v>365</v>
      </c>
      <c r="O441" t="s">
        <v>11</v>
      </c>
      <c r="P441">
        <v>5102</v>
      </c>
      <c r="Q441">
        <v>1</v>
      </c>
      <c r="R441">
        <v>668</v>
      </c>
      <c r="S441">
        <v>668</v>
      </c>
      <c r="T441">
        <v>478.31</v>
      </c>
      <c r="U441">
        <v>28.4</v>
      </c>
      <c r="V441" t="str">
        <f>VLOOKUP(L441,'[2]tabela de preços'!$A:$D,4,0)</f>
        <v>BRASILUX</v>
      </c>
      <c r="W441" t="str">
        <f>VLOOKUP(L441,'[2]tabela de preços'!$A:$F,6,0)</f>
        <v>TINTA EM PÓ</v>
      </c>
      <c r="X441" t="str">
        <f>VLOOKUP(L441,'[2]tabela de preços'!$A:$G,7,0)</f>
        <v>INDUSTRIAL</v>
      </c>
    </row>
    <row r="442" spans="1:24" x14ac:dyDescent="0.3">
      <c r="A442" t="s">
        <v>543</v>
      </c>
      <c r="C442" t="s">
        <v>544</v>
      </c>
      <c r="D442" s="1">
        <v>46044</v>
      </c>
      <c r="E442" t="s">
        <v>545</v>
      </c>
      <c r="F442">
        <v>9</v>
      </c>
      <c r="G442">
        <v>174</v>
      </c>
      <c r="H442" t="str">
        <f>VLOOKUP(G442,[1]OPERADORES!$A:$B,2,0)</f>
        <v>MIRIÃ LOBATO RODRIGUES</v>
      </c>
      <c r="I442" t="s">
        <v>21</v>
      </c>
      <c r="J442" t="s">
        <v>469</v>
      </c>
      <c r="K442" t="s">
        <v>546</v>
      </c>
      <c r="L442">
        <v>84331</v>
      </c>
      <c r="M442" t="s">
        <v>497</v>
      </c>
      <c r="O442" t="s">
        <v>11</v>
      </c>
      <c r="P442">
        <v>5403</v>
      </c>
      <c r="Q442">
        <v>10</v>
      </c>
      <c r="R442">
        <v>59.98</v>
      </c>
      <c r="S442">
        <v>599.79999999999995</v>
      </c>
      <c r="T442">
        <v>520</v>
      </c>
      <c r="U442">
        <v>13.3</v>
      </c>
      <c r="V442" t="str">
        <f>VLOOKUP(L442,'[2]tabela de preços'!$A:$D,4,0)</f>
        <v>BRASILUX</v>
      </c>
      <c r="W442" t="str">
        <f>VLOOKUP(L442,'[2]tabela de preços'!$A:$F,6,0)</f>
        <v>ESMALTES</v>
      </c>
      <c r="X442" t="str">
        <f>VLOOKUP(L442,'[2]tabela de preços'!$A:$G,7,0)</f>
        <v>INDUSTRIAL</v>
      </c>
    </row>
    <row r="443" spans="1:24" x14ac:dyDescent="0.3">
      <c r="A443" t="s">
        <v>547</v>
      </c>
      <c r="C443" t="s">
        <v>548</v>
      </c>
      <c r="D443" s="1">
        <v>46038</v>
      </c>
      <c r="E443" t="s">
        <v>549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550</v>
      </c>
      <c r="K443" t="s">
        <v>551</v>
      </c>
      <c r="L443">
        <v>84386</v>
      </c>
      <c r="M443" t="s">
        <v>552</v>
      </c>
      <c r="O443" t="s">
        <v>11</v>
      </c>
      <c r="P443">
        <v>5403</v>
      </c>
      <c r="Q443">
        <v>7</v>
      </c>
      <c r="R443">
        <v>159.9</v>
      </c>
      <c r="S443" s="2">
        <v>1119.3</v>
      </c>
      <c r="T443">
        <v>963.27</v>
      </c>
      <c r="U443">
        <v>13.94</v>
      </c>
      <c r="V443" t="str">
        <f>VLOOKUP(L443,'[2]tabela de preços'!$A:$D,4,0)</f>
        <v>BRASILUX</v>
      </c>
      <c r="W443" t="str">
        <f>VLOOKUP(L443,'[2]tabela de preços'!$A:$F,6,0)</f>
        <v>TINTA PARA PISO</v>
      </c>
      <c r="X443" t="str">
        <f>VLOOKUP(L443,'[2]tabela de preços'!$A:$G,7,0)</f>
        <v>IMOBILIÁRIO</v>
      </c>
    </row>
    <row r="444" spans="1:24" x14ac:dyDescent="0.3">
      <c r="A444" t="s">
        <v>547</v>
      </c>
      <c r="C444" t="s">
        <v>553</v>
      </c>
      <c r="D444" s="1">
        <v>46043</v>
      </c>
      <c r="E444" t="s">
        <v>554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550</v>
      </c>
      <c r="K444" t="s">
        <v>551</v>
      </c>
      <c r="L444">
        <v>84386</v>
      </c>
      <c r="M444" t="s">
        <v>552</v>
      </c>
      <c r="O444" t="s">
        <v>11</v>
      </c>
      <c r="P444">
        <v>5403</v>
      </c>
      <c r="Q444">
        <v>4</v>
      </c>
      <c r="R444">
        <v>159.9</v>
      </c>
      <c r="S444">
        <v>639.6</v>
      </c>
      <c r="T444">
        <v>550.44000000000005</v>
      </c>
      <c r="U444">
        <v>13.94</v>
      </c>
      <c r="V444" t="str">
        <f>VLOOKUP(L444,'[2]tabela de preços'!$A:$D,4,0)</f>
        <v>BRASILUX</v>
      </c>
      <c r="W444" t="str">
        <f>VLOOKUP(L444,'[2]tabela de preços'!$A:$F,6,0)</f>
        <v>TINTA PARA PISO</v>
      </c>
      <c r="X444" t="str">
        <f>VLOOKUP(L444,'[2]tabela de preços'!$A:$G,7,0)</f>
        <v>IMOBILIÁRIO</v>
      </c>
    </row>
    <row r="445" spans="1:24" x14ac:dyDescent="0.3">
      <c r="A445" t="s">
        <v>555</v>
      </c>
      <c r="C445" t="s">
        <v>556</v>
      </c>
      <c r="D445" s="1">
        <v>46036</v>
      </c>
      <c r="E445" t="s">
        <v>557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558</v>
      </c>
      <c r="K445" t="s">
        <v>559</v>
      </c>
      <c r="L445">
        <v>84356</v>
      </c>
      <c r="M445" t="s">
        <v>560</v>
      </c>
      <c r="O445" t="s">
        <v>11</v>
      </c>
      <c r="P445">
        <v>5403</v>
      </c>
      <c r="Q445">
        <v>1</v>
      </c>
      <c r="R445">
        <v>19.64</v>
      </c>
      <c r="S445">
        <v>19.64</v>
      </c>
      <c r="T445">
        <v>14.91</v>
      </c>
      <c r="U445">
        <v>24.08</v>
      </c>
      <c r="V445" t="str">
        <f>VLOOKUP(L445,'[2]tabela de preços'!$A:$D,4,0)</f>
        <v>BRASILUX</v>
      </c>
      <c r="W445" t="str">
        <f>VLOOKUP(L445,'[2]tabela de preços'!$A:$F,6,0)</f>
        <v>ESMALTES</v>
      </c>
      <c r="X445" t="str">
        <f>VLOOKUP(L445,'[2]tabela de preços'!$A:$G,7,0)</f>
        <v>INDUSTRIAL</v>
      </c>
    </row>
    <row r="446" spans="1:24" x14ac:dyDescent="0.3">
      <c r="A446" t="s">
        <v>555</v>
      </c>
      <c r="C446" t="s">
        <v>556</v>
      </c>
      <c r="D446" s="1">
        <v>46036</v>
      </c>
      <c r="E446" t="s">
        <v>557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558</v>
      </c>
      <c r="K446" t="s">
        <v>559</v>
      </c>
      <c r="L446">
        <v>84361</v>
      </c>
      <c r="M446" t="s">
        <v>561</v>
      </c>
      <c r="O446" t="s">
        <v>11</v>
      </c>
      <c r="P446">
        <v>5403</v>
      </c>
      <c r="Q446">
        <v>1</v>
      </c>
      <c r="R446">
        <v>17.05</v>
      </c>
      <c r="S446">
        <v>17.05</v>
      </c>
      <c r="T446">
        <v>12.94</v>
      </c>
      <c r="U446">
        <v>24.11</v>
      </c>
      <c r="V446" t="str">
        <f>VLOOKUP(L446,'[2]tabela de preços'!$A:$D,4,0)</f>
        <v>BRASILUX</v>
      </c>
      <c r="W446" t="str">
        <f>VLOOKUP(L446,'[2]tabela de preços'!$A:$F,6,0)</f>
        <v>ESMALTES</v>
      </c>
      <c r="X446" t="str">
        <f>VLOOKUP(L446,'[2]tabela de preços'!$A:$G,7,0)</f>
        <v>INDUSTRIAL</v>
      </c>
    </row>
    <row r="447" spans="1:24" x14ac:dyDescent="0.3">
      <c r="A447" t="s">
        <v>555</v>
      </c>
      <c r="C447" t="s">
        <v>556</v>
      </c>
      <c r="D447" s="1">
        <v>46036</v>
      </c>
      <c r="E447" t="s">
        <v>557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558</v>
      </c>
      <c r="K447" t="s">
        <v>559</v>
      </c>
      <c r="L447">
        <v>84120</v>
      </c>
      <c r="M447" t="s">
        <v>562</v>
      </c>
      <c r="O447" t="s">
        <v>11</v>
      </c>
      <c r="P447">
        <v>5403</v>
      </c>
      <c r="Q447">
        <v>1</v>
      </c>
      <c r="R447">
        <v>20.100000000000001</v>
      </c>
      <c r="S447">
        <v>20.100000000000001</v>
      </c>
      <c r="T447">
        <v>15.26</v>
      </c>
      <c r="U447">
        <v>24.08</v>
      </c>
      <c r="V447" t="str">
        <f>VLOOKUP(L447,'[2]tabela de preços'!$A:$D,4,0)</f>
        <v>BRASILUX</v>
      </c>
      <c r="W447" t="str">
        <f>VLOOKUP(L447,'[2]tabela de preços'!$A:$F,6,0)</f>
        <v>ESMALTES</v>
      </c>
      <c r="X447" t="str">
        <f>VLOOKUP(L447,'[2]tabela de preços'!$A:$G,7,0)</f>
        <v>INDUSTRIAL</v>
      </c>
    </row>
    <row r="448" spans="1:24" x14ac:dyDescent="0.3">
      <c r="A448" t="s">
        <v>555</v>
      </c>
      <c r="C448" t="s">
        <v>556</v>
      </c>
      <c r="D448" s="1">
        <v>46036</v>
      </c>
      <c r="E448" t="s">
        <v>557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558</v>
      </c>
      <c r="K448" t="s">
        <v>559</v>
      </c>
      <c r="L448">
        <v>84411</v>
      </c>
      <c r="M448" t="s">
        <v>35</v>
      </c>
      <c r="O448" t="s">
        <v>11</v>
      </c>
      <c r="P448">
        <v>5102</v>
      </c>
      <c r="Q448">
        <v>5</v>
      </c>
      <c r="R448">
        <v>4.29</v>
      </c>
      <c r="S448">
        <v>21.45</v>
      </c>
      <c r="T448">
        <v>17.7</v>
      </c>
      <c r="U448">
        <v>17.48</v>
      </c>
      <c r="V448" t="str">
        <f>VLOOKUP(L448,'[2]tabela de preços'!$A:$D,4,0)</f>
        <v>ADERE</v>
      </c>
      <c r="W448" t="str">
        <f>VLOOKUP(L448,'[2]tabela de preços'!$A:$F,6,0)</f>
        <v xml:space="preserve">FITA DE USO GERAL </v>
      </c>
      <c r="X448" t="str">
        <f>VLOOKUP(L448,'[2]tabela de preços'!$A:$G,7,0)</f>
        <v>IMOBILIÁRIO</v>
      </c>
    </row>
    <row r="449" spans="1:24" x14ac:dyDescent="0.3">
      <c r="A449" t="s">
        <v>555</v>
      </c>
      <c r="C449" t="s">
        <v>556</v>
      </c>
      <c r="D449" s="1">
        <v>46036</v>
      </c>
      <c r="E449" t="s">
        <v>557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558</v>
      </c>
      <c r="K449" t="s">
        <v>559</v>
      </c>
      <c r="L449">
        <v>84928</v>
      </c>
      <c r="M449" t="s">
        <v>36</v>
      </c>
      <c r="O449" t="s">
        <v>11</v>
      </c>
      <c r="P449">
        <v>5102</v>
      </c>
      <c r="Q449">
        <v>4</v>
      </c>
      <c r="R449">
        <v>9.39</v>
      </c>
      <c r="S449">
        <v>37.56</v>
      </c>
      <c r="T449">
        <v>28.52</v>
      </c>
      <c r="U449">
        <v>24.07</v>
      </c>
      <c r="V449" t="str">
        <f>VLOOKUP(L449,'[2]tabela de preços'!$A:$D,4,0)</f>
        <v>ADERE</v>
      </c>
      <c r="W449" t="str">
        <f>VLOOKUP(L449,'[2]tabela de preços'!$A:$F,6,0)</f>
        <v xml:space="preserve">FITA DE USO GERAL </v>
      </c>
      <c r="X449" t="str">
        <f>VLOOKUP(L449,'[2]tabela de preços'!$A:$G,7,0)</f>
        <v>IMOBILIÁRIO</v>
      </c>
    </row>
    <row r="450" spans="1:24" x14ac:dyDescent="0.3">
      <c r="A450" t="s">
        <v>555</v>
      </c>
      <c r="C450" t="s">
        <v>556</v>
      </c>
      <c r="D450" s="1">
        <v>46036</v>
      </c>
      <c r="E450" t="s">
        <v>557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558</v>
      </c>
      <c r="K450" t="s">
        <v>559</v>
      </c>
      <c r="L450">
        <v>84312</v>
      </c>
      <c r="M450" t="s">
        <v>563</v>
      </c>
      <c r="O450" t="s">
        <v>11</v>
      </c>
      <c r="P450">
        <v>5403</v>
      </c>
      <c r="Q450">
        <v>1</v>
      </c>
      <c r="R450">
        <v>305.89999999999998</v>
      </c>
      <c r="S450">
        <v>305.89999999999998</v>
      </c>
      <c r="T450">
        <v>232.18</v>
      </c>
      <c r="U450">
        <v>24.1</v>
      </c>
      <c r="V450" t="str">
        <f>VLOOKUP(L450,'[2]tabela de preços'!$A:$D,4,0)</f>
        <v>BRASILUX</v>
      </c>
      <c r="W450" t="str">
        <f>VLOOKUP(L450,'[2]tabela de preços'!$A:$F,6,0)</f>
        <v>IMPERMEABILIZANTES</v>
      </c>
      <c r="X450" t="str">
        <f>VLOOKUP(L450,'[2]tabela de preços'!$A:$G,7,0)</f>
        <v>IMOBILIÁRIO</v>
      </c>
    </row>
    <row r="451" spans="1:24" x14ac:dyDescent="0.3">
      <c r="A451" t="s">
        <v>555</v>
      </c>
      <c r="C451" t="s">
        <v>564</v>
      </c>
      <c r="D451" s="1">
        <v>46037</v>
      </c>
      <c r="E451" t="s">
        <v>565</v>
      </c>
      <c r="F451">
        <v>9</v>
      </c>
      <c r="G451">
        <v>230</v>
      </c>
      <c r="H451" t="str">
        <f>VLOOKUP(G451,[1]OPERADORES!$A:$B,2,0)</f>
        <v>SÔNIA</v>
      </c>
      <c r="I451" t="s">
        <v>21</v>
      </c>
      <c r="J451" t="s">
        <v>558</v>
      </c>
      <c r="K451" t="s">
        <v>559</v>
      </c>
      <c r="L451">
        <v>84330</v>
      </c>
      <c r="M451" t="s">
        <v>566</v>
      </c>
      <c r="O451" t="s">
        <v>11</v>
      </c>
      <c r="P451">
        <v>5403</v>
      </c>
      <c r="Q451">
        <v>1</v>
      </c>
      <c r="R451">
        <v>59.98</v>
      </c>
      <c r="S451">
        <v>59.98</v>
      </c>
      <c r="T451">
        <v>52</v>
      </c>
      <c r="U451">
        <v>13.3</v>
      </c>
      <c r="V451" t="str">
        <f>VLOOKUP(L451,'[2]tabela de preços'!$A:$D,4,0)</f>
        <v>BRASILUX</v>
      </c>
      <c r="W451" t="str">
        <f>VLOOKUP(L451,'[2]tabela de preços'!$A:$F,6,0)</f>
        <v>ESMALTES</v>
      </c>
      <c r="X451" t="str">
        <f>VLOOKUP(L451,'[2]tabela de preços'!$A:$G,7,0)</f>
        <v>INDUSTRIAL</v>
      </c>
    </row>
    <row r="452" spans="1:24" x14ac:dyDescent="0.3">
      <c r="A452" t="s">
        <v>555</v>
      </c>
      <c r="C452" t="s">
        <v>564</v>
      </c>
      <c r="D452" s="1">
        <v>46037</v>
      </c>
      <c r="E452" t="s">
        <v>565</v>
      </c>
      <c r="F452">
        <v>9</v>
      </c>
      <c r="G452">
        <v>230</v>
      </c>
      <c r="H452" t="str">
        <f>VLOOKUP(G452,[1]OPERADORES!$A:$B,2,0)</f>
        <v>SÔNIA</v>
      </c>
      <c r="I452" t="s">
        <v>21</v>
      </c>
      <c r="J452" t="s">
        <v>558</v>
      </c>
      <c r="K452" t="s">
        <v>559</v>
      </c>
      <c r="L452">
        <v>84424</v>
      </c>
      <c r="M452" t="s">
        <v>567</v>
      </c>
      <c r="O452" t="s">
        <v>11</v>
      </c>
      <c r="P452">
        <v>5102</v>
      </c>
      <c r="Q452">
        <v>1</v>
      </c>
      <c r="R452">
        <v>14.3</v>
      </c>
      <c r="S452">
        <v>14.3</v>
      </c>
      <c r="T452">
        <v>10.85</v>
      </c>
      <c r="U452">
        <v>24.13</v>
      </c>
      <c r="V452" t="str">
        <f>VLOOKUP(L452,'[2]tabela de preços'!$A:$D,4,0)</f>
        <v>ATLAS</v>
      </c>
      <c r="W452" t="str">
        <f>VLOOKUP(L452,'[2]tabela de preços'!$A:$F,6,0)</f>
        <v>ROLOS / TRINCHAS / PINCÉIS / ESPÁTULAS</v>
      </c>
      <c r="X452" t="str">
        <f>VLOOKUP(L452,'[2]tabela de preços'!$A:$G,7,0)</f>
        <v>IMOBILIÁRIO</v>
      </c>
    </row>
    <row r="453" spans="1:24" x14ac:dyDescent="0.3">
      <c r="A453" t="s">
        <v>555</v>
      </c>
      <c r="C453" t="s">
        <v>564</v>
      </c>
      <c r="D453" s="1">
        <v>46037</v>
      </c>
      <c r="E453" t="s">
        <v>565</v>
      </c>
      <c r="F453">
        <v>9</v>
      </c>
      <c r="G453">
        <v>230</v>
      </c>
      <c r="H453" t="str">
        <f>VLOOKUP(G453,[1]OPERADORES!$A:$B,2,0)</f>
        <v>SÔNIA</v>
      </c>
      <c r="I453" t="s">
        <v>21</v>
      </c>
      <c r="J453" t="s">
        <v>558</v>
      </c>
      <c r="K453" t="s">
        <v>559</v>
      </c>
      <c r="L453">
        <v>84421</v>
      </c>
      <c r="M453" t="s">
        <v>568</v>
      </c>
      <c r="O453" t="s">
        <v>11</v>
      </c>
      <c r="P453">
        <v>5102</v>
      </c>
      <c r="Q453">
        <v>1</v>
      </c>
      <c r="R453">
        <v>6.35</v>
      </c>
      <c r="S453">
        <v>6.35</v>
      </c>
      <c r="T453">
        <v>4.82</v>
      </c>
      <c r="U453">
        <v>24.09</v>
      </c>
      <c r="V453" t="str">
        <f>VLOOKUP(L453,'[2]tabela de preços'!$A:$D,4,0)</f>
        <v>ATLAS</v>
      </c>
      <c r="W453" t="str">
        <f>VLOOKUP(L453,'[2]tabela de preços'!$A:$F,6,0)</f>
        <v>ROLOS / TRINCHAS / PINCÉIS / ESPÁTULAS</v>
      </c>
      <c r="X453" t="str">
        <f>VLOOKUP(L453,'[2]tabela de preços'!$A:$G,7,0)</f>
        <v>IMOBILIÁRIO</v>
      </c>
    </row>
    <row r="454" spans="1:24" x14ac:dyDescent="0.3">
      <c r="A454" t="s">
        <v>555</v>
      </c>
      <c r="C454" t="s">
        <v>564</v>
      </c>
      <c r="D454" s="1">
        <v>46037</v>
      </c>
      <c r="E454" t="s">
        <v>565</v>
      </c>
      <c r="F454">
        <v>9</v>
      </c>
      <c r="G454">
        <v>230</v>
      </c>
      <c r="H454" t="str">
        <f>VLOOKUP(G454,[1]OPERADORES!$A:$B,2,0)</f>
        <v>SÔNIA</v>
      </c>
      <c r="I454" t="s">
        <v>21</v>
      </c>
      <c r="J454" t="s">
        <v>558</v>
      </c>
      <c r="K454" t="s">
        <v>559</v>
      </c>
      <c r="L454">
        <v>84422</v>
      </c>
      <c r="M454" t="s">
        <v>569</v>
      </c>
      <c r="O454" t="s">
        <v>11</v>
      </c>
      <c r="P454">
        <v>5102</v>
      </c>
      <c r="Q454">
        <v>2</v>
      </c>
      <c r="R454">
        <v>9.32</v>
      </c>
      <c r="S454">
        <v>18.64</v>
      </c>
      <c r="T454">
        <v>14.16</v>
      </c>
      <c r="U454">
        <v>24.03</v>
      </c>
      <c r="V454" t="str">
        <f>VLOOKUP(L454,'[2]tabela de preços'!$A:$D,4,0)</f>
        <v>ATLAS</v>
      </c>
      <c r="W454" t="str">
        <f>VLOOKUP(L454,'[2]tabela de preços'!$A:$F,6,0)</f>
        <v>ROLOS / TRINCHAS / PINCÉIS / ESPÁTULAS</v>
      </c>
      <c r="X454" t="str">
        <f>VLOOKUP(L454,'[2]tabela de preços'!$A:$G,7,0)</f>
        <v>IMOBILIÁRIO</v>
      </c>
    </row>
    <row r="455" spans="1:24" x14ac:dyDescent="0.3">
      <c r="A455" t="s">
        <v>555</v>
      </c>
      <c r="C455" t="s">
        <v>564</v>
      </c>
      <c r="D455" s="1">
        <v>46037</v>
      </c>
      <c r="E455" t="s">
        <v>565</v>
      </c>
      <c r="F455">
        <v>9</v>
      </c>
      <c r="G455">
        <v>230</v>
      </c>
      <c r="H455" t="str">
        <f>VLOOKUP(G455,[1]OPERADORES!$A:$B,2,0)</f>
        <v>SÔNIA</v>
      </c>
      <c r="I455" t="s">
        <v>21</v>
      </c>
      <c r="J455" t="s">
        <v>558</v>
      </c>
      <c r="K455" t="s">
        <v>559</v>
      </c>
      <c r="L455">
        <v>84237</v>
      </c>
      <c r="M455" t="s">
        <v>570</v>
      </c>
      <c r="O455" t="s">
        <v>11</v>
      </c>
      <c r="P455">
        <v>5403</v>
      </c>
      <c r="Q455">
        <v>1</v>
      </c>
      <c r="R455">
        <v>15.21</v>
      </c>
      <c r="S455">
        <v>15.21</v>
      </c>
      <c r="T455">
        <v>11.54</v>
      </c>
      <c r="U455">
        <v>24.13</v>
      </c>
      <c r="V455" t="str">
        <f>VLOOKUP(L455,'[2]tabela de preços'!$A:$D,4,0)</f>
        <v>BRASILUX</v>
      </c>
      <c r="W455" t="str">
        <f>VLOOKUP(L455,'[2]tabela de preços'!$A:$F,6,0)</f>
        <v>LINHA MOVELEIRA</v>
      </c>
      <c r="X455" t="str">
        <f>VLOOKUP(L455,'[2]tabela de preços'!$A:$G,7,0)</f>
        <v>MOVELEIRA</v>
      </c>
    </row>
    <row r="456" spans="1:24" x14ac:dyDescent="0.3">
      <c r="A456" t="s">
        <v>555</v>
      </c>
      <c r="C456" t="s">
        <v>564</v>
      </c>
      <c r="D456" s="1">
        <v>46037</v>
      </c>
      <c r="E456" t="s">
        <v>565</v>
      </c>
      <c r="F456">
        <v>9</v>
      </c>
      <c r="G456">
        <v>230</v>
      </c>
      <c r="H456" t="str">
        <f>VLOOKUP(G456,[1]OPERADORES!$A:$B,2,0)</f>
        <v>SÔNIA</v>
      </c>
      <c r="I456" t="s">
        <v>21</v>
      </c>
      <c r="J456" t="s">
        <v>558</v>
      </c>
      <c r="K456" t="s">
        <v>559</v>
      </c>
      <c r="L456">
        <v>10114</v>
      </c>
      <c r="M456" t="s">
        <v>571</v>
      </c>
      <c r="O456" t="s">
        <v>11</v>
      </c>
      <c r="P456">
        <v>5102</v>
      </c>
      <c r="Q456">
        <v>1</v>
      </c>
      <c r="R456">
        <v>3.95</v>
      </c>
      <c r="S456">
        <v>3.95</v>
      </c>
      <c r="T456">
        <v>3</v>
      </c>
      <c r="U456">
        <v>24.05</v>
      </c>
      <c r="V456" t="str">
        <f>VLOOKUP(L456,'[2]tabela de preços'!$A:$D,4,0)</f>
        <v>ATLAS</v>
      </c>
      <c r="W456" t="str">
        <f>VLOOKUP(L456,'[2]tabela de preços'!$A:$F,6,0)</f>
        <v>ROLOS / TRINCHAS / PINCÉIS / ESPÁTULAS</v>
      </c>
      <c r="X456" t="str">
        <f>VLOOKUP(L456,'[2]tabela de preços'!$A:$G,7,0)</f>
        <v>IMOBILIÁRIO</v>
      </c>
    </row>
    <row r="457" spans="1:24" x14ac:dyDescent="0.3">
      <c r="A457" t="s">
        <v>555</v>
      </c>
      <c r="C457" t="s">
        <v>564</v>
      </c>
      <c r="D457" s="1">
        <v>46037</v>
      </c>
      <c r="E457" t="s">
        <v>565</v>
      </c>
      <c r="F457">
        <v>9</v>
      </c>
      <c r="G457">
        <v>230</v>
      </c>
      <c r="H457" t="str">
        <f>VLOOKUP(G457,[1]OPERADORES!$A:$B,2,0)</f>
        <v>SÔNIA</v>
      </c>
      <c r="I457" t="s">
        <v>21</v>
      </c>
      <c r="J457" t="s">
        <v>558</v>
      </c>
      <c r="K457" t="s">
        <v>559</v>
      </c>
      <c r="L457">
        <v>10118</v>
      </c>
      <c r="M457" t="s">
        <v>572</v>
      </c>
      <c r="O457" t="s">
        <v>11</v>
      </c>
      <c r="P457">
        <v>5102</v>
      </c>
      <c r="Q457">
        <v>1</v>
      </c>
      <c r="R457">
        <v>5.0199999999999996</v>
      </c>
      <c r="S457">
        <v>5.0199999999999996</v>
      </c>
      <c r="T457">
        <v>3.81</v>
      </c>
      <c r="U457">
        <v>24.1</v>
      </c>
      <c r="V457" t="str">
        <f>VLOOKUP(L457,'[2]tabela de preços'!$A:$D,4,0)</f>
        <v>ATLAS</v>
      </c>
      <c r="W457" t="str">
        <f>VLOOKUP(L457,'[2]tabela de preços'!$A:$F,6,0)</f>
        <v>ROLOS / TRINCHAS / PINCÉIS / ESPÁTULAS</v>
      </c>
      <c r="X457" t="str">
        <f>VLOOKUP(L457,'[2]tabela de preços'!$A:$G,7,0)</f>
        <v>IMOBILIÁRIO</v>
      </c>
    </row>
    <row r="458" spans="1:24" x14ac:dyDescent="0.3">
      <c r="A458" t="s">
        <v>555</v>
      </c>
      <c r="C458" t="s">
        <v>573</v>
      </c>
      <c r="D458" s="1">
        <v>46045</v>
      </c>
      <c r="E458" t="s">
        <v>574</v>
      </c>
      <c r="F458">
        <v>9</v>
      </c>
      <c r="G458">
        <v>230</v>
      </c>
      <c r="H458" t="str">
        <f>VLOOKUP(G458,[1]OPERADORES!$A:$B,2,0)</f>
        <v>SÔNIA</v>
      </c>
      <c r="I458" t="s">
        <v>21</v>
      </c>
      <c r="J458" t="s">
        <v>558</v>
      </c>
      <c r="K458" t="s">
        <v>559</v>
      </c>
      <c r="L458">
        <v>86230</v>
      </c>
      <c r="M458" t="s">
        <v>375</v>
      </c>
      <c r="O458" t="s">
        <v>11</v>
      </c>
      <c r="P458">
        <v>5403</v>
      </c>
      <c r="Q458">
        <v>1</v>
      </c>
      <c r="R458">
        <v>266.92</v>
      </c>
      <c r="S458">
        <v>266.92</v>
      </c>
      <c r="T458">
        <v>220.78</v>
      </c>
      <c r="U458">
        <v>17.29</v>
      </c>
      <c r="V458" t="str">
        <f>VLOOKUP(L458,'[2]tabela de preços'!$A:$D,4,0)</f>
        <v>CORAL</v>
      </c>
      <c r="W458" t="str">
        <f>VLOOKUP(L458,'[2]tabela de preços'!$A:$F,6,0)</f>
        <v>TINTA PAREDE</v>
      </c>
      <c r="X458" t="str">
        <f>VLOOKUP(L458,'[2]tabela de preços'!$A:$G,7,0)</f>
        <v>IMOBILIÁRIO</v>
      </c>
    </row>
    <row r="459" spans="1:24" x14ac:dyDescent="0.3">
      <c r="A459" t="s">
        <v>555</v>
      </c>
      <c r="C459" t="s">
        <v>573</v>
      </c>
      <c r="D459" s="1">
        <v>46045</v>
      </c>
      <c r="E459" t="s">
        <v>574</v>
      </c>
      <c r="F459">
        <v>9</v>
      </c>
      <c r="G459">
        <v>230</v>
      </c>
      <c r="H459" t="str">
        <f>VLOOKUP(G459,[1]OPERADORES!$A:$B,2,0)</f>
        <v>SÔNIA</v>
      </c>
      <c r="I459" t="s">
        <v>21</v>
      </c>
      <c r="J459" t="s">
        <v>558</v>
      </c>
      <c r="K459" t="s">
        <v>559</v>
      </c>
      <c r="L459">
        <v>84411</v>
      </c>
      <c r="M459" t="s">
        <v>35</v>
      </c>
      <c r="O459" t="s">
        <v>11</v>
      </c>
      <c r="P459">
        <v>5102</v>
      </c>
      <c r="Q459">
        <v>5</v>
      </c>
      <c r="R459">
        <v>4.29</v>
      </c>
      <c r="S459">
        <v>21.45</v>
      </c>
      <c r="T459">
        <v>17.7</v>
      </c>
      <c r="U459">
        <v>17.48</v>
      </c>
      <c r="V459" t="str">
        <f>VLOOKUP(L459,'[2]tabela de preços'!$A:$D,4,0)</f>
        <v>ADERE</v>
      </c>
      <c r="W459" t="str">
        <f>VLOOKUP(L459,'[2]tabela de preços'!$A:$F,6,0)</f>
        <v xml:space="preserve">FITA DE USO GERAL </v>
      </c>
      <c r="X459" t="str">
        <f>VLOOKUP(L459,'[2]tabela de preços'!$A:$G,7,0)</f>
        <v>IMOBILIÁRIO</v>
      </c>
    </row>
    <row r="460" spans="1:24" x14ac:dyDescent="0.3">
      <c r="A460" t="s">
        <v>555</v>
      </c>
      <c r="C460" t="s">
        <v>573</v>
      </c>
      <c r="D460" s="1">
        <v>46045</v>
      </c>
      <c r="E460" t="s">
        <v>574</v>
      </c>
      <c r="F460">
        <v>9</v>
      </c>
      <c r="G460">
        <v>230</v>
      </c>
      <c r="H460" t="str">
        <f>VLOOKUP(G460,[1]OPERADORES!$A:$B,2,0)</f>
        <v>SÔNIA</v>
      </c>
      <c r="I460" t="s">
        <v>21</v>
      </c>
      <c r="J460" t="s">
        <v>558</v>
      </c>
      <c r="K460" t="s">
        <v>559</v>
      </c>
      <c r="L460">
        <v>84928</v>
      </c>
      <c r="M460" t="s">
        <v>36</v>
      </c>
      <c r="O460" t="s">
        <v>11</v>
      </c>
      <c r="P460">
        <v>5102</v>
      </c>
      <c r="Q460">
        <v>4</v>
      </c>
      <c r="R460">
        <v>9.39</v>
      </c>
      <c r="S460">
        <v>37.56</v>
      </c>
      <c r="T460">
        <v>28.52</v>
      </c>
      <c r="U460">
        <v>24.07</v>
      </c>
      <c r="V460" t="str">
        <f>VLOOKUP(L460,'[2]tabela de preços'!$A:$D,4,0)</f>
        <v>ADERE</v>
      </c>
      <c r="W460" t="str">
        <f>VLOOKUP(L460,'[2]tabela de preços'!$A:$F,6,0)</f>
        <v xml:space="preserve">FITA DE USO GERAL </v>
      </c>
      <c r="X460" t="str">
        <f>VLOOKUP(L460,'[2]tabela de preços'!$A:$G,7,0)</f>
        <v>IMOBILIÁRIO</v>
      </c>
    </row>
    <row r="461" spans="1:24" x14ac:dyDescent="0.3">
      <c r="A461" t="s">
        <v>575</v>
      </c>
      <c r="B461" t="s">
        <v>576</v>
      </c>
      <c r="C461" t="s">
        <v>577</v>
      </c>
      <c r="D461" s="1">
        <v>46038</v>
      </c>
      <c r="E461" t="s">
        <v>578</v>
      </c>
      <c r="F461">
        <v>9</v>
      </c>
      <c r="G461">
        <v>231</v>
      </c>
      <c r="H461" t="str">
        <f>VLOOKUP(G461,[1]OPERADORES!$A:$B,2,0)</f>
        <v>EDIJANE</v>
      </c>
      <c r="I461" t="s">
        <v>21</v>
      </c>
      <c r="J461" t="s">
        <v>66</v>
      </c>
      <c r="K461" t="s">
        <v>579</v>
      </c>
      <c r="L461">
        <v>84357</v>
      </c>
      <c r="M461" t="s">
        <v>580</v>
      </c>
      <c r="O461" t="s">
        <v>11</v>
      </c>
      <c r="P461">
        <v>5403</v>
      </c>
      <c r="Q461">
        <v>6</v>
      </c>
      <c r="R461">
        <v>21.7</v>
      </c>
      <c r="S461">
        <v>130.19999999999999</v>
      </c>
      <c r="T461">
        <v>98.82</v>
      </c>
      <c r="U461">
        <v>24.1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575</v>
      </c>
      <c r="B462" t="s">
        <v>576</v>
      </c>
      <c r="C462" t="s">
        <v>577</v>
      </c>
      <c r="D462" s="1">
        <v>46038</v>
      </c>
      <c r="E462" t="s">
        <v>578</v>
      </c>
      <c r="F462">
        <v>9</v>
      </c>
      <c r="G462">
        <v>231</v>
      </c>
      <c r="H462" t="str">
        <f>VLOOKUP(G462,[1]OPERADORES!$A:$B,2,0)</f>
        <v>EDIJANE</v>
      </c>
      <c r="I462" t="s">
        <v>21</v>
      </c>
      <c r="J462" t="s">
        <v>66</v>
      </c>
      <c r="K462" t="s">
        <v>579</v>
      </c>
      <c r="L462">
        <v>84950</v>
      </c>
      <c r="M462" t="s">
        <v>581</v>
      </c>
      <c r="O462" t="s">
        <v>11</v>
      </c>
      <c r="P462">
        <v>5102</v>
      </c>
      <c r="Q462">
        <v>2</v>
      </c>
      <c r="R462">
        <v>47.8</v>
      </c>
      <c r="S462">
        <v>95.6</v>
      </c>
      <c r="T462">
        <v>72.56</v>
      </c>
      <c r="U462">
        <v>24.1</v>
      </c>
      <c r="V462" t="str">
        <f>VLOOKUP(L462,'[2]tabela de preços'!$A:$D,4,0)</f>
        <v>BRASILUX</v>
      </c>
      <c r="W462" t="str">
        <f>VLOOKUP(L462,'[2]tabela de preços'!$A:$F,6,0)</f>
        <v>EPOXI</v>
      </c>
      <c r="X462" t="str">
        <f>VLOOKUP(L462,'[2]tabela de preços'!$A:$G,7,0)</f>
        <v>INDUSTRIAL</v>
      </c>
    </row>
    <row r="463" spans="1:24" x14ac:dyDescent="0.3">
      <c r="A463" t="s">
        <v>575</v>
      </c>
      <c r="B463" t="s">
        <v>576</v>
      </c>
      <c r="C463" t="s">
        <v>577</v>
      </c>
      <c r="D463" s="1">
        <v>46038</v>
      </c>
      <c r="E463" t="s">
        <v>578</v>
      </c>
      <c r="F463">
        <v>9</v>
      </c>
      <c r="G463">
        <v>231</v>
      </c>
      <c r="H463" t="str">
        <f>VLOOKUP(G463,[1]OPERADORES!$A:$B,2,0)</f>
        <v>EDIJANE</v>
      </c>
      <c r="I463" t="s">
        <v>21</v>
      </c>
      <c r="J463" t="s">
        <v>66</v>
      </c>
      <c r="K463" t="s">
        <v>579</v>
      </c>
      <c r="L463">
        <v>10316</v>
      </c>
      <c r="M463" t="s">
        <v>582</v>
      </c>
      <c r="O463" t="s">
        <v>11</v>
      </c>
      <c r="P463">
        <v>5102</v>
      </c>
      <c r="Q463">
        <v>6</v>
      </c>
      <c r="R463">
        <v>13.89</v>
      </c>
      <c r="S463">
        <v>83.34</v>
      </c>
      <c r="T463">
        <v>69.78</v>
      </c>
      <c r="U463">
        <v>16.27</v>
      </c>
      <c r="V463" t="str">
        <f>VLOOKUP(L463,'[2]tabela de preços'!$A:$D,4,0)</f>
        <v>ANJO</v>
      </c>
      <c r="W463" t="str">
        <f>VLOOKUP(L463,'[2]tabela de preços'!$A:$F,6,0)</f>
        <v xml:space="preserve">COLA  PLÁSTICA </v>
      </c>
      <c r="X463" t="str">
        <f>VLOOKUP(L463,'[2]tabela de preços'!$A:$G,7,0)</f>
        <v>AUTOMOTIVO</v>
      </c>
    </row>
    <row r="464" spans="1:24" x14ac:dyDescent="0.3">
      <c r="A464" t="s">
        <v>575</v>
      </c>
      <c r="B464" t="s">
        <v>576</v>
      </c>
      <c r="C464" t="s">
        <v>577</v>
      </c>
      <c r="D464" s="1">
        <v>46038</v>
      </c>
      <c r="E464" t="s">
        <v>578</v>
      </c>
      <c r="F464">
        <v>9</v>
      </c>
      <c r="G464">
        <v>231</v>
      </c>
      <c r="H464" t="str">
        <f>VLOOKUP(G464,[1]OPERADORES!$A:$B,2,0)</f>
        <v>EDIJANE</v>
      </c>
      <c r="I464" t="s">
        <v>21</v>
      </c>
      <c r="J464" t="s">
        <v>66</v>
      </c>
      <c r="K464" t="s">
        <v>579</v>
      </c>
      <c r="L464">
        <v>84502</v>
      </c>
      <c r="M464" t="s">
        <v>583</v>
      </c>
      <c r="O464" t="s">
        <v>11</v>
      </c>
      <c r="P464">
        <v>5403</v>
      </c>
      <c r="Q464">
        <v>2</v>
      </c>
      <c r="R464">
        <v>144.66</v>
      </c>
      <c r="S464">
        <v>289.32</v>
      </c>
      <c r="T464">
        <v>219.6</v>
      </c>
      <c r="U464">
        <v>24.1</v>
      </c>
      <c r="V464" t="str">
        <f>VLOOKUP(L464,'[2]tabela de preços'!$A:$D,4,0)</f>
        <v>BRASILUX</v>
      </c>
      <c r="W464" t="str">
        <f>VLOOKUP(L464,'[2]tabela de preços'!$A:$F,6,0)</f>
        <v>EPOXI</v>
      </c>
      <c r="X464" t="str">
        <f>VLOOKUP(L464,'[2]tabela de preços'!$A:$G,7,0)</f>
        <v>INDUSTRIAL</v>
      </c>
    </row>
    <row r="465" spans="1:24" x14ac:dyDescent="0.3">
      <c r="A465" t="s">
        <v>575</v>
      </c>
      <c r="B465" t="s">
        <v>576</v>
      </c>
      <c r="C465" t="s">
        <v>577</v>
      </c>
      <c r="D465" s="1">
        <v>46038</v>
      </c>
      <c r="E465" t="s">
        <v>578</v>
      </c>
      <c r="F465">
        <v>9</v>
      </c>
      <c r="G465">
        <v>231</v>
      </c>
      <c r="H465" t="str">
        <f>VLOOKUP(G465,[1]OPERADORES!$A:$B,2,0)</f>
        <v>EDIJANE</v>
      </c>
      <c r="I465" t="s">
        <v>21</v>
      </c>
      <c r="J465" t="s">
        <v>66</v>
      </c>
      <c r="K465" t="s">
        <v>579</v>
      </c>
      <c r="L465">
        <v>23267</v>
      </c>
      <c r="M465" t="s">
        <v>164</v>
      </c>
      <c r="O465" t="s">
        <v>11</v>
      </c>
      <c r="P465">
        <v>5102</v>
      </c>
      <c r="Q465">
        <v>4</v>
      </c>
      <c r="R465">
        <v>22.89</v>
      </c>
      <c r="S465">
        <v>91.56</v>
      </c>
      <c r="T465">
        <v>78.16</v>
      </c>
      <c r="U465">
        <v>14.64</v>
      </c>
      <c r="V465" t="str">
        <f>VLOOKUP(L465,'[2]tabela de preços'!$A:$D,4,0)</f>
        <v>ANJO</v>
      </c>
      <c r="W465" t="str">
        <f>VLOOKUP(L465,'[2]tabela de preços'!$A:$F,6,0)</f>
        <v>MASSA POLIÉSTER</v>
      </c>
      <c r="X465" t="str">
        <f>VLOOKUP(L465,'[2]tabela de preços'!$A:$G,7,0)</f>
        <v>AUTOMOTIVO</v>
      </c>
    </row>
    <row r="466" spans="1:24" x14ac:dyDescent="0.3">
      <c r="A466" t="s">
        <v>575</v>
      </c>
      <c r="B466" t="s">
        <v>576</v>
      </c>
      <c r="C466" t="s">
        <v>2371</v>
      </c>
      <c r="D466" s="1">
        <v>46052</v>
      </c>
      <c r="E466" t="s">
        <v>2372</v>
      </c>
      <c r="F466">
        <v>9</v>
      </c>
      <c r="G466">
        <v>231</v>
      </c>
      <c r="H466" t="str">
        <f>VLOOKUP(G466,[1]OPERADORES!$A:$B,2,0)</f>
        <v>EDIJANE</v>
      </c>
      <c r="I466" t="s">
        <v>21</v>
      </c>
      <c r="J466" t="s">
        <v>66</v>
      </c>
      <c r="K466" t="s">
        <v>579</v>
      </c>
      <c r="L466">
        <v>84324</v>
      </c>
      <c r="M466" t="s">
        <v>359</v>
      </c>
      <c r="O466" t="s">
        <v>11</v>
      </c>
      <c r="P466">
        <v>5403</v>
      </c>
      <c r="Q466">
        <v>2</v>
      </c>
      <c r="R466">
        <v>91.84</v>
      </c>
      <c r="S466">
        <v>183.68</v>
      </c>
      <c r="T466">
        <v>139.41999999999999</v>
      </c>
      <c r="U466">
        <v>24.1</v>
      </c>
      <c r="V466" t="str">
        <f>VLOOKUP(L466,'[2]tabela de preços'!$A:$D,4,0)</f>
        <v>BRASILUX</v>
      </c>
      <c r="W466" t="str">
        <f>VLOOKUP(L466,'[2]tabela de preços'!$A:$F,6,0)</f>
        <v>ESMALTES</v>
      </c>
      <c r="X466" t="str">
        <f>VLOOKUP(L466,'[2]tabela de preços'!$A:$G,7,0)</f>
        <v>INDUSTRIAL</v>
      </c>
    </row>
    <row r="467" spans="1:24" x14ac:dyDescent="0.3">
      <c r="A467" t="s">
        <v>575</v>
      </c>
      <c r="B467" t="s">
        <v>576</v>
      </c>
      <c r="C467" t="s">
        <v>2371</v>
      </c>
      <c r="D467" s="1">
        <v>46052</v>
      </c>
      <c r="E467" t="s">
        <v>2372</v>
      </c>
      <c r="F467">
        <v>9</v>
      </c>
      <c r="G467">
        <v>231</v>
      </c>
      <c r="H467" t="str">
        <f>VLOOKUP(G467,[1]OPERADORES!$A:$B,2,0)</f>
        <v>EDIJANE</v>
      </c>
      <c r="I467" t="s">
        <v>21</v>
      </c>
      <c r="J467" t="s">
        <v>66</v>
      </c>
      <c r="K467" t="s">
        <v>579</v>
      </c>
      <c r="L467">
        <v>84331</v>
      </c>
      <c r="M467" t="s">
        <v>497</v>
      </c>
      <c r="O467" t="s">
        <v>11</v>
      </c>
      <c r="P467">
        <v>5403</v>
      </c>
      <c r="Q467">
        <v>6</v>
      </c>
      <c r="R467">
        <v>59.98</v>
      </c>
      <c r="S467">
        <v>359.88</v>
      </c>
      <c r="T467">
        <v>312</v>
      </c>
      <c r="U467">
        <v>13.3</v>
      </c>
      <c r="V467" t="str">
        <f>VLOOKUP(L467,'[2]tabela de preços'!$A:$D,4,0)</f>
        <v>BRASILUX</v>
      </c>
      <c r="W467" t="str">
        <f>VLOOKUP(L467,'[2]tabela de preços'!$A:$F,6,0)</f>
        <v>ESMALTES</v>
      </c>
      <c r="X467" t="str">
        <f>VLOOKUP(L467,'[2]tabela de preços'!$A:$G,7,0)</f>
        <v>INDUSTRIAL</v>
      </c>
    </row>
    <row r="468" spans="1:24" x14ac:dyDescent="0.3">
      <c r="A468" t="s">
        <v>575</v>
      </c>
      <c r="B468" t="s">
        <v>576</v>
      </c>
      <c r="C468" t="s">
        <v>2371</v>
      </c>
      <c r="D468" s="1">
        <v>46052</v>
      </c>
      <c r="E468" t="s">
        <v>2372</v>
      </c>
      <c r="F468">
        <v>9</v>
      </c>
      <c r="G468">
        <v>231</v>
      </c>
      <c r="H468" t="str">
        <f>VLOOKUP(G468,[1]OPERADORES!$A:$B,2,0)</f>
        <v>EDIJANE</v>
      </c>
      <c r="I468" t="s">
        <v>21</v>
      </c>
      <c r="J468" t="s">
        <v>66</v>
      </c>
      <c r="K468" t="s">
        <v>579</v>
      </c>
      <c r="L468">
        <v>85140</v>
      </c>
      <c r="M468" t="s">
        <v>625</v>
      </c>
      <c r="O468" t="s">
        <v>46</v>
      </c>
      <c r="P468">
        <v>5405</v>
      </c>
      <c r="Q468">
        <v>1</v>
      </c>
      <c r="R468">
        <v>206.54</v>
      </c>
      <c r="S468">
        <v>206.54</v>
      </c>
      <c r="T468">
        <v>156.77000000000001</v>
      </c>
      <c r="U468">
        <v>24.1</v>
      </c>
      <c r="V468" t="str">
        <f>VLOOKUP(L468,'[2]tabela de preços'!$A:$D,4,0)</f>
        <v>MULTILONA</v>
      </c>
      <c r="W468" t="str">
        <f>VLOOKUP(L468,'[2]tabela de preços'!$A:$F,6,0)</f>
        <v>LONAS</v>
      </c>
      <c r="X468" t="str">
        <f>VLOOKUP(L468,'[2]tabela de preços'!$A:$G,7,0)</f>
        <v>IMOBILIÁRIO</v>
      </c>
    </row>
    <row r="469" spans="1:24" x14ac:dyDescent="0.3">
      <c r="A469" t="s">
        <v>575</v>
      </c>
      <c r="B469" t="s">
        <v>576</v>
      </c>
      <c r="C469" t="s">
        <v>2371</v>
      </c>
      <c r="D469" s="1">
        <v>46052</v>
      </c>
      <c r="E469" t="s">
        <v>2372</v>
      </c>
      <c r="F469">
        <v>9</v>
      </c>
      <c r="G469">
        <v>231</v>
      </c>
      <c r="H469" t="str">
        <f>VLOOKUP(G469,[1]OPERADORES!$A:$B,2,0)</f>
        <v>EDIJANE</v>
      </c>
      <c r="I469" t="s">
        <v>21</v>
      </c>
      <c r="J469" t="s">
        <v>66</v>
      </c>
      <c r="K469" t="s">
        <v>579</v>
      </c>
      <c r="L469">
        <v>85558</v>
      </c>
      <c r="M469" t="s">
        <v>1643</v>
      </c>
      <c r="O469" t="s">
        <v>11</v>
      </c>
      <c r="P469">
        <v>5405</v>
      </c>
      <c r="Q469">
        <v>2</v>
      </c>
      <c r="R469">
        <v>164.47</v>
      </c>
      <c r="S469">
        <v>328.94</v>
      </c>
      <c r="T469">
        <v>249.66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EPOXI</v>
      </c>
      <c r="X469" t="str">
        <f>VLOOKUP(L469,'[2]tabela de preços'!$A:$G,7,0)</f>
        <v>INDUSTRIAL</v>
      </c>
    </row>
    <row r="470" spans="1:24" x14ac:dyDescent="0.3">
      <c r="A470" t="s">
        <v>584</v>
      </c>
      <c r="C470" t="s">
        <v>585</v>
      </c>
      <c r="D470" s="1">
        <v>46027</v>
      </c>
      <c r="E470" t="s">
        <v>586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587</v>
      </c>
      <c r="K470" t="s">
        <v>588</v>
      </c>
      <c r="L470">
        <v>85696</v>
      </c>
      <c r="M470" t="s">
        <v>268</v>
      </c>
      <c r="O470" t="s">
        <v>11</v>
      </c>
      <c r="P470">
        <v>5102</v>
      </c>
      <c r="Q470">
        <v>12</v>
      </c>
      <c r="R470">
        <v>3.69</v>
      </c>
      <c r="S470">
        <v>44.28</v>
      </c>
      <c r="T470">
        <v>34.92</v>
      </c>
      <c r="U470">
        <v>21.14</v>
      </c>
      <c r="V470" t="str">
        <f>VLOOKUP(L470,'[2]tabela de preços'!$A:$D,4,0)</f>
        <v>UNIPEGA</v>
      </c>
      <c r="W470" t="str">
        <f>VLOOKUP(L470,'[2]tabela de preços'!$A:$F,6,0)</f>
        <v>PU 40</v>
      </c>
      <c r="X470" t="str">
        <f>VLOOKUP(L470,'[2]tabela de preços'!$A:$G,7,0)</f>
        <v>IMOBILIÁRIO</v>
      </c>
    </row>
    <row r="471" spans="1:24" x14ac:dyDescent="0.3">
      <c r="A471" t="s">
        <v>584</v>
      </c>
      <c r="C471" t="s">
        <v>585</v>
      </c>
      <c r="D471" s="1">
        <v>46027</v>
      </c>
      <c r="E471" t="s">
        <v>586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587</v>
      </c>
      <c r="K471" t="s">
        <v>588</v>
      </c>
      <c r="L471">
        <v>85693</v>
      </c>
      <c r="M471" t="s">
        <v>526</v>
      </c>
      <c r="O471" t="s">
        <v>11</v>
      </c>
      <c r="P471">
        <v>5102</v>
      </c>
      <c r="Q471">
        <v>1</v>
      </c>
      <c r="R471">
        <v>7.89</v>
      </c>
      <c r="S471">
        <v>7.89</v>
      </c>
      <c r="T471">
        <v>6.51</v>
      </c>
      <c r="U471">
        <v>17.489999999999998</v>
      </c>
      <c r="V471" t="str">
        <f>VLOOKUP(L471,'[2]tabela de preços'!$A:$D,4,0)</f>
        <v>UNIPEGA</v>
      </c>
      <c r="W471" t="str">
        <f>VLOOKUP(L471,'[2]tabela de preços'!$A:$F,6,0)</f>
        <v>PU 40</v>
      </c>
      <c r="X471" t="str">
        <f>VLOOKUP(L471,'[2]tabela de preços'!$A:$G,7,0)</f>
        <v>IMOBILIÁRIO</v>
      </c>
    </row>
    <row r="472" spans="1:24" x14ac:dyDescent="0.3">
      <c r="A472" t="s">
        <v>584</v>
      </c>
      <c r="C472" t="s">
        <v>585</v>
      </c>
      <c r="D472" s="1">
        <v>46027</v>
      </c>
      <c r="E472" t="s">
        <v>586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587</v>
      </c>
      <c r="K472" t="s">
        <v>588</v>
      </c>
      <c r="L472">
        <v>84029</v>
      </c>
      <c r="M472" t="s">
        <v>29</v>
      </c>
      <c r="O472" t="s">
        <v>11</v>
      </c>
      <c r="P472">
        <v>5102</v>
      </c>
      <c r="Q472">
        <v>12</v>
      </c>
      <c r="R472">
        <v>11.45</v>
      </c>
      <c r="S472">
        <v>137.4</v>
      </c>
      <c r="T472">
        <v>104.28</v>
      </c>
      <c r="U472">
        <v>24.1</v>
      </c>
      <c r="V472" t="str">
        <f>VLOOKUP(L472,'[2]tabela de preços'!$A:$D,4,0)</f>
        <v>BRASILUX</v>
      </c>
      <c r="W472" t="str">
        <f>VLOOKUP(L472,'[2]tabela de preços'!$A:$F,6,0)</f>
        <v>AGUARRAS</v>
      </c>
      <c r="X472" t="str">
        <f>VLOOKUP(L472,'[2]tabela de preços'!$A:$G,7,0)</f>
        <v>IMOBILIÁRIO</v>
      </c>
    </row>
    <row r="473" spans="1:24" x14ac:dyDescent="0.3">
      <c r="A473" t="s">
        <v>584</v>
      </c>
      <c r="C473" t="s">
        <v>585</v>
      </c>
      <c r="D473" s="1">
        <v>46027</v>
      </c>
      <c r="E473" t="s">
        <v>586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587</v>
      </c>
      <c r="K473" t="s">
        <v>588</v>
      </c>
      <c r="L473">
        <v>84134</v>
      </c>
      <c r="M473" t="s">
        <v>589</v>
      </c>
      <c r="O473" t="s">
        <v>11</v>
      </c>
      <c r="P473">
        <v>5403</v>
      </c>
      <c r="Q473">
        <v>4</v>
      </c>
      <c r="R473">
        <v>7.55</v>
      </c>
      <c r="S473">
        <v>30.2</v>
      </c>
      <c r="T473">
        <v>22.92</v>
      </c>
      <c r="U473">
        <v>24.11</v>
      </c>
      <c r="V473" t="str">
        <f>VLOOKUP(L473,'[2]tabela de preços'!$A:$D,4,0)</f>
        <v>BRASILUX</v>
      </c>
      <c r="W473" t="str">
        <f>VLOOKUP(L473,'[2]tabela de preços'!$A:$F,6,0)</f>
        <v>ESMALTES</v>
      </c>
      <c r="X473" t="str">
        <f>VLOOKUP(L473,'[2]tabela de preços'!$A:$G,7,0)</f>
        <v>INDUSTRIAL</v>
      </c>
    </row>
    <row r="474" spans="1:24" x14ac:dyDescent="0.3">
      <c r="A474" t="s">
        <v>584</v>
      </c>
      <c r="C474" t="s">
        <v>585</v>
      </c>
      <c r="D474" s="1">
        <v>46027</v>
      </c>
      <c r="E474" t="s">
        <v>586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587</v>
      </c>
      <c r="K474" t="s">
        <v>588</v>
      </c>
      <c r="L474">
        <v>84357</v>
      </c>
      <c r="M474" t="s">
        <v>580</v>
      </c>
      <c r="O474" t="s">
        <v>11</v>
      </c>
      <c r="P474">
        <v>5403</v>
      </c>
      <c r="Q474">
        <v>2</v>
      </c>
      <c r="R474">
        <v>21.7</v>
      </c>
      <c r="S474">
        <v>43.4</v>
      </c>
      <c r="T474">
        <v>32.94</v>
      </c>
      <c r="U474">
        <v>24.1</v>
      </c>
      <c r="V474" t="str">
        <f>VLOOKUP(L474,'[2]tabela de preços'!$A:$D,4,0)</f>
        <v>BRASILUX</v>
      </c>
      <c r="W474" t="str">
        <f>VLOOKUP(L474,'[2]tabela de preços'!$A:$F,6,0)</f>
        <v>ESMALTES</v>
      </c>
      <c r="X474" t="str">
        <f>VLOOKUP(L474,'[2]tabela de preços'!$A:$G,7,0)</f>
        <v>INDUSTRIAL</v>
      </c>
    </row>
    <row r="475" spans="1:24" x14ac:dyDescent="0.3">
      <c r="A475" t="s">
        <v>584</v>
      </c>
      <c r="C475" t="s">
        <v>585</v>
      </c>
      <c r="D475" s="1">
        <v>46027</v>
      </c>
      <c r="E475" t="s">
        <v>586</v>
      </c>
      <c r="F475">
        <v>9</v>
      </c>
      <c r="G475">
        <v>231</v>
      </c>
      <c r="H475" t="str">
        <f>VLOOKUP(G475,[1]OPERADORES!$A:$B,2,0)</f>
        <v>EDIJANE</v>
      </c>
      <c r="I475" t="s">
        <v>21</v>
      </c>
      <c r="J475" t="s">
        <v>587</v>
      </c>
      <c r="K475" t="s">
        <v>588</v>
      </c>
      <c r="L475">
        <v>84139</v>
      </c>
      <c r="M475" t="s">
        <v>590</v>
      </c>
      <c r="O475" t="s">
        <v>11</v>
      </c>
      <c r="P475">
        <v>5403</v>
      </c>
      <c r="Q475">
        <v>4</v>
      </c>
      <c r="R475">
        <v>7.74</v>
      </c>
      <c r="S475">
        <v>30.96</v>
      </c>
      <c r="T475">
        <v>23.52</v>
      </c>
      <c r="U475">
        <v>24.03</v>
      </c>
      <c r="V475" t="str">
        <f>VLOOKUP(L475,'[2]tabela de preços'!$A:$D,4,0)</f>
        <v>BRASILUX</v>
      </c>
      <c r="W475" t="str">
        <f>VLOOKUP(L475,'[2]tabela de preços'!$A:$F,6,0)</f>
        <v>ESMALTES</v>
      </c>
      <c r="X475" t="str">
        <f>VLOOKUP(L475,'[2]tabela de preços'!$A:$G,7,0)</f>
        <v>INDUSTRIAL</v>
      </c>
    </row>
    <row r="476" spans="1:24" x14ac:dyDescent="0.3">
      <c r="A476" t="s">
        <v>584</v>
      </c>
      <c r="C476" t="s">
        <v>585</v>
      </c>
      <c r="D476" s="1">
        <v>46027</v>
      </c>
      <c r="E476" t="s">
        <v>586</v>
      </c>
      <c r="F476">
        <v>9</v>
      </c>
      <c r="G476">
        <v>231</v>
      </c>
      <c r="H476" t="str">
        <f>VLOOKUP(G476,[1]OPERADORES!$A:$B,2,0)</f>
        <v>EDIJANE</v>
      </c>
      <c r="I476" t="s">
        <v>21</v>
      </c>
      <c r="J476" t="s">
        <v>587</v>
      </c>
      <c r="K476" t="s">
        <v>588</v>
      </c>
      <c r="L476">
        <v>85602</v>
      </c>
      <c r="M476" t="s">
        <v>591</v>
      </c>
      <c r="O476" t="s">
        <v>11</v>
      </c>
      <c r="P476">
        <v>5102</v>
      </c>
      <c r="Q476">
        <v>40</v>
      </c>
      <c r="R476">
        <v>2.2400000000000002</v>
      </c>
      <c r="S476">
        <v>89.6</v>
      </c>
      <c r="T476">
        <v>68</v>
      </c>
      <c r="U476">
        <v>24.11</v>
      </c>
      <c r="V476" t="str">
        <f>VLOOKUP(L476,'[2]tabela de preços'!$A:$D,4,0)</f>
        <v>REJUMASSA</v>
      </c>
      <c r="W476" t="str">
        <f>VLOOKUP(L476,'[2]tabela de preços'!$A:$F,6,0)</f>
        <v>GESSO</v>
      </c>
      <c r="X476" t="str">
        <f>VLOOKUP(L476,'[2]tabela de preços'!$A:$G,7,0)</f>
        <v>IMOBILIÁRIO</v>
      </c>
    </row>
    <row r="477" spans="1:24" x14ac:dyDescent="0.3">
      <c r="A477" t="s">
        <v>584</v>
      </c>
      <c r="C477" t="s">
        <v>585</v>
      </c>
      <c r="D477" s="1">
        <v>46027</v>
      </c>
      <c r="E477" t="s">
        <v>586</v>
      </c>
      <c r="F477">
        <v>9</v>
      </c>
      <c r="G477">
        <v>231</v>
      </c>
      <c r="H477" t="str">
        <f>VLOOKUP(G477,[1]OPERADORES!$A:$B,2,0)</f>
        <v>EDIJANE</v>
      </c>
      <c r="I477" t="s">
        <v>21</v>
      </c>
      <c r="J477" t="s">
        <v>587</v>
      </c>
      <c r="K477" t="s">
        <v>588</v>
      </c>
      <c r="L477">
        <v>85460</v>
      </c>
      <c r="M477" t="s">
        <v>592</v>
      </c>
      <c r="O477" t="s">
        <v>11</v>
      </c>
      <c r="P477">
        <v>5102</v>
      </c>
      <c r="Q477">
        <v>40</v>
      </c>
      <c r="R477">
        <v>2.57</v>
      </c>
      <c r="S477">
        <v>102.8</v>
      </c>
      <c r="T477">
        <v>78</v>
      </c>
      <c r="U477">
        <v>24.12</v>
      </c>
      <c r="V477" t="str">
        <f>VLOOKUP(L477,'[2]tabela de preços'!$A:$D,4,0)</f>
        <v>CIMENTMIX</v>
      </c>
      <c r="W477" t="str">
        <f>VLOOKUP(L477,'[2]tabela de preços'!$A:$F,6,0)</f>
        <v>GESSO</v>
      </c>
      <c r="X477" t="str">
        <f>VLOOKUP(L477,'[2]tabela de preços'!$A:$G,7,0)</f>
        <v>IMOBILIÁRIO</v>
      </c>
    </row>
    <row r="478" spans="1:24" x14ac:dyDescent="0.3">
      <c r="A478" t="s">
        <v>584</v>
      </c>
      <c r="C478" t="s">
        <v>585</v>
      </c>
      <c r="D478" s="1">
        <v>46027</v>
      </c>
      <c r="E478" t="s">
        <v>586</v>
      </c>
      <c r="F478">
        <v>9</v>
      </c>
      <c r="G478">
        <v>231</v>
      </c>
      <c r="H478" t="str">
        <f>VLOOKUP(G478,[1]OPERADORES!$A:$B,2,0)</f>
        <v>EDIJANE</v>
      </c>
      <c r="I478" t="s">
        <v>21</v>
      </c>
      <c r="J478" t="s">
        <v>587</v>
      </c>
      <c r="K478" t="s">
        <v>588</v>
      </c>
      <c r="L478">
        <v>84038</v>
      </c>
      <c r="M478" t="s">
        <v>593</v>
      </c>
      <c r="O478" t="s">
        <v>11</v>
      </c>
      <c r="P478">
        <v>5102</v>
      </c>
      <c r="Q478">
        <v>2</v>
      </c>
      <c r="R478">
        <v>17.72</v>
      </c>
      <c r="S478">
        <v>35.44</v>
      </c>
      <c r="T478">
        <v>26.9</v>
      </c>
      <c r="U478">
        <v>24.1</v>
      </c>
      <c r="V478" t="str">
        <f>VLOOKUP(L478,'[2]tabela de preços'!$A:$D,4,0)</f>
        <v>BRASILUX</v>
      </c>
      <c r="W478" t="str">
        <f>VLOOKUP(L478,'[2]tabela de preços'!$A:$F,6,0)</f>
        <v>MASSA CORRIDA / ACRÍLICA</v>
      </c>
      <c r="X478" t="str">
        <f>VLOOKUP(L478,'[2]tabela de preços'!$A:$G,7,0)</f>
        <v>IMOBILIÁRIO</v>
      </c>
    </row>
    <row r="479" spans="1:24" x14ac:dyDescent="0.3">
      <c r="A479" t="s">
        <v>584</v>
      </c>
      <c r="C479" t="s">
        <v>585</v>
      </c>
      <c r="D479" s="1">
        <v>46027</v>
      </c>
      <c r="E479" t="s">
        <v>586</v>
      </c>
      <c r="F479">
        <v>9</v>
      </c>
      <c r="G479">
        <v>231</v>
      </c>
      <c r="H479" t="str">
        <f>VLOOKUP(G479,[1]OPERADORES!$A:$B,2,0)</f>
        <v>EDIJANE</v>
      </c>
      <c r="I479" t="s">
        <v>21</v>
      </c>
      <c r="J479" t="s">
        <v>587</v>
      </c>
      <c r="K479" t="s">
        <v>588</v>
      </c>
      <c r="L479">
        <v>84039</v>
      </c>
      <c r="M479" t="s">
        <v>594</v>
      </c>
      <c r="O479" t="s">
        <v>11</v>
      </c>
      <c r="P479">
        <v>5102</v>
      </c>
      <c r="Q479">
        <v>12</v>
      </c>
      <c r="R479">
        <v>6.32</v>
      </c>
      <c r="S479">
        <v>75.84</v>
      </c>
      <c r="T479">
        <v>57.6</v>
      </c>
      <c r="U479">
        <v>24.05</v>
      </c>
      <c r="V479" t="str">
        <f>VLOOKUP(L479,'[2]tabela de preços'!$A:$D,4,0)</f>
        <v>BRASILUX</v>
      </c>
      <c r="W479" t="str">
        <f>VLOOKUP(L479,'[2]tabela de preços'!$A:$F,6,0)</f>
        <v>MASSA CORRIDA / ACRÍLICA</v>
      </c>
      <c r="X479" t="str">
        <f>VLOOKUP(L479,'[2]tabela de preços'!$A:$G,7,0)</f>
        <v>IMOBILIÁRIO</v>
      </c>
    </row>
    <row r="480" spans="1:24" x14ac:dyDescent="0.3">
      <c r="A480" t="s">
        <v>584</v>
      </c>
      <c r="C480" t="s">
        <v>585</v>
      </c>
      <c r="D480" s="1">
        <v>46027</v>
      </c>
      <c r="E480" t="s">
        <v>586</v>
      </c>
      <c r="F480">
        <v>9</v>
      </c>
      <c r="G480">
        <v>231</v>
      </c>
      <c r="H480" t="str">
        <f>VLOOKUP(G480,[1]OPERADORES!$A:$B,2,0)</f>
        <v>EDIJANE</v>
      </c>
      <c r="I480" t="s">
        <v>21</v>
      </c>
      <c r="J480" t="s">
        <v>587</v>
      </c>
      <c r="K480" t="s">
        <v>588</v>
      </c>
      <c r="L480">
        <v>85021</v>
      </c>
      <c r="M480" t="s">
        <v>595</v>
      </c>
      <c r="O480" t="s">
        <v>11</v>
      </c>
      <c r="P480">
        <v>5102</v>
      </c>
      <c r="Q480">
        <v>20</v>
      </c>
      <c r="R480">
        <v>1.07</v>
      </c>
      <c r="S480">
        <v>21.4</v>
      </c>
      <c r="T480">
        <v>16.2</v>
      </c>
      <c r="U480">
        <v>24.3</v>
      </c>
      <c r="V480" t="str">
        <f>VLOOKUP(L480,'[2]tabela de preços'!$A:$D,4,0)</f>
        <v>.</v>
      </c>
      <c r="W480" t="str">
        <f>VLOOKUP(L480,'[2]tabela de preços'!$A:$F,6,0)</f>
        <v>PALHA DE AÇO</v>
      </c>
      <c r="X480" t="str">
        <f>VLOOKUP(L480,'[2]tabela de preços'!$A:$G,7,0)</f>
        <v>IMOBILIÁRIO</v>
      </c>
    </row>
    <row r="481" spans="1:24" x14ac:dyDescent="0.3">
      <c r="A481" t="s">
        <v>584</v>
      </c>
      <c r="C481" t="s">
        <v>585</v>
      </c>
      <c r="D481" s="1">
        <v>46027</v>
      </c>
      <c r="E481" t="s">
        <v>586</v>
      </c>
      <c r="F481">
        <v>9</v>
      </c>
      <c r="G481">
        <v>231</v>
      </c>
      <c r="H481" t="str">
        <f>VLOOKUP(G481,[1]OPERADORES!$A:$B,2,0)</f>
        <v>EDIJANE</v>
      </c>
      <c r="I481" t="s">
        <v>21</v>
      </c>
      <c r="J481" t="s">
        <v>587</v>
      </c>
      <c r="K481" t="s">
        <v>588</v>
      </c>
      <c r="L481">
        <v>85164</v>
      </c>
      <c r="M481" t="s">
        <v>278</v>
      </c>
      <c r="O481" t="s">
        <v>11</v>
      </c>
      <c r="P481">
        <v>5102</v>
      </c>
      <c r="Q481">
        <v>4</v>
      </c>
      <c r="R481">
        <v>13.29</v>
      </c>
      <c r="S481">
        <v>53.16</v>
      </c>
      <c r="T481">
        <v>40.36</v>
      </c>
      <c r="U481">
        <v>24.08</v>
      </c>
      <c r="V481" t="str">
        <f>VLOOKUP(L481,'[2]tabela de preços'!$A:$D,4,0)</f>
        <v>BRASILUX</v>
      </c>
      <c r="W481" t="str">
        <f>VLOOKUP(L481,'[2]tabela de preços'!$A:$F,6,0)</f>
        <v>QUEROSENE</v>
      </c>
      <c r="X481" t="str">
        <f>VLOOKUP(L481,'[2]tabela de preços'!$A:$G,7,0)</f>
        <v>AUTOMOTIVO</v>
      </c>
    </row>
    <row r="482" spans="1:24" x14ac:dyDescent="0.3">
      <c r="A482" t="s">
        <v>584</v>
      </c>
      <c r="C482" t="s">
        <v>585</v>
      </c>
      <c r="D482" s="1">
        <v>46027</v>
      </c>
      <c r="E482" t="s">
        <v>586</v>
      </c>
      <c r="F482">
        <v>9</v>
      </c>
      <c r="G482">
        <v>231</v>
      </c>
      <c r="H482" t="str">
        <f>VLOOKUP(G482,[1]OPERADORES!$A:$B,2,0)</f>
        <v>EDIJANE</v>
      </c>
      <c r="I482" t="s">
        <v>21</v>
      </c>
      <c r="J482" t="s">
        <v>587</v>
      </c>
      <c r="K482" t="s">
        <v>588</v>
      </c>
      <c r="L482">
        <v>85682</v>
      </c>
      <c r="M482" t="s">
        <v>596</v>
      </c>
      <c r="O482" t="s">
        <v>11</v>
      </c>
      <c r="P482">
        <v>5102</v>
      </c>
      <c r="Q482">
        <v>12</v>
      </c>
      <c r="R482">
        <v>3.3</v>
      </c>
      <c r="S482">
        <v>39.6</v>
      </c>
      <c r="T482">
        <v>30</v>
      </c>
      <c r="U482">
        <v>24.24</v>
      </c>
      <c r="V482" t="str">
        <f>VLOOKUP(L482,'[2]tabela de preços'!$A:$D,4,0)</f>
        <v>UNIPEGA</v>
      </c>
      <c r="W482" t="str">
        <f>VLOOKUP(L482,'[2]tabela de preços'!$A:$F,6,0)</f>
        <v>SILICONE</v>
      </c>
      <c r="X482" t="str">
        <f>VLOOKUP(L482,'[2]tabela de preços'!$A:$G,7,0)</f>
        <v>IMOBILIÁRIO</v>
      </c>
    </row>
    <row r="483" spans="1:24" x14ac:dyDescent="0.3">
      <c r="A483" t="s">
        <v>584</v>
      </c>
      <c r="C483" t="s">
        <v>585</v>
      </c>
      <c r="D483" s="1">
        <v>46027</v>
      </c>
      <c r="E483" t="s">
        <v>586</v>
      </c>
      <c r="F483">
        <v>9</v>
      </c>
      <c r="G483">
        <v>231</v>
      </c>
      <c r="H483" t="str">
        <f>VLOOKUP(G483,[1]OPERADORES!$A:$B,2,0)</f>
        <v>EDIJANE</v>
      </c>
      <c r="I483" t="s">
        <v>21</v>
      </c>
      <c r="J483" t="s">
        <v>587</v>
      </c>
      <c r="K483" t="s">
        <v>588</v>
      </c>
      <c r="L483">
        <v>86972</v>
      </c>
      <c r="M483" t="s">
        <v>597</v>
      </c>
      <c r="O483" t="s">
        <v>11</v>
      </c>
      <c r="P483">
        <v>5102</v>
      </c>
      <c r="Q483">
        <v>12</v>
      </c>
      <c r="R483">
        <v>6.59</v>
      </c>
      <c r="S483">
        <v>79.08</v>
      </c>
      <c r="T483">
        <v>60</v>
      </c>
      <c r="U483">
        <v>24.13</v>
      </c>
      <c r="V483" t="str">
        <f>VLOOKUP(L483,'[2]tabela de preços'!$A:$D,4,0)</f>
        <v>HERC</v>
      </c>
      <c r="W483" t="str">
        <f>VLOOKUP(L483,'[2]tabela de preços'!$A:$F,6,0)</f>
        <v>TORNEIRAS / DUCHAS</v>
      </c>
      <c r="X483" t="str">
        <f>VLOOKUP(L483,'[2]tabela de preços'!$A:$G,7,0)</f>
        <v>IMOBILIÁRIO</v>
      </c>
    </row>
    <row r="484" spans="1:24" x14ac:dyDescent="0.3">
      <c r="A484" t="s">
        <v>584</v>
      </c>
      <c r="C484" t="s">
        <v>585</v>
      </c>
      <c r="D484" s="1">
        <v>46027</v>
      </c>
      <c r="E484" t="s">
        <v>586</v>
      </c>
      <c r="F484">
        <v>9</v>
      </c>
      <c r="G484">
        <v>231</v>
      </c>
      <c r="H484" t="str">
        <f>VLOOKUP(G484,[1]OPERADORES!$A:$B,2,0)</f>
        <v>EDIJANE</v>
      </c>
      <c r="I484" t="s">
        <v>21</v>
      </c>
      <c r="J484" t="s">
        <v>587</v>
      </c>
      <c r="K484" t="s">
        <v>588</v>
      </c>
      <c r="L484">
        <v>86973</v>
      </c>
      <c r="M484" t="s">
        <v>598</v>
      </c>
      <c r="O484" t="s">
        <v>11</v>
      </c>
      <c r="P484">
        <v>5102</v>
      </c>
      <c r="Q484">
        <v>12</v>
      </c>
      <c r="R484">
        <v>8</v>
      </c>
      <c r="S484">
        <v>96</v>
      </c>
      <c r="T484">
        <v>72.84</v>
      </c>
      <c r="U484">
        <v>24.13</v>
      </c>
      <c r="V484" t="str">
        <f>VLOOKUP(L484,'[2]tabela de preços'!$A:$D,4,0)</f>
        <v>HERC</v>
      </c>
      <c r="W484" t="str">
        <f>VLOOKUP(L484,'[2]tabela de preços'!$A:$F,6,0)</f>
        <v>TORNEIRAS / DUCHAS</v>
      </c>
      <c r="X484" t="str">
        <f>VLOOKUP(L484,'[2]tabela de preços'!$A:$G,7,0)</f>
        <v>IMOBILIÁRIO</v>
      </c>
    </row>
    <row r="485" spans="1:24" x14ac:dyDescent="0.3">
      <c r="A485" t="s">
        <v>599</v>
      </c>
      <c r="C485" t="s">
        <v>600</v>
      </c>
      <c r="D485" s="1">
        <v>46035</v>
      </c>
      <c r="E485" t="s">
        <v>601</v>
      </c>
      <c r="F485">
        <v>9</v>
      </c>
      <c r="G485">
        <v>230</v>
      </c>
      <c r="H485" t="str">
        <f>VLOOKUP(G485,[1]OPERADORES!$A:$B,2,0)</f>
        <v>SÔNIA</v>
      </c>
      <c r="I485" t="s">
        <v>602</v>
      </c>
      <c r="J485" t="s">
        <v>603</v>
      </c>
      <c r="K485" t="s">
        <v>604</v>
      </c>
      <c r="L485">
        <v>85328</v>
      </c>
      <c r="M485" t="s">
        <v>605</v>
      </c>
      <c r="O485" t="s">
        <v>11</v>
      </c>
      <c r="P485">
        <v>6102</v>
      </c>
      <c r="Q485">
        <v>1</v>
      </c>
      <c r="R485">
        <v>565.80999999999995</v>
      </c>
      <c r="S485">
        <v>565.80999999999995</v>
      </c>
      <c r="T485">
        <v>403.43</v>
      </c>
      <c r="U485">
        <v>28.7</v>
      </c>
      <c r="V485" t="str">
        <f>VLOOKUP(L485,'[2]tabela de preços'!$A:$D,4,0)</f>
        <v>BRASILUX</v>
      </c>
      <c r="W485" t="str">
        <f>VLOOKUP(L485,'[2]tabela de preços'!$A:$F,6,0)</f>
        <v>TINTA EM PÓ</v>
      </c>
      <c r="X485" t="str">
        <f>VLOOKUP(L485,'[2]tabela de preços'!$A:$G,7,0)</f>
        <v>INDUSTRIAL</v>
      </c>
    </row>
    <row r="486" spans="1:24" x14ac:dyDescent="0.3">
      <c r="A486" t="s">
        <v>599</v>
      </c>
      <c r="C486" t="s">
        <v>606</v>
      </c>
      <c r="D486" s="1">
        <v>46041</v>
      </c>
      <c r="E486" t="s">
        <v>607</v>
      </c>
      <c r="F486">
        <v>9</v>
      </c>
      <c r="G486">
        <v>230</v>
      </c>
      <c r="H486" t="str">
        <f>VLOOKUP(G486,[1]OPERADORES!$A:$B,2,0)</f>
        <v>SÔNIA</v>
      </c>
      <c r="I486" t="s">
        <v>602</v>
      </c>
      <c r="J486" t="s">
        <v>603</v>
      </c>
      <c r="K486" t="s">
        <v>604</v>
      </c>
      <c r="L486">
        <v>85328</v>
      </c>
      <c r="M486" t="s">
        <v>605</v>
      </c>
      <c r="O486" t="s">
        <v>11</v>
      </c>
      <c r="P486">
        <v>6102</v>
      </c>
      <c r="Q486">
        <v>1</v>
      </c>
      <c r="R486">
        <v>565.80999999999995</v>
      </c>
      <c r="S486">
        <v>565.80999999999995</v>
      </c>
      <c r="T486">
        <v>403.43</v>
      </c>
      <c r="U486">
        <v>28.7</v>
      </c>
      <c r="V486" t="str">
        <f>VLOOKUP(L486,'[2]tabela de preços'!$A:$D,4,0)</f>
        <v>BRASILUX</v>
      </c>
      <c r="W486" t="str">
        <f>VLOOKUP(L486,'[2]tabela de preços'!$A:$F,6,0)</f>
        <v>TINTA EM PÓ</v>
      </c>
      <c r="X486" t="str">
        <f>VLOOKUP(L486,'[2]tabela de preços'!$A:$G,7,0)</f>
        <v>INDUSTRIAL</v>
      </c>
    </row>
    <row r="487" spans="1:24" x14ac:dyDescent="0.3">
      <c r="A487" t="s">
        <v>599</v>
      </c>
      <c r="C487" t="s">
        <v>608</v>
      </c>
      <c r="D487" s="1">
        <v>46043</v>
      </c>
      <c r="E487" t="s">
        <v>609</v>
      </c>
      <c r="F487">
        <v>9</v>
      </c>
      <c r="G487">
        <v>230</v>
      </c>
      <c r="H487" t="str">
        <f>VLOOKUP(G487,[1]OPERADORES!$A:$B,2,0)</f>
        <v>SÔNIA</v>
      </c>
      <c r="I487" t="s">
        <v>602</v>
      </c>
      <c r="J487" t="s">
        <v>603</v>
      </c>
      <c r="K487" t="s">
        <v>604</v>
      </c>
      <c r="L487">
        <v>85318</v>
      </c>
      <c r="M487" t="s">
        <v>258</v>
      </c>
      <c r="O487" t="s">
        <v>11</v>
      </c>
      <c r="P487">
        <v>6102</v>
      </c>
      <c r="Q487">
        <v>1</v>
      </c>
      <c r="R487">
        <v>775.32</v>
      </c>
      <c r="S487">
        <v>775.32</v>
      </c>
      <c r="T487">
        <v>552.80999999999995</v>
      </c>
      <c r="U487">
        <v>28.7</v>
      </c>
      <c r="V487" t="str">
        <f>VLOOKUP(L487,'[2]tabela de preços'!$A:$D,4,0)</f>
        <v>BRASILUX</v>
      </c>
      <c r="W487" t="str">
        <f>VLOOKUP(L487,'[2]tabela de preços'!$A:$F,6,0)</f>
        <v>TINTA EM PÓ</v>
      </c>
      <c r="X487" t="str">
        <f>VLOOKUP(L487,'[2]tabela de preços'!$A:$G,7,0)</f>
        <v>INDUSTRIAL</v>
      </c>
    </row>
    <row r="488" spans="1:24" x14ac:dyDescent="0.3">
      <c r="A488" t="s">
        <v>610</v>
      </c>
      <c r="C488" t="s">
        <v>611</v>
      </c>
      <c r="D488" s="1">
        <v>46044</v>
      </c>
      <c r="E488" t="s">
        <v>612</v>
      </c>
      <c r="F488">
        <v>9</v>
      </c>
      <c r="G488">
        <v>174</v>
      </c>
      <c r="H488" t="str">
        <f>VLOOKUP(G488,[1]OPERADORES!$A:$B,2,0)</f>
        <v>MIRIÃ LOBATO RODRIGUES</v>
      </c>
      <c r="I488" t="s">
        <v>613</v>
      </c>
      <c r="J488" t="s">
        <v>614</v>
      </c>
      <c r="K488" t="s">
        <v>615</v>
      </c>
      <c r="L488">
        <v>23690</v>
      </c>
      <c r="M488" t="s">
        <v>98</v>
      </c>
      <c r="O488" t="s">
        <v>11</v>
      </c>
      <c r="P488">
        <v>5403</v>
      </c>
      <c r="Q488">
        <v>12</v>
      </c>
      <c r="R488">
        <v>39.89</v>
      </c>
      <c r="S488">
        <v>478.68</v>
      </c>
      <c r="T488">
        <v>379.32</v>
      </c>
      <c r="U488">
        <v>20.76</v>
      </c>
      <c r="V488" t="str">
        <f>VLOOKUP(L488,'[2]tabela de preços'!$A:$D,4,0)</f>
        <v>WANDA</v>
      </c>
      <c r="W488" t="str">
        <f>VLOOKUP(L488,'[2]tabela de preços'!$A:$F,6,0)</f>
        <v>VERNIZ AUTOMOTIVO</v>
      </c>
      <c r="X488" t="str">
        <f>VLOOKUP(L488,'[2]tabela de preços'!$A:$G,7,0)</f>
        <v>AUTOMOTIVO</v>
      </c>
    </row>
    <row r="489" spans="1:24" x14ac:dyDescent="0.3">
      <c r="A489" t="s">
        <v>610</v>
      </c>
      <c r="C489" t="s">
        <v>611</v>
      </c>
      <c r="D489" s="1">
        <v>46044</v>
      </c>
      <c r="E489" t="s">
        <v>612</v>
      </c>
      <c r="F489">
        <v>9</v>
      </c>
      <c r="G489">
        <v>174</v>
      </c>
      <c r="H489" t="str">
        <f>VLOOKUP(G489,[1]OPERADORES!$A:$B,2,0)</f>
        <v>MIRIÃ LOBATO RODRIGUES</v>
      </c>
      <c r="I489" t="s">
        <v>613</v>
      </c>
      <c r="J489" t="s">
        <v>614</v>
      </c>
      <c r="K489" t="s">
        <v>615</v>
      </c>
      <c r="L489">
        <v>13</v>
      </c>
      <c r="M489" t="s">
        <v>152</v>
      </c>
      <c r="O489" t="s">
        <v>11</v>
      </c>
      <c r="P489">
        <v>5102</v>
      </c>
      <c r="Q489">
        <v>50</v>
      </c>
      <c r="R489">
        <v>5.79</v>
      </c>
      <c r="S489">
        <v>289.5</v>
      </c>
      <c r="T489">
        <v>208</v>
      </c>
      <c r="U489">
        <v>28.15</v>
      </c>
      <c r="V489" t="str">
        <f>VLOOKUP(L489,'[2]tabela de preços'!$A:$D,4,0)</f>
        <v>3M</v>
      </c>
      <c r="W489" t="str">
        <f>VLOOKUP(L489,'[2]tabela de preços'!$A:$F,6,0)</f>
        <v>LIXA DÁGUA</v>
      </c>
      <c r="X489" t="str">
        <f>VLOOKUP(L489,'[2]tabela de preços'!$A:$G,7,0)</f>
        <v>AUTOMOTIVO</v>
      </c>
    </row>
    <row r="490" spans="1:24" x14ac:dyDescent="0.3">
      <c r="A490" t="s">
        <v>610</v>
      </c>
      <c r="C490" t="s">
        <v>611</v>
      </c>
      <c r="D490" s="1">
        <v>46044</v>
      </c>
      <c r="E490" t="s">
        <v>612</v>
      </c>
      <c r="F490">
        <v>9</v>
      </c>
      <c r="G490">
        <v>174</v>
      </c>
      <c r="H490" t="str">
        <f>VLOOKUP(G490,[1]OPERADORES!$A:$B,2,0)</f>
        <v>MIRIÃ LOBATO RODRIGUES</v>
      </c>
      <c r="I490" t="s">
        <v>613</v>
      </c>
      <c r="J490" t="s">
        <v>614</v>
      </c>
      <c r="K490" t="s">
        <v>615</v>
      </c>
      <c r="L490">
        <v>85421</v>
      </c>
      <c r="M490" t="s">
        <v>435</v>
      </c>
      <c r="O490" t="s">
        <v>411</v>
      </c>
      <c r="P490">
        <v>5102</v>
      </c>
      <c r="Q490">
        <v>14</v>
      </c>
      <c r="R490">
        <v>15.5</v>
      </c>
      <c r="S490">
        <v>217</v>
      </c>
      <c r="T490">
        <v>164.78</v>
      </c>
      <c r="U490">
        <v>24.06</v>
      </c>
      <c r="V490" t="str">
        <f>VLOOKUP(L490,'[2]tabela de preços'!$A:$D,4,0)</f>
        <v>MAXI RUBBER</v>
      </c>
      <c r="W490" t="str">
        <f>VLOOKUP(L490,'[2]tabela de preços'!$A:$F,6,0)</f>
        <v>MASSA DE POLIR</v>
      </c>
      <c r="X490" t="str">
        <f>VLOOKUP(L490,'[2]tabela de preços'!$A:$G,7,0)</f>
        <v>AUTOMOTIVO</v>
      </c>
    </row>
    <row r="491" spans="1:24" x14ac:dyDescent="0.3">
      <c r="A491" t="s">
        <v>610</v>
      </c>
      <c r="C491" t="s">
        <v>611</v>
      </c>
      <c r="D491" s="1">
        <v>46044</v>
      </c>
      <c r="E491" t="s">
        <v>612</v>
      </c>
      <c r="F491">
        <v>9</v>
      </c>
      <c r="G491">
        <v>174</v>
      </c>
      <c r="H491" t="str">
        <f>VLOOKUP(G491,[1]OPERADORES!$A:$B,2,0)</f>
        <v>MIRIÃ LOBATO RODRIGUES</v>
      </c>
      <c r="I491" t="s">
        <v>613</v>
      </c>
      <c r="J491" t="s">
        <v>614</v>
      </c>
      <c r="K491" t="s">
        <v>615</v>
      </c>
      <c r="L491">
        <v>20817</v>
      </c>
      <c r="M491" t="s">
        <v>153</v>
      </c>
      <c r="O491" t="s">
        <v>11</v>
      </c>
      <c r="P491">
        <v>5102</v>
      </c>
      <c r="Q491">
        <v>18</v>
      </c>
      <c r="R491">
        <v>22.89</v>
      </c>
      <c r="S491">
        <v>412.02</v>
      </c>
      <c r="T491">
        <v>335.16</v>
      </c>
      <c r="U491">
        <v>18.649999999999999</v>
      </c>
      <c r="V491" t="str">
        <f>VLOOKUP(L491,'[2]tabela de preços'!$A:$D,4,0)</f>
        <v>AUTO AMERICA</v>
      </c>
      <c r="W491" t="str">
        <f>VLOOKUP(L491,'[2]tabela de preços'!$A:$F,6,0)</f>
        <v>MASSA DE POLIR</v>
      </c>
      <c r="X491" t="str">
        <f>VLOOKUP(L491,'[2]tabela de preços'!$A:$G,7,0)</f>
        <v>AUTOMOTIVO</v>
      </c>
    </row>
    <row r="492" spans="1:24" x14ac:dyDescent="0.3">
      <c r="A492" t="s">
        <v>610</v>
      </c>
      <c r="C492" t="s">
        <v>611</v>
      </c>
      <c r="D492" s="1">
        <v>46044</v>
      </c>
      <c r="E492" t="s">
        <v>612</v>
      </c>
      <c r="F492">
        <v>9</v>
      </c>
      <c r="G492">
        <v>174</v>
      </c>
      <c r="H492" t="str">
        <f>VLOOKUP(G492,[1]OPERADORES!$A:$B,2,0)</f>
        <v>MIRIÃ LOBATO RODRIGUES</v>
      </c>
      <c r="I492" t="s">
        <v>613</v>
      </c>
      <c r="J492" t="s">
        <v>614</v>
      </c>
      <c r="K492" t="s">
        <v>615</v>
      </c>
      <c r="L492">
        <v>10402</v>
      </c>
      <c r="M492" t="s">
        <v>138</v>
      </c>
      <c r="O492" t="s">
        <v>11</v>
      </c>
      <c r="P492">
        <v>5102</v>
      </c>
      <c r="Q492">
        <v>15</v>
      </c>
      <c r="R492">
        <v>22.83</v>
      </c>
      <c r="S492">
        <v>342.45</v>
      </c>
      <c r="T492">
        <v>259.95</v>
      </c>
      <c r="U492">
        <v>24.09</v>
      </c>
      <c r="V492" t="str">
        <f>VLOOKUP(L492,'[2]tabela de preços'!$A:$D,4,0)</f>
        <v>MAXI RUBBER</v>
      </c>
      <c r="W492" t="str">
        <f>VLOOKUP(L492,'[2]tabela de preços'!$A:$F,6,0)</f>
        <v>REMOVEDOR PASTOSO</v>
      </c>
      <c r="X492" t="str">
        <f>VLOOKUP(L492,'[2]tabela de preços'!$A:$G,7,0)</f>
        <v>AUTOMOTIVO</v>
      </c>
    </row>
    <row r="493" spans="1:24" x14ac:dyDescent="0.3">
      <c r="A493" t="s">
        <v>610</v>
      </c>
      <c r="C493" t="s">
        <v>611</v>
      </c>
      <c r="D493" s="1">
        <v>46044</v>
      </c>
      <c r="E493" t="s">
        <v>612</v>
      </c>
      <c r="F493">
        <v>9</v>
      </c>
      <c r="G493">
        <v>174</v>
      </c>
      <c r="H493" t="str">
        <f>VLOOKUP(G493,[1]OPERADORES!$A:$B,2,0)</f>
        <v>MIRIÃ LOBATO RODRIGUES</v>
      </c>
      <c r="I493" t="s">
        <v>613</v>
      </c>
      <c r="J493" t="s">
        <v>614</v>
      </c>
      <c r="K493" t="s">
        <v>615</v>
      </c>
      <c r="L493">
        <v>84425</v>
      </c>
      <c r="M493" t="s">
        <v>616</v>
      </c>
      <c r="O493" t="s">
        <v>11</v>
      </c>
      <c r="P493">
        <v>5102</v>
      </c>
      <c r="Q493">
        <v>10</v>
      </c>
      <c r="R493">
        <v>3.6</v>
      </c>
      <c r="S493">
        <v>36</v>
      </c>
      <c r="T493">
        <v>26.7</v>
      </c>
      <c r="U493">
        <v>25.83</v>
      </c>
      <c r="V493" t="str">
        <f>VLOOKUP(L493,'[2]tabela de preços'!$A:$D,4,0)</f>
        <v>ATLAS</v>
      </c>
      <c r="W493" t="str">
        <f>VLOOKUP(L493,'[2]tabela de preços'!$A:$F,6,0)</f>
        <v>ROLOS / TRINCHAS / PINCÉIS / ESPÁTULAS</v>
      </c>
      <c r="X493" t="str">
        <f>VLOOKUP(L493,'[2]tabela de preços'!$A:$G,7,0)</f>
        <v>IMOBILIÁRIO</v>
      </c>
    </row>
    <row r="494" spans="1:24" x14ac:dyDescent="0.3">
      <c r="A494" t="s">
        <v>617</v>
      </c>
      <c r="C494" t="s">
        <v>618</v>
      </c>
      <c r="D494" s="1">
        <v>46049</v>
      </c>
      <c r="E494" t="s">
        <v>619</v>
      </c>
      <c r="F494">
        <v>9</v>
      </c>
      <c r="G494">
        <v>231</v>
      </c>
      <c r="H494" t="str">
        <f>VLOOKUP(G494,[1]OPERADORES!$A:$B,2,0)</f>
        <v>EDIJANE</v>
      </c>
      <c r="I494" t="s">
        <v>620</v>
      </c>
      <c r="J494" t="s">
        <v>621</v>
      </c>
      <c r="K494" t="s">
        <v>622</v>
      </c>
      <c r="L494">
        <v>85693</v>
      </c>
      <c r="M494" t="s">
        <v>526</v>
      </c>
      <c r="O494" t="s">
        <v>11</v>
      </c>
      <c r="P494">
        <v>5102</v>
      </c>
      <c r="Q494">
        <v>10</v>
      </c>
      <c r="R494">
        <v>7.89</v>
      </c>
      <c r="S494">
        <v>78.900000000000006</v>
      </c>
      <c r="T494">
        <v>65.099999999999994</v>
      </c>
      <c r="U494">
        <v>17.489999999999998</v>
      </c>
      <c r="V494" t="str">
        <f>VLOOKUP(L494,'[2]tabela de preços'!$A:$D,4,0)</f>
        <v>UNIPEGA</v>
      </c>
      <c r="W494" t="str">
        <f>VLOOKUP(L494,'[2]tabela de preços'!$A:$F,6,0)</f>
        <v>PU 40</v>
      </c>
      <c r="X494" t="str">
        <f>VLOOKUP(L494,'[2]tabela de preços'!$A:$G,7,0)</f>
        <v>IMOBILIÁRIO</v>
      </c>
    </row>
    <row r="495" spans="1:24" x14ac:dyDescent="0.3">
      <c r="A495" t="s">
        <v>617</v>
      </c>
      <c r="C495" t="s">
        <v>618</v>
      </c>
      <c r="D495" s="1">
        <v>46049</v>
      </c>
      <c r="E495" t="s">
        <v>619</v>
      </c>
      <c r="F495">
        <v>9</v>
      </c>
      <c r="G495">
        <v>231</v>
      </c>
      <c r="H495" t="str">
        <f>VLOOKUP(G495,[1]OPERADORES!$A:$B,2,0)</f>
        <v>EDIJANE</v>
      </c>
      <c r="I495" t="s">
        <v>620</v>
      </c>
      <c r="J495" t="s">
        <v>621</v>
      </c>
      <c r="K495" t="s">
        <v>622</v>
      </c>
      <c r="L495">
        <v>86875</v>
      </c>
      <c r="M495" t="s">
        <v>512</v>
      </c>
      <c r="O495" t="s">
        <v>11</v>
      </c>
      <c r="P495">
        <v>5102</v>
      </c>
      <c r="Q495">
        <v>2</v>
      </c>
      <c r="R495">
        <v>33.799999999999997</v>
      </c>
      <c r="S495">
        <v>67.599999999999994</v>
      </c>
      <c r="T495">
        <v>51.3</v>
      </c>
      <c r="U495">
        <v>24.11</v>
      </c>
      <c r="V495" t="str">
        <f>VLOOKUP(L495,'[2]tabela de preços'!$A:$D,4,0)</f>
        <v>UNIFORTE</v>
      </c>
      <c r="W495" t="str">
        <f>VLOOKUP(L495,'[2]tabela de preços'!$A:$F,6,0)</f>
        <v>ASSENTOS / SIFÕES</v>
      </c>
      <c r="X495" t="str">
        <f>VLOOKUP(L495,'[2]tabela de preços'!$A:$G,7,0)</f>
        <v>IMOBILIÁRIO</v>
      </c>
    </row>
    <row r="496" spans="1:24" x14ac:dyDescent="0.3">
      <c r="A496" t="s">
        <v>617</v>
      </c>
      <c r="C496" t="s">
        <v>618</v>
      </c>
      <c r="D496" s="1">
        <v>46049</v>
      </c>
      <c r="E496" t="s">
        <v>619</v>
      </c>
      <c r="F496">
        <v>9</v>
      </c>
      <c r="G496">
        <v>231</v>
      </c>
      <c r="H496" t="str">
        <f>VLOOKUP(G496,[1]OPERADORES!$A:$B,2,0)</f>
        <v>EDIJANE</v>
      </c>
      <c r="I496" t="s">
        <v>620</v>
      </c>
      <c r="J496" t="s">
        <v>621</v>
      </c>
      <c r="K496" t="s">
        <v>622</v>
      </c>
      <c r="L496">
        <v>86874</v>
      </c>
      <c r="M496" t="s">
        <v>513</v>
      </c>
      <c r="O496" t="s">
        <v>11</v>
      </c>
      <c r="P496">
        <v>5102</v>
      </c>
      <c r="Q496">
        <v>5</v>
      </c>
      <c r="R496">
        <v>17.510000000000002</v>
      </c>
      <c r="S496">
        <v>87.55</v>
      </c>
      <c r="T496">
        <v>66.45</v>
      </c>
      <c r="U496">
        <v>24.1</v>
      </c>
      <c r="V496" t="str">
        <f>VLOOKUP(L496,'[2]tabela de preços'!$A:$D,4,0)</f>
        <v>UNIFORTE</v>
      </c>
      <c r="W496" t="str">
        <f>VLOOKUP(L496,'[2]tabela de preços'!$A:$F,6,0)</f>
        <v>ASSENTOS / SIFÕES</v>
      </c>
      <c r="X496" t="str">
        <f>VLOOKUP(L496,'[2]tabela de preços'!$A:$G,7,0)</f>
        <v>IMOBILIÁRIO</v>
      </c>
    </row>
    <row r="497" spans="1:24" x14ac:dyDescent="0.3">
      <c r="A497" t="s">
        <v>617</v>
      </c>
      <c r="C497" t="s">
        <v>618</v>
      </c>
      <c r="D497" s="1">
        <v>46049</v>
      </c>
      <c r="E497" t="s">
        <v>619</v>
      </c>
      <c r="F497">
        <v>9</v>
      </c>
      <c r="G497">
        <v>231</v>
      </c>
      <c r="H497" t="str">
        <f>VLOOKUP(G497,[1]OPERADORES!$A:$B,2,0)</f>
        <v>EDIJANE</v>
      </c>
      <c r="I497" t="s">
        <v>620</v>
      </c>
      <c r="J497" t="s">
        <v>621</v>
      </c>
      <c r="K497" t="s">
        <v>622</v>
      </c>
      <c r="L497">
        <v>84411</v>
      </c>
      <c r="M497" t="s">
        <v>35</v>
      </c>
      <c r="O497" t="s">
        <v>11</v>
      </c>
      <c r="P497">
        <v>5102</v>
      </c>
      <c r="Q497">
        <v>10</v>
      </c>
      <c r="R497">
        <v>4.29</v>
      </c>
      <c r="S497">
        <v>42.9</v>
      </c>
      <c r="T497">
        <v>35.4</v>
      </c>
      <c r="U497">
        <v>17.48</v>
      </c>
      <c r="V497" t="str">
        <f>VLOOKUP(L497,'[2]tabela de preços'!$A:$D,4,0)</f>
        <v>ADERE</v>
      </c>
      <c r="W497" t="str">
        <f>VLOOKUP(L497,'[2]tabela de preços'!$A:$F,6,0)</f>
        <v xml:space="preserve">FITA DE USO GERAL </v>
      </c>
      <c r="X497" t="str">
        <f>VLOOKUP(L497,'[2]tabela de preços'!$A:$G,7,0)</f>
        <v>IMOBILIÁRIO</v>
      </c>
    </row>
    <row r="498" spans="1:24" x14ac:dyDescent="0.3">
      <c r="A498" t="s">
        <v>617</v>
      </c>
      <c r="C498" t="s">
        <v>618</v>
      </c>
      <c r="D498" s="1">
        <v>46049</v>
      </c>
      <c r="E498" t="s">
        <v>619</v>
      </c>
      <c r="F498">
        <v>9</v>
      </c>
      <c r="G498">
        <v>231</v>
      </c>
      <c r="H498" t="str">
        <f>VLOOKUP(G498,[1]OPERADORES!$A:$B,2,0)</f>
        <v>EDIJANE</v>
      </c>
      <c r="I498" t="s">
        <v>620</v>
      </c>
      <c r="J498" t="s">
        <v>621</v>
      </c>
      <c r="K498" t="s">
        <v>622</v>
      </c>
      <c r="L498">
        <v>85616</v>
      </c>
      <c r="M498" t="s">
        <v>471</v>
      </c>
      <c r="O498" t="s">
        <v>11</v>
      </c>
      <c r="P498">
        <v>5102</v>
      </c>
      <c r="Q498">
        <v>8</v>
      </c>
      <c r="R498">
        <v>2.79</v>
      </c>
      <c r="S498">
        <v>22.32</v>
      </c>
      <c r="T498">
        <v>18.239999999999998</v>
      </c>
      <c r="U498">
        <v>18.28</v>
      </c>
      <c r="V498" t="str">
        <f>VLOOKUP(L498,'[2]tabela de preços'!$A:$D,4,0)</f>
        <v>ADERE</v>
      </c>
      <c r="W498" t="str">
        <f>VLOOKUP(L498,'[2]tabela de preços'!$A:$F,6,0)</f>
        <v xml:space="preserve">FITA DE USO GERAL </v>
      </c>
      <c r="X498" t="str">
        <f>VLOOKUP(L498,'[2]tabela de preços'!$A:$G,7,0)</f>
        <v>IMOBILIÁRIO</v>
      </c>
    </row>
    <row r="499" spans="1:24" x14ac:dyDescent="0.3">
      <c r="A499" t="s">
        <v>617</v>
      </c>
      <c r="C499" t="s">
        <v>618</v>
      </c>
      <c r="D499" s="1">
        <v>46049</v>
      </c>
      <c r="E499" t="s">
        <v>619</v>
      </c>
      <c r="F499">
        <v>9</v>
      </c>
      <c r="G499">
        <v>231</v>
      </c>
      <c r="H499" t="str">
        <f>VLOOKUP(G499,[1]OPERADORES!$A:$B,2,0)</f>
        <v>EDIJANE</v>
      </c>
      <c r="I499" t="s">
        <v>620</v>
      </c>
      <c r="J499" t="s">
        <v>621</v>
      </c>
      <c r="K499" t="s">
        <v>622</v>
      </c>
      <c r="L499">
        <v>84417</v>
      </c>
      <c r="M499" t="s">
        <v>623</v>
      </c>
      <c r="O499" t="s">
        <v>11</v>
      </c>
      <c r="P499">
        <v>5102</v>
      </c>
      <c r="Q499">
        <v>20</v>
      </c>
      <c r="R499">
        <v>3.49</v>
      </c>
      <c r="S499">
        <v>69.8</v>
      </c>
      <c r="T499">
        <v>53</v>
      </c>
      <c r="U499">
        <v>24.07</v>
      </c>
      <c r="V499" t="str">
        <f>VLOOKUP(L499,'[2]tabela de preços'!$A:$D,4,0)</f>
        <v>3M</v>
      </c>
      <c r="W499" t="str">
        <f>VLOOKUP(L499,'[2]tabela de preços'!$A:$F,6,0)</f>
        <v>FITA ISOLANTE</v>
      </c>
      <c r="X499" t="str">
        <f>VLOOKUP(L499,'[2]tabela de preços'!$A:$G,7,0)</f>
        <v>IMOBILIÁRIO</v>
      </c>
    </row>
    <row r="500" spans="1:24" x14ac:dyDescent="0.3">
      <c r="A500" t="s">
        <v>617</v>
      </c>
      <c r="C500" t="s">
        <v>618</v>
      </c>
      <c r="D500" s="1">
        <v>46049</v>
      </c>
      <c r="E500" t="s">
        <v>619</v>
      </c>
      <c r="F500">
        <v>9</v>
      </c>
      <c r="G500">
        <v>231</v>
      </c>
      <c r="H500" t="str">
        <f>VLOOKUP(G500,[1]OPERADORES!$A:$B,2,0)</f>
        <v>EDIJANE</v>
      </c>
      <c r="I500" t="s">
        <v>620</v>
      </c>
      <c r="J500" t="s">
        <v>621</v>
      </c>
      <c r="K500" t="s">
        <v>622</v>
      </c>
      <c r="L500">
        <v>84558</v>
      </c>
      <c r="M500" t="s">
        <v>432</v>
      </c>
      <c r="O500" t="s">
        <v>11</v>
      </c>
      <c r="P500">
        <v>5102</v>
      </c>
      <c r="Q500">
        <v>10</v>
      </c>
      <c r="R500">
        <v>6.25</v>
      </c>
      <c r="S500">
        <v>62.5</v>
      </c>
      <c r="T500">
        <v>47.4</v>
      </c>
      <c r="U500">
        <v>24.16</v>
      </c>
      <c r="V500" t="str">
        <f>VLOOKUP(L500,'[2]tabela de preços'!$A:$D,4,0)</f>
        <v>3M</v>
      </c>
      <c r="W500" t="str">
        <f>VLOOKUP(L500,'[2]tabela de preços'!$A:$F,6,0)</f>
        <v>FITA ISOLANTE</v>
      </c>
      <c r="X500" t="str">
        <f>VLOOKUP(L500,'[2]tabela de preços'!$A:$G,7,0)</f>
        <v>IMOBILIÁRIO</v>
      </c>
    </row>
    <row r="501" spans="1:24" x14ac:dyDescent="0.3">
      <c r="A501" t="s">
        <v>617</v>
      </c>
      <c r="C501" t="s">
        <v>618</v>
      </c>
      <c r="D501" s="1">
        <v>46049</v>
      </c>
      <c r="E501" t="s">
        <v>619</v>
      </c>
      <c r="F501">
        <v>9</v>
      </c>
      <c r="G501">
        <v>231</v>
      </c>
      <c r="H501" t="str">
        <f>VLOOKUP(G501,[1]OPERADORES!$A:$B,2,0)</f>
        <v>EDIJANE</v>
      </c>
      <c r="I501" t="s">
        <v>620</v>
      </c>
      <c r="J501" t="s">
        <v>621</v>
      </c>
      <c r="K501" t="s">
        <v>622</v>
      </c>
      <c r="L501">
        <v>86887</v>
      </c>
      <c r="M501" t="s">
        <v>624</v>
      </c>
      <c r="O501" t="s">
        <v>11</v>
      </c>
      <c r="P501">
        <v>5102</v>
      </c>
      <c r="Q501">
        <v>5</v>
      </c>
      <c r="R501">
        <v>9.6999999999999993</v>
      </c>
      <c r="S501">
        <v>48.5</v>
      </c>
      <c r="T501">
        <v>39.75</v>
      </c>
      <c r="U501">
        <v>18.04</v>
      </c>
      <c r="V501" t="str">
        <f>VLOOKUP(L501,'[2]tabela de preços'!$A:$D,4,0)</f>
        <v>VEDACIT</v>
      </c>
      <c r="W501" t="str">
        <f>VLOOKUP(L501,'[2]tabela de preços'!$A:$F,6,0)</f>
        <v>IMPERMEABILIZANTES</v>
      </c>
      <c r="X501" t="str">
        <f>VLOOKUP(L501,'[2]tabela de preços'!$A:$G,7,0)</f>
        <v>IMOBILIÁRIO</v>
      </c>
    </row>
    <row r="502" spans="1:24" x14ac:dyDescent="0.3">
      <c r="A502" t="s">
        <v>617</v>
      </c>
      <c r="C502" t="s">
        <v>618</v>
      </c>
      <c r="D502" s="1">
        <v>46049</v>
      </c>
      <c r="E502" t="s">
        <v>619</v>
      </c>
      <c r="F502">
        <v>9</v>
      </c>
      <c r="G502">
        <v>231</v>
      </c>
      <c r="H502" t="str">
        <f>VLOOKUP(G502,[1]OPERADORES!$A:$B,2,0)</f>
        <v>EDIJANE</v>
      </c>
      <c r="I502" t="s">
        <v>620</v>
      </c>
      <c r="J502" t="s">
        <v>621</v>
      </c>
      <c r="K502" t="s">
        <v>622</v>
      </c>
      <c r="L502">
        <v>85140</v>
      </c>
      <c r="M502" t="s">
        <v>625</v>
      </c>
      <c r="O502" t="s">
        <v>46</v>
      </c>
      <c r="P502">
        <v>5405</v>
      </c>
      <c r="Q502">
        <v>1</v>
      </c>
      <c r="R502">
        <v>206.54</v>
      </c>
      <c r="S502">
        <v>206.54</v>
      </c>
      <c r="T502">
        <v>156.77000000000001</v>
      </c>
      <c r="U502">
        <v>24.1</v>
      </c>
      <c r="V502" t="str">
        <f>VLOOKUP(L502,'[2]tabela de preços'!$A:$D,4,0)</f>
        <v>MULTILONA</v>
      </c>
      <c r="W502" t="str">
        <f>VLOOKUP(L502,'[2]tabela de preços'!$A:$F,6,0)</f>
        <v>LONAS</v>
      </c>
      <c r="X502" t="str">
        <f>VLOOKUP(L502,'[2]tabela de preços'!$A:$G,7,0)</f>
        <v>IMOBILIÁRIO</v>
      </c>
    </row>
    <row r="503" spans="1:24" x14ac:dyDescent="0.3">
      <c r="A503" t="s">
        <v>617</v>
      </c>
      <c r="C503" t="s">
        <v>618</v>
      </c>
      <c r="D503" s="1">
        <v>46049</v>
      </c>
      <c r="E503" t="s">
        <v>619</v>
      </c>
      <c r="F503">
        <v>9</v>
      </c>
      <c r="G503">
        <v>231</v>
      </c>
      <c r="H503" t="str">
        <f>VLOOKUP(G503,[1]OPERADORES!$A:$B,2,0)</f>
        <v>EDIJANE</v>
      </c>
      <c r="I503" t="s">
        <v>620</v>
      </c>
      <c r="J503" t="s">
        <v>621</v>
      </c>
      <c r="K503" t="s">
        <v>622</v>
      </c>
      <c r="L503">
        <v>10297</v>
      </c>
      <c r="M503" t="s">
        <v>41</v>
      </c>
      <c r="O503" t="s">
        <v>11</v>
      </c>
      <c r="P503">
        <v>5102</v>
      </c>
      <c r="Q503">
        <v>12</v>
      </c>
      <c r="R503">
        <v>10.89</v>
      </c>
      <c r="S503">
        <v>130.68</v>
      </c>
      <c r="T503">
        <v>110.04</v>
      </c>
      <c r="U503">
        <v>15.79</v>
      </c>
      <c r="V503" t="str">
        <f>VLOOKUP(L503,'[2]tabela de preços'!$A:$D,4,0)</f>
        <v>ANJO</v>
      </c>
      <c r="W503" t="str">
        <f>VLOOKUP(L503,'[2]tabela de preços'!$A:$F,6,0)</f>
        <v>THINNER DE LIMPEZA</v>
      </c>
      <c r="X503" t="str">
        <f>VLOOKUP(L503,'[2]tabela de preços'!$A:$G,7,0)</f>
        <v>THINNER</v>
      </c>
    </row>
    <row r="504" spans="1:24" x14ac:dyDescent="0.3">
      <c r="A504" t="s">
        <v>626</v>
      </c>
      <c r="B504" t="s">
        <v>627</v>
      </c>
      <c r="C504" t="s">
        <v>628</v>
      </c>
      <c r="D504" s="1">
        <v>46028</v>
      </c>
      <c r="E504" t="s">
        <v>629</v>
      </c>
      <c r="F504">
        <v>9</v>
      </c>
      <c r="G504">
        <v>174</v>
      </c>
      <c r="H504" t="str">
        <f>VLOOKUP(G504,[1]OPERADORES!$A:$B,2,0)</f>
        <v>MIRIÃ LOBATO RODRIGUES</v>
      </c>
      <c r="I504" t="s">
        <v>21</v>
      </c>
      <c r="J504" t="s">
        <v>630</v>
      </c>
      <c r="K504" t="s">
        <v>631</v>
      </c>
      <c r="L504">
        <v>23259</v>
      </c>
      <c r="M504" t="s">
        <v>632</v>
      </c>
      <c r="O504" t="s">
        <v>11</v>
      </c>
      <c r="P504">
        <v>5403</v>
      </c>
      <c r="Q504">
        <v>4</v>
      </c>
      <c r="R504">
        <v>40.200000000000003</v>
      </c>
      <c r="S504">
        <v>160.80000000000001</v>
      </c>
      <c r="T504">
        <v>122.04</v>
      </c>
      <c r="U504">
        <v>24.1</v>
      </c>
      <c r="V504" t="str">
        <f>VLOOKUP(L504,'[2]tabela de preços'!$A:$D,4,0)</f>
        <v>WANDA</v>
      </c>
      <c r="W504" t="str">
        <f>VLOOKUP(L504,'[2]tabela de preços'!$A:$F,6,0)</f>
        <v>TINTAS POLIÉSTER</v>
      </c>
      <c r="X504" t="str">
        <f>VLOOKUP(L504,'[2]tabela de preços'!$A:$G,7,0)</f>
        <v>AUTOMOTIVO</v>
      </c>
    </row>
    <row r="505" spans="1:24" x14ac:dyDescent="0.3">
      <c r="A505" t="s">
        <v>626</v>
      </c>
      <c r="B505" t="s">
        <v>627</v>
      </c>
      <c r="C505" t="s">
        <v>628</v>
      </c>
      <c r="D505" s="1">
        <v>46028</v>
      </c>
      <c r="E505" t="s">
        <v>629</v>
      </c>
      <c r="F505">
        <v>9</v>
      </c>
      <c r="G505">
        <v>174</v>
      </c>
      <c r="H505" t="str">
        <f>VLOOKUP(G505,[1]OPERADORES!$A:$B,2,0)</f>
        <v>MIRIÃ LOBATO RODRIGUES</v>
      </c>
      <c r="I505" t="s">
        <v>21</v>
      </c>
      <c r="J505" t="s">
        <v>630</v>
      </c>
      <c r="K505" t="s">
        <v>631</v>
      </c>
      <c r="L505">
        <v>84487</v>
      </c>
      <c r="M505" t="s">
        <v>633</v>
      </c>
      <c r="O505" t="s">
        <v>11</v>
      </c>
      <c r="P505">
        <v>5403</v>
      </c>
      <c r="Q505">
        <v>3</v>
      </c>
      <c r="R505">
        <v>28.84</v>
      </c>
      <c r="S505">
        <v>86.52</v>
      </c>
      <c r="T505">
        <v>65.67</v>
      </c>
      <c r="U505">
        <v>24.1</v>
      </c>
      <c r="V505" t="str">
        <f>VLOOKUP(L505,'[2]tabela de preços'!$A:$D,4,0)</f>
        <v>BRASILUX</v>
      </c>
      <c r="W505" t="str">
        <f>VLOOKUP(L505,'[2]tabela de preços'!$A:$F,6,0)</f>
        <v>TINTAS LACA</v>
      </c>
      <c r="X505" t="str">
        <f>VLOOKUP(L505,'[2]tabela de preços'!$A:$G,7,0)</f>
        <v>AUTOMOTIVO</v>
      </c>
    </row>
    <row r="506" spans="1:24" x14ac:dyDescent="0.3">
      <c r="A506" t="s">
        <v>626</v>
      </c>
      <c r="B506" t="s">
        <v>627</v>
      </c>
      <c r="C506" t="s">
        <v>628</v>
      </c>
      <c r="D506" s="1">
        <v>46028</v>
      </c>
      <c r="E506" t="s">
        <v>629</v>
      </c>
      <c r="F506">
        <v>9</v>
      </c>
      <c r="G506">
        <v>174</v>
      </c>
      <c r="H506" t="str">
        <f>VLOOKUP(G506,[1]OPERADORES!$A:$B,2,0)</f>
        <v>MIRIÃ LOBATO RODRIGUES</v>
      </c>
      <c r="I506" t="s">
        <v>21</v>
      </c>
      <c r="J506" t="s">
        <v>630</v>
      </c>
      <c r="K506" t="s">
        <v>631</v>
      </c>
      <c r="L506">
        <v>10316</v>
      </c>
      <c r="M506" t="s">
        <v>582</v>
      </c>
      <c r="O506" t="s">
        <v>11</v>
      </c>
      <c r="P506">
        <v>5102</v>
      </c>
      <c r="Q506">
        <v>4</v>
      </c>
      <c r="R506">
        <v>13.89</v>
      </c>
      <c r="S506">
        <v>55.56</v>
      </c>
      <c r="T506">
        <v>46.52</v>
      </c>
      <c r="U506">
        <v>16.27</v>
      </c>
      <c r="V506" t="str">
        <f>VLOOKUP(L506,'[2]tabela de preços'!$A:$D,4,0)</f>
        <v>ANJO</v>
      </c>
      <c r="W506" t="str">
        <f>VLOOKUP(L506,'[2]tabela de preços'!$A:$F,6,0)</f>
        <v xml:space="preserve">COLA  PLÁSTICA </v>
      </c>
      <c r="X506" t="str">
        <f>VLOOKUP(L506,'[2]tabela de preços'!$A:$G,7,0)</f>
        <v>AUTOMOTIVO</v>
      </c>
    </row>
    <row r="507" spans="1:24" x14ac:dyDescent="0.3">
      <c r="A507" t="s">
        <v>626</v>
      </c>
      <c r="B507" t="s">
        <v>627</v>
      </c>
      <c r="C507" t="s">
        <v>628</v>
      </c>
      <c r="D507" s="1">
        <v>46028</v>
      </c>
      <c r="E507" t="s">
        <v>629</v>
      </c>
      <c r="F507">
        <v>9</v>
      </c>
      <c r="G507">
        <v>174</v>
      </c>
      <c r="H507" t="str">
        <f>VLOOKUP(G507,[1]OPERADORES!$A:$B,2,0)</f>
        <v>MIRIÃ LOBATO RODRIGUES</v>
      </c>
      <c r="I507" t="s">
        <v>21</v>
      </c>
      <c r="J507" t="s">
        <v>630</v>
      </c>
      <c r="K507" t="s">
        <v>631</v>
      </c>
      <c r="L507">
        <v>23108</v>
      </c>
      <c r="M507" t="s">
        <v>248</v>
      </c>
      <c r="O507" t="s">
        <v>11</v>
      </c>
      <c r="P507">
        <v>5102</v>
      </c>
      <c r="Q507">
        <v>20</v>
      </c>
      <c r="R507">
        <v>2.35</v>
      </c>
      <c r="S507">
        <v>47</v>
      </c>
      <c r="T507">
        <v>37</v>
      </c>
      <c r="U507">
        <v>21.28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626</v>
      </c>
      <c r="B508" t="s">
        <v>627</v>
      </c>
      <c r="C508" t="s">
        <v>628</v>
      </c>
      <c r="D508" s="1">
        <v>46028</v>
      </c>
      <c r="E508" t="s">
        <v>629</v>
      </c>
      <c r="F508">
        <v>9</v>
      </c>
      <c r="G508">
        <v>174</v>
      </c>
      <c r="H508" t="str">
        <f>VLOOKUP(G508,[1]OPERADORES!$A:$B,2,0)</f>
        <v>MIRIÃ LOBATO RODRIGUES</v>
      </c>
      <c r="I508" t="s">
        <v>21</v>
      </c>
      <c r="J508" t="s">
        <v>630</v>
      </c>
      <c r="K508" t="s">
        <v>631</v>
      </c>
      <c r="L508">
        <v>24248</v>
      </c>
      <c r="M508" t="s">
        <v>107</v>
      </c>
      <c r="O508" t="s">
        <v>11</v>
      </c>
      <c r="P508">
        <v>5102</v>
      </c>
      <c r="Q508">
        <v>12</v>
      </c>
      <c r="R508">
        <v>9.9</v>
      </c>
      <c r="S508">
        <v>118.8</v>
      </c>
      <c r="T508">
        <v>76.92</v>
      </c>
      <c r="U508">
        <v>35.25</v>
      </c>
      <c r="V508" t="str">
        <f>VLOOKUP(L508,'[2]tabela de preços'!$A:$D,4,0)</f>
        <v>SHERWIN WILLIAMS</v>
      </c>
      <c r="W508" t="str">
        <f>VLOOKUP(L508,'[2]tabela de preços'!$A:$F,6,0)</f>
        <v>PRIMER AUTOMOTIVO</v>
      </c>
      <c r="X508" t="str">
        <f>VLOOKUP(L508,'[2]tabela de preços'!$A:$G,7,0)</f>
        <v>AUTOMOTIVO</v>
      </c>
    </row>
    <row r="509" spans="1:24" x14ac:dyDescent="0.3">
      <c r="A509" t="s">
        <v>626</v>
      </c>
      <c r="B509" t="s">
        <v>627</v>
      </c>
      <c r="C509" t="s">
        <v>628</v>
      </c>
      <c r="D509" s="1">
        <v>46028</v>
      </c>
      <c r="E509" t="s">
        <v>629</v>
      </c>
      <c r="F509">
        <v>9</v>
      </c>
      <c r="G509">
        <v>174</v>
      </c>
      <c r="H509" t="str">
        <f>VLOOKUP(G509,[1]OPERADORES!$A:$B,2,0)</f>
        <v>MIRIÃ LOBATO RODRIGUES</v>
      </c>
      <c r="I509" t="s">
        <v>21</v>
      </c>
      <c r="J509" t="s">
        <v>630</v>
      </c>
      <c r="K509" t="s">
        <v>631</v>
      </c>
      <c r="L509">
        <v>23076</v>
      </c>
      <c r="M509" t="s">
        <v>97</v>
      </c>
      <c r="O509" t="s">
        <v>11</v>
      </c>
      <c r="P509">
        <v>5403</v>
      </c>
      <c r="Q509">
        <v>24</v>
      </c>
      <c r="R509">
        <v>33.89</v>
      </c>
      <c r="S509">
        <v>813.36</v>
      </c>
      <c r="T509">
        <v>636.72</v>
      </c>
      <c r="U509">
        <v>21.72</v>
      </c>
      <c r="V509" t="str">
        <f>VLOOKUP(L509,'[2]tabela de preços'!$A:$D,4,0)</f>
        <v>WANDA</v>
      </c>
      <c r="W509" t="str">
        <f>VLOOKUP(L509,'[2]tabela de preços'!$A:$F,6,0)</f>
        <v>PRIMER AUTOMOTIVO</v>
      </c>
      <c r="X509" t="str">
        <f>VLOOKUP(L509,'[2]tabela de preços'!$A:$G,7,0)</f>
        <v>AUTOMOTIVO</v>
      </c>
    </row>
    <row r="510" spans="1:24" x14ac:dyDescent="0.3">
      <c r="A510" t="s">
        <v>626</v>
      </c>
      <c r="B510" t="s">
        <v>627</v>
      </c>
      <c r="C510" t="s">
        <v>628</v>
      </c>
      <c r="D510" s="1">
        <v>46028</v>
      </c>
      <c r="E510" t="s">
        <v>629</v>
      </c>
      <c r="F510">
        <v>9</v>
      </c>
      <c r="G510">
        <v>174</v>
      </c>
      <c r="H510" t="str">
        <f>VLOOKUP(G510,[1]OPERADORES!$A:$B,2,0)</f>
        <v>MIRIÃ LOBATO RODRIGUES</v>
      </c>
      <c r="I510" t="s">
        <v>21</v>
      </c>
      <c r="J510" t="s">
        <v>630</v>
      </c>
      <c r="K510" t="s">
        <v>631</v>
      </c>
      <c r="L510">
        <v>23690</v>
      </c>
      <c r="M510" t="s">
        <v>98</v>
      </c>
      <c r="O510" t="s">
        <v>11</v>
      </c>
      <c r="P510">
        <v>5403</v>
      </c>
      <c r="Q510">
        <v>6</v>
      </c>
      <c r="R510">
        <v>39.89</v>
      </c>
      <c r="S510">
        <v>239.34</v>
      </c>
      <c r="T510">
        <v>189.66</v>
      </c>
      <c r="U510">
        <v>20.76</v>
      </c>
      <c r="V510" t="str">
        <f>VLOOKUP(L510,'[2]tabela de preços'!$A:$D,4,0)</f>
        <v>WANDA</v>
      </c>
      <c r="W510" t="str">
        <f>VLOOKUP(L510,'[2]tabela de preços'!$A:$F,6,0)</f>
        <v>VERNIZ AUTOMOTIVO</v>
      </c>
      <c r="X510" t="str">
        <f>VLOOKUP(L510,'[2]tabela de preços'!$A:$G,7,0)</f>
        <v>AUTOMOTIVO</v>
      </c>
    </row>
    <row r="511" spans="1:24" x14ac:dyDescent="0.3">
      <c r="A511" t="s">
        <v>626</v>
      </c>
      <c r="B511" t="s">
        <v>627</v>
      </c>
      <c r="C511" t="s">
        <v>628</v>
      </c>
      <c r="D511" s="1">
        <v>46028</v>
      </c>
      <c r="E511" t="s">
        <v>629</v>
      </c>
      <c r="F511">
        <v>9</v>
      </c>
      <c r="G511">
        <v>174</v>
      </c>
      <c r="H511" t="str">
        <f>VLOOKUP(G511,[1]OPERADORES!$A:$B,2,0)</f>
        <v>MIRIÃ LOBATO RODRIGUES</v>
      </c>
      <c r="I511" t="s">
        <v>21</v>
      </c>
      <c r="J511" t="s">
        <v>630</v>
      </c>
      <c r="K511" t="s">
        <v>631</v>
      </c>
      <c r="L511">
        <v>20383</v>
      </c>
      <c r="M511" t="s">
        <v>129</v>
      </c>
      <c r="O511" t="s">
        <v>11</v>
      </c>
      <c r="P511">
        <v>5403</v>
      </c>
      <c r="Q511">
        <v>2</v>
      </c>
      <c r="R511">
        <v>33.590000000000003</v>
      </c>
      <c r="S511">
        <v>67.180000000000007</v>
      </c>
      <c r="T511">
        <v>47.9</v>
      </c>
      <c r="U511">
        <v>28.7</v>
      </c>
      <c r="V511" t="str">
        <f>VLOOKUP(L511,'[2]tabela de preços'!$A:$D,4,0)</f>
        <v>SHERWIN WILLIAMS</v>
      </c>
      <c r="W511" t="str">
        <f>VLOOKUP(L511,'[2]tabela de preços'!$A:$F,6,0)</f>
        <v>TINTAS POLIÉSTER</v>
      </c>
      <c r="X511" t="str">
        <f>VLOOKUP(L511,'[2]tabela de preços'!$A:$G,7,0)</f>
        <v>AUTOMOTIVO</v>
      </c>
    </row>
    <row r="512" spans="1:24" x14ac:dyDescent="0.3">
      <c r="A512" t="s">
        <v>626</v>
      </c>
      <c r="B512" t="s">
        <v>627</v>
      </c>
      <c r="C512" t="s">
        <v>628</v>
      </c>
      <c r="D512" s="1">
        <v>46028</v>
      </c>
      <c r="E512" t="s">
        <v>629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630</v>
      </c>
      <c r="K512" t="s">
        <v>631</v>
      </c>
      <c r="L512">
        <v>24247</v>
      </c>
      <c r="M512" t="s">
        <v>111</v>
      </c>
      <c r="O512" t="s">
        <v>11</v>
      </c>
      <c r="P512">
        <v>5403</v>
      </c>
      <c r="Q512">
        <v>12</v>
      </c>
      <c r="R512">
        <v>19.899999999999999</v>
      </c>
      <c r="S512">
        <v>238.8</v>
      </c>
      <c r="T512">
        <v>199.2</v>
      </c>
      <c r="U512">
        <v>16.579999999999998</v>
      </c>
      <c r="V512" t="str">
        <f>VLOOKUP(L512,'[2]tabela de preços'!$A:$D,4,0)</f>
        <v>SHERWIN WILLIAMS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626</v>
      </c>
      <c r="B513" t="s">
        <v>627</v>
      </c>
      <c r="C513" t="s">
        <v>628</v>
      </c>
      <c r="D513" s="1">
        <v>46028</v>
      </c>
      <c r="E513" t="s">
        <v>629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630</v>
      </c>
      <c r="K513" t="s">
        <v>631</v>
      </c>
      <c r="L513">
        <v>84460</v>
      </c>
      <c r="M513" t="s">
        <v>322</v>
      </c>
      <c r="O513" t="s">
        <v>11</v>
      </c>
      <c r="P513">
        <v>5102</v>
      </c>
      <c r="Q513">
        <v>1</v>
      </c>
      <c r="R513">
        <v>31.07</v>
      </c>
      <c r="S513">
        <v>31.07</v>
      </c>
      <c r="T513">
        <v>23.58</v>
      </c>
      <c r="U513">
        <v>24.11</v>
      </c>
      <c r="V513" t="str">
        <f>VLOOKUP(L513,'[2]tabela de preços'!$A:$D,4,0)</f>
        <v>BRASILUX</v>
      </c>
      <c r="W513" t="str">
        <f>VLOOKUP(L513,'[2]tabela de preços'!$A:$F,6,0)</f>
        <v>VEDADORES / SELANTES</v>
      </c>
      <c r="X513" t="str">
        <f>VLOOKUP(L513,'[2]tabela de preços'!$A:$G,7,0)</f>
        <v>AUTOMOTIVO</v>
      </c>
    </row>
    <row r="514" spans="1:24" x14ac:dyDescent="0.3">
      <c r="A514" t="s">
        <v>626</v>
      </c>
      <c r="B514" t="s">
        <v>627</v>
      </c>
      <c r="C514" t="s">
        <v>628</v>
      </c>
      <c r="D514" s="1">
        <v>46028</v>
      </c>
      <c r="E514" t="s">
        <v>629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630</v>
      </c>
      <c r="K514" t="s">
        <v>631</v>
      </c>
      <c r="L514">
        <v>10404</v>
      </c>
      <c r="M514" t="s">
        <v>130</v>
      </c>
      <c r="O514" t="s">
        <v>11</v>
      </c>
      <c r="P514">
        <v>5102</v>
      </c>
      <c r="Q514">
        <v>4</v>
      </c>
      <c r="R514">
        <v>16.09</v>
      </c>
      <c r="S514">
        <v>64.36</v>
      </c>
      <c r="T514">
        <v>53.28</v>
      </c>
      <c r="U514">
        <v>17.22</v>
      </c>
      <c r="V514" t="str">
        <f>VLOOKUP(L514,'[2]tabela de preços'!$A:$D,4,0)</f>
        <v>MAXI RUBBER</v>
      </c>
      <c r="W514" t="str">
        <f>VLOOKUP(L514,'[2]tabela de preços'!$A:$F,6,0)</f>
        <v>VEDADORES / SELANTES</v>
      </c>
      <c r="X514" t="str">
        <f>VLOOKUP(L514,'[2]tabela de preços'!$A:$G,7,0)</f>
        <v>AUTOMOTIVO</v>
      </c>
    </row>
    <row r="515" spans="1:24" x14ac:dyDescent="0.3">
      <c r="A515" t="s">
        <v>626</v>
      </c>
      <c r="B515" t="s">
        <v>627</v>
      </c>
      <c r="C515" t="s">
        <v>634</v>
      </c>
      <c r="D515" s="1">
        <v>46029</v>
      </c>
      <c r="E515" t="s">
        <v>635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630</v>
      </c>
      <c r="K515" t="s">
        <v>631</v>
      </c>
      <c r="L515">
        <v>23101</v>
      </c>
      <c r="M515" t="s">
        <v>410</v>
      </c>
      <c r="O515" t="s">
        <v>411</v>
      </c>
      <c r="P515">
        <v>5102</v>
      </c>
      <c r="Q515">
        <v>25</v>
      </c>
      <c r="R515">
        <v>2.35</v>
      </c>
      <c r="S515">
        <v>58.75</v>
      </c>
      <c r="T515">
        <v>42.25</v>
      </c>
      <c r="U515">
        <v>28.09</v>
      </c>
      <c r="V515" t="str">
        <f>VLOOKUP(L515,'[2]tabela de preços'!$A:$D,4,0)</f>
        <v>3M</v>
      </c>
      <c r="W515" t="str">
        <f>VLOOKUP(L515,'[2]tabela de preços'!$A:$F,6,0)</f>
        <v xml:space="preserve">DISCOS / LIXAS / ABRASIVOS </v>
      </c>
      <c r="X515" t="str">
        <f>VLOOKUP(L515,'[2]tabela de preços'!$A:$G,7,0)</f>
        <v>AUTOMOTIVO</v>
      </c>
    </row>
    <row r="516" spans="1:24" x14ac:dyDescent="0.3">
      <c r="A516" t="s">
        <v>626</v>
      </c>
      <c r="B516" t="s">
        <v>627</v>
      </c>
      <c r="C516" t="s">
        <v>634</v>
      </c>
      <c r="D516" s="1">
        <v>46029</v>
      </c>
      <c r="E516" t="s">
        <v>635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630</v>
      </c>
      <c r="K516" t="s">
        <v>631</v>
      </c>
      <c r="L516">
        <v>23099</v>
      </c>
      <c r="M516" t="s">
        <v>420</v>
      </c>
      <c r="O516" t="s">
        <v>411</v>
      </c>
      <c r="P516">
        <v>5102</v>
      </c>
      <c r="Q516">
        <v>25</v>
      </c>
      <c r="R516">
        <v>2.35</v>
      </c>
      <c r="S516">
        <v>58.75</v>
      </c>
      <c r="T516">
        <v>42.25</v>
      </c>
      <c r="U516">
        <v>28.09</v>
      </c>
      <c r="V516" t="str">
        <f>VLOOKUP(L516,'[2]tabela de preços'!$A:$D,4,0)</f>
        <v>3M</v>
      </c>
      <c r="W516" t="str">
        <f>VLOOKUP(L516,'[2]tabela de preços'!$A:$F,6,0)</f>
        <v xml:space="preserve">DISCOS / LIXAS / ABRASIVOS </v>
      </c>
      <c r="X516" t="str">
        <f>VLOOKUP(L516,'[2]tabela de preços'!$A:$G,7,0)</f>
        <v>AUTOMOTIVO</v>
      </c>
    </row>
    <row r="517" spans="1:24" x14ac:dyDescent="0.3">
      <c r="A517" t="s">
        <v>626</v>
      </c>
      <c r="B517" t="s">
        <v>627</v>
      </c>
      <c r="C517" t="s">
        <v>634</v>
      </c>
      <c r="D517" s="1">
        <v>46029</v>
      </c>
      <c r="E517" t="s">
        <v>635</v>
      </c>
      <c r="F517">
        <v>9</v>
      </c>
      <c r="G517">
        <v>174</v>
      </c>
      <c r="H517" t="str">
        <f>VLOOKUP(G517,[1]OPERADORES!$A:$B,2,0)</f>
        <v>MIRIÃ LOBATO RODRIGUES</v>
      </c>
      <c r="I517" t="s">
        <v>21</v>
      </c>
      <c r="J517" t="s">
        <v>630</v>
      </c>
      <c r="K517" t="s">
        <v>631</v>
      </c>
      <c r="L517">
        <v>23097</v>
      </c>
      <c r="M517" t="s">
        <v>412</v>
      </c>
      <c r="O517" t="s">
        <v>411</v>
      </c>
      <c r="P517">
        <v>5102</v>
      </c>
      <c r="Q517">
        <v>25</v>
      </c>
      <c r="R517">
        <v>2.35</v>
      </c>
      <c r="S517">
        <v>58.75</v>
      </c>
      <c r="T517">
        <v>34</v>
      </c>
      <c r="U517">
        <v>42.13</v>
      </c>
      <c r="V517" t="str">
        <f>VLOOKUP(L517,'[2]tabela de preços'!$A:$D,4,0)</f>
        <v>3M</v>
      </c>
      <c r="W517" t="str">
        <f>VLOOKUP(L517,'[2]tabela de preços'!$A:$F,6,0)</f>
        <v xml:space="preserve">DISCOS / LIXAS / ABRASIVOS </v>
      </c>
      <c r="X517" t="str">
        <f>VLOOKUP(L517,'[2]tabela de preços'!$A:$G,7,0)</f>
        <v>AUTOMOTIVO</v>
      </c>
    </row>
    <row r="518" spans="1:24" x14ac:dyDescent="0.3">
      <c r="A518" t="s">
        <v>626</v>
      </c>
      <c r="B518" t="s">
        <v>627</v>
      </c>
      <c r="C518" t="s">
        <v>636</v>
      </c>
      <c r="D518" s="1">
        <v>46029</v>
      </c>
      <c r="E518" t="s">
        <v>637</v>
      </c>
      <c r="F518">
        <v>9</v>
      </c>
      <c r="G518">
        <v>174</v>
      </c>
      <c r="H518" t="str">
        <f>VLOOKUP(G518,[1]OPERADORES!$A:$B,2,0)</f>
        <v>MIRIÃ LOBATO RODRIGUES</v>
      </c>
      <c r="I518" t="s">
        <v>21</v>
      </c>
      <c r="J518" t="s">
        <v>630</v>
      </c>
      <c r="K518" t="s">
        <v>631</v>
      </c>
      <c r="L518">
        <v>10236</v>
      </c>
      <c r="M518" t="s">
        <v>133</v>
      </c>
      <c r="O518" t="s">
        <v>11</v>
      </c>
      <c r="P518">
        <v>5102</v>
      </c>
      <c r="Q518">
        <v>10</v>
      </c>
      <c r="R518">
        <v>2.79</v>
      </c>
      <c r="S518">
        <v>27.9</v>
      </c>
      <c r="T518">
        <v>23.7</v>
      </c>
      <c r="U518">
        <v>15.05</v>
      </c>
      <c r="V518" t="str">
        <f>VLOOKUP(L518,'[2]tabela de preços'!$A:$D,4,0)</f>
        <v>NORTON</v>
      </c>
      <c r="W518" t="str">
        <f>VLOOKUP(L518,'[2]tabela de preços'!$A:$F,6,0)</f>
        <v xml:space="preserve">DISCOS / LIXAS / ABRASIVOS </v>
      </c>
      <c r="X518" t="str">
        <f>VLOOKUP(L518,'[2]tabela de preços'!$A:$G,7,0)</f>
        <v>AUTOMOTIVO</v>
      </c>
    </row>
    <row r="519" spans="1:24" x14ac:dyDescent="0.3">
      <c r="A519" t="s">
        <v>626</v>
      </c>
      <c r="B519" t="s">
        <v>627</v>
      </c>
      <c r="C519" t="s">
        <v>636</v>
      </c>
      <c r="D519" s="1">
        <v>46029</v>
      </c>
      <c r="E519" t="s">
        <v>637</v>
      </c>
      <c r="F519">
        <v>9</v>
      </c>
      <c r="G519">
        <v>174</v>
      </c>
      <c r="H519" t="str">
        <f>VLOOKUP(G519,[1]OPERADORES!$A:$B,2,0)</f>
        <v>MIRIÃ LOBATO RODRIGUES</v>
      </c>
      <c r="I519" t="s">
        <v>21</v>
      </c>
      <c r="J519" t="s">
        <v>630</v>
      </c>
      <c r="K519" t="s">
        <v>631</v>
      </c>
      <c r="L519">
        <v>10226</v>
      </c>
      <c r="M519" t="s">
        <v>145</v>
      </c>
      <c r="O519" t="s">
        <v>11</v>
      </c>
      <c r="P519">
        <v>5102</v>
      </c>
      <c r="Q519">
        <v>10</v>
      </c>
      <c r="R519">
        <v>2.79</v>
      </c>
      <c r="S519">
        <v>27.9</v>
      </c>
      <c r="T519">
        <v>23.7</v>
      </c>
      <c r="U519">
        <v>15.05</v>
      </c>
      <c r="V519" t="str">
        <f>VLOOKUP(L519,'[2]tabela de preços'!$A:$D,4,0)</f>
        <v>NORTON</v>
      </c>
      <c r="W519" t="str">
        <f>VLOOKUP(L519,'[2]tabela de preços'!$A:$F,6,0)</f>
        <v xml:space="preserve">DISCOS / LIXAS / ABRASIVOS </v>
      </c>
      <c r="X519" t="str">
        <f>VLOOKUP(L519,'[2]tabela de preços'!$A:$G,7,0)</f>
        <v>AUTOMOTIVO</v>
      </c>
    </row>
    <row r="520" spans="1:24" x14ac:dyDescent="0.3">
      <c r="A520" t="s">
        <v>626</v>
      </c>
      <c r="B520" t="s">
        <v>627</v>
      </c>
      <c r="C520" t="s">
        <v>636</v>
      </c>
      <c r="D520" s="1">
        <v>46029</v>
      </c>
      <c r="E520" t="s">
        <v>637</v>
      </c>
      <c r="F520">
        <v>9</v>
      </c>
      <c r="G520">
        <v>174</v>
      </c>
      <c r="H520" t="str">
        <f>VLOOKUP(G520,[1]OPERADORES!$A:$B,2,0)</f>
        <v>MIRIÃ LOBATO RODRIGUES</v>
      </c>
      <c r="I520" t="s">
        <v>21</v>
      </c>
      <c r="J520" t="s">
        <v>630</v>
      </c>
      <c r="K520" t="s">
        <v>631</v>
      </c>
      <c r="L520">
        <v>23385</v>
      </c>
      <c r="M520" t="s">
        <v>638</v>
      </c>
      <c r="O520" t="s">
        <v>11</v>
      </c>
      <c r="P520">
        <v>5403</v>
      </c>
      <c r="Q520">
        <v>5</v>
      </c>
      <c r="R520">
        <v>51.66</v>
      </c>
      <c r="S520">
        <v>258.3</v>
      </c>
      <c r="T520">
        <v>196.05</v>
      </c>
      <c r="U520">
        <v>24.1</v>
      </c>
      <c r="V520" t="str">
        <f>VLOOKUP(L520,'[2]tabela de preços'!$A:$D,4,0)</f>
        <v>WANDA</v>
      </c>
      <c r="W520" t="str">
        <f>VLOOKUP(L520,'[2]tabela de preços'!$A:$F,6,0)</f>
        <v>TINTAS PU</v>
      </c>
      <c r="X520" t="str">
        <f>VLOOKUP(L520,'[2]tabela de preços'!$A:$G,7,0)</f>
        <v>AUTOMOTIVO</v>
      </c>
    </row>
    <row r="521" spans="1:24" x14ac:dyDescent="0.3">
      <c r="A521" t="s">
        <v>626</v>
      </c>
      <c r="B521" t="s">
        <v>627</v>
      </c>
      <c r="C521" t="s">
        <v>636</v>
      </c>
      <c r="D521" s="1">
        <v>46029</v>
      </c>
      <c r="E521" t="s">
        <v>637</v>
      </c>
      <c r="F521">
        <v>9</v>
      </c>
      <c r="G521">
        <v>174</v>
      </c>
      <c r="H521" t="str">
        <f>VLOOKUP(G521,[1]OPERADORES!$A:$B,2,0)</f>
        <v>MIRIÃ LOBATO RODRIGUES</v>
      </c>
      <c r="I521" t="s">
        <v>21</v>
      </c>
      <c r="J521" t="s">
        <v>630</v>
      </c>
      <c r="K521" t="s">
        <v>631</v>
      </c>
      <c r="L521">
        <v>20321</v>
      </c>
      <c r="M521" t="s">
        <v>639</v>
      </c>
      <c r="O521" t="s">
        <v>11</v>
      </c>
      <c r="P521">
        <v>5403</v>
      </c>
      <c r="Q521">
        <v>3</v>
      </c>
      <c r="R521">
        <v>35.200000000000003</v>
      </c>
      <c r="S521">
        <v>105.6</v>
      </c>
      <c r="T521">
        <v>75.3</v>
      </c>
      <c r="U521">
        <v>28.69</v>
      </c>
      <c r="V521" t="str">
        <f>VLOOKUP(L521,'[2]tabela de preços'!$A:$D,4,0)</f>
        <v>SHERWIN WILLIAMS</v>
      </c>
      <c r="W521" t="str">
        <f>VLOOKUP(L521,'[2]tabela de preços'!$A:$F,6,0)</f>
        <v>TINTAS POLIÉSTER</v>
      </c>
      <c r="X521" t="str">
        <f>VLOOKUP(L521,'[2]tabela de preços'!$A:$G,7,0)</f>
        <v>AUTOMOTIVO</v>
      </c>
    </row>
    <row r="522" spans="1:24" x14ac:dyDescent="0.3">
      <c r="A522" t="s">
        <v>626</v>
      </c>
      <c r="B522" t="s">
        <v>627</v>
      </c>
      <c r="C522" t="s">
        <v>636</v>
      </c>
      <c r="D522" s="1">
        <v>46029</v>
      </c>
      <c r="E522" t="s">
        <v>637</v>
      </c>
      <c r="F522">
        <v>9</v>
      </c>
      <c r="G522">
        <v>174</v>
      </c>
      <c r="H522" t="str">
        <f>VLOOKUP(G522,[1]OPERADORES!$A:$B,2,0)</f>
        <v>MIRIÃ LOBATO RODRIGUES</v>
      </c>
      <c r="I522" t="s">
        <v>21</v>
      </c>
      <c r="J522" t="s">
        <v>630</v>
      </c>
      <c r="K522" t="s">
        <v>631</v>
      </c>
      <c r="L522">
        <v>10240</v>
      </c>
      <c r="M522" t="s">
        <v>81</v>
      </c>
      <c r="O522" t="s">
        <v>11</v>
      </c>
      <c r="P522">
        <v>5102</v>
      </c>
      <c r="Q522">
        <v>20</v>
      </c>
      <c r="R522">
        <v>2.79</v>
      </c>
      <c r="S522">
        <v>55.8</v>
      </c>
      <c r="T522">
        <v>45.6</v>
      </c>
      <c r="U522">
        <v>18.28</v>
      </c>
      <c r="V522" t="str">
        <f>VLOOKUP(L522,'[2]tabela de preços'!$A:$D,4,0)</f>
        <v>NORTON</v>
      </c>
      <c r="W522" t="str">
        <f>VLOOKUP(L522,'[2]tabela de preços'!$A:$F,6,0)</f>
        <v xml:space="preserve">DISCOS / LIXAS / ABRASIVOS </v>
      </c>
      <c r="X522" t="str">
        <f>VLOOKUP(L522,'[2]tabela de preços'!$A:$G,7,0)</f>
        <v>AUTOMOTIVO</v>
      </c>
    </row>
    <row r="523" spans="1:24" x14ac:dyDescent="0.3">
      <c r="A523" t="s">
        <v>626</v>
      </c>
      <c r="B523" t="s">
        <v>627</v>
      </c>
      <c r="C523" t="s">
        <v>636</v>
      </c>
      <c r="D523" s="1">
        <v>46029</v>
      </c>
      <c r="E523" t="s">
        <v>637</v>
      </c>
      <c r="F523">
        <v>9</v>
      </c>
      <c r="G523">
        <v>174</v>
      </c>
      <c r="H523" t="str">
        <f>VLOOKUP(G523,[1]OPERADORES!$A:$B,2,0)</f>
        <v>MIRIÃ LOBATO RODRIGUES</v>
      </c>
      <c r="I523" t="s">
        <v>21</v>
      </c>
      <c r="J523" t="s">
        <v>630</v>
      </c>
      <c r="K523" t="s">
        <v>631</v>
      </c>
      <c r="L523">
        <v>84658</v>
      </c>
      <c r="M523" t="s">
        <v>100</v>
      </c>
      <c r="O523" t="s">
        <v>11</v>
      </c>
      <c r="P523">
        <v>5102</v>
      </c>
      <c r="Q523">
        <v>2</v>
      </c>
      <c r="R523">
        <v>40.840000000000003</v>
      </c>
      <c r="S523">
        <v>81.680000000000007</v>
      </c>
      <c r="T523">
        <v>62</v>
      </c>
      <c r="U523">
        <v>24.09</v>
      </c>
      <c r="V523" t="str">
        <f>VLOOKUP(L523,'[2]tabela de preços'!$A:$D,4,0)</f>
        <v>ANJO</v>
      </c>
      <c r="W523" t="str">
        <f>VLOOKUP(L523,'[2]tabela de preços'!$A:$F,6,0)</f>
        <v>MASSA POLIÉSTER</v>
      </c>
      <c r="X523" t="str">
        <f>VLOOKUP(L523,'[2]tabela de preços'!$A:$G,7,0)</f>
        <v>AUTOMOTIVO</v>
      </c>
    </row>
    <row r="524" spans="1:24" x14ac:dyDescent="0.3">
      <c r="A524" t="s">
        <v>626</v>
      </c>
      <c r="B524" t="s">
        <v>627</v>
      </c>
      <c r="C524" t="s">
        <v>636</v>
      </c>
      <c r="D524" s="1">
        <v>46029</v>
      </c>
      <c r="E524" t="s">
        <v>637</v>
      </c>
      <c r="F524">
        <v>9</v>
      </c>
      <c r="G524">
        <v>174</v>
      </c>
      <c r="H524" t="str">
        <f>VLOOKUP(G524,[1]OPERADORES!$A:$B,2,0)</f>
        <v>MIRIÃ LOBATO RODRIGUES</v>
      </c>
      <c r="I524" t="s">
        <v>21</v>
      </c>
      <c r="J524" t="s">
        <v>630</v>
      </c>
      <c r="K524" t="s">
        <v>631</v>
      </c>
      <c r="L524">
        <v>87043</v>
      </c>
      <c r="M524" t="s">
        <v>217</v>
      </c>
      <c r="O524" t="s">
        <v>11</v>
      </c>
      <c r="P524">
        <v>5102</v>
      </c>
      <c r="Q524">
        <v>16</v>
      </c>
      <c r="R524">
        <v>22.89</v>
      </c>
      <c r="S524">
        <v>366.24</v>
      </c>
      <c r="T524">
        <v>288.32</v>
      </c>
      <c r="U524">
        <v>21.28</v>
      </c>
      <c r="V524" t="str">
        <f>VLOOKUP(L524,'[2]tabela de preços'!$A:$D,4,0)</f>
        <v>ROBERLO</v>
      </c>
      <c r="W524" t="str">
        <f>VLOOKUP(L524,'[2]tabela de preços'!$A:$F,6,0)</f>
        <v>MASSA POLIÉSTER</v>
      </c>
      <c r="X524" t="str">
        <f>VLOOKUP(L524,'[2]tabela de preços'!$A:$G,7,0)</f>
        <v>AUTOMOTIVO</v>
      </c>
    </row>
    <row r="525" spans="1:24" x14ac:dyDescent="0.3">
      <c r="A525" t="s">
        <v>626</v>
      </c>
      <c r="B525" t="s">
        <v>627</v>
      </c>
      <c r="C525" t="s">
        <v>636</v>
      </c>
      <c r="D525" s="1">
        <v>46029</v>
      </c>
      <c r="E525" t="s">
        <v>637</v>
      </c>
      <c r="F525">
        <v>9</v>
      </c>
      <c r="G525">
        <v>174</v>
      </c>
      <c r="H525" t="str">
        <f>VLOOKUP(G525,[1]OPERADORES!$A:$B,2,0)</f>
        <v>MIRIÃ LOBATO RODRIGUES</v>
      </c>
      <c r="I525" t="s">
        <v>21</v>
      </c>
      <c r="J525" t="s">
        <v>630</v>
      </c>
      <c r="K525" t="s">
        <v>631</v>
      </c>
      <c r="L525">
        <v>21067</v>
      </c>
      <c r="M525" t="s">
        <v>640</v>
      </c>
      <c r="O525" t="s">
        <v>11</v>
      </c>
      <c r="P525">
        <v>5102</v>
      </c>
      <c r="Q525">
        <v>3</v>
      </c>
      <c r="R525">
        <v>37.58</v>
      </c>
      <c r="S525">
        <v>112.74</v>
      </c>
      <c r="T525">
        <v>85.56</v>
      </c>
      <c r="U525">
        <v>24.11</v>
      </c>
      <c r="V525" t="str">
        <f>VLOOKUP(L525,'[2]tabela de preços'!$A:$D,4,0)</f>
        <v>SIKKENS</v>
      </c>
      <c r="W525" t="str">
        <f>VLOOKUP(L525,'[2]tabela de preços'!$A:$F,6,0)</f>
        <v>DILUENTE</v>
      </c>
      <c r="X525" t="str">
        <f>VLOOKUP(L525,'[2]tabela de preços'!$A:$G,7,0)</f>
        <v>AUTOMOTIVO</v>
      </c>
    </row>
    <row r="526" spans="1:24" x14ac:dyDescent="0.3">
      <c r="A526" t="s">
        <v>626</v>
      </c>
      <c r="B526" t="s">
        <v>627</v>
      </c>
      <c r="C526" t="s">
        <v>636</v>
      </c>
      <c r="D526" s="1">
        <v>46029</v>
      </c>
      <c r="E526" t="s">
        <v>637</v>
      </c>
      <c r="F526">
        <v>9</v>
      </c>
      <c r="G526">
        <v>174</v>
      </c>
      <c r="H526" t="str">
        <f>VLOOKUP(G526,[1]OPERADORES!$A:$B,2,0)</f>
        <v>MIRIÃ LOBATO RODRIGUES</v>
      </c>
      <c r="I526" t="s">
        <v>21</v>
      </c>
      <c r="J526" t="s">
        <v>630</v>
      </c>
      <c r="K526" t="s">
        <v>631</v>
      </c>
      <c r="L526">
        <v>20212</v>
      </c>
      <c r="M526" t="s">
        <v>198</v>
      </c>
      <c r="O526" t="s">
        <v>11</v>
      </c>
      <c r="P526">
        <v>5403</v>
      </c>
      <c r="Q526">
        <v>3</v>
      </c>
      <c r="R526">
        <v>26.95</v>
      </c>
      <c r="S526">
        <v>80.849999999999994</v>
      </c>
      <c r="T526">
        <v>61.38</v>
      </c>
      <c r="U526">
        <v>24.08</v>
      </c>
      <c r="V526" t="str">
        <f>VLOOKUP(L526,'[2]tabela de preços'!$A:$D,4,0)</f>
        <v>MAXI RUBBER</v>
      </c>
      <c r="W526" t="str">
        <f>VLOOKUP(L526,'[2]tabela de preços'!$A:$F,6,0)</f>
        <v>SELADORA P/ PLASTICO</v>
      </c>
      <c r="X526" t="str">
        <f>VLOOKUP(L526,'[2]tabela de preços'!$A:$G,7,0)</f>
        <v>AUTOMOTIVO</v>
      </c>
    </row>
    <row r="527" spans="1:24" x14ac:dyDescent="0.3">
      <c r="A527" t="s">
        <v>626</v>
      </c>
      <c r="B527" t="s">
        <v>627</v>
      </c>
      <c r="C527" t="s">
        <v>636</v>
      </c>
      <c r="D527" s="1">
        <v>46029</v>
      </c>
      <c r="E527" t="s">
        <v>637</v>
      </c>
      <c r="F527">
        <v>9</v>
      </c>
      <c r="G527">
        <v>174</v>
      </c>
      <c r="H527" t="str">
        <f>VLOOKUP(G527,[1]OPERADORES!$A:$B,2,0)</f>
        <v>MIRIÃ LOBATO RODRIGUES</v>
      </c>
      <c r="I527" t="s">
        <v>21</v>
      </c>
      <c r="J527" t="s">
        <v>630</v>
      </c>
      <c r="K527" t="s">
        <v>631</v>
      </c>
      <c r="L527">
        <v>20414</v>
      </c>
      <c r="M527" t="s">
        <v>112</v>
      </c>
      <c r="O527" t="s">
        <v>11</v>
      </c>
      <c r="P527">
        <v>5102</v>
      </c>
      <c r="Q527">
        <v>20</v>
      </c>
      <c r="R527">
        <v>21.89</v>
      </c>
      <c r="S527">
        <v>437.8</v>
      </c>
      <c r="T527">
        <v>360</v>
      </c>
      <c r="U527">
        <v>17.77</v>
      </c>
      <c r="V527" t="str">
        <f>VLOOKUP(L527,'[2]tabela de preços'!$A:$D,4,0)</f>
        <v>SHERWIN WILLIAMS</v>
      </c>
      <c r="W527" t="str">
        <f>VLOOKUP(L527,'[2]tabela de preços'!$A:$F,6,0)</f>
        <v>DILUENTE</v>
      </c>
      <c r="X527" t="str">
        <f>VLOOKUP(L527,'[2]tabela de preços'!$A:$G,7,0)</f>
        <v>AUTOMOTIVO</v>
      </c>
    </row>
    <row r="528" spans="1:24" x14ac:dyDescent="0.3">
      <c r="A528" t="s">
        <v>626</v>
      </c>
      <c r="B528" t="s">
        <v>627</v>
      </c>
      <c r="C528" t="s">
        <v>636</v>
      </c>
      <c r="D528" s="1">
        <v>46029</v>
      </c>
      <c r="E528" t="s">
        <v>637</v>
      </c>
      <c r="F528">
        <v>9</v>
      </c>
      <c r="G528">
        <v>174</v>
      </c>
      <c r="H528" t="str">
        <f>VLOOKUP(G528,[1]OPERADORES!$A:$B,2,0)</f>
        <v>MIRIÃ LOBATO RODRIGUES</v>
      </c>
      <c r="I528" t="s">
        <v>21</v>
      </c>
      <c r="J528" t="s">
        <v>630</v>
      </c>
      <c r="K528" t="s">
        <v>631</v>
      </c>
      <c r="L528">
        <v>10404</v>
      </c>
      <c r="M528" t="s">
        <v>130</v>
      </c>
      <c r="O528" t="s">
        <v>11</v>
      </c>
      <c r="P528">
        <v>5102</v>
      </c>
      <c r="Q528">
        <v>2</v>
      </c>
      <c r="R528">
        <v>16.09</v>
      </c>
      <c r="S528">
        <v>32.18</v>
      </c>
      <c r="T528">
        <v>26.64</v>
      </c>
      <c r="U528">
        <v>17.22</v>
      </c>
      <c r="V528" t="str">
        <f>VLOOKUP(L528,'[2]tabela de preços'!$A:$D,4,0)</f>
        <v>MAXI RUBBER</v>
      </c>
      <c r="W528" t="str">
        <f>VLOOKUP(L528,'[2]tabela de preços'!$A:$F,6,0)</f>
        <v>VEDADORES / SELANTES</v>
      </c>
      <c r="X528" t="str">
        <f>VLOOKUP(L528,'[2]tabela de preços'!$A:$G,7,0)</f>
        <v>AUTOMOTIVO</v>
      </c>
    </row>
    <row r="529" spans="1:24" x14ac:dyDescent="0.3">
      <c r="A529" t="s">
        <v>626</v>
      </c>
      <c r="B529" t="s">
        <v>627</v>
      </c>
      <c r="C529" t="s">
        <v>641</v>
      </c>
      <c r="D529" s="1">
        <v>46029</v>
      </c>
      <c r="E529" t="s">
        <v>642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630</v>
      </c>
      <c r="K529" t="s">
        <v>631</v>
      </c>
      <c r="L529">
        <v>23713</v>
      </c>
      <c r="M529" t="s">
        <v>192</v>
      </c>
      <c r="O529" t="s">
        <v>11</v>
      </c>
      <c r="P529">
        <v>5102</v>
      </c>
      <c r="Q529">
        <v>1</v>
      </c>
      <c r="R529">
        <v>37.9</v>
      </c>
      <c r="S529">
        <v>37.9</v>
      </c>
      <c r="T529">
        <v>30.9</v>
      </c>
      <c r="U529">
        <v>18.47</v>
      </c>
      <c r="V529" t="str">
        <f>VLOOKUP(L529,'[2]tabela de preços'!$A:$D,4,0)</f>
        <v>NEW PAD</v>
      </c>
      <c r="W529" t="str">
        <f>VLOOKUP(L529,'[2]tabela de preços'!$A:$F,6,0)</f>
        <v>BOINAS PARA POLIMENTO</v>
      </c>
      <c r="X529" t="str">
        <f>VLOOKUP(L529,'[2]tabela de preços'!$A:$G,7,0)</f>
        <v>AUTOMOTIVO</v>
      </c>
    </row>
    <row r="530" spans="1:24" x14ac:dyDescent="0.3">
      <c r="A530" t="s">
        <v>626</v>
      </c>
      <c r="B530" t="s">
        <v>627</v>
      </c>
      <c r="C530" t="s">
        <v>641</v>
      </c>
      <c r="D530" s="1">
        <v>46029</v>
      </c>
      <c r="E530" t="s">
        <v>642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630</v>
      </c>
      <c r="K530" t="s">
        <v>631</v>
      </c>
      <c r="L530">
        <v>21301</v>
      </c>
      <c r="M530" t="s">
        <v>643</v>
      </c>
      <c r="O530" t="s">
        <v>11</v>
      </c>
      <c r="P530">
        <v>5403</v>
      </c>
      <c r="Q530">
        <v>4</v>
      </c>
      <c r="R530">
        <v>39.85</v>
      </c>
      <c r="S530">
        <v>159.4</v>
      </c>
      <c r="T530">
        <v>121</v>
      </c>
      <c r="U530">
        <v>24.09</v>
      </c>
      <c r="V530" t="str">
        <f>VLOOKUP(L530,'[2]tabela de preços'!$A:$D,4,0)</f>
        <v>WANDA</v>
      </c>
      <c r="W530" t="str">
        <f>VLOOKUP(L530,'[2]tabela de preços'!$A:$F,6,0)</f>
        <v>TINTAS POLIÉSTER</v>
      </c>
      <c r="X530" t="str">
        <f>VLOOKUP(L530,'[2]tabela de preços'!$A:$G,7,0)</f>
        <v>AUTOMOTIVO</v>
      </c>
    </row>
    <row r="531" spans="1:24" x14ac:dyDescent="0.3">
      <c r="A531" t="s">
        <v>626</v>
      </c>
      <c r="B531" t="s">
        <v>627</v>
      </c>
      <c r="C531" t="s">
        <v>641</v>
      </c>
      <c r="D531" s="1">
        <v>46029</v>
      </c>
      <c r="E531" t="s">
        <v>642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630</v>
      </c>
      <c r="K531" t="s">
        <v>631</v>
      </c>
      <c r="L531">
        <v>23110</v>
      </c>
      <c r="M531" t="s">
        <v>409</v>
      </c>
      <c r="O531" t="s">
        <v>11</v>
      </c>
      <c r="P531">
        <v>5102</v>
      </c>
      <c r="Q531">
        <v>50</v>
      </c>
      <c r="R531">
        <v>2.35</v>
      </c>
      <c r="S531">
        <v>117.5</v>
      </c>
      <c r="T531">
        <v>92.5</v>
      </c>
      <c r="U531">
        <v>21.28</v>
      </c>
      <c r="V531" t="str">
        <f>VLOOKUP(L531,'[2]tabela de preços'!$A:$D,4,0)</f>
        <v>3M</v>
      </c>
      <c r="W531" t="str">
        <f>VLOOKUP(L531,'[2]tabela de preços'!$A:$F,6,0)</f>
        <v xml:space="preserve">DISCOS / LIXAS / ABRASIVOS </v>
      </c>
      <c r="X531" t="str">
        <f>VLOOKUP(L531,'[2]tabela de preços'!$A:$G,7,0)</f>
        <v>AUTOMOTIVO</v>
      </c>
    </row>
    <row r="532" spans="1:24" x14ac:dyDescent="0.3">
      <c r="A532" t="s">
        <v>626</v>
      </c>
      <c r="B532" t="s">
        <v>627</v>
      </c>
      <c r="C532" t="s">
        <v>641</v>
      </c>
      <c r="D532" s="1">
        <v>46029</v>
      </c>
      <c r="E532" t="s">
        <v>642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630</v>
      </c>
      <c r="K532" t="s">
        <v>631</v>
      </c>
      <c r="L532">
        <v>23105</v>
      </c>
      <c r="M532" t="s">
        <v>402</v>
      </c>
      <c r="O532" t="s">
        <v>11</v>
      </c>
      <c r="P532">
        <v>5102</v>
      </c>
      <c r="Q532">
        <v>50</v>
      </c>
      <c r="R532">
        <v>2.35</v>
      </c>
      <c r="S532">
        <v>117.5</v>
      </c>
      <c r="T532">
        <v>96</v>
      </c>
      <c r="U532">
        <v>18.3</v>
      </c>
      <c r="V532" t="str">
        <f>VLOOKUP(L532,'[2]tabela de preços'!$A:$D,4,0)</f>
        <v>3M</v>
      </c>
      <c r="W532" t="str">
        <f>VLOOKUP(L532,'[2]tabela de preços'!$A:$F,6,0)</f>
        <v xml:space="preserve">DISCOS / LIXAS / ABRASIVOS </v>
      </c>
      <c r="X532" t="str">
        <f>VLOOKUP(L532,'[2]tabela de preços'!$A:$G,7,0)</f>
        <v>AUTOMOTIVO</v>
      </c>
    </row>
    <row r="533" spans="1:24" x14ac:dyDescent="0.3">
      <c r="A533" t="s">
        <v>626</v>
      </c>
      <c r="B533" t="s">
        <v>627</v>
      </c>
      <c r="C533" t="s">
        <v>641</v>
      </c>
      <c r="D533" s="1">
        <v>46029</v>
      </c>
      <c r="E533" t="s">
        <v>642</v>
      </c>
      <c r="F533">
        <v>9</v>
      </c>
      <c r="G533">
        <v>174</v>
      </c>
      <c r="H533" t="str">
        <f>VLOOKUP(G533,[1]OPERADORES!$A:$B,2,0)</f>
        <v>MIRIÃ LOBATO RODRIGUES</v>
      </c>
      <c r="I533" t="s">
        <v>21</v>
      </c>
      <c r="J533" t="s">
        <v>630</v>
      </c>
      <c r="K533" t="s">
        <v>631</v>
      </c>
      <c r="L533">
        <v>23653</v>
      </c>
      <c r="M533" t="s">
        <v>644</v>
      </c>
      <c r="O533" t="s">
        <v>11</v>
      </c>
      <c r="P533">
        <v>5102</v>
      </c>
      <c r="Q533">
        <v>1</v>
      </c>
      <c r="R533">
        <v>67.150000000000006</v>
      </c>
      <c r="S533">
        <v>67.150000000000006</v>
      </c>
      <c r="T533">
        <v>50.97</v>
      </c>
      <c r="U533">
        <v>24.1</v>
      </c>
      <c r="V533" t="str">
        <f>VLOOKUP(L533,'[2]tabela de preços'!$A:$D,4,0)</f>
        <v>SIKKENS</v>
      </c>
      <c r="W533" t="str">
        <f>VLOOKUP(L533,'[2]tabela de preços'!$A:$F,6,0)</f>
        <v>CATALISADORES INDIVIDUAS</v>
      </c>
      <c r="X533" t="str">
        <f>VLOOKUP(L533,'[2]tabela de preços'!$A:$G,7,0)</f>
        <v>AUTOMOTIVO</v>
      </c>
    </row>
    <row r="534" spans="1:24" x14ac:dyDescent="0.3">
      <c r="A534" t="s">
        <v>626</v>
      </c>
      <c r="B534" t="s">
        <v>627</v>
      </c>
      <c r="C534" t="s">
        <v>641</v>
      </c>
      <c r="D534" s="1">
        <v>46029</v>
      </c>
      <c r="E534" t="s">
        <v>642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630</v>
      </c>
      <c r="K534" t="s">
        <v>631</v>
      </c>
      <c r="L534">
        <v>20318</v>
      </c>
      <c r="M534" t="s">
        <v>136</v>
      </c>
      <c r="O534" t="s">
        <v>11</v>
      </c>
      <c r="P534">
        <v>5403</v>
      </c>
      <c r="Q534">
        <v>2</v>
      </c>
      <c r="R534">
        <v>33.4</v>
      </c>
      <c r="S534">
        <v>66.8</v>
      </c>
      <c r="T534">
        <v>47.62</v>
      </c>
      <c r="U534">
        <v>28.71</v>
      </c>
      <c r="V534" t="str">
        <f>VLOOKUP(L534,'[2]tabela de preços'!$A:$D,4,0)</f>
        <v>SHERWIN WILLIAMS</v>
      </c>
      <c r="W534" t="str">
        <f>VLOOKUP(L534,'[2]tabela de preços'!$A:$F,6,0)</f>
        <v>TINTAS POLIÉSTER</v>
      </c>
      <c r="X534" t="str">
        <f>VLOOKUP(L534,'[2]tabela de preços'!$A:$G,7,0)</f>
        <v>AUTOMOTIVO</v>
      </c>
    </row>
    <row r="535" spans="1:24" x14ac:dyDescent="0.3">
      <c r="A535" t="s">
        <v>626</v>
      </c>
      <c r="B535" t="s">
        <v>627</v>
      </c>
      <c r="C535" t="s">
        <v>641</v>
      </c>
      <c r="D535" s="1">
        <v>46029</v>
      </c>
      <c r="E535" t="s">
        <v>642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630</v>
      </c>
      <c r="K535" t="s">
        <v>631</v>
      </c>
      <c r="L535">
        <v>21077</v>
      </c>
      <c r="M535" t="s">
        <v>207</v>
      </c>
      <c r="O535" t="s">
        <v>11</v>
      </c>
      <c r="P535">
        <v>5102</v>
      </c>
      <c r="Q535">
        <v>6</v>
      </c>
      <c r="R535">
        <v>44.68</v>
      </c>
      <c r="S535">
        <v>268.08</v>
      </c>
      <c r="T535">
        <v>203.52</v>
      </c>
      <c r="U535">
        <v>24.08</v>
      </c>
      <c r="V535" t="str">
        <f>VLOOKUP(L535,'[2]tabela de preços'!$A:$D,4,0)</f>
        <v>SHERWIN WILLIAMS</v>
      </c>
      <c r="W535" t="str">
        <f>VLOOKUP(L535,'[2]tabela de preços'!$A:$F,6,0)</f>
        <v>MASSA POLIÉSTER</v>
      </c>
      <c r="X535" t="str">
        <f>VLOOKUP(L535,'[2]tabela de preços'!$A:$G,7,0)</f>
        <v>AUTOMOTIVO</v>
      </c>
    </row>
    <row r="536" spans="1:24" x14ac:dyDescent="0.3">
      <c r="A536" t="s">
        <v>626</v>
      </c>
      <c r="B536" t="s">
        <v>627</v>
      </c>
      <c r="C536" t="s">
        <v>641</v>
      </c>
      <c r="D536" s="1">
        <v>46029</v>
      </c>
      <c r="E536" t="s">
        <v>642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630</v>
      </c>
      <c r="K536" t="s">
        <v>631</v>
      </c>
      <c r="L536">
        <v>23926</v>
      </c>
      <c r="M536" t="s">
        <v>645</v>
      </c>
      <c r="O536" t="s">
        <v>11</v>
      </c>
      <c r="P536">
        <v>5403</v>
      </c>
      <c r="Q536">
        <v>1</v>
      </c>
      <c r="R536">
        <v>135.72</v>
      </c>
      <c r="S536">
        <v>135.72</v>
      </c>
      <c r="T536">
        <v>103.01</v>
      </c>
      <c r="U536">
        <v>24.1</v>
      </c>
      <c r="V536" t="str">
        <f>VLOOKUP(L536,'[2]tabela de preços'!$A:$D,4,0)</f>
        <v>SIKKENS</v>
      </c>
      <c r="W536" t="str">
        <f>VLOOKUP(L536,'[2]tabela de preços'!$A:$F,6,0)</f>
        <v>PRIMER AUTOMOTIVO</v>
      </c>
      <c r="X536" t="str">
        <f>VLOOKUP(L536,'[2]tabela de preços'!$A:$G,7,0)</f>
        <v>AUTOMOTIVO</v>
      </c>
    </row>
    <row r="537" spans="1:24" x14ac:dyDescent="0.3">
      <c r="A537" t="s">
        <v>626</v>
      </c>
      <c r="B537" t="s">
        <v>627</v>
      </c>
      <c r="C537" t="s">
        <v>646</v>
      </c>
      <c r="D537" s="1">
        <v>46031</v>
      </c>
      <c r="E537" t="s">
        <v>647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630</v>
      </c>
      <c r="K537" t="s">
        <v>631</v>
      </c>
      <c r="L537">
        <v>20318</v>
      </c>
      <c r="M537" t="s">
        <v>136</v>
      </c>
      <c r="O537" t="s">
        <v>11</v>
      </c>
      <c r="P537">
        <v>5403</v>
      </c>
      <c r="Q537">
        <v>4</v>
      </c>
      <c r="R537">
        <v>33.4</v>
      </c>
      <c r="S537">
        <v>133.6</v>
      </c>
      <c r="T537">
        <v>95.24</v>
      </c>
      <c r="U537">
        <v>28.71</v>
      </c>
      <c r="V537" t="str">
        <f>VLOOKUP(L537,'[2]tabela de preços'!$A:$D,4,0)</f>
        <v>SHERWIN WILLIAMS</v>
      </c>
      <c r="W537" t="str">
        <f>VLOOKUP(L537,'[2]tabela de preços'!$A:$F,6,0)</f>
        <v>TINTAS POLIÉSTER</v>
      </c>
      <c r="X537" t="str">
        <f>VLOOKUP(L537,'[2]tabela de preços'!$A:$G,7,0)</f>
        <v>AUTOMOTIVO</v>
      </c>
    </row>
    <row r="538" spans="1:24" x14ac:dyDescent="0.3">
      <c r="A538" t="s">
        <v>626</v>
      </c>
      <c r="B538" t="s">
        <v>627</v>
      </c>
      <c r="C538" t="s">
        <v>646</v>
      </c>
      <c r="D538" s="1">
        <v>46031</v>
      </c>
      <c r="E538" t="s">
        <v>647</v>
      </c>
      <c r="F538">
        <v>9</v>
      </c>
      <c r="G538">
        <v>174</v>
      </c>
      <c r="H538" t="str">
        <f>VLOOKUP(G538,[1]OPERADORES!$A:$B,2,0)</f>
        <v>MIRIÃ LOBATO RODRIGUES</v>
      </c>
      <c r="I538" t="s">
        <v>21</v>
      </c>
      <c r="J538" t="s">
        <v>630</v>
      </c>
      <c r="K538" t="s">
        <v>631</v>
      </c>
      <c r="L538">
        <v>20375</v>
      </c>
      <c r="M538" t="s">
        <v>148</v>
      </c>
      <c r="O538" t="s">
        <v>11</v>
      </c>
      <c r="P538">
        <v>5403</v>
      </c>
      <c r="Q538">
        <v>2</v>
      </c>
      <c r="R538">
        <v>35.49</v>
      </c>
      <c r="S538">
        <v>70.98</v>
      </c>
      <c r="T538">
        <v>50.6</v>
      </c>
      <c r="U538">
        <v>28.71</v>
      </c>
      <c r="V538" t="str">
        <f>VLOOKUP(L538,'[2]tabela de preços'!$A:$D,4,0)</f>
        <v>SHERWIN WILLIAMS</v>
      </c>
      <c r="W538" t="str">
        <f>VLOOKUP(L538,'[2]tabela de preços'!$A:$F,6,0)</f>
        <v>TINTAS POLIÉSTER</v>
      </c>
      <c r="X538" t="str">
        <f>VLOOKUP(L538,'[2]tabela de preços'!$A:$G,7,0)</f>
        <v>AUTOMOTIVO</v>
      </c>
    </row>
    <row r="539" spans="1:24" x14ac:dyDescent="0.3">
      <c r="A539" t="s">
        <v>626</v>
      </c>
      <c r="B539" t="s">
        <v>627</v>
      </c>
      <c r="C539" t="s">
        <v>646</v>
      </c>
      <c r="D539" s="1">
        <v>46031</v>
      </c>
      <c r="E539" t="s">
        <v>647</v>
      </c>
      <c r="F539">
        <v>9</v>
      </c>
      <c r="G539">
        <v>174</v>
      </c>
      <c r="H539" t="str">
        <f>VLOOKUP(G539,[1]OPERADORES!$A:$B,2,0)</f>
        <v>MIRIÃ LOBATO RODRIGUES</v>
      </c>
      <c r="I539" t="s">
        <v>21</v>
      </c>
      <c r="J539" t="s">
        <v>630</v>
      </c>
      <c r="K539" t="s">
        <v>631</v>
      </c>
      <c r="L539">
        <v>20325</v>
      </c>
      <c r="M539" t="s">
        <v>150</v>
      </c>
      <c r="O539" t="s">
        <v>11</v>
      </c>
      <c r="P539">
        <v>5403</v>
      </c>
      <c r="Q539">
        <v>2</v>
      </c>
      <c r="R539">
        <v>32.299999999999997</v>
      </c>
      <c r="S539">
        <v>64.599999999999994</v>
      </c>
      <c r="T539">
        <v>46.06</v>
      </c>
      <c r="U539">
        <v>28.7</v>
      </c>
      <c r="V539" t="str">
        <f>VLOOKUP(L539,'[2]tabela de preços'!$A:$D,4,0)</f>
        <v>SHERWIN WILLIAMS</v>
      </c>
      <c r="W539" t="str">
        <f>VLOOKUP(L539,'[2]tabela de preços'!$A:$F,6,0)</f>
        <v>TINTAS POLIÉSTER</v>
      </c>
      <c r="X539" t="str">
        <f>VLOOKUP(L539,'[2]tabela de preços'!$A:$G,7,0)</f>
        <v>AUTOMOTIVO</v>
      </c>
    </row>
    <row r="540" spans="1:24" x14ac:dyDescent="0.3">
      <c r="A540" t="s">
        <v>626</v>
      </c>
      <c r="B540" t="s">
        <v>627</v>
      </c>
      <c r="C540" t="s">
        <v>646</v>
      </c>
      <c r="D540" s="1">
        <v>46031</v>
      </c>
      <c r="E540" t="s">
        <v>647</v>
      </c>
      <c r="F540">
        <v>9</v>
      </c>
      <c r="G540">
        <v>174</v>
      </c>
      <c r="H540" t="str">
        <f>VLOOKUP(G540,[1]OPERADORES!$A:$B,2,0)</f>
        <v>MIRIÃ LOBATO RODRIGUES</v>
      </c>
      <c r="I540" t="s">
        <v>21</v>
      </c>
      <c r="J540" t="s">
        <v>630</v>
      </c>
      <c r="K540" t="s">
        <v>631</v>
      </c>
      <c r="L540">
        <v>20846</v>
      </c>
      <c r="M540" t="s">
        <v>163</v>
      </c>
      <c r="O540" t="s">
        <v>11</v>
      </c>
      <c r="P540">
        <v>5102</v>
      </c>
      <c r="Q540">
        <v>2</v>
      </c>
      <c r="R540">
        <v>32.44</v>
      </c>
      <c r="S540">
        <v>64.88</v>
      </c>
      <c r="T540">
        <v>49.24</v>
      </c>
      <c r="U540">
        <v>24.11</v>
      </c>
      <c r="V540" t="str">
        <f>VLOOKUP(L540,'[2]tabela de preços'!$A:$D,4,0)</f>
        <v>SHERWIN WILLIAMS</v>
      </c>
      <c r="W540" t="str">
        <f>VLOOKUP(L540,'[2]tabela de preços'!$A:$F,6,0)</f>
        <v>TINTAS POLIÉSTER</v>
      </c>
      <c r="X540" t="str">
        <f>VLOOKUP(L540,'[2]tabela de preços'!$A:$G,7,0)</f>
        <v>AUTOMOTIVO</v>
      </c>
    </row>
    <row r="541" spans="1:24" x14ac:dyDescent="0.3">
      <c r="A541" t="s">
        <v>626</v>
      </c>
      <c r="B541" t="s">
        <v>627</v>
      </c>
      <c r="C541" t="s">
        <v>646</v>
      </c>
      <c r="D541" s="1">
        <v>46031</v>
      </c>
      <c r="E541" t="s">
        <v>647</v>
      </c>
      <c r="F541">
        <v>9</v>
      </c>
      <c r="G541">
        <v>174</v>
      </c>
      <c r="H541" t="str">
        <f>VLOOKUP(G541,[1]OPERADORES!$A:$B,2,0)</f>
        <v>MIRIÃ LOBATO RODRIGUES</v>
      </c>
      <c r="I541" t="s">
        <v>21</v>
      </c>
      <c r="J541" t="s">
        <v>630</v>
      </c>
      <c r="K541" t="s">
        <v>631</v>
      </c>
      <c r="L541">
        <v>20384</v>
      </c>
      <c r="M541" t="s">
        <v>648</v>
      </c>
      <c r="O541" t="s">
        <v>11</v>
      </c>
      <c r="P541">
        <v>5403</v>
      </c>
      <c r="Q541">
        <v>2</v>
      </c>
      <c r="R541">
        <v>32.159999999999997</v>
      </c>
      <c r="S541">
        <v>64.319999999999993</v>
      </c>
      <c r="T541">
        <v>45.86</v>
      </c>
      <c r="U541">
        <v>28.7</v>
      </c>
      <c r="V541" t="str">
        <f>VLOOKUP(L541,'[2]tabela de preços'!$A:$D,4,0)</f>
        <v>SHERWIN WILLIAMS</v>
      </c>
      <c r="W541" t="str">
        <f>VLOOKUP(L541,'[2]tabela de preços'!$A:$F,6,0)</f>
        <v>TINTAS PU</v>
      </c>
      <c r="X541" t="str">
        <f>VLOOKUP(L541,'[2]tabela de preços'!$A:$G,7,0)</f>
        <v>AUTOMOTIVO</v>
      </c>
    </row>
    <row r="542" spans="1:24" x14ac:dyDescent="0.3">
      <c r="A542" t="s">
        <v>626</v>
      </c>
      <c r="B542" t="s">
        <v>627</v>
      </c>
      <c r="C542" t="s">
        <v>649</v>
      </c>
      <c r="D542" s="1">
        <v>46031</v>
      </c>
      <c r="E542" t="s">
        <v>650</v>
      </c>
      <c r="F542">
        <v>9</v>
      </c>
      <c r="G542">
        <v>174</v>
      </c>
      <c r="H542" t="str">
        <f>VLOOKUP(G542,[1]OPERADORES!$A:$B,2,0)</f>
        <v>MIRIÃ LOBATO RODRIGUES</v>
      </c>
      <c r="I542" t="s">
        <v>21</v>
      </c>
      <c r="J542" t="s">
        <v>630</v>
      </c>
      <c r="K542" t="s">
        <v>631</v>
      </c>
      <c r="L542">
        <v>20245</v>
      </c>
      <c r="M542" t="s">
        <v>146</v>
      </c>
      <c r="O542" t="s">
        <v>11</v>
      </c>
      <c r="P542">
        <v>5102</v>
      </c>
      <c r="Q542">
        <v>12</v>
      </c>
      <c r="R542">
        <v>1.88</v>
      </c>
      <c r="S542">
        <v>22.56</v>
      </c>
      <c r="T542">
        <v>16.2</v>
      </c>
      <c r="U542">
        <v>28.19</v>
      </c>
      <c r="V542" t="str">
        <f>VLOOKUP(L542,'[2]tabela de preços'!$A:$D,4,0)</f>
        <v>ATLAS</v>
      </c>
      <c r="W542" t="str">
        <f>VLOOKUP(L542,'[2]tabela de preços'!$A:$F,6,0)</f>
        <v>APLICADORES / ADAPTADORES / ENGATES / SUPORTES</v>
      </c>
      <c r="X542" t="str">
        <f>VLOOKUP(L542,'[2]tabela de preços'!$A:$G,7,0)</f>
        <v>AUTOMOTIVO</v>
      </c>
    </row>
    <row r="543" spans="1:24" x14ac:dyDescent="0.3">
      <c r="A543" t="s">
        <v>626</v>
      </c>
      <c r="B543" t="s">
        <v>627</v>
      </c>
      <c r="C543" t="s">
        <v>649</v>
      </c>
      <c r="D543" s="1">
        <v>46031</v>
      </c>
      <c r="E543" t="s">
        <v>650</v>
      </c>
      <c r="F543">
        <v>9</v>
      </c>
      <c r="G543">
        <v>174</v>
      </c>
      <c r="H543" t="str">
        <f>VLOOKUP(G543,[1]OPERADORES!$A:$B,2,0)</f>
        <v>MIRIÃ LOBATO RODRIGUES</v>
      </c>
      <c r="I543" t="s">
        <v>21</v>
      </c>
      <c r="J543" t="s">
        <v>630</v>
      </c>
      <c r="K543" t="s">
        <v>631</v>
      </c>
      <c r="L543">
        <v>20383</v>
      </c>
      <c r="M543" t="s">
        <v>129</v>
      </c>
      <c r="O543" t="s">
        <v>11</v>
      </c>
      <c r="P543">
        <v>5403</v>
      </c>
      <c r="Q543">
        <v>1</v>
      </c>
      <c r="R543">
        <v>33.590000000000003</v>
      </c>
      <c r="S543">
        <v>33.590000000000003</v>
      </c>
      <c r="T543">
        <v>23.95</v>
      </c>
      <c r="U543">
        <v>28.7</v>
      </c>
      <c r="V543" t="str">
        <f>VLOOKUP(L543,'[2]tabela de preços'!$A:$D,4,0)</f>
        <v>SHERWIN WILLIAMS</v>
      </c>
      <c r="W543" t="str">
        <f>VLOOKUP(L543,'[2]tabela de preços'!$A:$F,6,0)</f>
        <v>TINTAS POLIÉSTER</v>
      </c>
      <c r="X543" t="str">
        <f>VLOOKUP(L543,'[2]tabela de preços'!$A:$G,7,0)</f>
        <v>AUTOMOTIVO</v>
      </c>
    </row>
    <row r="544" spans="1:24" x14ac:dyDescent="0.3">
      <c r="A544" t="s">
        <v>626</v>
      </c>
      <c r="B544" t="s">
        <v>627</v>
      </c>
      <c r="C544" t="s">
        <v>649</v>
      </c>
      <c r="D544" s="1">
        <v>46031</v>
      </c>
      <c r="E544" t="s">
        <v>650</v>
      </c>
      <c r="F544">
        <v>9</v>
      </c>
      <c r="G544">
        <v>174</v>
      </c>
      <c r="H544" t="str">
        <f>VLOOKUP(G544,[1]OPERADORES!$A:$B,2,0)</f>
        <v>MIRIÃ LOBATO RODRIGUES</v>
      </c>
      <c r="I544" t="s">
        <v>21</v>
      </c>
      <c r="J544" t="s">
        <v>630</v>
      </c>
      <c r="K544" t="s">
        <v>631</v>
      </c>
      <c r="L544">
        <v>21385</v>
      </c>
      <c r="M544" t="s">
        <v>651</v>
      </c>
      <c r="O544" t="s">
        <v>411</v>
      </c>
      <c r="P544">
        <v>5102</v>
      </c>
      <c r="Q544">
        <v>1</v>
      </c>
      <c r="R544">
        <v>53.94</v>
      </c>
      <c r="S544">
        <v>53.94</v>
      </c>
      <c r="T544">
        <v>40.94</v>
      </c>
      <c r="U544">
        <v>24.1</v>
      </c>
      <c r="V544" t="str">
        <f>VLOOKUP(L544,'[2]tabela de preços'!$A:$D,4,0)</f>
        <v>NORTON</v>
      </c>
      <c r="W544" t="str">
        <f>VLOOKUP(L544,'[2]tabela de preços'!$A:$F,6,0)</f>
        <v>APLICADORES / ADAPTADORES / ENGATES / SUPORTES</v>
      </c>
      <c r="X544" t="str">
        <f>VLOOKUP(L544,'[2]tabela de preços'!$A:$G,7,0)</f>
        <v>AUTOMOTIVO</v>
      </c>
    </row>
    <row r="545" spans="1:24" x14ac:dyDescent="0.3">
      <c r="A545" t="s">
        <v>626</v>
      </c>
      <c r="B545" t="s">
        <v>627</v>
      </c>
      <c r="C545" t="s">
        <v>652</v>
      </c>
      <c r="D545" s="1">
        <v>46031</v>
      </c>
      <c r="E545" t="s">
        <v>653</v>
      </c>
      <c r="F545">
        <v>9</v>
      </c>
      <c r="G545">
        <v>174</v>
      </c>
      <c r="H545" t="str">
        <f>VLOOKUP(G545,[1]OPERADORES!$A:$B,2,0)</f>
        <v>MIRIÃ LOBATO RODRIGUES</v>
      </c>
      <c r="I545" t="s">
        <v>21</v>
      </c>
      <c r="J545" t="s">
        <v>630</v>
      </c>
      <c r="K545" t="s">
        <v>631</v>
      </c>
      <c r="L545">
        <v>85693</v>
      </c>
      <c r="M545" t="s">
        <v>526</v>
      </c>
      <c r="O545" t="s">
        <v>11</v>
      </c>
      <c r="P545">
        <v>5102</v>
      </c>
      <c r="Q545">
        <v>24</v>
      </c>
      <c r="R545">
        <v>7.89</v>
      </c>
      <c r="S545">
        <v>189.36</v>
      </c>
      <c r="T545">
        <v>156.24</v>
      </c>
      <c r="U545">
        <v>17.489999999999998</v>
      </c>
      <c r="V545" t="str">
        <f>VLOOKUP(L545,'[2]tabela de preços'!$A:$D,4,0)</f>
        <v>UNIPEGA</v>
      </c>
      <c r="W545" t="str">
        <f>VLOOKUP(L545,'[2]tabela de preços'!$A:$F,6,0)</f>
        <v>PU 40</v>
      </c>
      <c r="X545" t="str">
        <f>VLOOKUP(L545,'[2]tabela de preços'!$A:$G,7,0)</f>
        <v>IMOBILIÁRIO</v>
      </c>
    </row>
    <row r="546" spans="1:24" x14ac:dyDescent="0.3">
      <c r="A546" t="s">
        <v>626</v>
      </c>
      <c r="B546" t="s">
        <v>627</v>
      </c>
      <c r="C546" t="s">
        <v>652</v>
      </c>
      <c r="D546" s="1">
        <v>46031</v>
      </c>
      <c r="E546" t="s">
        <v>653</v>
      </c>
      <c r="F546">
        <v>9</v>
      </c>
      <c r="G546">
        <v>174</v>
      </c>
      <c r="H546" t="str">
        <f>VLOOKUP(G546,[1]OPERADORES!$A:$B,2,0)</f>
        <v>MIRIÃ LOBATO RODRIGUES</v>
      </c>
      <c r="I546" t="s">
        <v>21</v>
      </c>
      <c r="J546" t="s">
        <v>630</v>
      </c>
      <c r="K546" t="s">
        <v>631</v>
      </c>
      <c r="L546">
        <v>23716</v>
      </c>
      <c r="M546" t="s">
        <v>220</v>
      </c>
      <c r="O546" t="s">
        <v>11</v>
      </c>
      <c r="P546">
        <v>5102</v>
      </c>
      <c r="Q546">
        <v>1</v>
      </c>
      <c r="R546">
        <v>40.71</v>
      </c>
      <c r="S546">
        <v>40.71</v>
      </c>
      <c r="T546">
        <v>30.9</v>
      </c>
      <c r="U546">
        <v>24.1</v>
      </c>
      <c r="V546" t="str">
        <f>VLOOKUP(L546,'[2]tabela de preços'!$A:$D,4,0)</f>
        <v>NEW PAD</v>
      </c>
      <c r="W546" t="str">
        <f>VLOOKUP(L546,'[2]tabela de preços'!$A:$F,6,0)</f>
        <v>BOINAS PARA POLIMENTO</v>
      </c>
      <c r="X546" t="str">
        <f>VLOOKUP(L546,'[2]tabela de preços'!$A:$G,7,0)</f>
        <v>AUTOMOTIVO</v>
      </c>
    </row>
    <row r="547" spans="1:24" x14ac:dyDescent="0.3">
      <c r="A547" t="s">
        <v>626</v>
      </c>
      <c r="B547" t="s">
        <v>627</v>
      </c>
      <c r="C547" t="s">
        <v>652</v>
      </c>
      <c r="D547" s="1">
        <v>46031</v>
      </c>
      <c r="E547" t="s">
        <v>653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630</v>
      </c>
      <c r="K547" t="s">
        <v>631</v>
      </c>
      <c r="L547">
        <v>23110</v>
      </c>
      <c r="M547" t="s">
        <v>409</v>
      </c>
      <c r="O547" t="s">
        <v>11</v>
      </c>
      <c r="P547">
        <v>5102</v>
      </c>
      <c r="Q547">
        <v>100</v>
      </c>
      <c r="R547">
        <v>2.35</v>
      </c>
      <c r="S547">
        <v>235</v>
      </c>
      <c r="T547">
        <v>185</v>
      </c>
      <c r="U547">
        <v>21.28</v>
      </c>
      <c r="V547" t="str">
        <f>VLOOKUP(L547,'[2]tabela de preços'!$A:$D,4,0)</f>
        <v>3M</v>
      </c>
      <c r="W547" t="str">
        <f>VLOOKUP(L547,'[2]tabela de preços'!$A:$F,6,0)</f>
        <v xml:space="preserve">DISCOS / LIXAS / ABRASIVOS </v>
      </c>
      <c r="X547" t="str">
        <f>VLOOKUP(L547,'[2]tabela de preços'!$A:$G,7,0)</f>
        <v>AUTOMOTIVO</v>
      </c>
    </row>
    <row r="548" spans="1:24" x14ac:dyDescent="0.3">
      <c r="A548" t="s">
        <v>626</v>
      </c>
      <c r="B548" t="s">
        <v>627</v>
      </c>
      <c r="C548" t="s">
        <v>652</v>
      </c>
      <c r="D548" s="1">
        <v>46031</v>
      </c>
      <c r="E548" t="s">
        <v>653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630</v>
      </c>
      <c r="K548" t="s">
        <v>631</v>
      </c>
      <c r="L548">
        <v>23105</v>
      </c>
      <c r="M548" t="s">
        <v>402</v>
      </c>
      <c r="O548" t="s">
        <v>11</v>
      </c>
      <c r="P548">
        <v>5102</v>
      </c>
      <c r="Q548">
        <v>100</v>
      </c>
      <c r="R548">
        <v>2.35</v>
      </c>
      <c r="S548">
        <v>235</v>
      </c>
      <c r="T548">
        <v>192</v>
      </c>
      <c r="U548">
        <v>18.3</v>
      </c>
      <c r="V548" t="str">
        <f>VLOOKUP(L548,'[2]tabela de preços'!$A:$D,4,0)</f>
        <v>3M</v>
      </c>
      <c r="W548" t="str">
        <f>VLOOKUP(L548,'[2]tabela de preços'!$A:$F,6,0)</f>
        <v xml:space="preserve">DISCOS / LIXAS / ABRASIVOS </v>
      </c>
      <c r="X548" t="str">
        <f>VLOOKUP(L548,'[2]tabela de preços'!$A:$G,7,0)</f>
        <v>AUTOMOTIVO</v>
      </c>
    </row>
    <row r="549" spans="1:24" x14ac:dyDescent="0.3">
      <c r="A549" t="s">
        <v>626</v>
      </c>
      <c r="B549" t="s">
        <v>627</v>
      </c>
      <c r="C549" t="s">
        <v>652</v>
      </c>
      <c r="D549" s="1">
        <v>46031</v>
      </c>
      <c r="E549" t="s">
        <v>653</v>
      </c>
      <c r="F549">
        <v>9</v>
      </c>
      <c r="G549">
        <v>174</v>
      </c>
      <c r="H549" t="str">
        <f>VLOOKUP(G549,[1]OPERADORES!$A:$B,2,0)</f>
        <v>MIRIÃ LOBATO RODRIGUES</v>
      </c>
      <c r="I549" t="s">
        <v>21</v>
      </c>
      <c r="J549" t="s">
        <v>630</v>
      </c>
      <c r="K549" t="s">
        <v>631</v>
      </c>
      <c r="L549">
        <v>23106</v>
      </c>
      <c r="M549" t="s">
        <v>403</v>
      </c>
      <c r="O549" t="s">
        <v>11</v>
      </c>
      <c r="P549">
        <v>5102</v>
      </c>
      <c r="Q549">
        <v>100</v>
      </c>
      <c r="R549">
        <v>2.35</v>
      </c>
      <c r="S549">
        <v>235</v>
      </c>
      <c r="T549">
        <v>192</v>
      </c>
      <c r="U549">
        <v>18.3</v>
      </c>
      <c r="V549" t="str">
        <f>VLOOKUP(L549,'[2]tabela de preços'!$A:$D,4,0)</f>
        <v>3M</v>
      </c>
      <c r="W549" t="str">
        <f>VLOOKUP(L549,'[2]tabela de preços'!$A:$F,6,0)</f>
        <v xml:space="preserve">DISCOS / LIXAS / ABRASIVOS </v>
      </c>
      <c r="X549" t="str">
        <f>VLOOKUP(L549,'[2]tabela de preços'!$A:$G,7,0)</f>
        <v>AUTOMOTIVO</v>
      </c>
    </row>
    <row r="550" spans="1:24" x14ac:dyDescent="0.3">
      <c r="A550" t="s">
        <v>626</v>
      </c>
      <c r="B550" t="s">
        <v>627</v>
      </c>
      <c r="C550" t="s">
        <v>652</v>
      </c>
      <c r="D550" s="1">
        <v>46031</v>
      </c>
      <c r="E550" t="s">
        <v>653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21</v>
      </c>
      <c r="J550" t="s">
        <v>630</v>
      </c>
      <c r="K550" t="s">
        <v>631</v>
      </c>
      <c r="L550">
        <v>23107</v>
      </c>
      <c r="M550" t="s">
        <v>247</v>
      </c>
      <c r="O550" t="s">
        <v>11</v>
      </c>
      <c r="P550">
        <v>5102</v>
      </c>
      <c r="Q550">
        <v>100</v>
      </c>
      <c r="R550">
        <v>2.35</v>
      </c>
      <c r="S550">
        <v>235</v>
      </c>
      <c r="T550">
        <v>185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626</v>
      </c>
      <c r="B551" t="s">
        <v>627</v>
      </c>
      <c r="C551" t="s">
        <v>652</v>
      </c>
      <c r="D551" s="1">
        <v>46031</v>
      </c>
      <c r="E551" t="s">
        <v>653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21</v>
      </c>
      <c r="J551" t="s">
        <v>630</v>
      </c>
      <c r="K551" t="s">
        <v>631</v>
      </c>
      <c r="L551">
        <v>23108</v>
      </c>
      <c r="M551" t="s">
        <v>248</v>
      </c>
      <c r="O551" t="s">
        <v>11</v>
      </c>
      <c r="P551">
        <v>5102</v>
      </c>
      <c r="Q551">
        <v>100</v>
      </c>
      <c r="R551">
        <v>2.35</v>
      </c>
      <c r="S551">
        <v>235</v>
      </c>
      <c r="T551">
        <v>185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626</v>
      </c>
      <c r="B552" t="s">
        <v>627</v>
      </c>
      <c r="C552" t="s">
        <v>652</v>
      </c>
      <c r="D552" s="1">
        <v>46031</v>
      </c>
      <c r="E552" t="s">
        <v>653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21</v>
      </c>
      <c r="J552" t="s">
        <v>630</v>
      </c>
      <c r="K552" t="s">
        <v>631</v>
      </c>
      <c r="L552">
        <v>20433</v>
      </c>
      <c r="M552" t="s">
        <v>460</v>
      </c>
      <c r="O552" t="s">
        <v>11</v>
      </c>
      <c r="P552">
        <v>5102</v>
      </c>
      <c r="Q552">
        <v>12</v>
      </c>
      <c r="R552">
        <v>31.66</v>
      </c>
      <c r="S552">
        <v>379.92</v>
      </c>
      <c r="T552">
        <v>288.36</v>
      </c>
      <c r="U552">
        <v>24.1</v>
      </c>
      <c r="V552" t="str">
        <f>VLOOKUP(L552,'[2]tabela de preços'!$A:$D,4,0)</f>
        <v>SHERWIN WILLIAMS</v>
      </c>
      <c r="W552" t="str">
        <f>VLOOKUP(L552,'[2]tabela de preços'!$A:$F,6,0)</f>
        <v>VERNIZ AUTOMOTIVO</v>
      </c>
      <c r="X552" t="str">
        <f>VLOOKUP(L552,'[2]tabela de preços'!$A:$G,7,0)</f>
        <v>AUTOMOTIVO</v>
      </c>
    </row>
    <row r="553" spans="1:24" x14ac:dyDescent="0.3">
      <c r="A553" t="s">
        <v>626</v>
      </c>
      <c r="B553" t="s">
        <v>627</v>
      </c>
      <c r="C553" t="s">
        <v>652</v>
      </c>
      <c r="D553" s="1">
        <v>46031</v>
      </c>
      <c r="E553" t="s">
        <v>653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630</v>
      </c>
      <c r="K553" t="s">
        <v>631</v>
      </c>
      <c r="L553">
        <v>5</v>
      </c>
      <c r="M553" t="s">
        <v>147</v>
      </c>
      <c r="O553" t="s">
        <v>11</v>
      </c>
      <c r="P553">
        <v>5102</v>
      </c>
      <c r="Q553">
        <v>2</v>
      </c>
      <c r="R553">
        <v>4.8499999999999996</v>
      </c>
      <c r="S553">
        <v>9.6999999999999993</v>
      </c>
      <c r="T553">
        <v>7.82</v>
      </c>
      <c r="U553">
        <v>19.38</v>
      </c>
      <c r="V553" t="str">
        <f>VLOOKUP(L553,'[2]tabela de preços'!$A:$D,4,0)</f>
        <v>BRILHO ESTOPA</v>
      </c>
      <c r="W553" t="str">
        <f>VLOOKUP(L553,'[2]tabela de preços'!$A:$F,6,0)</f>
        <v>ESTOPAS</v>
      </c>
      <c r="X553" t="str">
        <f>VLOOKUP(L553,'[2]tabela de preços'!$A:$G,7,0)</f>
        <v>AUTOMOTIVO</v>
      </c>
    </row>
    <row r="554" spans="1:24" x14ac:dyDescent="0.3">
      <c r="A554" t="s">
        <v>626</v>
      </c>
      <c r="B554" t="s">
        <v>627</v>
      </c>
      <c r="C554" t="s">
        <v>652</v>
      </c>
      <c r="D554" s="1">
        <v>46031</v>
      </c>
      <c r="E554" t="s">
        <v>653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630</v>
      </c>
      <c r="K554" t="s">
        <v>631</v>
      </c>
      <c r="L554">
        <v>23602</v>
      </c>
      <c r="M554" t="s">
        <v>215</v>
      </c>
      <c r="O554" t="s">
        <v>11</v>
      </c>
      <c r="P554">
        <v>5403</v>
      </c>
      <c r="Q554">
        <v>18</v>
      </c>
      <c r="R554">
        <v>35.89</v>
      </c>
      <c r="S554">
        <v>646.02</v>
      </c>
      <c r="T554">
        <v>526.5</v>
      </c>
      <c r="U554">
        <v>18.5</v>
      </c>
      <c r="V554" t="str">
        <f>VLOOKUP(L554,'[2]tabela de preços'!$A:$D,4,0)</f>
        <v>SHERWIN WILLIAMS</v>
      </c>
      <c r="W554" t="str">
        <f>VLOOKUP(L554,'[2]tabela de preços'!$A:$F,6,0)</f>
        <v>VERNIZ AUTOMOTIVO</v>
      </c>
      <c r="X554" t="str">
        <f>VLOOKUP(L554,'[2]tabela de preços'!$A:$G,7,0)</f>
        <v>AUTOMOTIVO</v>
      </c>
    </row>
    <row r="555" spans="1:24" x14ac:dyDescent="0.3">
      <c r="A555" t="s">
        <v>626</v>
      </c>
      <c r="B555" t="s">
        <v>627</v>
      </c>
      <c r="C555" t="s">
        <v>652</v>
      </c>
      <c r="D555" s="1">
        <v>46031</v>
      </c>
      <c r="E555" t="s">
        <v>653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630</v>
      </c>
      <c r="K555" t="s">
        <v>631</v>
      </c>
      <c r="L555">
        <v>20375</v>
      </c>
      <c r="M555" t="s">
        <v>148</v>
      </c>
      <c r="O555" t="s">
        <v>11</v>
      </c>
      <c r="P555">
        <v>5403</v>
      </c>
      <c r="Q555">
        <v>2</v>
      </c>
      <c r="R555">
        <v>35.49</v>
      </c>
      <c r="S555">
        <v>70.98</v>
      </c>
      <c r="T555">
        <v>50.6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626</v>
      </c>
      <c r="B556" t="s">
        <v>627</v>
      </c>
      <c r="C556" t="s">
        <v>652</v>
      </c>
      <c r="D556" s="1">
        <v>46031</v>
      </c>
      <c r="E556" t="s">
        <v>653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630</v>
      </c>
      <c r="K556" t="s">
        <v>631</v>
      </c>
      <c r="L556">
        <v>20374</v>
      </c>
      <c r="M556" t="s">
        <v>654</v>
      </c>
      <c r="O556" t="s">
        <v>11</v>
      </c>
      <c r="P556">
        <v>5102</v>
      </c>
      <c r="Q556">
        <v>2</v>
      </c>
      <c r="R556">
        <v>33.76</v>
      </c>
      <c r="S556">
        <v>67.52</v>
      </c>
      <c r="T556">
        <v>48.14</v>
      </c>
      <c r="U556">
        <v>28.7</v>
      </c>
      <c r="V556" t="str">
        <f>VLOOKUP(L556,'[2]tabela de preços'!$A:$D,4,0)</f>
        <v>SHERWIN WILLIAMS</v>
      </c>
      <c r="W556" t="str">
        <f>VLOOKUP(L556,'[2]tabela de preços'!$A:$F,6,0)</f>
        <v>TINTAS POLIÉSTER</v>
      </c>
      <c r="X556" t="str">
        <f>VLOOKUP(L556,'[2]tabela de preços'!$A:$G,7,0)</f>
        <v>AUTOMOTIVO</v>
      </c>
    </row>
    <row r="557" spans="1:24" x14ac:dyDescent="0.3">
      <c r="A557" t="s">
        <v>626</v>
      </c>
      <c r="B557" t="s">
        <v>627</v>
      </c>
      <c r="C557" t="s">
        <v>652</v>
      </c>
      <c r="D557" s="1">
        <v>46031</v>
      </c>
      <c r="E557" t="s">
        <v>653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630</v>
      </c>
      <c r="K557" t="s">
        <v>631</v>
      </c>
      <c r="L557">
        <v>21782</v>
      </c>
      <c r="M557" t="s">
        <v>655</v>
      </c>
      <c r="O557" t="s">
        <v>11</v>
      </c>
      <c r="P557">
        <v>5403</v>
      </c>
      <c r="Q557">
        <v>2</v>
      </c>
      <c r="R557">
        <v>35.68</v>
      </c>
      <c r="S557">
        <v>71.36</v>
      </c>
      <c r="T557">
        <v>50.88</v>
      </c>
      <c r="U557">
        <v>28.7</v>
      </c>
      <c r="V557" t="str">
        <f>VLOOKUP(L557,'[2]tabela de preços'!$A:$D,4,0)</f>
        <v>SHERWIN WILLIAMS</v>
      </c>
      <c r="W557" t="str">
        <f>VLOOKUP(L557,'[2]tabela de preços'!$A:$F,6,0)</f>
        <v>TINTAS POLIÉSTER</v>
      </c>
      <c r="X557" t="str">
        <f>VLOOKUP(L557,'[2]tabela de preços'!$A:$G,7,0)</f>
        <v>AUTOMOTIVO</v>
      </c>
    </row>
    <row r="558" spans="1:24" x14ac:dyDescent="0.3">
      <c r="A558" t="s">
        <v>626</v>
      </c>
      <c r="B558" t="s">
        <v>627</v>
      </c>
      <c r="C558" t="s">
        <v>652</v>
      </c>
      <c r="D558" s="1">
        <v>46031</v>
      </c>
      <c r="E558" t="s">
        <v>653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630</v>
      </c>
      <c r="K558" t="s">
        <v>631</v>
      </c>
      <c r="L558">
        <v>20325</v>
      </c>
      <c r="M558" t="s">
        <v>150</v>
      </c>
      <c r="O558" t="s">
        <v>11</v>
      </c>
      <c r="P558">
        <v>5403</v>
      </c>
      <c r="Q558">
        <v>2</v>
      </c>
      <c r="R558">
        <v>32.299999999999997</v>
      </c>
      <c r="S558">
        <v>64.599999999999994</v>
      </c>
      <c r="T558">
        <v>46.06</v>
      </c>
      <c r="U558">
        <v>28.7</v>
      </c>
      <c r="V558" t="str">
        <f>VLOOKUP(L558,'[2]tabela de preços'!$A:$D,4,0)</f>
        <v>SHERWIN WILLIAMS</v>
      </c>
      <c r="W558" t="str">
        <f>VLOOKUP(L558,'[2]tabela de preços'!$A:$F,6,0)</f>
        <v>TINTAS POLIÉSTER</v>
      </c>
      <c r="X558" t="str">
        <f>VLOOKUP(L558,'[2]tabela de preços'!$A:$G,7,0)</f>
        <v>AUTOMOTIVO</v>
      </c>
    </row>
    <row r="559" spans="1:24" x14ac:dyDescent="0.3">
      <c r="A559" t="s">
        <v>626</v>
      </c>
      <c r="B559" t="s">
        <v>627</v>
      </c>
      <c r="C559" t="s">
        <v>652</v>
      </c>
      <c r="D559" s="1">
        <v>46031</v>
      </c>
      <c r="E559" t="s">
        <v>653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630</v>
      </c>
      <c r="K559" t="s">
        <v>631</v>
      </c>
      <c r="L559">
        <v>23100</v>
      </c>
      <c r="M559" t="s">
        <v>99</v>
      </c>
      <c r="O559" t="s">
        <v>11</v>
      </c>
      <c r="P559">
        <v>5102</v>
      </c>
      <c r="Q559">
        <v>100</v>
      </c>
      <c r="R559">
        <v>2.35</v>
      </c>
      <c r="S559">
        <v>235</v>
      </c>
      <c r="T559">
        <v>169</v>
      </c>
      <c r="U559">
        <v>28.09</v>
      </c>
      <c r="V559" t="str">
        <f>VLOOKUP(L559,'[2]tabela de preços'!$A:$D,4,0)</f>
        <v>3M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626</v>
      </c>
      <c r="B560" t="s">
        <v>627</v>
      </c>
      <c r="C560" t="s">
        <v>652</v>
      </c>
      <c r="D560" s="1">
        <v>46031</v>
      </c>
      <c r="E560" t="s">
        <v>653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630</v>
      </c>
      <c r="K560" t="s">
        <v>631</v>
      </c>
      <c r="L560">
        <v>23101</v>
      </c>
      <c r="M560" t="s">
        <v>410</v>
      </c>
      <c r="O560" t="s">
        <v>411</v>
      </c>
      <c r="P560">
        <v>5102</v>
      </c>
      <c r="Q560">
        <v>50</v>
      </c>
      <c r="R560">
        <v>2.35</v>
      </c>
      <c r="S560">
        <v>117.5</v>
      </c>
      <c r="T560">
        <v>84.5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626</v>
      </c>
      <c r="B561" t="s">
        <v>627</v>
      </c>
      <c r="C561" t="s">
        <v>652</v>
      </c>
      <c r="D561" s="1">
        <v>46031</v>
      </c>
      <c r="E561" t="s">
        <v>653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630</v>
      </c>
      <c r="K561" t="s">
        <v>631</v>
      </c>
      <c r="L561">
        <v>23099</v>
      </c>
      <c r="M561" t="s">
        <v>420</v>
      </c>
      <c r="O561" t="s">
        <v>411</v>
      </c>
      <c r="P561">
        <v>5102</v>
      </c>
      <c r="Q561">
        <v>100</v>
      </c>
      <c r="R561">
        <v>2.35</v>
      </c>
      <c r="S561">
        <v>235</v>
      </c>
      <c r="T561">
        <v>169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626</v>
      </c>
      <c r="B562" t="s">
        <v>627</v>
      </c>
      <c r="C562" t="s">
        <v>652</v>
      </c>
      <c r="D562" s="1">
        <v>46031</v>
      </c>
      <c r="E562" t="s">
        <v>653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630</v>
      </c>
      <c r="K562" t="s">
        <v>631</v>
      </c>
      <c r="L562">
        <v>23096</v>
      </c>
      <c r="M562" t="s">
        <v>656</v>
      </c>
      <c r="O562" t="s">
        <v>411</v>
      </c>
      <c r="P562">
        <v>5102</v>
      </c>
      <c r="Q562">
        <v>100</v>
      </c>
      <c r="R562">
        <v>2.35</v>
      </c>
      <c r="S562">
        <v>235</v>
      </c>
      <c r="T562">
        <v>169</v>
      </c>
      <c r="U562">
        <v>28.09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626</v>
      </c>
      <c r="B563" t="s">
        <v>627</v>
      </c>
      <c r="C563" t="s">
        <v>652</v>
      </c>
      <c r="D563" s="1">
        <v>46031</v>
      </c>
      <c r="E563" t="s">
        <v>653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630</v>
      </c>
      <c r="K563" t="s">
        <v>631</v>
      </c>
      <c r="L563">
        <v>23097</v>
      </c>
      <c r="M563" t="s">
        <v>412</v>
      </c>
      <c r="O563" t="s">
        <v>411</v>
      </c>
      <c r="P563">
        <v>5102</v>
      </c>
      <c r="Q563">
        <v>100</v>
      </c>
      <c r="R563">
        <v>2.35</v>
      </c>
      <c r="S563">
        <v>235</v>
      </c>
      <c r="T563">
        <v>136</v>
      </c>
      <c r="U563">
        <v>42.13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626</v>
      </c>
      <c r="B564" t="s">
        <v>627</v>
      </c>
      <c r="C564" t="s">
        <v>652</v>
      </c>
      <c r="D564" s="1">
        <v>46031</v>
      </c>
      <c r="E564" t="s">
        <v>653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630</v>
      </c>
      <c r="K564" t="s">
        <v>631</v>
      </c>
      <c r="L564">
        <v>23103</v>
      </c>
      <c r="M564" t="s">
        <v>414</v>
      </c>
      <c r="O564" t="s">
        <v>11</v>
      </c>
      <c r="P564">
        <v>5102</v>
      </c>
      <c r="Q564">
        <v>50</v>
      </c>
      <c r="R564">
        <v>2.35</v>
      </c>
      <c r="S564">
        <v>117.5</v>
      </c>
      <c r="T564">
        <v>84.5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626</v>
      </c>
      <c r="B565" t="s">
        <v>627</v>
      </c>
      <c r="C565" t="s">
        <v>652</v>
      </c>
      <c r="D565" s="1">
        <v>46031</v>
      </c>
      <c r="E565" t="s">
        <v>653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630</v>
      </c>
      <c r="K565" t="s">
        <v>631</v>
      </c>
      <c r="L565">
        <v>15</v>
      </c>
      <c r="M565" t="s">
        <v>205</v>
      </c>
      <c r="O565" t="s">
        <v>11</v>
      </c>
      <c r="P565">
        <v>5102</v>
      </c>
      <c r="Q565">
        <v>50</v>
      </c>
      <c r="R565">
        <v>5.65</v>
      </c>
      <c r="S565">
        <v>282.5</v>
      </c>
      <c r="T565">
        <v>208</v>
      </c>
      <c r="U565">
        <v>26.37</v>
      </c>
      <c r="V565" t="str">
        <f>VLOOKUP(L565,'[2]tabela de preços'!$A:$D,4,0)</f>
        <v>3M</v>
      </c>
      <c r="W565" t="str">
        <f>VLOOKUP(L565,'[2]tabela de preços'!$A:$F,6,0)</f>
        <v>LIXA DÁGUA</v>
      </c>
      <c r="X565" t="str">
        <f>VLOOKUP(L565,'[2]tabela de preços'!$A:$G,7,0)</f>
        <v>AUTOMOTIVO</v>
      </c>
    </row>
    <row r="566" spans="1:24" x14ac:dyDescent="0.3">
      <c r="A566" t="s">
        <v>626</v>
      </c>
      <c r="B566" t="s">
        <v>627</v>
      </c>
      <c r="C566" t="s">
        <v>652</v>
      </c>
      <c r="D566" s="1">
        <v>46031</v>
      </c>
      <c r="E566" t="s">
        <v>653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630</v>
      </c>
      <c r="K566" t="s">
        <v>631</v>
      </c>
      <c r="L566">
        <v>16</v>
      </c>
      <c r="M566" t="s">
        <v>122</v>
      </c>
      <c r="O566" t="s">
        <v>11</v>
      </c>
      <c r="P566">
        <v>5102</v>
      </c>
      <c r="Q566">
        <v>50</v>
      </c>
      <c r="R566">
        <v>2.9</v>
      </c>
      <c r="S566">
        <v>145</v>
      </c>
      <c r="T566">
        <v>110</v>
      </c>
      <c r="U566">
        <v>24.14</v>
      </c>
      <c r="V566" t="str">
        <f>VLOOKUP(L566,'[2]tabela de preços'!$A:$D,4,0)</f>
        <v>3M</v>
      </c>
      <c r="W566" t="str">
        <f>VLOOKUP(L566,'[2]tabela de preços'!$A:$F,6,0)</f>
        <v>LIXA DÁGUA</v>
      </c>
      <c r="X566" t="str">
        <f>VLOOKUP(L566,'[2]tabela de preços'!$A:$G,7,0)</f>
        <v>AUTOMOTIVO</v>
      </c>
    </row>
    <row r="567" spans="1:24" x14ac:dyDescent="0.3">
      <c r="A567" t="s">
        <v>626</v>
      </c>
      <c r="B567" t="s">
        <v>627</v>
      </c>
      <c r="C567" t="s">
        <v>652</v>
      </c>
      <c r="D567" s="1">
        <v>46031</v>
      </c>
      <c r="E567" t="s">
        <v>653</v>
      </c>
      <c r="F567">
        <v>9</v>
      </c>
      <c r="G567">
        <v>174</v>
      </c>
      <c r="H567" t="str">
        <f>VLOOKUP(G567,[1]OPERADORES!$A:$B,2,0)</f>
        <v>MIRIÃ LOBATO RODRIGUES</v>
      </c>
      <c r="I567" t="s">
        <v>21</v>
      </c>
      <c r="J567" t="s">
        <v>630</v>
      </c>
      <c r="K567" t="s">
        <v>631</v>
      </c>
      <c r="L567">
        <v>20817</v>
      </c>
      <c r="M567" t="s">
        <v>153</v>
      </c>
      <c r="O567" t="s">
        <v>11</v>
      </c>
      <c r="P567">
        <v>5102</v>
      </c>
      <c r="Q567">
        <v>5</v>
      </c>
      <c r="R567">
        <v>22.89</v>
      </c>
      <c r="S567">
        <v>114.45</v>
      </c>
      <c r="T567">
        <v>93.1</v>
      </c>
      <c r="U567">
        <v>18.649999999999999</v>
      </c>
      <c r="V567" t="str">
        <f>VLOOKUP(L567,'[2]tabela de preços'!$A:$D,4,0)</f>
        <v>AUTO AMERICA</v>
      </c>
      <c r="W567" t="str">
        <f>VLOOKUP(L567,'[2]tabela de preços'!$A:$F,6,0)</f>
        <v>MASSA DE POLIR</v>
      </c>
      <c r="X567" t="str">
        <f>VLOOKUP(L567,'[2]tabela de preços'!$A:$G,7,0)</f>
        <v>AUTOMOTIVO</v>
      </c>
    </row>
    <row r="568" spans="1:24" x14ac:dyDescent="0.3">
      <c r="A568" t="s">
        <v>626</v>
      </c>
      <c r="B568" t="s">
        <v>627</v>
      </c>
      <c r="C568" t="s">
        <v>652</v>
      </c>
      <c r="D568" s="1">
        <v>46031</v>
      </c>
      <c r="E568" t="s">
        <v>653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10298</v>
      </c>
      <c r="M568" t="s">
        <v>85</v>
      </c>
      <c r="O568" t="s">
        <v>11</v>
      </c>
      <c r="P568">
        <v>5102</v>
      </c>
      <c r="Q568">
        <v>20</v>
      </c>
      <c r="R568">
        <v>54.9</v>
      </c>
      <c r="S568" s="2">
        <v>1098</v>
      </c>
      <c r="T568">
        <v>947.6</v>
      </c>
      <c r="U568">
        <v>13.7</v>
      </c>
      <c r="V568" t="str">
        <f>VLOOKUP(L568,'[2]tabela de preços'!$A:$D,4,0)</f>
        <v>ANJO</v>
      </c>
      <c r="W568" t="str">
        <f>VLOOKUP(L568,'[2]tabela de preços'!$A:$F,6,0)</f>
        <v>THINNER DE LIMPEZA</v>
      </c>
      <c r="X568" t="str">
        <f>VLOOKUP(L568,'[2]tabela de preços'!$A:$G,7,0)</f>
        <v>THINNER</v>
      </c>
    </row>
    <row r="569" spans="1:24" x14ac:dyDescent="0.3">
      <c r="A569" t="s">
        <v>626</v>
      </c>
      <c r="B569" t="s">
        <v>627</v>
      </c>
      <c r="C569" t="s">
        <v>652</v>
      </c>
      <c r="D569" s="1">
        <v>46031</v>
      </c>
      <c r="E569" t="s">
        <v>653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10297</v>
      </c>
      <c r="M569" t="s">
        <v>41</v>
      </c>
      <c r="O569" t="s">
        <v>11</v>
      </c>
      <c r="P569">
        <v>5102</v>
      </c>
      <c r="Q569">
        <v>12</v>
      </c>
      <c r="R569">
        <v>10.95</v>
      </c>
      <c r="S569">
        <v>131.4</v>
      </c>
      <c r="T569">
        <v>110.04</v>
      </c>
      <c r="U569">
        <v>16.260000000000002</v>
      </c>
      <c r="V569" t="str">
        <f>VLOOKUP(L569,'[2]tabela de preços'!$A:$D,4,0)</f>
        <v>ANJO</v>
      </c>
      <c r="W569" t="str">
        <f>VLOOKUP(L569,'[2]tabela de preços'!$A:$F,6,0)</f>
        <v>THINNER DE LIMPEZA</v>
      </c>
      <c r="X569" t="str">
        <f>VLOOKUP(L569,'[2]tabela de preços'!$A:$G,7,0)</f>
        <v>THINNER</v>
      </c>
    </row>
    <row r="570" spans="1:24" x14ac:dyDescent="0.3">
      <c r="A570" t="s">
        <v>626</v>
      </c>
      <c r="B570" t="s">
        <v>627</v>
      </c>
      <c r="C570" t="s">
        <v>652</v>
      </c>
      <c r="D570" s="1">
        <v>46031</v>
      </c>
      <c r="E570" t="s">
        <v>653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84560</v>
      </c>
      <c r="M570" t="s">
        <v>118</v>
      </c>
      <c r="O570" t="s">
        <v>11</v>
      </c>
      <c r="P570">
        <v>5102</v>
      </c>
      <c r="Q570">
        <v>20</v>
      </c>
      <c r="R570">
        <v>46.9</v>
      </c>
      <c r="S570">
        <v>938</v>
      </c>
      <c r="T570">
        <v>783.2</v>
      </c>
      <c r="U570">
        <v>16.5</v>
      </c>
      <c r="V570" t="str">
        <f>VLOOKUP(L570,'[2]tabela de preços'!$A:$D,4,0)</f>
        <v>BRASILUX</v>
      </c>
      <c r="W570" t="str">
        <f>VLOOKUP(L570,'[2]tabela de preços'!$A:$F,6,0)</f>
        <v>THINNER DE LIMPEZA</v>
      </c>
      <c r="X570" t="str">
        <f>VLOOKUP(L570,'[2]tabela de preços'!$A:$G,7,0)</f>
        <v>THINNER</v>
      </c>
    </row>
    <row r="571" spans="1:24" x14ac:dyDescent="0.3">
      <c r="A571" t="s">
        <v>626</v>
      </c>
      <c r="B571" t="s">
        <v>627</v>
      </c>
      <c r="C571" t="s">
        <v>652</v>
      </c>
      <c r="D571" s="1">
        <v>46031</v>
      </c>
      <c r="E571" t="s">
        <v>653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85649</v>
      </c>
      <c r="M571" t="s">
        <v>478</v>
      </c>
      <c r="O571" t="s">
        <v>11</v>
      </c>
      <c r="P571">
        <v>5403</v>
      </c>
      <c r="Q571">
        <v>6</v>
      </c>
      <c r="R571">
        <v>8.19</v>
      </c>
      <c r="S571">
        <v>49.14</v>
      </c>
      <c r="T571">
        <v>41.52</v>
      </c>
      <c r="U571">
        <v>15.51</v>
      </c>
      <c r="V571" t="str">
        <f>VLOOKUP(L571,'[2]tabela de preços'!$A:$D,4,0)</f>
        <v>UNIPEGA</v>
      </c>
      <c r="W571" t="str">
        <f>VLOOKUP(L571,'[2]tabela de preços'!$A:$F,6,0)</f>
        <v xml:space="preserve">SPRAYS 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652</v>
      </c>
      <c r="D572" s="1">
        <v>46031</v>
      </c>
      <c r="E572" t="s">
        <v>653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84460</v>
      </c>
      <c r="M572" t="s">
        <v>322</v>
      </c>
      <c r="O572" t="s">
        <v>11</v>
      </c>
      <c r="P572">
        <v>5102</v>
      </c>
      <c r="Q572">
        <v>2</v>
      </c>
      <c r="R572">
        <v>31.07</v>
      </c>
      <c r="S572">
        <v>62.14</v>
      </c>
      <c r="T572">
        <v>47.16</v>
      </c>
      <c r="U572">
        <v>24.11</v>
      </c>
      <c r="V572" t="str">
        <f>VLOOKUP(L572,'[2]tabela de preços'!$A:$D,4,0)</f>
        <v>BRASILUX</v>
      </c>
      <c r="W572" t="str">
        <f>VLOOKUP(L572,'[2]tabela de preços'!$A:$F,6,0)</f>
        <v>VEDADORES / SELANTES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652</v>
      </c>
      <c r="D573" s="1">
        <v>46031</v>
      </c>
      <c r="E573" t="s">
        <v>653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20399</v>
      </c>
      <c r="M573" t="s">
        <v>465</v>
      </c>
      <c r="O573" t="s">
        <v>11</v>
      </c>
      <c r="P573">
        <v>5403</v>
      </c>
      <c r="Q573">
        <v>12</v>
      </c>
      <c r="R573">
        <v>34.700000000000003</v>
      </c>
      <c r="S573">
        <v>416.4</v>
      </c>
      <c r="T573">
        <v>316.2</v>
      </c>
      <c r="U573">
        <v>24.06</v>
      </c>
      <c r="V573" t="str">
        <f>VLOOKUP(L573,'[2]tabela de preços'!$A:$D,4,0)</f>
        <v>SHERWIN WILLIAMS</v>
      </c>
      <c r="W573" t="str">
        <f>VLOOKUP(L573,'[2]tabela de preços'!$A:$F,6,0)</f>
        <v>VERNIZ AUTOMOTIVO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657</v>
      </c>
      <c r="D574" s="1">
        <v>46035</v>
      </c>
      <c r="E574" t="s">
        <v>658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84487</v>
      </c>
      <c r="M574" t="s">
        <v>633</v>
      </c>
      <c r="O574" t="s">
        <v>11</v>
      </c>
      <c r="P574">
        <v>5403</v>
      </c>
      <c r="Q574">
        <v>6</v>
      </c>
      <c r="R574">
        <v>28.84</v>
      </c>
      <c r="S574">
        <v>173.04</v>
      </c>
      <c r="T574">
        <v>131.34</v>
      </c>
      <c r="U574">
        <v>24.1</v>
      </c>
      <c r="V574" t="str">
        <f>VLOOKUP(L574,'[2]tabela de preços'!$A:$D,4,0)</f>
        <v>BRASILUX</v>
      </c>
      <c r="W574" t="str">
        <f>VLOOKUP(L574,'[2]tabela de preços'!$A:$F,6,0)</f>
        <v>TINTAS LACA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657</v>
      </c>
      <c r="D575" s="1">
        <v>46035</v>
      </c>
      <c r="E575" t="s">
        <v>658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84108</v>
      </c>
      <c r="M575" t="s">
        <v>144</v>
      </c>
      <c r="O575" t="s">
        <v>11</v>
      </c>
      <c r="P575">
        <v>5403</v>
      </c>
      <c r="Q575">
        <v>6</v>
      </c>
      <c r="R575">
        <v>27.29</v>
      </c>
      <c r="S575">
        <v>163.74</v>
      </c>
      <c r="T575">
        <v>124.26</v>
      </c>
      <c r="U575">
        <v>24.11</v>
      </c>
      <c r="V575" t="str">
        <f>VLOOKUP(L575,'[2]tabela de preços'!$A:$D,4,0)</f>
        <v>BRASILUX</v>
      </c>
      <c r="W575" t="str">
        <f>VLOOKUP(L575,'[2]tabela de preços'!$A:$F,6,0)</f>
        <v>TINTAS LACA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657</v>
      </c>
      <c r="D576" s="1">
        <v>46035</v>
      </c>
      <c r="E576" t="s">
        <v>658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24248</v>
      </c>
      <c r="M576" t="s">
        <v>107</v>
      </c>
      <c r="O576" t="s">
        <v>11</v>
      </c>
      <c r="P576">
        <v>5102</v>
      </c>
      <c r="Q576">
        <v>12</v>
      </c>
      <c r="R576">
        <v>8</v>
      </c>
      <c r="S576">
        <v>96</v>
      </c>
      <c r="T576">
        <v>76.92</v>
      </c>
      <c r="U576">
        <v>19.88</v>
      </c>
      <c r="V576" t="str">
        <f>VLOOKUP(L576,'[2]tabela de preços'!$A:$D,4,0)</f>
        <v>SHERWIN WILLIAMS</v>
      </c>
      <c r="W576" t="str">
        <f>VLOOKUP(L576,'[2]tabela de preços'!$A:$F,6,0)</f>
        <v>PRIMER AUTOMOTIVO</v>
      </c>
      <c r="X576" t="str">
        <f>VLOOKUP(L576,'[2]tabela de preços'!$A:$G,7,0)</f>
        <v>AUTOMOTIVO</v>
      </c>
    </row>
    <row r="577" spans="1:24" x14ac:dyDescent="0.3">
      <c r="A577" t="s">
        <v>626</v>
      </c>
      <c r="B577" t="s">
        <v>627</v>
      </c>
      <c r="C577" t="s">
        <v>657</v>
      </c>
      <c r="D577" s="1">
        <v>46035</v>
      </c>
      <c r="E577" t="s">
        <v>658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5</v>
      </c>
      <c r="M577" t="s">
        <v>147</v>
      </c>
      <c r="O577" t="s">
        <v>11</v>
      </c>
      <c r="P577">
        <v>5102</v>
      </c>
      <c r="Q577">
        <v>3</v>
      </c>
      <c r="R577">
        <v>5.15</v>
      </c>
      <c r="S577">
        <v>15.45</v>
      </c>
      <c r="T577">
        <v>11.73</v>
      </c>
      <c r="U577">
        <v>24.08</v>
      </c>
      <c r="V577" t="str">
        <f>VLOOKUP(L577,'[2]tabela de preços'!$A:$D,4,0)</f>
        <v>BRILHO ESTOPA</v>
      </c>
      <c r="W577" t="str">
        <f>VLOOKUP(L577,'[2]tabela de preços'!$A:$F,6,0)</f>
        <v>ESTOPAS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657</v>
      </c>
      <c r="D578" s="1">
        <v>46035</v>
      </c>
      <c r="E578" t="s">
        <v>658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20431</v>
      </c>
      <c r="M578" t="s">
        <v>202</v>
      </c>
      <c r="O578" t="s">
        <v>11</v>
      </c>
      <c r="P578">
        <v>5403</v>
      </c>
      <c r="Q578">
        <v>6</v>
      </c>
      <c r="R578">
        <v>36.89</v>
      </c>
      <c r="S578">
        <v>221.34</v>
      </c>
      <c r="T578">
        <v>178.68</v>
      </c>
      <c r="U578">
        <v>19.27</v>
      </c>
      <c r="V578" t="str">
        <f>VLOOKUP(L578,'[2]tabela de preços'!$A:$D,4,0)</f>
        <v>SHERWIN WILLIAMS</v>
      </c>
      <c r="W578" t="str">
        <f>VLOOKUP(L578,'[2]tabela de preços'!$A:$F,6,0)</f>
        <v>VERNIZ AUTOMOTIVO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657</v>
      </c>
      <c r="D579" s="1">
        <v>46035</v>
      </c>
      <c r="E579" t="s">
        <v>658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20570</v>
      </c>
      <c r="M579" t="s">
        <v>659</v>
      </c>
      <c r="O579" t="s">
        <v>11</v>
      </c>
      <c r="P579">
        <v>5403</v>
      </c>
      <c r="Q579">
        <v>1</v>
      </c>
      <c r="R579">
        <v>72.69</v>
      </c>
      <c r="S579">
        <v>72.69</v>
      </c>
      <c r="T579">
        <v>51.83</v>
      </c>
      <c r="U579">
        <v>28.7</v>
      </c>
      <c r="V579" t="str">
        <f>VLOOKUP(L579,'[2]tabela de preços'!$A:$D,4,0)</f>
        <v>SHERWIN WILLIAMS</v>
      </c>
      <c r="W579" t="str">
        <f>VLOOKUP(L579,'[2]tabela de preços'!$A:$F,6,0)</f>
        <v>TINTAS POLIÉSTER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657</v>
      </c>
      <c r="D580" s="1">
        <v>46035</v>
      </c>
      <c r="E580" t="s">
        <v>658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21077</v>
      </c>
      <c r="M580" t="s">
        <v>207</v>
      </c>
      <c r="O580" t="s">
        <v>11</v>
      </c>
      <c r="P580">
        <v>5102</v>
      </c>
      <c r="Q580">
        <v>6</v>
      </c>
      <c r="R580">
        <v>44.68</v>
      </c>
      <c r="S580">
        <v>268.08</v>
      </c>
      <c r="T580">
        <v>203.52</v>
      </c>
      <c r="U580">
        <v>24.08</v>
      </c>
      <c r="V580" t="str">
        <f>VLOOKUP(L580,'[2]tabela de preços'!$A:$D,4,0)</f>
        <v>SHERWIN WILLIAMS</v>
      </c>
      <c r="W580" t="str">
        <f>VLOOKUP(L580,'[2]tabela de preços'!$A:$F,6,0)</f>
        <v>MASSA POLIÉSTER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657</v>
      </c>
      <c r="D581" s="1">
        <v>46035</v>
      </c>
      <c r="E581" t="s">
        <v>658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84658</v>
      </c>
      <c r="M581" t="s">
        <v>100</v>
      </c>
      <c r="O581" t="s">
        <v>11</v>
      </c>
      <c r="P581">
        <v>5102</v>
      </c>
      <c r="Q581">
        <v>6</v>
      </c>
      <c r="R581">
        <v>40.840000000000003</v>
      </c>
      <c r="S581">
        <v>245.04</v>
      </c>
      <c r="T581">
        <v>186</v>
      </c>
      <c r="U581">
        <v>24.09</v>
      </c>
      <c r="V581" t="str">
        <f>VLOOKUP(L581,'[2]tabela de preços'!$A:$D,4,0)</f>
        <v>ANJO</v>
      </c>
      <c r="W581" t="str">
        <f>VLOOKUP(L581,'[2]tabela de preços'!$A:$F,6,0)</f>
        <v>MASSA POLIÉSTER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657</v>
      </c>
      <c r="D582" s="1">
        <v>46035</v>
      </c>
      <c r="E582" t="s">
        <v>658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24247</v>
      </c>
      <c r="M582" t="s">
        <v>111</v>
      </c>
      <c r="O582" t="s">
        <v>11</v>
      </c>
      <c r="P582">
        <v>5403</v>
      </c>
      <c r="Q582">
        <v>12</v>
      </c>
      <c r="R582">
        <v>21</v>
      </c>
      <c r="S582">
        <v>252</v>
      </c>
      <c r="T582">
        <v>199.2</v>
      </c>
      <c r="U582">
        <v>20.95</v>
      </c>
      <c r="V582" t="str">
        <f>VLOOKUP(L582,'[2]tabela de preços'!$A:$D,4,0)</f>
        <v>SHERWIN WILLIAMS</v>
      </c>
      <c r="W582" t="str">
        <f>VLOOKUP(L582,'[2]tabela de preços'!$A:$F,6,0)</f>
        <v>PRIMER AUTOMOTIVO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657</v>
      </c>
      <c r="D583" s="1">
        <v>46035</v>
      </c>
      <c r="E583" t="s">
        <v>658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21067</v>
      </c>
      <c r="M583" t="s">
        <v>640</v>
      </c>
      <c r="O583" t="s">
        <v>11</v>
      </c>
      <c r="P583">
        <v>5102</v>
      </c>
      <c r="Q583">
        <v>2</v>
      </c>
      <c r="R583">
        <v>37.58</v>
      </c>
      <c r="S583">
        <v>75.16</v>
      </c>
      <c r="T583">
        <v>57.04</v>
      </c>
      <c r="U583">
        <v>24.11</v>
      </c>
      <c r="V583" t="str">
        <f>VLOOKUP(L583,'[2]tabela de preços'!$A:$D,4,0)</f>
        <v>SIKKENS</v>
      </c>
      <c r="W583" t="str">
        <f>VLOOKUP(L583,'[2]tabela de preços'!$A:$F,6,0)</f>
        <v>DILUENTE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657</v>
      </c>
      <c r="D584" s="1">
        <v>46035</v>
      </c>
      <c r="E584" t="s">
        <v>658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20212</v>
      </c>
      <c r="M584" t="s">
        <v>198</v>
      </c>
      <c r="O584" t="s">
        <v>11</v>
      </c>
      <c r="P584">
        <v>5403</v>
      </c>
      <c r="Q584">
        <v>2</v>
      </c>
      <c r="R584">
        <v>26.95</v>
      </c>
      <c r="S584">
        <v>53.9</v>
      </c>
      <c r="T584">
        <v>40.92</v>
      </c>
      <c r="U584">
        <v>24.08</v>
      </c>
      <c r="V584" t="str">
        <f>VLOOKUP(L584,'[2]tabela de preços'!$A:$D,4,0)</f>
        <v>MAXI RUBBER</v>
      </c>
      <c r="W584" t="str">
        <f>VLOOKUP(L584,'[2]tabela de preços'!$A:$F,6,0)</f>
        <v>SELADORA P/ PLASTICO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657</v>
      </c>
      <c r="D585" s="1">
        <v>46035</v>
      </c>
      <c r="E585" t="s">
        <v>658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10404</v>
      </c>
      <c r="M585" t="s">
        <v>130</v>
      </c>
      <c r="O585" t="s">
        <v>11</v>
      </c>
      <c r="P585">
        <v>5102</v>
      </c>
      <c r="Q585">
        <v>10</v>
      </c>
      <c r="R585">
        <v>16.29</v>
      </c>
      <c r="S585">
        <v>162.9</v>
      </c>
      <c r="T585">
        <v>133.19999999999999</v>
      </c>
      <c r="U585">
        <v>18.23</v>
      </c>
      <c r="V585" t="str">
        <f>VLOOKUP(L585,'[2]tabela de preços'!$A:$D,4,0)</f>
        <v>MAXI RUBBER</v>
      </c>
      <c r="W585" t="str">
        <f>VLOOKUP(L585,'[2]tabela de preços'!$A:$F,6,0)</f>
        <v>VEDADORES / SELANTES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660</v>
      </c>
      <c r="D586" s="1">
        <v>46038</v>
      </c>
      <c r="E586" t="s">
        <v>661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23716</v>
      </c>
      <c r="M586" t="s">
        <v>220</v>
      </c>
      <c r="O586" t="s">
        <v>11</v>
      </c>
      <c r="P586">
        <v>5102</v>
      </c>
      <c r="Q586">
        <v>1</v>
      </c>
      <c r="R586">
        <v>40.71</v>
      </c>
      <c r="S586">
        <v>40.71</v>
      </c>
      <c r="T586">
        <v>30.9</v>
      </c>
      <c r="U586">
        <v>24.1</v>
      </c>
      <c r="V586" t="str">
        <f>VLOOKUP(L586,'[2]tabela de preços'!$A:$D,4,0)</f>
        <v>NEW PAD</v>
      </c>
      <c r="W586" t="str">
        <f>VLOOKUP(L586,'[2]tabela de preços'!$A:$F,6,0)</f>
        <v>BOINAS PARA POLIMENTO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660</v>
      </c>
      <c r="D587" s="1">
        <v>46038</v>
      </c>
      <c r="E587" t="s">
        <v>661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23076</v>
      </c>
      <c r="M587" t="s">
        <v>97</v>
      </c>
      <c r="O587" t="s">
        <v>11</v>
      </c>
      <c r="P587">
        <v>5403</v>
      </c>
      <c r="Q587">
        <v>30</v>
      </c>
      <c r="R587">
        <v>34.89</v>
      </c>
      <c r="S587" s="2">
        <v>1046.7</v>
      </c>
      <c r="T587">
        <v>795.9</v>
      </c>
      <c r="U587">
        <v>23.96</v>
      </c>
      <c r="V587" t="str">
        <f>VLOOKUP(L587,'[2]tabela de preços'!$A:$D,4,0)</f>
        <v>WANDA</v>
      </c>
      <c r="W587" t="str">
        <f>VLOOKUP(L587,'[2]tabela de preços'!$A:$F,6,0)</f>
        <v>PRIMER AUTOMOTIVO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660</v>
      </c>
      <c r="D588" s="1">
        <v>46038</v>
      </c>
      <c r="E588" t="s">
        <v>661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23690</v>
      </c>
      <c r="M588" t="s">
        <v>98</v>
      </c>
      <c r="O588" t="s">
        <v>11</v>
      </c>
      <c r="P588">
        <v>5403</v>
      </c>
      <c r="Q588">
        <v>6</v>
      </c>
      <c r="R588">
        <v>39.89</v>
      </c>
      <c r="S588">
        <v>239.34</v>
      </c>
      <c r="T588">
        <v>189.66</v>
      </c>
      <c r="U588">
        <v>20.76</v>
      </c>
      <c r="V588" t="str">
        <f>VLOOKUP(L588,'[2]tabela de preços'!$A:$D,4,0)</f>
        <v>WANDA</v>
      </c>
      <c r="W588" t="str">
        <f>VLOOKUP(L588,'[2]tabela de preços'!$A:$F,6,0)</f>
        <v>VERNIZ AUTOMOTIVO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660</v>
      </c>
      <c r="D589" s="1">
        <v>46038</v>
      </c>
      <c r="E589" t="s">
        <v>661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23602</v>
      </c>
      <c r="M589" t="s">
        <v>215</v>
      </c>
      <c r="O589" t="s">
        <v>11</v>
      </c>
      <c r="P589">
        <v>5403</v>
      </c>
      <c r="Q589">
        <v>9</v>
      </c>
      <c r="R589">
        <v>35.89</v>
      </c>
      <c r="S589">
        <v>323.01</v>
      </c>
      <c r="T589">
        <v>263.25</v>
      </c>
      <c r="U589">
        <v>18.5</v>
      </c>
      <c r="V589" t="str">
        <f>VLOOKUP(L589,'[2]tabela de preços'!$A:$D,4,0)</f>
        <v>SHERWIN WILLIAMS</v>
      </c>
      <c r="W589" t="str">
        <f>VLOOKUP(L589,'[2]tabela de preços'!$A:$F,6,0)</f>
        <v>VERNIZ AUTOMOTIVO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660</v>
      </c>
      <c r="D590" s="1">
        <v>46038</v>
      </c>
      <c r="E590" t="s">
        <v>661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21820</v>
      </c>
      <c r="M590" t="s">
        <v>149</v>
      </c>
      <c r="O590" t="s">
        <v>11</v>
      </c>
      <c r="P590">
        <v>5403</v>
      </c>
      <c r="Q590">
        <v>1</v>
      </c>
      <c r="R590">
        <v>38.51</v>
      </c>
      <c r="S590">
        <v>38.51</v>
      </c>
      <c r="T590">
        <v>27.46</v>
      </c>
      <c r="U590">
        <v>28.69</v>
      </c>
      <c r="V590" t="str">
        <f>VLOOKUP(L590,'[2]tabela de preços'!$A:$D,4,0)</f>
        <v>SHERWIN WILLIAMS</v>
      </c>
      <c r="W590" t="str">
        <f>VLOOKUP(L590,'[2]tabela de preços'!$A:$F,6,0)</f>
        <v>TINTAS PU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660</v>
      </c>
      <c r="D591" s="1">
        <v>46038</v>
      </c>
      <c r="E591" t="s">
        <v>661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20384</v>
      </c>
      <c r="M591" t="s">
        <v>648</v>
      </c>
      <c r="O591" t="s">
        <v>11</v>
      </c>
      <c r="P591">
        <v>5403</v>
      </c>
      <c r="Q591">
        <v>1</v>
      </c>
      <c r="R591">
        <v>32.159999999999997</v>
      </c>
      <c r="S591">
        <v>32.159999999999997</v>
      </c>
      <c r="T591">
        <v>22.93</v>
      </c>
      <c r="U591">
        <v>28.7</v>
      </c>
      <c r="V591" t="str">
        <f>VLOOKUP(L591,'[2]tabela de preços'!$A:$D,4,0)</f>
        <v>SHERWIN WILLIAMS</v>
      </c>
      <c r="W591" t="str">
        <f>VLOOKUP(L591,'[2]tabela de preços'!$A:$F,6,0)</f>
        <v>TINTAS PU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660</v>
      </c>
      <c r="D592" s="1">
        <v>46038</v>
      </c>
      <c r="E592" t="s">
        <v>661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20327</v>
      </c>
      <c r="M592" t="s">
        <v>216</v>
      </c>
      <c r="O592" t="s">
        <v>11</v>
      </c>
      <c r="P592">
        <v>5102</v>
      </c>
      <c r="Q592">
        <v>1</v>
      </c>
      <c r="R592">
        <v>33.119999999999997</v>
      </c>
      <c r="S592">
        <v>33.119999999999997</v>
      </c>
      <c r="T592">
        <v>23.62</v>
      </c>
      <c r="U592">
        <v>28.68</v>
      </c>
      <c r="V592" t="str">
        <f>VLOOKUP(L592,'[2]tabela de preços'!$A:$D,4,0)</f>
        <v>SHERWIN WILLIAMS</v>
      </c>
      <c r="W592" t="str">
        <f>VLOOKUP(L592,'[2]tabela de preços'!$A:$F,6,0)</f>
        <v>TINTAS PU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660</v>
      </c>
      <c r="D593" s="1">
        <v>46038</v>
      </c>
      <c r="E593" t="s">
        <v>661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20525</v>
      </c>
      <c r="M593" t="s">
        <v>137</v>
      </c>
      <c r="O593" t="s">
        <v>11</v>
      </c>
      <c r="P593">
        <v>5102</v>
      </c>
      <c r="Q593">
        <v>2</v>
      </c>
      <c r="R593">
        <v>13.65</v>
      </c>
      <c r="S593">
        <v>27.3</v>
      </c>
      <c r="T593">
        <v>20.72</v>
      </c>
      <c r="U593">
        <v>24.1</v>
      </c>
      <c r="V593" t="str">
        <f>VLOOKUP(L593,'[2]tabela de preços'!$A:$D,4,0)</f>
        <v>SHERWIN WILLIAMS</v>
      </c>
      <c r="W593" t="str">
        <f>VLOOKUP(L593,'[2]tabela de preços'!$A:$F,6,0)</f>
        <v>MASSA DE PEQUENOS REPAROS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660</v>
      </c>
      <c r="D594" s="1">
        <v>46038</v>
      </c>
      <c r="E594" t="s">
        <v>661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21078</v>
      </c>
      <c r="M594" t="s">
        <v>141</v>
      </c>
      <c r="O594" t="s">
        <v>11</v>
      </c>
      <c r="P594">
        <v>5102</v>
      </c>
      <c r="Q594">
        <v>2</v>
      </c>
      <c r="R594">
        <v>22.89</v>
      </c>
      <c r="S594">
        <v>45.78</v>
      </c>
      <c r="T594">
        <v>37.32</v>
      </c>
      <c r="U594">
        <v>18.48</v>
      </c>
      <c r="V594" t="str">
        <f>VLOOKUP(L594,'[2]tabela de preços'!$A:$D,4,0)</f>
        <v>SHERWIN WILLIAMS</v>
      </c>
      <c r="W594" t="str">
        <f>VLOOKUP(L594,'[2]tabela de preços'!$A:$F,6,0)</f>
        <v>MASSA POLIÉSTER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660</v>
      </c>
      <c r="D595" s="1">
        <v>46038</v>
      </c>
      <c r="E595" t="s">
        <v>661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23267</v>
      </c>
      <c r="M595" t="s">
        <v>164</v>
      </c>
      <c r="O595" t="s">
        <v>11</v>
      </c>
      <c r="P595">
        <v>5102</v>
      </c>
      <c r="Q595">
        <v>2</v>
      </c>
      <c r="R595">
        <v>22.89</v>
      </c>
      <c r="S595">
        <v>45.78</v>
      </c>
      <c r="T595">
        <v>39.08</v>
      </c>
      <c r="U595">
        <v>14.64</v>
      </c>
      <c r="V595" t="str">
        <f>VLOOKUP(L595,'[2]tabela de preços'!$A:$D,4,0)</f>
        <v>ANJO</v>
      </c>
      <c r="W595" t="str">
        <f>VLOOKUP(L595,'[2]tabela de preços'!$A:$F,6,0)</f>
        <v>MASSA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660</v>
      </c>
      <c r="D596" s="1">
        <v>46038</v>
      </c>
      <c r="E596" t="s">
        <v>661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87043</v>
      </c>
      <c r="M596" t="s">
        <v>217</v>
      </c>
      <c r="O596" t="s">
        <v>11</v>
      </c>
      <c r="P596">
        <v>5102</v>
      </c>
      <c r="Q596">
        <v>8</v>
      </c>
      <c r="R596">
        <v>21.95</v>
      </c>
      <c r="S596">
        <v>175.6</v>
      </c>
      <c r="T596">
        <v>144.16</v>
      </c>
      <c r="U596">
        <v>17.899999999999999</v>
      </c>
      <c r="V596" t="str">
        <f>VLOOKUP(L596,'[2]tabela de preços'!$A:$D,4,0)</f>
        <v>ROBERLO</v>
      </c>
      <c r="W596" t="str">
        <f>VLOOKUP(L596,'[2]tabela de preços'!$A:$F,6,0)</f>
        <v>MASSA POLIÉSTER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660</v>
      </c>
      <c r="D597" s="1">
        <v>46038</v>
      </c>
      <c r="E597" t="s">
        <v>661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20212</v>
      </c>
      <c r="M597" t="s">
        <v>198</v>
      </c>
      <c r="O597" t="s">
        <v>11</v>
      </c>
      <c r="P597">
        <v>5403</v>
      </c>
      <c r="Q597">
        <v>2</v>
      </c>
      <c r="R597">
        <v>26.95</v>
      </c>
      <c r="S597">
        <v>53.9</v>
      </c>
      <c r="T597">
        <v>40.92</v>
      </c>
      <c r="U597">
        <v>24.08</v>
      </c>
      <c r="V597" t="str">
        <f>VLOOKUP(L597,'[2]tabela de preços'!$A:$D,4,0)</f>
        <v>MAXI RUBBER</v>
      </c>
      <c r="W597" t="str">
        <f>VLOOKUP(L597,'[2]tabela de preços'!$A:$F,6,0)</f>
        <v>SELADORA P/ PLASTICO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660</v>
      </c>
      <c r="D598" s="1">
        <v>46038</v>
      </c>
      <c r="E598" t="s">
        <v>661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84460</v>
      </c>
      <c r="M598" t="s">
        <v>322</v>
      </c>
      <c r="O598" t="s">
        <v>11</v>
      </c>
      <c r="P598">
        <v>5102</v>
      </c>
      <c r="Q598">
        <v>1</v>
      </c>
      <c r="R598">
        <v>31.07</v>
      </c>
      <c r="S598">
        <v>31.07</v>
      </c>
      <c r="T598">
        <v>23.58</v>
      </c>
      <c r="U598">
        <v>24.11</v>
      </c>
      <c r="V598" t="str">
        <f>VLOOKUP(L598,'[2]tabela de preços'!$A:$D,4,0)</f>
        <v>BRASILUX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662</v>
      </c>
      <c r="D599" s="1">
        <v>46038</v>
      </c>
      <c r="E599" t="s">
        <v>663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23653</v>
      </c>
      <c r="M599" t="s">
        <v>644</v>
      </c>
      <c r="O599" t="s">
        <v>11</v>
      </c>
      <c r="P599">
        <v>5102</v>
      </c>
      <c r="Q599">
        <v>1</v>
      </c>
      <c r="R599">
        <v>67.150000000000006</v>
      </c>
      <c r="S599">
        <v>67.150000000000006</v>
      </c>
      <c r="T599">
        <v>50.97</v>
      </c>
      <c r="U599">
        <v>24.1</v>
      </c>
      <c r="V599" t="str">
        <f>VLOOKUP(L599,'[2]tabela de preços'!$A:$D,4,0)</f>
        <v>SIKKENS</v>
      </c>
      <c r="W599" t="str">
        <f>VLOOKUP(L599,'[2]tabela de preços'!$A:$F,6,0)</f>
        <v>CATALISADORES INDIVIDUAS</v>
      </c>
      <c r="X599" t="str">
        <f>VLOOKUP(L599,'[2]tabela de preços'!$A:$G,7,0)</f>
        <v>AUTOMOTIVO</v>
      </c>
    </row>
    <row r="600" spans="1:24" x14ac:dyDescent="0.3">
      <c r="A600" t="s">
        <v>626</v>
      </c>
      <c r="B600" t="s">
        <v>627</v>
      </c>
      <c r="C600" t="s">
        <v>662</v>
      </c>
      <c r="D600" s="1">
        <v>46038</v>
      </c>
      <c r="E600" t="s">
        <v>663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23926</v>
      </c>
      <c r="M600" t="s">
        <v>645</v>
      </c>
      <c r="O600" t="s">
        <v>11</v>
      </c>
      <c r="P600">
        <v>5403</v>
      </c>
      <c r="Q600">
        <v>1</v>
      </c>
      <c r="R600">
        <v>135.72</v>
      </c>
      <c r="S600">
        <v>135.72</v>
      </c>
      <c r="T600">
        <v>103.01</v>
      </c>
      <c r="U600">
        <v>24.1</v>
      </c>
      <c r="V600" t="str">
        <f>VLOOKUP(L600,'[2]tabela de preços'!$A:$D,4,0)</f>
        <v>SIKKENS</v>
      </c>
      <c r="W600" t="str">
        <f>VLOOKUP(L600,'[2]tabela de preços'!$A:$F,6,0)</f>
        <v>PRIMER AUTOMOTIVO</v>
      </c>
      <c r="X600" t="str">
        <f>VLOOKUP(L600,'[2]tabela de preços'!$A:$G,7,0)</f>
        <v>AUTOMOTIVO</v>
      </c>
    </row>
    <row r="601" spans="1:24" x14ac:dyDescent="0.3">
      <c r="A601" t="s">
        <v>626</v>
      </c>
      <c r="B601" t="s">
        <v>627</v>
      </c>
      <c r="C601" t="s">
        <v>664</v>
      </c>
      <c r="D601" s="1">
        <v>46038</v>
      </c>
      <c r="E601" t="s">
        <v>665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85693</v>
      </c>
      <c r="M601" t="s">
        <v>526</v>
      </c>
      <c r="O601" t="s">
        <v>11</v>
      </c>
      <c r="P601">
        <v>5102</v>
      </c>
      <c r="Q601">
        <v>24</v>
      </c>
      <c r="R601">
        <v>7.89</v>
      </c>
      <c r="S601">
        <v>189.36</v>
      </c>
      <c r="T601">
        <v>156.24</v>
      </c>
      <c r="U601">
        <v>17.489999999999998</v>
      </c>
      <c r="V601" t="str">
        <f>VLOOKUP(L601,'[2]tabela de preços'!$A:$D,4,0)</f>
        <v>UNIPEGA</v>
      </c>
      <c r="W601" t="str">
        <f>VLOOKUP(L601,'[2]tabela de preços'!$A:$F,6,0)</f>
        <v>PU 40</v>
      </c>
      <c r="X601" t="str">
        <f>VLOOKUP(L601,'[2]tabela de preços'!$A:$G,7,0)</f>
        <v>IMOBILIÁRIO</v>
      </c>
    </row>
    <row r="602" spans="1:24" x14ac:dyDescent="0.3">
      <c r="A602" t="s">
        <v>626</v>
      </c>
      <c r="B602" t="s">
        <v>627</v>
      </c>
      <c r="C602" t="s">
        <v>664</v>
      </c>
      <c r="D602" s="1">
        <v>46038</v>
      </c>
      <c r="E602" t="s">
        <v>665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23716</v>
      </c>
      <c r="M602" t="s">
        <v>220</v>
      </c>
      <c r="O602" t="s">
        <v>11</v>
      </c>
      <c r="P602">
        <v>5102</v>
      </c>
      <c r="Q602">
        <v>1</v>
      </c>
      <c r="R602">
        <v>40.71</v>
      </c>
      <c r="S602">
        <v>40.71</v>
      </c>
      <c r="T602">
        <v>30.9</v>
      </c>
      <c r="U602">
        <v>24.1</v>
      </c>
      <c r="V602" t="str">
        <f>VLOOKUP(L602,'[2]tabela de preços'!$A:$D,4,0)</f>
        <v>NEW PAD</v>
      </c>
      <c r="W602" t="str">
        <f>VLOOKUP(L602,'[2]tabela de preços'!$A:$F,6,0)</f>
        <v>BOINAS PARA POLIMENTO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664</v>
      </c>
      <c r="D603" s="1">
        <v>46038</v>
      </c>
      <c r="E603" t="s">
        <v>665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21820</v>
      </c>
      <c r="M603" t="s">
        <v>149</v>
      </c>
      <c r="O603" t="s">
        <v>11</v>
      </c>
      <c r="P603">
        <v>5403</v>
      </c>
      <c r="Q603">
        <v>1</v>
      </c>
      <c r="R603">
        <v>38.51</v>
      </c>
      <c r="S603">
        <v>38.51</v>
      </c>
      <c r="T603">
        <v>27.46</v>
      </c>
      <c r="U603">
        <v>28.69</v>
      </c>
      <c r="V603" t="str">
        <f>VLOOKUP(L603,'[2]tabela de preços'!$A:$D,4,0)</f>
        <v>SHERWIN WILLIAMS</v>
      </c>
      <c r="W603" t="str">
        <f>VLOOKUP(L603,'[2]tabela de preços'!$A:$F,6,0)</f>
        <v>TINTAS PU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664</v>
      </c>
      <c r="D604" s="1">
        <v>46038</v>
      </c>
      <c r="E604" t="s">
        <v>665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20384</v>
      </c>
      <c r="M604" t="s">
        <v>648</v>
      </c>
      <c r="O604" t="s">
        <v>11</v>
      </c>
      <c r="P604">
        <v>5403</v>
      </c>
      <c r="Q604">
        <v>1</v>
      </c>
      <c r="R604">
        <v>32.159999999999997</v>
      </c>
      <c r="S604">
        <v>32.159999999999997</v>
      </c>
      <c r="T604">
        <v>22.93</v>
      </c>
      <c r="U604">
        <v>28.7</v>
      </c>
      <c r="V604" t="str">
        <f>VLOOKUP(L604,'[2]tabela de preços'!$A:$D,4,0)</f>
        <v>SHERWIN WILLIAMS</v>
      </c>
      <c r="W604" t="str">
        <f>VLOOKUP(L604,'[2]tabela de preços'!$A:$F,6,0)</f>
        <v>TINTAS PU</v>
      </c>
      <c r="X604" t="str">
        <f>VLOOKUP(L604,'[2]tabela de preços'!$A:$G,7,0)</f>
        <v>AUTOMOTIVO</v>
      </c>
    </row>
    <row r="605" spans="1:24" x14ac:dyDescent="0.3">
      <c r="A605" t="s">
        <v>626</v>
      </c>
      <c r="B605" t="s">
        <v>627</v>
      </c>
      <c r="C605" t="s">
        <v>664</v>
      </c>
      <c r="D605" s="1">
        <v>46038</v>
      </c>
      <c r="E605" t="s">
        <v>665</v>
      </c>
      <c r="F605">
        <v>9</v>
      </c>
      <c r="G605">
        <v>174</v>
      </c>
      <c r="H605" t="str">
        <f>VLOOKUP(G605,[1]OPERADORES!$A:$B,2,0)</f>
        <v>MIRIÃ LOBATO RODRIGUES</v>
      </c>
      <c r="I605" t="s">
        <v>21</v>
      </c>
      <c r="J605" t="s">
        <v>630</v>
      </c>
      <c r="K605" t="s">
        <v>631</v>
      </c>
      <c r="L605">
        <v>20817</v>
      </c>
      <c r="M605" t="s">
        <v>153</v>
      </c>
      <c r="O605" t="s">
        <v>11</v>
      </c>
      <c r="P605">
        <v>5102</v>
      </c>
      <c r="Q605">
        <v>2</v>
      </c>
      <c r="R605">
        <v>22.89</v>
      </c>
      <c r="S605">
        <v>45.78</v>
      </c>
      <c r="T605">
        <v>37.24</v>
      </c>
      <c r="U605">
        <v>18.649999999999999</v>
      </c>
      <c r="V605" t="str">
        <f>VLOOKUP(L605,'[2]tabela de preços'!$A:$D,4,0)</f>
        <v>AUTO AMERICA</v>
      </c>
      <c r="W605" t="str">
        <f>VLOOKUP(L605,'[2]tabela de preços'!$A:$F,6,0)</f>
        <v>MASSA DE POLIR</v>
      </c>
      <c r="X605" t="str">
        <f>VLOOKUP(L605,'[2]tabela de preços'!$A:$G,7,0)</f>
        <v>AUTOMOTIVO</v>
      </c>
    </row>
    <row r="606" spans="1:24" x14ac:dyDescent="0.3">
      <c r="A606" t="s">
        <v>626</v>
      </c>
      <c r="B606" t="s">
        <v>627</v>
      </c>
      <c r="C606" t="s">
        <v>664</v>
      </c>
      <c r="D606" s="1">
        <v>46038</v>
      </c>
      <c r="E606" t="s">
        <v>665</v>
      </c>
      <c r="F606">
        <v>9</v>
      </c>
      <c r="G606">
        <v>174</v>
      </c>
      <c r="H606" t="str">
        <f>VLOOKUP(G606,[1]OPERADORES!$A:$B,2,0)</f>
        <v>MIRIÃ LOBATO RODRIGUES</v>
      </c>
      <c r="I606" t="s">
        <v>21</v>
      </c>
      <c r="J606" t="s">
        <v>630</v>
      </c>
      <c r="K606" t="s">
        <v>631</v>
      </c>
      <c r="L606">
        <v>21067</v>
      </c>
      <c r="M606" t="s">
        <v>640</v>
      </c>
      <c r="O606" t="s">
        <v>11</v>
      </c>
      <c r="P606">
        <v>5102</v>
      </c>
      <c r="Q606">
        <v>1</v>
      </c>
      <c r="R606">
        <v>37.58</v>
      </c>
      <c r="S606">
        <v>37.58</v>
      </c>
      <c r="T606">
        <v>28.52</v>
      </c>
      <c r="U606">
        <v>24.11</v>
      </c>
      <c r="V606" t="str">
        <f>VLOOKUP(L606,'[2]tabela de preços'!$A:$D,4,0)</f>
        <v>SIKKENS</v>
      </c>
      <c r="W606" t="str">
        <f>VLOOKUP(L606,'[2]tabela de preços'!$A:$F,6,0)</f>
        <v>DILUENTE</v>
      </c>
      <c r="X606" t="str">
        <f>VLOOKUP(L606,'[2]tabela de preços'!$A:$G,7,0)</f>
        <v>AUTOMOTIVO</v>
      </c>
    </row>
    <row r="607" spans="1:24" x14ac:dyDescent="0.3">
      <c r="A607" t="s">
        <v>626</v>
      </c>
      <c r="B607" t="s">
        <v>627</v>
      </c>
      <c r="C607" t="s">
        <v>664</v>
      </c>
      <c r="D607" s="1">
        <v>46038</v>
      </c>
      <c r="E607" t="s">
        <v>665</v>
      </c>
      <c r="F607">
        <v>9</v>
      </c>
      <c r="G607">
        <v>174</v>
      </c>
      <c r="H607" t="str">
        <f>VLOOKUP(G607,[1]OPERADORES!$A:$B,2,0)</f>
        <v>MIRIÃ LOBATO RODRIGUES</v>
      </c>
      <c r="I607" t="s">
        <v>21</v>
      </c>
      <c r="J607" t="s">
        <v>630</v>
      </c>
      <c r="K607" t="s">
        <v>631</v>
      </c>
      <c r="L607">
        <v>85650</v>
      </c>
      <c r="M607" t="s">
        <v>439</v>
      </c>
      <c r="O607" t="s">
        <v>11</v>
      </c>
      <c r="P607">
        <v>5403</v>
      </c>
      <c r="Q607">
        <v>6</v>
      </c>
      <c r="R607">
        <v>9.1199999999999992</v>
      </c>
      <c r="S607">
        <v>54.72</v>
      </c>
      <c r="T607">
        <v>41.52</v>
      </c>
      <c r="U607">
        <v>24.12</v>
      </c>
      <c r="V607" t="str">
        <f>VLOOKUP(L607,'[2]tabela de preços'!$A:$D,4,0)</f>
        <v>UNIPEGA</v>
      </c>
      <c r="W607" t="str">
        <f>VLOOKUP(L607,'[2]tabela de preços'!$A:$F,6,0)</f>
        <v xml:space="preserve">SPRAYS </v>
      </c>
      <c r="X607" t="str">
        <f>VLOOKUP(L607,'[2]tabela de preços'!$A:$G,7,0)</f>
        <v>AUTOMOTIVO</v>
      </c>
    </row>
    <row r="608" spans="1:24" x14ac:dyDescent="0.3">
      <c r="A608" t="s">
        <v>626</v>
      </c>
      <c r="B608" t="s">
        <v>627</v>
      </c>
      <c r="C608" t="s">
        <v>666</v>
      </c>
      <c r="D608" s="1">
        <v>46042</v>
      </c>
      <c r="E608" t="s">
        <v>667</v>
      </c>
      <c r="F608">
        <v>9</v>
      </c>
      <c r="G608">
        <v>174</v>
      </c>
      <c r="H608" t="str">
        <f>VLOOKUP(G608,[1]OPERADORES!$A:$B,2,0)</f>
        <v>MIRIÃ LOBATO RODRIGUES</v>
      </c>
      <c r="I608" t="s">
        <v>21</v>
      </c>
      <c r="J608" t="s">
        <v>630</v>
      </c>
      <c r="K608" t="s">
        <v>631</v>
      </c>
      <c r="L608">
        <v>10067</v>
      </c>
      <c r="M608" t="s">
        <v>177</v>
      </c>
      <c r="O608" t="s">
        <v>11</v>
      </c>
      <c r="P608">
        <v>5102</v>
      </c>
      <c r="Q608">
        <v>1</v>
      </c>
      <c r="R608">
        <v>96.94</v>
      </c>
      <c r="S608">
        <v>96.94</v>
      </c>
      <c r="T608">
        <v>73.58</v>
      </c>
      <c r="U608">
        <v>24.1</v>
      </c>
      <c r="V608" t="str">
        <f>VLOOKUP(L608,'[2]tabela de preços'!$A:$D,4,0)</f>
        <v>3M</v>
      </c>
      <c r="W608" t="str">
        <f>VLOOKUP(L608,'[2]tabela de preços'!$A:$F,6,0)</f>
        <v>BOINAS PARA POLIMENTO</v>
      </c>
      <c r="X608" t="str">
        <f>VLOOKUP(L608,'[2]tabela de preços'!$A:$G,7,0)</f>
        <v>AUTOMOTIVO</v>
      </c>
    </row>
    <row r="609" spans="1:24" x14ac:dyDescent="0.3">
      <c r="A609" t="s">
        <v>626</v>
      </c>
      <c r="B609" t="s">
        <v>627</v>
      </c>
      <c r="C609" t="s">
        <v>666</v>
      </c>
      <c r="D609" s="1">
        <v>46042</v>
      </c>
      <c r="E609" t="s">
        <v>667</v>
      </c>
      <c r="F609">
        <v>9</v>
      </c>
      <c r="G609">
        <v>174</v>
      </c>
      <c r="H609" t="str">
        <f>VLOOKUP(G609,[1]OPERADORES!$A:$B,2,0)</f>
        <v>MIRIÃ LOBATO RODRIGUES</v>
      </c>
      <c r="I609" t="s">
        <v>21</v>
      </c>
      <c r="J609" t="s">
        <v>630</v>
      </c>
      <c r="K609" t="s">
        <v>631</v>
      </c>
      <c r="L609">
        <v>84105</v>
      </c>
      <c r="M609" t="s">
        <v>668</v>
      </c>
      <c r="O609" t="s">
        <v>11</v>
      </c>
      <c r="P609">
        <v>5403</v>
      </c>
      <c r="Q609">
        <v>5</v>
      </c>
      <c r="R609">
        <v>27.77</v>
      </c>
      <c r="S609">
        <v>138.85</v>
      </c>
      <c r="T609">
        <v>105.4</v>
      </c>
      <c r="U609">
        <v>24.09</v>
      </c>
      <c r="V609" t="str">
        <f>VLOOKUP(L609,'[2]tabela de preços'!$A:$D,4,0)</f>
        <v>BRASILUX</v>
      </c>
      <c r="W609" t="str">
        <f>VLOOKUP(L609,'[2]tabela de preços'!$A:$F,6,0)</f>
        <v>PRIMER AUTOMOTIVO</v>
      </c>
      <c r="X609" t="str">
        <f>VLOOKUP(L609,'[2]tabela de preços'!$A:$G,7,0)</f>
        <v>AUTOMOTIVO</v>
      </c>
    </row>
    <row r="610" spans="1:24" x14ac:dyDescent="0.3">
      <c r="A610" t="s">
        <v>626</v>
      </c>
      <c r="B610" t="s">
        <v>627</v>
      </c>
      <c r="C610" t="s">
        <v>666</v>
      </c>
      <c r="D610" s="1">
        <v>46042</v>
      </c>
      <c r="E610" t="s">
        <v>667</v>
      </c>
      <c r="F610">
        <v>9</v>
      </c>
      <c r="G610">
        <v>174</v>
      </c>
      <c r="H610" t="str">
        <f>VLOOKUP(G610,[1]OPERADORES!$A:$B,2,0)</f>
        <v>MIRIÃ LOBATO RODRIGUES</v>
      </c>
      <c r="I610" t="s">
        <v>21</v>
      </c>
      <c r="J610" t="s">
        <v>630</v>
      </c>
      <c r="K610" t="s">
        <v>631</v>
      </c>
      <c r="L610">
        <v>24248</v>
      </c>
      <c r="M610" t="s">
        <v>107</v>
      </c>
      <c r="O610" t="s">
        <v>11</v>
      </c>
      <c r="P610">
        <v>5102</v>
      </c>
      <c r="Q610">
        <v>12</v>
      </c>
      <c r="R610">
        <v>8</v>
      </c>
      <c r="S610">
        <v>96</v>
      </c>
      <c r="T610">
        <v>78</v>
      </c>
      <c r="U610">
        <v>18.75</v>
      </c>
      <c r="V610" t="str">
        <f>VLOOKUP(L610,'[2]tabela de preços'!$A:$D,4,0)</f>
        <v>SHERWIN WILLIAMS</v>
      </c>
      <c r="W610" t="str">
        <f>VLOOKUP(L610,'[2]tabela de preços'!$A:$F,6,0)</f>
        <v>PRIMER AUTOMOTIVO</v>
      </c>
      <c r="X610" t="str">
        <f>VLOOKUP(L610,'[2]tabela de preços'!$A:$G,7,0)</f>
        <v>AUTOMOTIVO</v>
      </c>
    </row>
    <row r="611" spans="1:24" x14ac:dyDescent="0.3">
      <c r="A611" t="s">
        <v>626</v>
      </c>
      <c r="B611" t="s">
        <v>627</v>
      </c>
      <c r="C611" t="s">
        <v>666</v>
      </c>
      <c r="D611" s="1">
        <v>46042</v>
      </c>
      <c r="E611" t="s">
        <v>667</v>
      </c>
      <c r="F611">
        <v>9</v>
      </c>
      <c r="G611">
        <v>174</v>
      </c>
      <c r="H611" t="str">
        <f>VLOOKUP(G611,[1]OPERADORES!$A:$B,2,0)</f>
        <v>MIRIÃ LOBATO RODRIGUES</v>
      </c>
      <c r="I611" t="s">
        <v>21</v>
      </c>
      <c r="J611" t="s">
        <v>630</v>
      </c>
      <c r="K611" t="s">
        <v>631</v>
      </c>
      <c r="L611">
        <v>5</v>
      </c>
      <c r="M611" t="s">
        <v>147</v>
      </c>
      <c r="O611" t="s">
        <v>11</v>
      </c>
      <c r="P611">
        <v>5102</v>
      </c>
      <c r="Q611">
        <v>2</v>
      </c>
      <c r="R611">
        <v>5.15</v>
      </c>
      <c r="S611">
        <v>10.3</v>
      </c>
      <c r="T611">
        <v>7.82</v>
      </c>
      <c r="U611">
        <v>24.08</v>
      </c>
      <c r="V611" t="str">
        <f>VLOOKUP(L611,'[2]tabela de preços'!$A:$D,4,0)</f>
        <v>BRILHO ESTOPA</v>
      </c>
      <c r="W611" t="str">
        <f>VLOOKUP(L611,'[2]tabela de preços'!$A:$F,6,0)</f>
        <v>ESTOPAS</v>
      </c>
      <c r="X611" t="str">
        <f>VLOOKUP(L611,'[2]tabela de preços'!$A:$G,7,0)</f>
        <v>AUTOMOTIVO</v>
      </c>
    </row>
    <row r="612" spans="1:24" x14ac:dyDescent="0.3">
      <c r="A612" t="s">
        <v>626</v>
      </c>
      <c r="B612" t="s">
        <v>627</v>
      </c>
      <c r="C612" t="s">
        <v>666</v>
      </c>
      <c r="D612" s="1">
        <v>46042</v>
      </c>
      <c r="E612" t="s">
        <v>667</v>
      </c>
      <c r="F612">
        <v>9</v>
      </c>
      <c r="G612">
        <v>174</v>
      </c>
      <c r="H612" t="str">
        <f>VLOOKUP(G612,[1]OPERADORES!$A:$B,2,0)</f>
        <v>MIRIÃ LOBATO RODRIGUES</v>
      </c>
      <c r="I612" t="s">
        <v>21</v>
      </c>
      <c r="J612" t="s">
        <v>630</v>
      </c>
      <c r="K612" t="s">
        <v>631</v>
      </c>
      <c r="L612">
        <v>85680</v>
      </c>
      <c r="M612" t="s">
        <v>669</v>
      </c>
      <c r="O612" t="s">
        <v>11</v>
      </c>
      <c r="P612">
        <v>5102</v>
      </c>
      <c r="Q612">
        <v>10</v>
      </c>
      <c r="R612">
        <v>3.69</v>
      </c>
      <c r="S612">
        <v>36.9</v>
      </c>
      <c r="T612">
        <v>29.3</v>
      </c>
      <c r="U612">
        <v>20.6</v>
      </c>
      <c r="V612" t="str">
        <f>VLOOKUP(L612,'[2]tabela de preços'!$A:$D,4,0)</f>
        <v>UNIPEGA</v>
      </c>
      <c r="W612" t="str">
        <f>VLOOKUP(L612,'[2]tabela de preços'!$A:$F,6,0)</f>
        <v>FITA ISOLANTE</v>
      </c>
      <c r="X612" t="str">
        <f>VLOOKUP(L612,'[2]tabela de preços'!$A:$G,7,0)</f>
        <v>IMOBILIÁRIO</v>
      </c>
    </row>
    <row r="613" spans="1:24" x14ac:dyDescent="0.3">
      <c r="A613" t="s">
        <v>626</v>
      </c>
      <c r="B613" t="s">
        <v>627</v>
      </c>
      <c r="C613" t="s">
        <v>666</v>
      </c>
      <c r="D613" s="1">
        <v>46042</v>
      </c>
      <c r="E613" t="s">
        <v>667</v>
      </c>
      <c r="F613">
        <v>9</v>
      </c>
      <c r="G613">
        <v>174</v>
      </c>
      <c r="H613" t="str">
        <f>VLOOKUP(G613,[1]OPERADORES!$A:$B,2,0)</f>
        <v>MIRIÃ LOBATO RODRIGUES</v>
      </c>
      <c r="I613" t="s">
        <v>21</v>
      </c>
      <c r="J613" t="s">
        <v>630</v>
      </c>
      <c r="K613" t="s">
        <v>631</v>
      </c>
      <c r="L613">
        <v>20431</v>
      </c>
      <c r="M613" t="s">
        <v>202</v>
      </c>
      <c r="O613" t="s">
        <v>11</v>
      </c>
      <c r="P613">
        <v>5403</v>
      </c>
      <c r="Q613">
        <v>9</v>
      </c>
      <c r="R613">
        <v>36.89</v>
      </c>
      <c r="S613">
        <v>332.01</v>
      </c>
      <c r="T613">
        <v>272.33999999999997</v>
      </c>
      <c r="U613">
        <v>17.97</v>
      </c>
      <c r="V613" t="str">
        <f>VLOOKUP(L613,'[2]tabela de preços'!$A:$D,4,0)</f>
        <v>SHERWIN WILLIAMS</v>
      </c>
      <c r="W613" t="str">
        <f>VLOOKUP(L613,'[2]tabela de preços'!$A:$F,6,0)</f>
        <v>VERNIZ AUTOMOTIVO</v>
      </c>
      <c r="X613" t="str">
        <f>VLOOKUP(L613,'[2]tabela de preços'!$A:$G,7,0)</f>
        <v>AUTOMOTIVO</v>
      </c>
    </row>
    <row r="614" spans="1:24" x14ac:dyDescent="0.3">
      <c r="A614" t="s">
        <v>626</v>
      </c>
      <c r="B614" t="s">
        <v>627</v>
      </c>
      <c r="C614" t="s">
        <v>666</v>
      </c>
      <c r="D614" s="1">
        <v>46042</v>
      </c>
      <c r="E614" t="s">
        <v>667</v>
      </c>
      <c r="F614">
        <v>9</v>
      </c>
      <c r="G614">
        <v>174</v>
      </c>
      <c r="H614" t="str">
        <f>VLOOKUP(G614,[1]OPERADORES!$A:$B,2,0)</f>
        <v>MIRIÃ LOBATO RODRIGUES</v>
      </c>
      <c r="I614" t="s">
        <v>21</v>
      </c>
      <c r="J614" t="s">
        <v>630</v>
      </c>
      <c r="K614" t="s">
        <v>631</v>
      </c>
      <c r="L614">
        <v>21820</v>
      </c>
      <c r="M614" t="s">
        <v>149</v>
      </c>
      <c r="O614" t="s">
        <v>11</v>
      </c>
      <c r="P614">
        <v>5403</v>
      </c>
      <c r="Q614">
        <v>1</v>
      </c>
      <c r="R614">
        <v>38.61</v>
      </c>
      <c r="S614">
        <v>38.61</v>
      </c>
      <c r="T614">
        <v>27.53</v>
      </c>
      <c r="U614">
        <v>28.7</v>
      </c>
      <c r="V614" t="str">
        <f>VLOOKUP(L614,'[2]tabela de preços'!$A:$D,4,0)</f>
        <v>SHERWIN WILLIAMS</v>
      </c>
      <c r="W614" t="str">
        <f>VLOOKUP(L614,'[2]tabela de preços'!$A:$F,6,0)</f>
        <v>TINTAS PU</v>
      </c>
      <c r="X614" t="str">
        <f>VLOOKUP(L614,'[2]tabela de preços'!$A:$G,7,0)</f>
        <v>AUTOMOTIVO</v>
      </c>
    </row>
    <row r="615" spans="1:24" x14ac:dyDescent="0.3">
      <c r="A615" t="s">
        <v>626</v>
      </c>
      <c r="B615" t="s">
        <v>627</v>
      </c>
      <c r="C615" t="s">
        <v>666</v>
      </c>
      <c r="D615" s="1">
        <v>46042</v>
      </c>
      <c r="E615" t="s">
        <v>667</v>
      </c>
      <c r="F615">
        <v>9</v>
      </c>
      <c r="G615">
        <v>174</v>
      </c>
      <c r="H615" t="str">
        <f>VLOOKUP(G615,[1]OPERADORES!$A:$B,2,0)</f>
        <v>MIRIÃ LOBATO RODRIGUES</v>
      </c>
      <c r="I615" t="s">
        <v>21</v>
      </c>
      <c r="J615" t="s">
        <v>630</v>
      </c>
      <c r="K615" t="s">
        <v>631</v>
      </c>
      <c r="L615">
        <v>23354</v>
      </c>
      <c r="M615" t="s">
        <v>670</v>
      </c>
      <c r="O615" t="s">
        <v>11</v>
      </c>
      <c r="P615">
        <v>5403</v>
      </c>
      <c r="Q615">
        <v>2</v>
      </c>
      <c r="R615">
        <v>48.84</v>
      </c>
      <c r="S615">
        <v>97.68</v>
      </c>
      <c r="T615">
        <v>74.14</v>
      </c>
      <c r="U615">
        <v>24.1</v>
      </c>
      <c r="V615" t="str">
        <f>VLOOKUP(L615,'[2]tabela de preços'!$A:$D,4,0)</f>
        <v>SHERWIN WILLIAMS</v>
      </c>
      <c r="W615" t="str">
        <f>VLOOKUP(L615,'[2]tabela de preços'!$A:$F,6,0)</f>
        <v>TINTAS PU</v>
      </c>
      <c r="X615" t="str">
        <f>VLOOKUP(L615,'[2]tabela de preços'!$A:$G,7,0)</f>
        <v>AUTOMOTIVO</v>
      </c>
    </row>
    <row r="616" spans="1:24" x14ac:dyDescent="0.3">
      <c r="A616" t="s">
        <v>626</v>
      </c>
      <c r="B616" t="s">
        <v>627</v>
      </c>
      <c r="C616" t="s">
        <v>666</v>
      </c>
      <c r="D616" s="1">
        <v>46042</v>
      </c>
      <c r="E616" t="s">
        <v>667</v>
      </c>
      <c r="F616">
        <v>9</v>
      </c>
      <c r="G616">
        <v>174</v>
      </c>
      <c r="H616" t="str">
        <f>VLOOKUP(G616,[1]OPERADORES!$A:$B,2,0)</f>
        <v>MIRIÃ LOBATO RODRIGUES</v>
      </c>
      <c r="I616" t="s">
        <v>21</v>
      </c>
      <c r="J616" t="s">
        <v>630</v>
      </c>
      <c r="K616" t="s">
        <v>631</v>
      </c>
      <c r="L616">
        <v>20817</v>
      </c>
      <c r="M616" t="s">
        <v>153</v>
      </c>
      <c r="O616" t="s">
        <v>11</v>
      </c>
      <c r="P616">
        <v>5102</v>
      </c>
      <c r="Q616">
        <v>6</v>
      </c>
      <c r="R616">
        <v>22.89</v>
      </c>
      <c r="S616">
        <v>137.34</v>
      </c>
      <c r="T616">
        <v>111.72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626</v>
      </c>
      <c r="B617" t="s">
        <v>627</v>
      </c>
      <c r="C617" t="s">
        <v>666</v>
      </c>
      <c r="D617" s="1">
        <v>46042</v>
      </c>
      <c r="E617" t="s">
        <v>667</v>
      </c>
      <c r="F617">
        <v>9</v>
      </c>
      <c r="G617">
        <v>174</v>
      </c>
      <c r="H617" t="str">
        <f>VLOOKUP(G617,[1]OPERADORES!$A:$B,2,0)</f>
        <v>MIRIÃ LOBATO RODRIGUES</v>
      </c>
      <c r="I617" t="s">
        <v>21</v>
      </c>
      <c r="J617" t="s">
        <v>630</v>
      </c>
      <c r="K617" t="s">
        <v>631</v>
      </c>
      <c r="L617">
        <v>20525</v>
      </c>
      <c r="M617" t="s">
        <v>137</v>
      </c>
      <c r="O617" t="s">
        <v>11</v>
      </c>
      <c r="P617">
        <v>5102</v>
      </c>
      <c r="Q617">
        <v>6</v>
      </c>
      <c r="R617">
        <v>13.65</v>
      </c>
      <c r="S617">
        <v>81.900000000000006</v>
      </c>
      <c r="T617">
        <v>62.16</v>
      </c>
      <c r="U617">
        <v>24.1</v>
      </c>
      <c r="V617" t="str">
        <f>VLOOKUP(L617,'[2]tabela de preços'!$A:$D,4,0)</f>
        <v>SHERWIN WILLIAMS</v>
      </c>
      <c r="W617" t="str">
        <f>VLOOKUP(L617,'[2]tabela de preços'!$A:$F,6,0)</f>
        <v>MASSA DE PEQUENOS REPAROS</v>
      </c>
      <c r="X617" t="str">
        <f>VLOOKUP(L617,'[2]tabela de preços'!$A:$G,7,0)</f>
        <v>AUTOMOTIVO</v>
      </c>
    </row>
    <row r="618" spans="1:24" x14ac:dyDescent="0.3">
      <c r="A618" t="s">
        <v>626</v>
      </c>
      <c r="B618" t="s">
        <v>627</v>
      </c>
      <c r="C618" t="s">
        <v>666</v>
      </c>
      <c r="D618" s="1">
        <v>46042</v>
      </c>
      <c r="E618" t="s">
        <v>667</v>
      </c>
      <c r="F618">
        <v>9</v>
      </c>
      <c r="G618">
        <v>174</v>
      </c>
      <c r="H618" t="str">
        <f>VLOOKUP(G618,[1]OPERADORES!$A:$B,2,0)</f>
        <v>MIRIÃ LOBATO RODRIGUES</v>
      </c>
      <c r="I618" t="s">
        <v>21</v>
      </c>
      <c r="J618" t="s">
        <v>630</v>
      </c>
      <c r="K618" t="s">
        <v>631</v>
      </c>
      <c r="L618">
        <v>84658</v>
      </c>
      <c r="M618" t="s">
        <v>100</v>
      </c>
      <c r="O618" t="s">
        <v>11</v>
      </c>
      <c r="P618">
        <v>5102</v>
      </c>
      <c r="Q618">
        <v>6</v>
      </c>
      <c r="R618">
        <v>40.840000000000003</v>
      </c>
      <c r="S618">
        <v>245.04</v>
      </c>
      <c r="T618">
        <v>186</v>
      </c>
      <c r="U618">
        <v>24.09</v>
      </c>
      <c r="V618" t="str">
        <f>VLOOKUP(L618,'[2]tabela de preços'!$A:$D,4,0)</f>
        <v>ANJO</v>
      </c>
      <c r="W618" t="str">
        <f>VLOOKUP(L618,'[2]tabela de preços'!$A:$F,6,0)</f>
        <v>MASSA POLIÉSTER</v>
      </c>
      <c r="X618" t="str">
        <f>VLOOKUP(L618,'[2]tabela de preços'!$A:$G,7,0)</f>
        <v>AUTOMOTIVO</v>
      </c>
    </row>
    <row r="619" spans="1:24" x14ac:dyDescent="0.3">
      <c r="A619" t="s">
        <v>626</v>
      </c>
      <c r="B619" t="s">
        <v>627</v>
      </c>
      <c r="C619" t="s">
        <v>666</v>
      </c>
      <c r="D619" s="1">
        <v>46042</v>
      </c>
      <c r="E619" t="s">
        <v>667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630</v>
      </c>
      <c r="K619" t="s">
        <v>631</v>
      </c>
      <c r="L619">
        <v>23926</v>
      </c>
      <c r="M619" t="s">
        <v>645</v>
      </c>
      <c r="O619" t="s">
        <v>11</v>
      </c>
      <c r="P619">
        <v>5403</v>
      </c>
      <c r="Q619">
        <v>1</v>
      </c>
      <c r="R619">
        <v>147.1</v>
      </c>
      <c r="S619">
        <v>147.1</v>
      </c>
      <c r="T619">
        <v>98.89</v>
      </c>
      <c r="U619">
        <v>32.770000000000003</v>
      </c>
      <c r="V619" t="str">
        <f>VLOOKUP(L619,'[2]tabela de preços'!$A:$D,4,0)</f>
        <v>SIKKENS</v>
      </c>
      <c r="W619" t="str">
        <f>VLOOKUP(L619,'[2]tabela de preços'!$A:$F,6,0)</f>
        <v>PRIMER AUTOMOTIVO</v>
      </c>
      <c r="X619" t="str">
        <f>VLOOKUP(L619,'[2]tabela de preços'!$A:$G,7,0)</f>
        <v>AUTOMOTIVO</v>
      </c>
    </row>
    <row r="620" spans="1:24" x14ac:dyDescent="0.3">
      <c r="A620" t="s">
        <v>626</v>
      </c>
      <c r="B620" t="s">
        <v>627</v>
      </c>
      <c r="C620" t="s">
        <v>666</v>
      </c>
      <c r="D620" s="1">
        <v>46042</v>
      </c>
      <c r="E620" t="s">
        <v>667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630</v>
      </c>
      <c r="K620" t="s">
        <v>631</v>
      </c>
      <c r="L620">
        <v>24247</v>
      </c>
      <c r="M620" t="s">
        <v>160</v>
      </c>
      <c r="O620" t="s">
        <v>11</v>
      </c>
      <c r="P620">
        <v>5403</v>
      </c>
      <c r="Q620">
        <v>12</v>
      </c>
      <c r="R620">
        <v>21</v>
      </c>
      <c r="S620">
        <v>252</v>
      </c>
      <c r="T620">
        <v>202.44</v>
      </c>
      <c r="U620">
        <v>19.670000000000002</v>
      </c>
      <c r="V620" t="str">
        <f>VLOOKUP(L620,'[2]tabela de preços'!$A:$D,4,0)</f>
        <v>SHERWIN WILLIAMS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626</v>
      </c>
      <c r="B621" t="s">
        <v>627</v>
      </c>
      <c r="C621" t="s">
        <v>666</v>
      </c>
      <c r="D621" s="1">
        <v>46042</v>
      </c>
      <c r="E621" t="s">
        <v>667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630</v>
      </c>
      <c r="K621" t="s">
        <v>631</v>
      </c>
      <c r="L621">
        <v>21067</v>
      </c>
      <c r="M621" t="s">
        <v>640</v>
      </c>
      <c r="O621" t="s">
        <v>11</v>
      </c>
      <c r="P621">
        <v>5102</v>
      </c>
      <c r="Q621">
        <v>3</v>
      </c>
      <c r="R621">
        <v>36.07</v>
      </c>
      <c r="S621">
        <v>108.21</v>
      </c>
      <c r="T621">
        <v>82.14</v>
      </c>
      <c r="U621">
        <v>24.09</v>
      </c>
      <c r="V621" t="str">
        <f>VLOOKUP(L621,'[2]tabela de preços'!$A:$D,4,0)</f>
        <v>SIKKENS</v>
      </c>
      <c r="W621" t="str">
        <f>VLOOKUP(L621,'[2]tabela de preços'!$A:$F,6,0)</f>
        <v>DILUENTE</v>
      </c>
      <c r="X621" t="str">
        <f>VLOOKUP(L621,'[2]tabela de preços'!$A:$G,7,0)</f>
        <v>AUTOMOTIVO</v>
      </c>
    </row>
    <row r="622" spans="1:24" x14ac:dyDescent="0.3">
      <c r="A622" t="s">
        <v>626</v>
      </c>
      <c r="B622" t="s">
        <v>627</v>
      </c>
      <c r="C622" t="s">
        <v>666</v>
      </c>
      <c r="D622" s="1">
        <v>46042</v>
      </c>
      <c r="E622" t="s">
        <v>667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630</v>
      </c>
      <c r="K622" t="s">
        <v>631</v>
      </c>
      <c r="L622">
        <v>20212</v>
      </c>
      <c r="M622" t="s">
        <v>198</v>
      </c>
      <c r="O622" t="s">
        <v>11</v>
      </c>
      <c r="P622">
        <v>5403</v>
      </c>
      <c r="Q622">
        <v>6</v>
      </c>
      <c r="R622">
        <v>26.95</v>
      </c>
      <c r="S622">
        <v>161.69999999999999</v>
      </c>
      <c r="T622">
        <v>122.76</v>
      </c>
      <c r="U622">
        <v>24.08</v>
      </c>
      <c r="V622" t="str">
        <f>VLOOKUP(L622,'[2]tabela de preços'!$A:$D,4,0)</f>
        <v>MAXI RUBBER</v>
      </c>
      <c r="W622" t="str">
        <f>VLOOKUP(L622,'[2]tabela de preços'!$A:$F,6,0)</f>
        <v>SELADORA P/ PLASTICO</v>
      </c>
      <c r="X622" t="str">
        <f>VLOOKUP(L622,'[2]tabela de preços'!$A:$G,7,0)</f>
        <v>AUTOMOTIVO</v>
      </c>
    </row>
    <row r="623" spans="1:24" x14ac:dyDescent="0.3">
      <c r="A623" t="s">
        <v>626</v>
      </c>
      <c r="B623" t="s">
        <v>627</v>
      </c>
      <c r="C623" t="s">
        <v>666</v>
      </c>
      <c r="D623" s="1">
        <v>46042</v>
      </c>
      <c r="E623" t="s">
        <v>667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630</v>
      </c>
      <c r="K623" t="s">
        <v>631</v>
      </c>
      <c r="L623">
        <v>20414</v>
      </c>
      <c r="M623" t="s">
        <v>112</v>
      </c>
      <c r="O623" t="s">
        <v>11</v>
      </c>
      <c r="P623">
        <v>5102</v>
      </c>
      <c r="Q623">
        <v>20</v>
      </c>
      <c r="R623">
        <v>21.89</v>
      </c>
      <c r="S623">
        <v>437.8</v>
      </c>
      <c r="T623">
        <v>360</v>
      </c>
      <c r="U623">
        <v>17.77</v>
      </c>
      <c r="V623" t="str">
        <f>VLOOKUP(L623,'[2]tabela de preços'!$A:$D,4,0)</f>
        <v>SHERWIN WILLIAMS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626</v>
      </c>
      <c r="B624" t="s">
        <v>627</v>
      </c>
      <c r="C624" t="s">
        <v>666</v>
      </c>
      <c r="D624" s="1">
        <v>46042</v>
      </c>
      <c r="E624" t="s">
        <v>667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630</v>
      </c>
      <c r="K624" t="s">
        <v>631</v>
      </c>
      <c r="L624">
        <v>85649</v>
      </c>
      <c r="M624" t="s">
        <v>478</v>
      </c>
      <c r="O624" t="s">
        <v>11</v>
      </c>
      <c r="P624">
        <v>5403</v>
      </c>
      <c r="Q624">
        <v>6</v>
      </c>
      <c r="R624">
        <v>9.1199999999999992</v>
      </c>
      <c r="S624">
        <v>54.72</v>
      </c>
      <c r="T624">
        <v>41.52</v>
      </c>
      <c r="U624">
        <v>24.12</v>
      </c>
      <c r="V624" t="str">
        <f>VLOOKUP(L624,'[2]tabela de preços'!$A:$D,4,0)</f>
        <v>UNIPEGA</v>
      </c>
      <c r="W624" t="str">
        <f>VLOOKUP(L624,'[2]tabela de preços'!$A:$F,6,0)</f>
        <v xml:space="preserve">SPRAYS </v>
      </c>
      <c r="X624" t="str">
        <f>VLOOKUP(L624,'[2]tabela de preços'!$A:$G,7,0)</f>
        <v>AUTOMOTIVO</v>
      </c>
    </row>
    <row r="625" spans="1:24" x14ac:dyDescent="0.3">
      <c r="A625" t="s">
        <v>626</v>
      </c>
      <c r="B625" t="s">
        <v>627</v>
      </c>
      <c r="C625" t="s">
        <v>666</v>
      </c>
      <c r="D625" s="1">
        <v>46042</v>
      </c>
      <c r="E625" t="s">
        <v>667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630</v>
      </c>
      <c r="K625" t="s">
        <v>631</v>
      </c>
      <c r="L625">
        <v>85650</v>
      </c>
      <c r="M625" t="s">
        <v>439</v>
      </c>
      <c r="O625" t="s">
        <v>11</v>
      </c>
      <c r="P625">
        <v>5403</v>
      </c>
      <c r="Q625">
        <v>6</v>
      </c>
      <c r="R625">
        <v>9.1199999999999992</v>
      </c>
      <c r="S625">
        <v>54.72</v>
      </c>
      <c r="T625">
        <v>41.52</v>
      </c>
      <c r="U625">
        <v>24.12</v>
      </c>
      <c r="V625" t="str">
        <f>VLOOKUP(L625,'[2]tabela de preços'!$A:$D,4,0)</f>
        <v>UNIPEGA</v>
      </c>
      <c r="W625" t="str">
        <f>VLOOKUP(L625,'[2]tabela de preços'!$A:$F,6,0)</f>
        <v xml:space="preserve">SPRAYS </v>
      </c>
      <c r="X625" t="str">
        <f>VLOOKUP(L625,'[2]tabela de preços'!$A:$G,7,0)</f>
        <v>AUTOMOTIVO</v>
      </c>
    </row>
    <row r="626" spans="1:24" x14ac:dyDescent="0.3">
      <c r="A626" t="s">
        <v>626</v>
      </c>
      <c r="B626" t="s">
        <v>627</v>
      </c>
      <c r="C626" t="s">
        <v>671</v>
      </c>
      <c r="D626" s="1">
        <v>46044</v>
      </c>
      <c r="E626" t="s">
        <v>672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630</v>
      </c>
      <c r="K626" t="s">
        <v>631</v>
      </c>
      <c r="L626">
        <v>84487</v>
      </c>
      <c r="M626" t="s">
        <v>633</v>
      </c>
      <c r="O626" t="s">
        <v>11</v>
      </c>
      <c r="P626">
        <v>5403</v>
      </c>
      <c r="Q626">
        <v>3</v>
      </c>
      <c r="R626">
        <v>28.84</v>
      </c>
      <c r="S626">
        <v>86.52</v>
      </c>
      <c r="T626">
        <v>65.67</v>
      </c>
      <c r="U626">
        <v>24.1</v>
      </c>
      <c r="V626" t="str">
        <f>VLOOKUP(L626,'[2]tabela de preços'!$A:$D,4,0)</f>
        <v>BRASILUX</v>
      </c>
      <c r="W626" t="str">
        <f>VLOOKUP(L626,'[2]tabela de preços'!$A:$F,6,0)</f>
        <v>TINTAS LACA</v>
      </c>
      <c r="X626" t="str">
        <f>VLOOKUP(L626,'[2]tabela de preços'!$A:$G,7,0)</f>
        <v>AUTOMOTIVO</v>
      </c>
    </row>
    <row r="627" spans="1:24" x14ac:dyDescent="0.3">
      <c r="A627" t="s">
        <v>626</v>
      </c>
      <c r="B627" t="s">
        <v>627</v>
      </c>
      <c r="C627" t="s">
        <v>671</v>
      </c>
      <c r="D627" s="1">
        <v>46044</v>
      </c>
      <c r="E627" t="s">
        <v>672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630</v>
      </c>
      <c r="K627" t="s">
        <v>631</v>
      </c>
      <c r="L627">
        <v>84259</v>
      </c>
      <c r="M627" t="s">
        <v>673</v>
      </c>
      <c r="O627" t="s">
        <v>11</v>
      </c>
      <c r="P627">
        <v>5403</v>
      </c>
      <c r="Q627">
        <v>1</v>
      </c>
      <c r="R627">
        <v>29.84</v>
      </c>
      <c r="S627">
        <v>29.84</v>
      </c>
      <c r="T627">
        <v>22.64</v>
      </c>
      <c r="U627">
        <v>24.13</v>
      </c>
      <c r="V627" t="str">
        <f>VLOOKUP(L627,'[2]tabela de preços'!$A:$D,4,0)</f>
        <v>BRASILUX</v>
      </c>
      <c r="W627" t="str">
        <f>VLOOKUP(L627,'[2]tabela de preços'!$A:$F,6,0)</f>
        <v>TINTA PAREDE</v>
      </c>
      <c r="X627" t="str">
        <f>VLOOKUP(L627,'[2]tabela de preços'!$A:$G,7,0)</f>
        <v>IMOBILIÁRIO</v>
      </c>
    </row>
    <row r="628" spans="1:24" x14ac:dyDescent="0.3">
      <c r="A628" t="s">
        <v>626</v>
      </c>
      <c r="B628" t="s">
        <v>627</v>
      </c>
      <c r="C628" t="s">
        <v>671</v>
      </c>
      <c r="D628" s="1">
        <v>46044</v>
      </c>
      <c r="E628" t="s">
        <v>672</v>
      </c>
      <c r="F628">
        <v>9</v>
      </c>
      <c r="G628">
        <v>174</v>
      </c>
      <c r="H628" t="str">
        <f>VLOOKUP(G628,[1]OPERADORES!$A:$B,2,0)</f>
        <v>MIRIÃ LOBATO RODRIGUES</v>
      </c>
      <c r="I628" t="s">
        <v>21</v>
      </c>
      <c r="J628" t="s">
        <v>630</v>
      </c>
      <c r="K628" t="s">
        <v>631</v>
      </c>
      <c r="L628">
        <v>85635</v>
      </c>
      <c r="M628" t="s">
        <v>674</v>
      </c>
      <c r="O628" t="s">
        <v>11</v>
      </c>
      <c r="P628">
        <v>5102</v>
      </c>
      <c r="Q628">
        <v>6</v>
      </c>
      <c r="R628">
        <v>5.27</v>
      </c>
      <c r="S628">
        <v>31.62</v>
      </c>
      <c r="T628">
        <v>24</v>
      </c>
      <c r="U628">
        <v>24.1</v>
      </c>
      <c r="V628" t="str">
        <f>VLOOKUP(L628,'[2]tabela de preços'!$A:$D,4,0)</f>
        <v>UNIPEGA</v>
      </c>
      <c r="W628" t="str">
        <f>VLOOKUP(L628,'[2]tabela de preços'!$A:$F,6,0)</f>
        <v>DESENGRIPANTE</v>
      </c>
      <c r="X628" t="str">
        <f>VLOOKUP(L628,'[2]tabela de preços'!$A:$G,7,0)</f>
        <v>AUTOMOTIVO</v>
      </c>
    </row>
    <row r="629" spans="1:24" x14ac:dyDescent="0.3">
      <c r="A629" t="s">
        <v>626</v>
      </c>
      <c r="B629" t="s">
        <v>627</v>
      </c>
      <c r="C629" t="s">
        <v>671</v>
      </c>
      <c r="D629" s="1">
        <v>46044</v>
      </c>
      <c r="E629" t="s">
        <v>672</v>
      </c>
      <c r="F629">
        <v>9</v>
      </c>
      <c r="G629">
        <v>174</v>
      </c>
      <c r="H629" t="str">
        <f>VLOOKUP(G629,[1]OPERADORES!$A:$B,2,0)</f>
        <v>MIRIÃ LOBATO RODRIGUES</v>
      </c>
      <c r="I629" t="s">
        <v>21</v>
      </c>
      <c r="J629" t="s">
        <v>630</v>
      </c>
      <c r="K629" t="s">
        <v>631</v>
      </c>
      <c r="L629">
        <v>23110</v>
      </c>
      <c r="M629" t="s">
        <v>409</v>
      </c>
      <c r="O629" t="s">
        <v>11</v>
      </c>
      <c r="P629">
        <v>5102</v>
      </c>
      <c r="Q629">
        <v>50</v>
      </c>
      <c r="R629">
        <v>2.35</v>
      </c>
      <c r="S629">
        <v>117.5</v>
      </c>
      <c r="T629">
        <v>92.5</v>
      </c>
      <c r="U629">
        <v>21.28</v>
      </c>
      <c r="V629" t="str">
        <f>VLOOKUP(L629,'[2]tabela de preços'!$A:$D,4,0)</f>
        <v>3M</v>
      </c>
      <c r="W629" t="str">
        <f>VLOOKUP(L629,'[2]tabela de preços'!$A:$F,6,0)</f>
        <v xml:space="preserve">DISCOS / LIXAS / ABRASIVOS </v>
      </c>
      <c r="X629" t="str">
        <f>VLOOKUP(L629,'[2]tabela de preços'!$A:$G,7,0)</f>
        <v>AUTOMOTIVO</v>
      </c>
    </row>
    <row r="630" spans="1:24" x14ac:dyDescent="0.3">
      <c r="A630" t="s">
        <v>626</v>
      </c>
      <c r="B630" t="s">
        <v>627</v>
      </c>
      <c r="C630" t="s">
        <v>671</v>
      </c>
      <c r="D630" s="1">
        <v>46044</v>
      </c>
      <c r="E630" t="s">
        <v>672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630</v>
      </c>
      <c r="K630" t="s">
        <v>631</v>
      </c>
      <c r="L630">
        <v>23076</v>
      </c>
      <c r="M630" t="s">
        <v>97</v>
      </c>
      <c r="O630" t="s">
        <v>11</v>
      </c>
      <c r="P630">
        <v>5403</v>
      </c>
      <c r="Q630">
        <v>18</v>
      </c>
      <c r="R630">
        <v>34.89</v>
      </c>
      <c r="S630">
        <v>628.02</v>
      </c>
      <c r="T630">
        <v>477.54</v>
      </c>
      <c r="U630">
        <v>23.96</v>
      </c>
      <c r="V630" t="str">
        <f>VLOOKUP(L630,'[2]tabela de preços'!$A:$D,4,0)</f>
        <v>WANDA</v>
      </c>
      <c r="W630" t="str">
        <f>VLOOKUP(L630,'[2]tabela de preços'!$A:$F,6,0)</f>
        <v>PRIMER AUTOMOTIVO</v>
      </c>
      <c r="X630" t="str">
        <f>VLOOKUP(L630,'[2]tabela de preços'!$A:$G,7,0)</f>
        <v>AUTOMOTIVO</v>
      </c>
    </row>
    <row r="631" spans="1:24" x14ac:dyDescent="0.3">
      <c r="A631" t="s">
        <v>626</v>
      </c>
      <c r="B631" t="s">
        <v>627</v>
      </c>
      <c r="C631" t="s">
        <v>671</v>
      </c>
      <c r="D631" s="1">
        <v>46044</v>
      </c>
      <c r="E631" t="s">
        <v>672</v>
      </c>
      <c r="F631">
        <v>9</v>
      </c>
      <c r="G631">
        <v>174</v>
      </c>
      <c r="H631" t="str">
        <f>VLOOKUP(G631,[1]OPERADORES!$A:$B,2,0)</f>
        <v>MIRIÃ LOBATO RODRIGUES</v>
      </c>
      <c r="I631" t="s">
        <v>21</v>
      </c>
      <c r="J631" t="s">
        <v>630</v>
      </c>
      <c r="K631" t="s">
        <v>631</v>
      </c>
      <c r="L631">
        <v>23602</v>
      </c>
      <c r="M631" t="s">
        <v>215</v>
      </c>
      <c r="O631" t="s">
        <v>11</v>
      </c>
      <c r="P631">
        <v>5403</v>
      </c>
      <c r="Q631">
        <v>9</v>
      </c>
      <c r="R631">
        <v>35.89</v>
      </c>
      <c r="S631">
        <v>323.01</v>
      </c>
      <c r="T631">
        <v>263.25</v>
      </c>
      <c r="U631">
        <v>18.5</v>
      </c>
      <c r="V631" t="str">
        <f>VLOOKUP(L631,'[2]tabela de preços'!$A:$D,4,0)</f>
        <v>SHERWIN WILLIAMS</v>
      </c>
      <c r="W631" t="str">
        <f>VLOOKUP(L631,'[2]tabela de preços'!$A:$F,6,0)</f>
        <v>VERNIZ AUTOMOTIVO</v>
      </c>
      <c r="X631" t="str">
        <f>VLOOKUP(L631,'[2]tabela de preços'!$A:$G,7,0)</f>
        <v>AUTOMOTIVO</v>
      </c>
    </row>
    <row r="632" spans="1:24" x14ac:dyDescent="0.3">
      <c r="A632" t="s">
        <v>626</v>
      </c>
      <c r="B632" t="s">
        <v>627</v>
      </c>
      <c r="C632" t="s">
        <v>671</v>
      </c>
      <c r="D632" s="1">
        <v>46044</v>
      </c>
      <c r="E632" t="s">
        <v>672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630</v>
      </c>
      <c r="K632" t="s">
        <v>631</v>
      </c>
      <c r="L632">
        <v>20318</v>
      </c>
      <c r="M632" t="s">
        <v>136</v>
      </c>
      <c r="O632" t="s">
        <v>11</v>
      </c>
      <c r="P632">
        <v>5403</v>
      </c>
      <c r="Q632">
        <v>2</v>
      </c>
      <c r="R632">
        <v>33.4</v>
      </c>
      <c r="S632">
        <v>66.8</v>
      </c>
      <c r="T632">
        <v>47.62</v>
      </c>
      <c r="U632">
        <v>28.71</v>
      </c>
      <c r="V632" t="str">
        <f>VLOOKUP(L632,'[2]tabela de preços'!$A:$D,4,0)</f>
        <v>SHERWIN WILLIAMS</v>
      </c>
      <c r="W632" t="str">
        <f>VLOOKUP(L632,'[2]tabela de preços'!$A:$F,6,0)</f>
        <v>TINTAS POLIÉSTER</v>
      </c>
      <c r="X632" t="str">
        <f>VLOOKUP(L632,'[2]tabela de preços'!$A:$G,7,0)</f>
        <v>AUTOMOTIVO</v>
      </c>
    </row>
    <row r="633" spans="1:24" x14ac:dyDescent="0.3">
      <c r="A633" t="s">
        <v>626</v>
      </c>
      <c r="B633" t="s">
        <v>627</v>
      </c>
      <c r="C633" t="s">
        <v>671</v>
      </c>
      <c r="D633" s="1">
        <v>46044</v>
      </c>
      <c r="E633" t="s">
        <v>672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630</v>
      </c>
      <c r="K633" t="s">
        <v>631</v>
      </c>
      <c r="L633">
        <v>20383</v>
      </c>
      <c r="M633" t="s">
        <v>129</v>
      </c>
      <c r="O633" t="s">
        <v>11</v>
      </c>
      <c r="P633">
        <v>5403</v>
      </c>
      <c r="Q633">
        <v>2</v>
      </c>
      <c r="R633">
        <v>33.79</v>
      </c>
      <c r="S633">
        <v>67.58</v>
      </c>
      <c r="T633">
        <v>48.18</v>
      </c>
      <c r="U633">
        <v>28.71</v>
      </c>
      <c r="V633" t="str">
        <f>VLOOKUP(L633,'[2]tabela de preços'!$A:$D,4,0)</f>
        <v>SHERWIN WILLIAMS</v>
      </c>
      <c r="W633" t="str">
        <f>VLOOKUP(L633,'[2]tabela de preços'!$A:$F,6,0)</f>
        <v>TINTAS POLIÉSTER</v>
      </c>
      <c r="X633" t="str">
        <f>VLOOKUP(L633,'[2]tabela de preços'!$A:$G,7,0)</f>
        <v>AUTOMOTIVO</v>
      </c>
    </row>
    <row r="634" spans="1:24" x14ac:dyDescent="0.3">
      <c r="A634" t="s">
        <v>626</v>
      </c>
      <c r="B634" t="s">
        <v>627</v>
      </c>
      <c r="C634" t="s">
        <v>671</v>
      </c>
      <c r="D634" s="1">
        <v>46044</v>
      </c>
      <c r="E634" t="s">
        <v>672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630</v>
      </c>
      <c r="K634" t="s">
        <v>631</v>
      </c>
      <c r="L634">
        <v>21077</v>
      </c>
      <c r="M634" t="s">
        <v>207</v>
      </c>
      <c r="O634" t="s">
        <v>11</v>
      </c>
      <c r="P634">
        <v>5102</v>
      </c>
      <c r="Q634">
        <v>6</v>
      </c>
      <c r="R634">
        <v>44.68</v>
      </c>
      <c r="S634">
        <v>268.08</v>
      </c>
      <c r="T634">
        <v>203.52</v>
      </c>
      <c r="U634">
        <v>24.08</v>
      </c>
      <c r="V634" t="str">
        <f>VLOOKUP(L634,'[2]tabela de preços'!$A:$D,4,0)</f>
        <v>SHERWIN WILLIAMS</v>
      </c>
      <c r="W634" t="str">
        <f>VLOOKUP(L634,'[2]tabela de preços'!$A:$F,6,0)</f>
        <v>MASSA POLIÉSTER</v>
      </c>
      <c r="X634" t="str">
        <f>VLOOKUP(L634,'[2]tabela de preços'!$A:$G,7,0)</f>
        <v>AUTOMOTIVO</v>
      </c>
    </row>
    <row r="635" spans="1:24" x14ac:dyDescent="0.3">
      <c r="A635" t="s">
        <v>626</v>
      </c>
      <c r="B635" t="s">
        <v>627</v>
      </c>
      <c r="C635" t="s">
        <v>671</v>
      </c>
      <c r="D635" s="1">
        <v>46044</v>
      </c>
      <c r="E635" t="s">
        <v>672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630</v>
      </c>
      <c r="K635" t="s">
        <v>631</v>
      </c>
      <c r="L635">
        <v>10298</v>
      </c>
      <c r="M635" t="s">
        <v>85</v>
      </c>
      <c r="O635" t="s">
        <v>11</v>
      </c>
      <c r="P635">
        <v>5102</v>
      </c>
      <c r="Q635">
        <v>8</v>
      </c>
      <c r="R635">
        <v>56.89</v>
      </c>
      <c r="S635">
        <v>455.12</v>
      </c>
      <c r="T635">
        <v>379.04</v>
      </c>
      <c r="U635">
        <v>16.72</v>
      </c>
      <c r="V635" t="str">
        <f>VLOOKUP(L635,'[2]tabela de preços'!$A:$D,4,0)</f>
        <v>ANJO</v>
      </c>
      <c r="W635" t="str">
        <f>VLOOKUP(L635,'[2]tabela de preços'!$A:$F,6,0)</f>
        <v>THINNER DE LIMPEZA</v>
      </c>
      <c r="X635" t="str">
        <f>VLOOKUP(L635,'[2]tabela de preços'!$A:$G,7,0)</f>
        <v>THINNER</v>
      </c>
    </row>
    <row r="636" spans="1:24" x14ac:dyDescent="0.3">
      <c r="A636" t="s">
        <v>626</v>
      </c>
      <c r="B636" t="s">
        <v>627</v>
      </c>
      <c r="C636" t="s">
        <v>671</v>
      </c>
      <c r="D636" s="1">
        <v>46044</v>
      </c>
      <c r="E636" t="s">
        <v>672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630</v>
      </c>
      <c r="K636" t="s">
        <v>631</v>
      </c>
      <c r="L636">
        <v>85346</v>
      </c>
      <c r="M636" t="s">
        <v>675</v>
      </c>
      <c r="O636" t="s">
        <v>11</v>
      </c>
      <c r="P636">
        <v>5403</v>
      </c>
      <c r="Q636">
        <v>1</v>
      </c>
      <c r="R636">
        <v>59.14</v>
      </c>
      <c r="S636">
        <v>59.14</v>
      </c>
      <c r="T636">
        <v>44.89</v>
      </c>
      <c r="U636">
        <v>24.1</v>
      </c>
      <c r="V636" t="str">
        <f>VLOOKUP(L636,'[2]tabela de preços'!$A:$D,4,0)</f>
        <v>DÁVILA  INOVE</v>
      </c>
      <c r="W636" t="str">
        <f>VLOOKUP(L636,'[2]tabela de preços'!$A:$F,6,0)</f>
        <v>TINTA PAREDE</v>
      </c>
      <c r="X636" t="str">
        <f>VLOOKUP(L636,'[2]tabela de preços'!$A:$G,7,0)</f>
        <v>IMOBILIÁRIO</v>
      </c>
    </row>
    <row r="637" spans="1:24" x14ac:dyDescent="0.3">
      <c r="A637" t="s">
        <v>626</v>
      </c>
      <c r="B637" t="s">
        <v>627</v>
      </c>
      <c r="C637" t="s">
        <v>676</v>
      </c>
      <c r="D637" s="1">
        <v>46045</v>
      </c>
      <c r="E637" t="s">
        <v>677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630</v>
      </c>
      <c r="K637" t="s">
        <v>631</v>
      </c>
      <c r="L637">
        <v>84487</v>
      </c>
      <c r="M637" t="s">
        <v>633</v>
      </c>
      <c r="O637" t="s">
        <v>11</v>
      </c>
      <c r="P637">
        <v>5403</v>
      </c>
      <c r="Q637">
        <v>2</v>
      </c>
      <c r="R637">
        <v>28.84</v>
      </c>
      <c r="S637">
        <v>57.68</v>
      </c>
      <c r="T637">
        <v>43.78</v>
      </c>
      <c r="U637">
        <v>24.1</v>
      </c>
      <c r="V637" t="str">
        <f>VLOOKUP(L637,'[2]tabela de preços'!$A:$D,4,0)</f>
        <v>BRASILUX</v>
      </c>
      <c r="W637" t="str">
        <f>VLOOKUP(L637,'[2]tabela de preços'!$A:$F,6,0)</f>
        <v>TINTAS LACA</v>
      </c>
      <c r="X637" t="str">
        <f>VLOOKUP(L637,'[2]tabela de preços'!$A:$G,7,0)</f>
        <v>AUTOMOTIVO</v>
      </c>
    </row>
    <row r="638" spans="1:24" x14ac:dyDescent="0.3">
      <c r="A638" t="s">
        <v>626</v>
      </c>
      <c r="B638" t="s">
        <v>627</v>
      </c>
      <c r="C638" t="s">
        <v>676</v>
      </c>
      <c r="D638" s="1">
        <v>46045</v>
      </c>
      <c r="E638" t="s">
        <v>677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630</v>
      </c>
      <c r="K638" t="s">
        <v>631</v>
      </c>
      <c r="L638">
        <v>84325</v>
      </c>
      <c r="M638" t="s">
        <v>678</v>
      </c>
      <c r="O638" t="s">
        <v>11</v>
      </c>
      <c r="P638">
        <v>5403</v>
      </c>
      <c r="Q638">
        <v>3</v>
      </c>
      <c r="R638">
        <v>59.98</v>
      </c>
      <c r="S638">
        <v>179.94</v>
      </c>
      <c r="T638">
        <v>156</v>
      </c>
      <c r="U638">
        <v>13.3</v>
      </c>
      <c r="V638" t="str">
        <f>VLOOKUP(L638,'[2]tabela de preços'!$A:$D,4,0)</f>
        <v>BRASILUX</v>
      </c>
      <c r="W638" t="str">
        <f>VLOOKUP(L638,'[2]tabela de preços'!$A:$F,6,0)</f>
        <v>ESMALTES</v>
      </c>
      <c r="X638" t="str">
        <f>VLOOKUP(L638,'[2]tabela de preços'!$A:$G,7,0)</f>
        <v>INDUSTRIAL</v>
      </c>
    </row>
    <row r="639" spans="1:24" x14ac:dyDescent="0.3">
      <c r="A639" t="s">
        <v>626</v>
      </c>
      <c r="B639" t="s">
        <v>627</v>
      </c>
      <c r="C639" t="s">
        <v>676</v>
      </c>
      <c r="D639" s="1">
        <v>46045</v>
      </c>
      <c r="E639" t="s">
        <v>677</v>
      </c>
      <c r="F639">
        <v>9</v>
      </c>
      <c r="G639">
        <v>174</v>
      </c>
      <c r="H639" t="str">
        <f>VLOOKUP(G639,[1]OPERADORES!$A:$B,2,0)</f>
        <v>MIRIÃ LOBATO RODRIGUES</v>
      </c>
      <c r="I639" t="s">
        <v>21</v>
      </c>
      <c r="J639" t="s">
        <v>630</v>
      </c>
      <c r="K639" t="s">
        <v>631</v>
      </c>
      <c r="L639">
        <v>23105</v>
      </c>
      <c r="M639" t="s">
        <v>402</v>
      </c>
      <c r="O639" t="s">
        <v>11</v>
      </c>
      <c r="P639">
        <v>5102</v>
      </c>
      <c r="Q639">
        <v>50</v>
      </c>
      <c r="R639">
        <v>2.35</v>
      </c>
      <c r="S639">
        <v>117.5</v>
      </c>
      <c r="T639">
        <v>96</v>
      </c>
      <c r="U639">
        <v>18.3</v>
      </c>
      <c r="V639" t="str">
        <f>VLOOKUP(L639,'[2]tabela de preços'!$A:$D,4,0)</f>
        <v>3M</v>
      </c>
      <c r="W639" t="str">
        <f>VLOOKUP(L639,'[2]tabela de preços'!$A:$F,6,0)</f>
        <v xml:space="preserve">DISCOS / LIXAS / ABRASIVOS </v>
      </c>
      <c r="X639" t="str">
        <f>VLOOKUP(L639,'[2]tabela de preços'!$A:$G,7,0)</f>
        <v>AUTOMOTIVO</v>
      </c>
    </row>
    <row r="640" spans="1:24" x14ac:dyDescent="0.3">
      <c r="A640" t="s">
        <v>626</v>
      </c>
      <c r="B640" t="s">
        <v>627</v>
      </c>
      <c r="C640" t="s">
        <v>676</v>
      </c>
      <c r="D640" s="1">
        <v>46045</v>
      </c>
      <c r="E640" t="s">
        <v>677</v>
      </c>
      <c r="F640">
        <v>9</v>
      </c>
      <c r="G640">
        <v>174</v>
      </c>
      <c r="H640" t="str">
        <f>VLOOKUP(G640,[1]OPERADORES!$A:$B,2,0)</f>
        <v>MIRIÃ LOBATO RODRIGUES</v>
      </c>
      <c r="I640" t="s">
        <v>21</v>
      </c>
      <c r="J640" t="s">
        <v>630</v>
      </c>
      <c r="K640" t="s">
        <v>631</v>
      </c>
      <c r="L640">
        <v>85680</v>
      </c>
      <c r="M640" t="s">
        <v>669</v>
      </c>
      <c r="O640" t="s">
        <v>11</v>
      </c>
      <c r="P640">
        <v>5102</v>
      </c>
      <c r="Q640">
        <v>20</v>
      </c>
      <c r="R640">
        <v>3.69</v>
      </c>
      <c r="S640">
        <v>73.8</v>
      </c>
      <c r="T640">
        <v>58.6</v>
      </c>
      <c r="U640">
        <v>20.6</v>
      </c>
      <c r="V640" t="str">
        <f>VLOOKUP(L640,'[2]tabela de preços'!$A:$D,4,0)</f>
        <v>UNIPEGA</v>
      </c>
      <c r="W640" t="str">
        <f>VLOOKUP(L640,'[2]tabela de preços'!$A:$F,6,0)</f>
        <v>FITA ISOLANTE</v>
      </c>
      <c r="X640" t="str">
        <f>VLOOKUP(L640,'[2]tabela de preços'!$A:$G,7,0)</f>
        <v>IMOBILIÁRIO</v>
      </c>
    </row>
    <row r="641" spans="1:24" x14ac:dyDescent="0.3">
      <c r="A641" t="s">
        <v>626</v>
      </c>
      <c r="B641" t="s">
        <v>627</v>
      </c>
      <c r="C641" t="s">
        <v>676</v>
      </c>
      <c r="D641" s="1">
        <v>46045</v>
      </c>
      <c r="E641" t="s">
        <v>677</v>
      </c>
      <c r="F641">
        <v>9</v>
      </c>
      <c r="G641">
        <v>174</v>
      </c>
      <c r="H641" t="str">
        <f>VLOOKUP(G641,[1]OPERADORES!$A:$B,2,0)</f>
        <v>MIRIÃ LOBATO RODRIGUES</v>
      </c>
      <c r="I641" t="s">
        <v>21</v>
      </c>
      <c r="J641" t="s">
        <v>630</v>
      </c>
      <c r="K641" t="s">
        <v>631</v>
      </c>
      <c r="L641">
        <v>20936</v>
      </c>
      <c r="M641" t="s">
        <v>151</v>
      </c>
      <c r="O641" t="s">
        <v>11</v>
      </c>
      <c r="P641">
        <v>5405</v>
      </c>
      <c r="Q641">
        <v>5</v>
      </c>
      <c r="R641">
        <v>32.340000000000003</v>
      </c>
      <c r="S641">
        <v>161.69999999999999</v>
      </c>
      <c r="T641">
        <v>115.3</v>
      </c>
      <c r="U641">
        <v>28.7</v>
      </c>
      <c r="V641" t="str">
        <f>VLOOKUP(L641,'[2]tabela de preços'!$A:$D,4,0)</f>
        <v>SHERWIN WILLIAMS</v>
      </c>
      <c r="W641" t="str">
        <f>VLOOKUP(L641,'[2]tabela de preços'!$A:$F,6,0)</f>
        <v>TINTAS POLIÉSTER</v>
      </c>
      <c r="X641" t="str">
        <f>VLOOKUP(L641,'[2]tabela de preços'!$A:$G,7,0)</f>
        <v>AUTOMOTIVO</v>
      </c>
    </row>
    <row r="642" spans="1:24" x14ac:dyDescent="0.3">
      <c r="A642" t="s">
        <v>626</v>
      </c>
      <c r="B642" t="s">
        <v>627</v>
      </c>
      <c r="C642" t="s">
        <v>676</v>
      </c>
      <c r="D642" s="1">
        <v>46045</v>
      </c>
      <c r="E642" t="s">
        <v>677</v>
      </c>
      <c r="F642">
        <v>9</v>
      </c>
      <c r="G642">
        <v>174</v>
      </c>
      <c r="H642" t="str">
        <f>VLOOKUP(G642,[1]OPERADORES!$A:$B,2,0)</f>
        <v>MIRIÃ LOBATO RODRIGUES</v>
      </c>
      <c r="I642" t="s">
        <v>21</v>
      </c>
      <c r="J642" t="s">
        <v>630</v>
      </c>
      <c r="K642" t="s">
        <v>631</v>
      </c>
      <c r="L642">
        <v>20383</v>
      </c>
      <c r="M642" t="s">
        <v>129</v>
      </c>
      <c r="O642" t="s">
        <v>11</v>
      </c>
      <c r="P642">
        <v>5403</v>
      </c>
      <c r="Q642">
        <v>2</v>
      </c>
      <c r="R642">
        <v>33.79</v>
      </c>
      <c r="S642">
        <v>67.58</v>
      </c>
      <c r="T642">
        <v>48.18</v>
      </c>
      <c r="U642">
        <v>28.71</v>
      </c>
      <c r="V642" t="str">
        <f>VLOOKUP(L642,'[2]tabela de preços'!$A:$D,4,0)</f>
        <v>SHERWIN WILLIAMS</v>
      </c>
      <c r="W642" t="str">
        <f>VLOOKUP(L642,'[2]tabela de preços'!$A:$F,6,0)</f>
        <v>TINTAS POLIÉSTER</v>
      </c>
      <c r="X642" t="str">
        <f>VLOOKUP(L642,'[2]tabela de preços'!$A:$G,7,0)</f>
        <v>AUTOMOTIVO</v>
      </c>
    </row>
    <row r="643" spans="1:24" x14ac:dyDescent="0.3">
      <c r="A643" t="s">
        <v>626</v>
      </c>
      <c r="B643" t="s">
        <v>627</v>
      </c>
      <c r="C643" t="s">
        <v>679</v>
      </c>
      <c r="D643" s="1">
        <v>46048</v>
      </c>
      <c r="F643">
        <v>9</v>
      </c>
      <c r="G643">
        <v>174</v>
      </c>
      <c r="H643" t="str">
        <f>VLOOKUP(G643,[1]OPERADORES!$A:$B,2,0)</f>
        <v>MIRIÃ LOBATO RODRIGUES</v>
      </c>
      <c r="I643" t="s">
        <v>21</v>
      </c>
      <c r="J643" t="s">
        <v>630</v>
      </c>
      <c r="K643" t="s">
        <v>631</v>
      </c>
      <c r="L643">
        <v>85559</v>
      </c>
      <c r="M643" t="s">
        <v>680</v>
      </c>
      <c r="N643" t="s">
        <v>681</v>
      </c>
      <c r="O643" t="s">
        <v>11</v>
      </c>
      <c r="P643">
        <v>1202</v>
      </c>
      <c r="Q643">
        <v>-7</v>
      </c>
      <c r="R643">
        <v>6.88</v>
      </c>
      <c r="S643">
        <v>-48.16</v>
      </c>
      <c r="T643">
        <v>-31.08</v>
      </c>
      <c r="U643">
        <v>35.47</v>
      </c>
      <c r="V643" t="str">
        <f>VLOOKUP(L643,'[2]tabela de preços'!$A:$D,4,0)</f>
        <v>NORTON</v>
      </c>
      <c r="W643" t="str">
        <f>VLOOKUP(L643,'[2]tabela de preços'!$A:$F,6,0)</f>
        <v xml:space="preserve">OUTROS DISCOS </v>
      </c>
      <c r="X643" t="str">
        <f>VLOOKUP(L643,'[2]tabela de preços'!$A:$G,7,0)</f>
        <v>AUTOMOTIVO</v>
      </c>
    </row>
    <row r="644" spans="1:24" x14ac:dyDescent="0.3">
      <c r="A644" t="s">
        <v>626</v>
      </c>
      <c r="B644" t="s">
        <v>627</v>
      </c>
      <c r="C644" t="s">
        <v>679</v>
      </c>
      <c r="D644" s="1">
        <v>46048</v>
      </c>
      <c r="F644">
        <v>9</v>
      </c>
      <c r="G644">
        <v>174</v>
      </c>
      <c r="H644" t="str">
        <f>VLOOKUP(G644,[1]OPERADORES!$A:$B,2,0)</f>
        <v>MIRIÃ LOBATO RODRIGUES</v>
      </c>
      <c r="I644" t="s">
        <v>21</v>
      </c>
      <c r="J644" t="s">
        <v>630</v>
      </c>
      <c r="K644" t="s">
        <v>631</v>
      </c>
      <c r="L644">
        <v>85703</v>
      </c>
      <c r="M644" t="s">
        <v>682</v>
      </c>
      <c r="N644" t="s">
        <v>683</v>
      </c>
      <c r="O644" t="s">
        <v>11</v>
      </c>
      <c r="P644">
        <v>1202</v>
      </c>
      <c r="Q644">
        <v>-1</v>
      </c>
      <c r="R644">
        <v>14.25</v>
      </c>
      <c r="S644">
        <v>-14.25</v>
      </c>
      <c r="T644">
        <v>-10.81</v>
      </c>
      <c r="U644">
        <v>24.14</v>
      </c>
      <c r="V644" t="str">
        <f>VLOOKUP(L644,'[2]tabela de preços'!$A:$D,4,0)</f>
        <v>NEW PAD</v>
      </c>
      <c r="W644" t="str">
        <f>VLOOKUP(L644,'[2]tabela de preços'!$A:$F,6,0)</f>
        <v>APLICADORES / ADAPTADORES / ENGATES / SUPORTES</v>
      </c>
      <c r="X644" t="str">
        <f>VLOOKUP(L644,'[2]tabela de preços'!$A:$G,7,0)</f>
        <v>AUTOMOTIVO</v>
      </c>
    </row>
    <row r="645" spans="1:24" x14ac:dyDescent="0.3">
      <c r="A645" t="s">
        <v>626</v>
      </c>
      <c r="B645" t="s">
        <v>627</v>
      </c>
      <c r="C645" t="s">
        <v>679</v>
      </c>
      <c r="D645" s="1">
        <v>46048</v>
      </c>
      <c r="F645">
        <v>9</v>
      </c>
      <c r="G645">
        <v>174</v>
      </c>
      <c r="H645" t="str">
        <f>VLOOKUP(G645,[1]OPERADORES!$A:$B,2,0)</f>
        <v>MIRIÃ LOBATO RODRIGUES</v>
      </c>
      <c r="I645" t="s">
        <v>21</v>
      </c>
      <c r="J645" t="s">
        <v>630</v>
      </c>
      <c r="K645" t="s">
        <v>631</v>
      </c>
      <c r="L645">
        <v>20154</v>
      </c>
      <c r="M645" t="s">
        <v>523</v>
      </c>
      <c r="N645" t="s">
        <v>684</v>
      </c>
      <c r="O645" t="s">
        <v>11</v>
      </c>
      <c r="P645">
        <v>1202</v>
      </c>
      <c r="Q645">
        <v>-1</v>
      </c>
      <c r="R645">
        <v>15.86</v>
      </c>
      <c r="S645">
        <v>-15.86</v>
      </c>
      <c r="T645">
        <v>-10.23</v>
      </c>
      <c r="U645">
        <v>35.5</v>
      </c>
      <c r="V645" t="str">
        <f>VLOOKUP(L645,'[2]tabela de preços'!$A:$D,4,0)</f>
        <v>PURPLEX</v>
      </c>
      <c r="W645" t="str">
        <f>VLOOKUP(L645,'[2]tabela de preços'!$A:$F,6,0)</f>
        <v>TACO LIXADOR</v>
      </c>
      <c r="X645" t="str">
        <f>VLOOKUP(L645,'[2]tabela de preços'!$A:$G,7,0)</f>
        <v>AUTOMOTIVO</v>
      </c>
    </row>
    <row r="646" spans="1:24" x14ac:dyDescent="0.3">
      <c r="A646" t="s">
        <v>626</v>
      </c>
      <c r="B646" t="s">
        <v>627</v>
      </c>
      <c r="C646" t="s">
        <v>679</v>
      </c>
      <c r="D646" s="1">
        <v>46048</v>
      </c>
      <c r="F646">
        <v>9</v>
      </c>
      <c r="G646">
        <v>174</v>
      </c>
      <c r="H646" t="str">
        <f>VLOOKUP(G646,[1]OPERADORES!$A:$B,2,0)</f>
        <v>MIRIÃ LOBATO RODRIGUES</v>
      </c>
      <c r="I646" t="s">
        <v>21</v>
      </c>
      <c r="J646" t="s">
        <v>630</v>
      </c>
      <c r="K646" t="s">
        <v>631</v>
      </c>
      <c r="L646">
        <v>85640</v>
      </c>
      <c r="M646" t="s">
        <v>475</v>
      </c>
      <c r="N646" t="s">
        <v>685</v>
      </c>
      <c r="O646" t="s">
        <v>11</v>
      </c>
      <c r="P646">
        <v>1411</v>
      </c>
      <c r="Q646">
        <v>-5</v>
      </c>
      <c r="R646">
        <v>9.1199999999999992</v>
      </c>
      <c r="S646">
        <v>-45.6</v>
      </c>
      <c r="T646">
        <v>-34.6</v>
      </c>
      <c r="U646">
        <v>24.12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626</v>
      </c>
      <c r="B647" t="s">
        <v>627</v>
      </c>
      <c r="C647" t="s">
        <v>679</v>
      </c>
      <c r="D647" s="1">
        <v>46048</v>
      </c>
      <c r="F647">
        <v>9</v>
      </c>
      <c r="G647">
        <v>174</v>
      </c>
      <c r="H647" t="str">
        <f>VLOOKUP(G647,[1]OPERADORES!$A:$B,2,0)</f>
        <v>MIRIÃ LOBATO RODRIGUES</v>
      </c>
      <c r="I647" t="s">
        <v>21</v>
      </c>
      <c r="J647" t="s">
        <v>630</v>
      </c>
      <c r="K647" t="s">
        <v>631</v>
      </c>
      <c r="L647">
        <v>85642</v>
      </c>
      <c r="M647" t="s">
        <v>686</v>
      </c>
      <c r="N647" t="s">
        <v>685</v>
      </c>
      <c r="O647" t="s">
        <v>11</v>
      </c>
      <c r="P647">
        <v>1411</v>
      </c>
      <c r="Q647">
        <v>-2</v>
      </c>
      <c r="R647">
        <v>9.1199999999999992</v>
      </c>
      <c r="S647">
        <v>-18.239999999999998</v>
      </c>
      <c r="T647">
        <v>-13.84</v>
      </c>
      <c r="U647">
        <v>24.12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626</v>
      </c>
      <c r="B648" t="s">
        <v>627</v>
      </c>
      <c r="C648" t="s">
        <v>679</v>
      </c>
      <c r="D648" s="1">
        <v>46048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630</v>
      </c>
      <c r="K648" t="s">
        <v>631</v>
      </c>
      <c r="L648">
        <v>85641</v>
      </c>
      <c r="M648" t="s">
        <v>687</v>
      </c>
      <c r="N648" t="s">
        <v>688</v>
      </c>
      <c r="O648" t="s">
        <v>11</v>
      </c>
      <c r="P648">
        <v>1411</v>
      </c>
      <c r="Q648">
        <v>-1</v>
      </c>
      <c r="R648">
        <v>9.1199999999999992</v>
      </c>
      <c r="S648">
        <v>-9.1199999999999992</v>
      </c>
      <c r="T648">
        <v>-6.92</v>
      </c>
      <c r="U648">
        <v>24.12</v>
      </c>
      <c r="V648" t="str">
        <f>VLOOKUP(L648,'[2]tabela de preços'!$A:$D,4,0)</f>
        <v>UNIPEGA</v>
      </c>
      <c r="W648" t="str">
        <f>VLOOKUP(L648,'[2]tabela de preços'!$A:$F,6,0)</f>
        <v xml:space="preserve">SPRAYS </v>
      </c>
      <c r="X648" t="str">
        <f>VLOOKUP(L648,'[2]tabela de preços'!$A:$G,7,0)</f>
        <v>AUTOMOTIVO</v>
      </c>
    </row>
    <row r="649" spans="1:24" x14ac:dyDescent="0.3">
      <c r="A649" t="s">
        <v>626</v>
      </c>
      <c r="B649" t="s">
        <v>627</v>
      </c>
      <c r="C649" t="s">
        <v>679</v>
      </c>
      <c r="D649" s="1">
        <v>46048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630</v>
      </c>
      <c r="K649" t="s">
        <v>631</v>
      </c>
      <c r="L649">
        <v>85644</v>
      </c>
      <c r="M649" t="s">
        <v>689</v>
      </c>
      <c r="N649" t="s">
        <v>688</v>
      </c>
      <c r="O649" t="s">
        <v>11</v>
      </c>
      <c r="P649">
        <v>1411</v>
      </c>
      <c r="Q649">
        <v>-2</v>
      </c>
      <c r="R649">
        <v>8.84</v>
      </c>
      <c r="S649">
        <v>-17.68</v>
      </c>
      <c r="T649">
        <v>-13.42</v>
      </c>
      <c r="U649">
        <v>24.1</v>
      </c>
      <c r="V649" t="str">
        <f>VLOOKUP(L649,'[2]tabela de preços'!$A:$D,4,0)</f>
        <v>UNIPEGA</v>
      </c>
      <c r="W649" t="str">
        <f>VLOOKUP(L649,'[2]tabela de preços'!$A:$F,6,0)</f>
        <v xml:space="preserve">SPRAYS </v>
      </c>
      <c r="X649" t="str">
        <f>VLOOKUP(L649,'[2]tabela de preços'!$A:$G,7,0)</f>
        <v>AUTOMOTIVO</v>
      </c>
    </row>
    <row r="650" spans="1:24" x14ac:dyDescent="0.3">
      <c r="A650" t="s">
        <v>626</v>
      </c>
      <c r="B650" t="s">
        <v>627</v>
      </c>
      <c r="C650" t="s">
        <v>690</v>
      </c>
      <c r="D650" s="1">
        <v>46048</v>
      </c>
      <c r="E650" t="s">
        <v>691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630</v>
      </c>
      <c r="K650" t="s">
        <v>631</v>
      </c>
      <c r="L650">
        <v>85259</v>
      </c>
      <c r="M650" t="s">
        <v>692</v>
      </c>
      <c r="O650" t="s">
        <v>11</v>
      </c>
      <c r="P650">
        <v>5102</v>
      </c>
      <c r="Q650">
        <v>3</v>
      </c>
      <c r="R650">
        <v>6.4</v>
      </c>
      <c r="S650">
        <v>19.2</v>
      </c>
      <c r="T650">
        <v>13.77</v>
      </c>
      <c r="U650">
        <v>28.28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626</v>
      </c>
      <c r="B651" t="s">
        <v>627</v>
      </c>
      <c r="C651" t="s">
        <v>690</v>
      </c>
      <c r="D651" s="1">
        <v>46048</v>
      </c>
      <c r="E651" t="s">
        <v>691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630</v>
      </c>
      <c r="K651" t="s">
        <v>631</v>
      </c>
      <c r="L651">
        <v>85649</v>
      </c>
      <c r="M651" t="s">
        <v>478</v>
      </c>
      <c r="O651" t="s">
        <v>11</v>
      </c>
      <c r="P651">
        <v>5403</v>
      </c>
      <c r="Q651">
        <v>8</v>
      </c>
      <c r="R651">
        <v>9.1199999999999992</v>
      </c>
      <c r="S651">
        <v>72.959999999999994</v>
      </c>
      <c r="T651">
        <v>55.36</v>
      </c>
      <c r="U651">
        <v>24.12</v>
      </c>
      <c r="V651" t="str">
        <f>VLOOKUP(L651,'[2]tabela de preços'!$A:$D,4,0)</f>
        <v>UNIPEGA</v>
      </c>
      <c r="W651" t="str">
        <f>VLOOKUP(L651,'[2]tabela de preços'!$A:$F,6,0)</f>
        <v xml:space="preserve">SPRAYS </v>
      </c>
      <c r="X651" t="str">
        <f>VLOOKUP(L651,'[2]tabela de preços'!$A:$G,7,0)</f>
        <v>AUTOMOTIVO</v>
      </c>
    </row>
    <row r="652" spans="1:24" x14ac:dyDescent="0.3">
      <c r="A652" t="s">
        <v>626</v>
      </c>
      <c r="B652" t="s">
        <v>627</v>
      </c>
      <c r="C652" t="s">
        <v>690</v>
      </c>
      <c r="D652" s="1">
        <v>46048</v>
      </c>
      <c r="E652" t="s">
        <v>691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630</v>
      </c>
      <c r="K652" t="s">
        <v>631</v>
      </c>
      <c r="L652">
        <v>85650</v>
      </c>
      <c r="M652" t="s">
        <v>439</v>
      </c>
      <c r="O652" t="s">
        <v>11</v>
      </c>
      <c r="P652">
        <v>5403</v>
      </c>
      <c r="Q652">
        <v>8</v>
      </c>
      <c r="R652">
        <v>9.1199999999999992</v>
      </c>
      <c r="S652">
        <v>72.959999999999994</v>
      </c>
      <c r="T652">
        <v>55.36</v>
      </c>
      <c r="U652">
        <v>24.12</v>
      </c>
      <c r="V652" t="str">
        <f>VLOOKUP(L652,'[2]tabela de preços'!$A:$D,4,0)</f>
        <v>UNIPEGA</v>
      </c>
      <c r="W652" t="str">
        <f>VLOOKUP(L652,'[2]tabela de preços'!$A:$F,6,0)</f>
        <v xml:space="preserve">SPRAYS </v>
      </c>
      <c r="X652" t="str">
        <f>VLOOKUP(L652,'[2]tabela de preços'!$A:$G,7,0)</f>
        <v>AUTOMOTIVO</v>
      </c>
    </row>
    <row r="653" spans="1:24" x14ac:dyDescent="0.3">
      <c r="A653" t="s">
        <v>626</v>
      </c>
      <c r="B653" t="s">
        <v>627</v>
      </c>
      <c r="C653" t="s">
        <v>693</v>
      </c>
      <c r="D653" s="1">
        <v>46049</v>
      </c>
      <c r="E653" t="s">
        <v>694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630</v>
      </c>
      <c r="K653" t="s">
        <v>631</v>
      </c>
      <c r="L653">
        <v>23716</v>
      </c>
      <c r="M653" t="s">
        <v>220</v>
      </c>
      <c r="O653" t="s">
        <v>11</v>
      </c>
      <c r="P653">
        <v>5102</v>
      </c>
      <c r="Q653">
        <v>1</v>
      </c>
      <c r="R653">
        <v>40.71</v>
      </c>
      <c r="S653">
        <v>40.71</v>
      </c>
      <c r="T653">
        <v>30.9</v>
      </c>
      <c r="U653">
        <v>24.1</v>
      </c>
      <c r="V653" t="str">
        <f>VLOOKUP(L653,'[2]tabela de preços'!$A:$D,4,0)</f>
        <v>NEW PAD</v>
      </c>
      <c r="W653" t="str">
        <f>VLOOKUP(L653,'[2]tabela de preços'!$A:$F,6,0)</f>
        <v>BOINAS PARA POLIMENTO</v>
      </c>
      <c r="X653" t="str">
        <f>VLOOKUP(L653,'[2]tabela de preços'!$A:$G,7,0)</f>
        <v>AUTOMOTIVO</v>
      </c>
    </row>
    <row r="654" spans="1:24" x14ac:dyDescent="0.3">
      <c r="A654" t="s">
        <v>626</v>
      </c>
      <c r="B654" t="s">
        <v>627</v>
      </c>
      <c r="C654" t="s">
        <v>693</v>
      </c>
      <c r="D654" s="1">
        <v>46049</v>
      </c>
      <c r="E654" t="s">
        <v>694</v>
      </c>
      <c r="F654">
        <v>9</v>
      </c>
      <c r="G654">
        <v>174</v>
      </c>
      <c r="H654" t="str">
        <f>VLOOKUP(G654,[1]OPERADORES!$A:$B,2,0)</f>
        <v>MIRIÃ LOBATO RODRIGUES</v>
      </c>
      <c r="I654" t="s">
        <v>21</v>
      </c>
      <c r="J654" t="s">
        <v>630</v>
      </c>
      <c r="K654" t="s">
        <v>631</v>
      </c>
      <c r="L654">
        <v>21272</v>
      </c>
      <c r="M654" t="s">
        <v>695</v>
      </c>
      <c r="O654" t="s">
        <v>11</v>
      </c>
      <c r="P654">
        <v>5403</v>
      </c>
      <c r="Q654">
        <v>1</v>
      </c>
      <c r="R654">
        <v>34.299999999999997</v>
      </c>
      <c r="S654">
        <v>34.299999999999997</v>
      </c>
      <c r="T654">
        <v>26.03</v>
      </c>
      <c r="U654">
        <v>24.11</v>
      </c>
      <c r="V654" t="str">
        <f>VLOOKUP(L654,'[2]tabela de preços'!$A:$D,4,0)</f>
        <v>WANDA</v>
      </c>
      <c r="W654" t="str">
        <f>VLOOKUP(L654,'[2]tabela de preços'!$A:$F,6,0)</f>
        <v>TINTAS POLIÉSTER</v>
      </c>
      <c r="X654" t="str">
        <f>VLOOKUP(L654,'[2]tabela de preços'!$A:$G,7,0)</f>
        <v>AUTOMOTIVO</v>
      </c>
    </row>
    <row r="655" spans="1:24" x14ac:dyDescent="0.3">
      <c r="A655" t="s">
        <v>626</v>
      </c>
      <c r="B655" t="s">
        <v>627</v>
      </c>
      <c r="C655" t="s">
        <v>693</v>
      </c>
      <c r="D655" s="1">
        <v>46049</v>
      </c>
      <c r="E655" t="s">
        <v>694</v>
      </c>
      <c r="F655">
        <v>9</v>
      </c>
      <c r="G655">
        <v>174</v>
      </c>
      <c r="H655" t="str">
        <f>VLOOKUP(G655,[1]OPERADORES!$A:$B,2,0)</f>
        <v>MIRIÃ LOBATO RODRIGUES</v>
      </c>
      <c r="I655" t="s">
        <v>21</v>
      </c>
      <c r="J655" t="s">
        <v>630</v>
      </c>
      <c r="K655" t="s">
        <v>631</v>
      </c>
      <c r="L655">
        <v>23110</v>
      </c>
      <c r="M655" t="s">
        <v>409</v>
      </c>
      <c r="O655" t="s">
        <v>11</v>
      </c>
      <c r="P655">
        <v>5102</v>
      </c>
      <c r="Q655">
        <v>50</v>
      </c>
      <c r="R655">
        <v>2.35</v>
      </c>
      <c r="S655">
        <v>117.5</v>
      </c>
      <c r="T655">
        <v>92.5</v>
      </c>
      <c r="U655">
        <v>21.28</v>
      </c>
      <c r="V655" t="str">
        <f>VLOOKUP(L655,'[2]tabela de preços'!$A:$D,4,0)</f>
        <v>3M</v>
      </c>
      <c r="W655" t="str">
        <f>VLOOKUP(L655,'[2]tabela de preços'!$A:$F,6,0)</f>
        <v xml:space="preserve">DISCOS / LIXAS / ABRASIVOS </v>
      </c>
      <c r="X655" t="str">
        <f>VLOOKUP(L655,'[2]tabela de preços'!$A:$G,7,0)</f>
        <v>AUTOMOTIVO</v>
      </c>
    </row>
    <row r="656" spans="1:24" x14ac:dyDescent="0.3">
      <c r="A656" t="s">
        <v>626</v>
      </c>
      <c r="B656" t="s">
        <v>627</v>
      </c>
      <c r="C656" t="s">
        <v>693</v>
      </c>
      <c r="D656" s="1">
        <v>46049</v>
      </c>
      <c r="E656" t="s">
        <v>694</v>
      </c>
      <c r="F656">
        <v>9</v>
      </c>
      <c r="G656">
        <v>174</v>
      </c>
      <c r="H656" t="str">
        <f>VLOOKUP(G656,[1]OPERADORES!$A:$B,2,0)</f>
        <v>MIRIÃ LOBATO RODRIGUES</v>
      </c>
      <c r="I656" t="s">
        <v>21</v>
      </c>
      <c r="J656" t="s">
        <v>630</v>
      </c>
      <c r="K656" t="s">
        <v>631</v>
      </c>
      <c r="L656">
        <v>24248</v>
      </c>
      <c r="M656" t="s">
        <v>107</v>
      </c>
      <c r="O656" t="s">
        <v>11</v>
      </c>
      <c r="P656">
        <v>5102</v>
      </c>
      <c r="Q656">
        <v>6</v>
      </c>
      <c r="R656">
        <v>8</v>
      </c>
      <c r="S656">
        <v>48</v>
      </c>
      <c r="T656">
        <v>39</v>
      </c>
      <c r="U656">
        <v>18.75</v>
      </c>
      <c r="V656" t="str">
        <f>VLOOKUP(L656,'[2]tabela de preços'!$A:$D,4,0)</f>
        <v>SHERWIN WILLIAMS</v>
      </c>
      <c r="W656" t="str">
        <f>VLOOKUP(L656,'[2]tabela de preços'!$A:$F,6,0)</f>
        <v>PRIMER AUTOMOTIVO</v>
      </c>
      <c r="X656" t="str">
        <f>VLOOKUP(L656,'[2]tabela de preços'!$A:$G,7,0)</f>
        <v>AUTOMOTIVO</v>
      </c>
    </row>
    <row r="657" spans="1:24" x14ac:dyDescent="0.3">
      <c r="A657" t="s">
        <v>626</v>
      </c>
      <c r="B657" t="s">
        <v>627</v>
      </c>
      <c r="C657" t="s">
        <v>693</v>
      </c>
      <c r="D657" s="1">
        <v>46049</v>
      </c>
      <c r="E657" t="s">
        <v>694</v>
      </c>
      <c r="F657">
        <v>9</v>
      </c>
      <c r="G657">
        <v>174</v>
      </c>
      <c r="H657" t="str">
        <f>VLOOKUP(G657,[1]OPERADORES!$A:$B,2,0)</f>
        <v>MIRIÃ LOBATO RODRIGUES</v>
      </c>
      <c r="I657" t="s">
        <v>21</v>
      </c>
      <c r="J657" t="s">
        <v>630</v>
      </c>
      <c r="K657" t="s">
        <v>631</v>
      </c>
      <c r="L657">
        <v>85636</v>
      </c>
      <c r="M657" t="s">
        <v>696</v>
      </c>
      <c r="O657" t="s">
        <v>11</v>
      </c>
      <c r="P657">
        <v>5102</v>
      </c>
      <c r="Q657">
        <v>14</v>
      </c>
      <c r="R657">
        <v>7.36</v>
      </c>
      <c r="S657">
        <v>103.04</v>
      </c>
      <c r="T657">
        <v>78.260000000000005</v>
      </c>
      <c r="U657">
        <v>24.05</v>
      </c>
      <c r="V657" t="str">
        <f>VLOOKUP(L657,'[2]tabela de preços'!$A:$D,4,0)</f>
        <v>UNIPEGA</v>
      </c>
      <c r="W657" t="str">
        <f>VLOOKUP(L657,'[2]tabela de preços'!$A:$F,6,0)</f>
        <v>DESENGRIPANTE</v>
      </c>
      <c r="X657" t="str">
        <f>VLOOKUP(L657,'[2]tabela de preços'!$A:$G,7,0)</f>
        <v>AUTOMOTIVO</v>
      </c>
    </row>
    <row r="658" spans="1:24" x14ac:dyDescent="0.3">
      <c r="A658" t="s">
        <v>626</v>
      </c>
      <c r="B658" t="s">
        <v>627</v>
      </c>
      <c r="C658" t="s">
        <v>693</v>
      </c>
      <c r="D658" s="1">
        <v>46049</v>
      </c>
      <c r="E658" t="s">
        <v>694</v>
      </c>
      <c r="F658">
        <v>9</v>
      </c>
      <c r="G658">
        <v>174</v>
      </c>
      <c r="H658" t="str">
        <f>VLOOKUP(G658,[1]OPERADORES!$A:$B,2,0)</f>
        <v>MIRIÃ LOBATO RODRIGUES</v>
      </c>
      <c r="I658" t="s">
        <v>21</v>
      </c>
      <c r="J658" t="s">
        <v>630</v>
      </c>
      <c r="K658" t="s">
        <v>631</v>
      </c>
      <c r="L658">
        <v>23076</v>
      </c>
      <c r="M658" t="s">
        <v>97</v>
      </c>
      <c r="O658" t="s">
        <v>11</v>
      </c>
      <c r="P658">
        <v>5403</v>
      </c>
      <c r="Q658">
        <v>6</v>
      </c>
      <c r="R658">
        <v>34.89</v>
      </c>
      <c r="S658">
        <v>209.34</v>
      </c>
      <c r="T658">
        <v>159.18</v>
      </c>
      <c r="U658">
        <v>23.96</v>
      </c>
      <c r="V658" t="str">
        <f>VLOOKUP(L658,'[2]tabela de preços'!$A:$D,4,0)</f>
        <v>WANDA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626</v>
      </c>
      <c r="B659" t="s">
        <v>627</v>
      </c>
      <c r="C659" t="s">
        <v>693</v>
      </c>
      <c r="D659" s="1">
        <v>46049</v>
      </c>
      <c r="E659" t="s">
        <v>694</v>
      </c>
      <c r="F659">
        <v>9</v>
      </c>
      <c r="G659">
        <v>174</v>
      </c>
      <c r="H659" t="str">
        <f>VLOOKUP(G659,[1]OPERADORES!$A:$B,2,0)</f>
        <v>MIRIÃ LOBATO RODRIGUES</v>
      </c>
      <c r="I659" t="s">
        <v>21</v>
      </c>
      <c r="J659" t="s">
        <v>630</v>
      </c>
      <c r="K659" t="s">
        <v>631</v>
      </c>
      <c r="L659">
        <v>23602</v>
      </c>
      <c r="M659" t="s">
        <v>215</v>
      </c>
      <c r="O659" t="s">
        <v>11</v>
      </c>
      <c r="P659">
        <v>5403</v>
      </c>
      <c r="Q659">
        <v>4</v>
      </c>
      <c r="R659">
        <v>35.89</v>
      </c>
      <c r="S659">
        <v>143.56</v>
      </c>
      <c r="T659">
        <v>117</v>
      </c>
      <c r="U659">
        <v>18.5</v>
      </c>
      <c r="V659" t="str">
        <f>VLOOKUP(L659,'[2]tabela de preços'!$A:$D,4,0)</f>
        <v>SHERWIN WILLIAMS</v>
      </c>
      <c r="W659" t="str">
        <f>VLOOKUP(L659,'[2]tabela de preços'!$A:$F,6,0)</f>
        <v>VERNIZ AUTOMOTIVO</v>
      </c>
      <c r="X659" t="str">
        <f>VLOOKUP(L659,'[2]tabela de preços'!$A:$G,7,0)</f>
        <v>AUTOMOTIVO</v>
      </c>
    </row>
    <row r="660" spans="1:24" x14ac:dyDescent="0.3">
      <c r="A660" t="s">
        <v>626</v>
      </c>
      <c r="B660" t="s">
        <v>627</v>
      </c>
      <c r="C660" t="s">
        <v>693</v>
      </c>
      <c r="D660" s="1">
        <v>46049</v>
      </c>
      <c r="E660" t="s">
        <v>694</v>
      </c>
      <c r="F660">
        <v>9</v>
      </c>
      <c r="G660">
        <v>174</v>
      </c>
      <c r="H660" t="str">
        <f>VLOOKUP(G660,[1]OPERADORES!$A:$B,2,0)</f>
        <v>MIRIÃ LOBATO RODRIGUES</v>
      </c>
      <c r="I660" t="s">
        <v>21</v>
      </c>
      <c r="J660" t="s">
        <v>630</v>
      </c>
      <c r="K660" t="s">
        <v>631</v>
      </c>
      <c r="L660">
        <v>20318</v>
      </c>
      <c r="M660" t="s">
        <v>136</v>
      </c>
      <c r="O660" t="s">
        <v>11</v>
      </c>
      <c r="P660">
        <v>5403</v>
      </c>
      <c r="Q660">
        <v>3</v>
      </c>
      <c r="R660">
        <v>33.4</v>
      </c>
      <c r="S660">
        <v>100.2</v>
      </c>
      <c r="T660">
        <v>71.430000000000007</v>
      </c>
      <c r="U660">
        <v>28.71</v>
      </c>
      <c r="V660" t="str">
        <f>VLOOKUP(L660,'[2]tabela de preços'!$A:$D,4,0)</f>
        <v>SHERWIN WILLIAMS</v>
      </c>
      <c r="W660" t="str">
        <f>VLOOKUP(L660,'[2]tabela de preços'!$A:$F,6,0)</f>
        <v>TINTAS POLIÉSTER</v>
      </c>
      <c r="X660" t="str">
        <f>VLOOKUP(L660,'[2]tabela de preços'!$A:$G,7,0)</f>
        <v>AUTOMOTIVO</v>
      </c>
    </row>
    <row r="661" spans="1:24" x14ac:dyDescent="0.3">
      <c r="A661" t="s">
        <v>626</v>
      </c>
      <c r="B661" t="s">
        <v>627</v>
      </c>
      <c r="C661" t="s">
        <v>693</v>
      </c>
      <c r="D661" s="1">
        <v>46049</v>
      </c>
      <c r="E661" t="s">
        <v>694</v>
      </c>
      <c r="F661">
        <v>9</v>
      </c>
      <c r="G661">
        <v>174</v>
      </c>
      <c r="H661" t="str">
        <f>VLOOKUP(G661,[1]OPERADORES!$A:$B,2,0)</f>
        <v>MIRIÃ LOBATO RODRIGUES</v>
      </c>
      <c r="I661" t="s">
        <v>21</v>
      </c>
      <c r="J661" t="s">
        <v>630</v>
      </c>
      <c r="K661" t="s">
        <v>631</v>
      </c>
      <c r="L661">
        <v>23458</v>
      </c>
      <c r="M661" t="s">
        <v>697</v>
      </c>
      <c r="O661" t="s">
        <v>11</v>
      </c>
      <c r="P661">
        <v>5102</v>
      </c>
      <c r="Q661">
        <v>1</v>
      </c>
      <c r="R661">
        <v>58</v>
      </c>
      <c r="S661">
        <v>58</v>
      </c>
      <c r="T661">
        <v>44.04</v>
      </c>
      <c r="U661">
        <v>24.07</v>
      </c>
      <c r="V661" t="str">
        <f>VLOOKUP(L661,'[2]tabela de preços'!$A:$D,4,0)</f>
        <v>3M</v>
      </c>
      <c r="W661" t="str">
        <f>VLOOKUP(L661,'[2]tabela de preços'!$A:$F,6,0)</f>
        <v xml:space="preserve">LÍQUIDOS P/ POLIMENTO </v>
      </c>
      <c r="X661" t="str">
        <f>VLOOKUP(L661,'[2]tabela de preços'!$A:$G,7,0)</f>
        <v>AUTOMOTIVO</v>
      </c>
    </row>
    <row r="662" spans="1:24" x14ac:dyDescent="0.3">
      <c r="A662" t="s">
        <v>626</v>
      </c>
      <c r="B662" t="s">
        <v>627</v>
      </c>
      <c r="C662" t="s">
        <v>693</v>
      </c>
      <c r="D662" s="1">
        <v>46049</v>
      </c>
      <c r="E662" t="s">
        <v>694</v>
      </c>
      <c r="F662">
        <v>9</v>
      </c>
      <c r="G662">
        <v>174</v>
      </c>
      <c r="H662" t="str">
        <f>VLOOKUP(G662,[1]OPERADORES!$A:$B,2,0)</f>
        <v>MIRIÃ LOBATO RODRIGUES</v>
      </c>
      <c r="I662" t="s">
        <v>21</v>
      </c>
      <c r="J662" t="s">
        <v>630</v>
      </c>
      <c r="K662" t="s">
        <v>631</v>
      </c>
      <c r="L662">
        <v>24247</v>
      </c>
      <c r="M662" t="s">
        <v>160</v>
      </c>
      <c r="O662" t="s">
        <v>11</v>
      </c>
      <c r="P662">
        <v>5403</v>
      </c>
      <c r="Q662">
        <v>6</v>
      </c>
      <c r="R662">
        <v>21</v>
      </c>
      <c r="S662">
        <v>126</v>
      </c>
      <c r="T662">
        <v>101.22</v>
      </c>
      <c r="U662">
        <v>19.670000000000002</v>
      </c>
      <c r="V662" t="str">
        <f>VLOOKUP(L662,'[2]tabela de preços'!$A:$D,4,0)</f>
        <v>SHERWIN WILLIAMS</v>
      </c>
      <c r="W662" t="str">
        <f>VLOOKUP(L662,'[2]tabela de preços'!$A:$F,6,0)</f>
        <v>PRIMER AUTOMOTIVO</v>
      </c>
      <c r="X662" t="str">
        <f>VLOOKUP(L662,'[2]tabela de preços'!$A:$G,7,0)</f>
        <v>AUTOMOTIVO</v>
      </c>
    </row>
    <row r="663" spans="1:24" x14ac:dyDescent="0.3">
      <c r="A663" t="s">
        <v>626</v>
      </c>
      <c r="B663" t="s">
        <v>627</v>
      </c>
      <c r="C663" t="s">
        <v>698</v>
      </c>
      <c r="D663" s="1">
        <v>46049</v>
      </c>
      <c r="E663" t="s">
        <v>699</v>
      </c>
      <c r="F663">
        <v>9</v>
      </c>
      <c r="G663">
        <v>174</v>
      </c>
      <c r="H663" t="str">
        <f>VLOOKUP(G663,[1]OPERADORES!$A:$B,2,0)</f>
        <v>MIRIÃ LOBATO RODRIGUES</v>
      </c>
      <c r="I663" t="s">
        <v>21</v>
      </c>
      <c r="J663" t="s">
        <v>630</v>
      </c>
      <c r="K663" t="s">
        <v>631</v>
      </c>
      <c r="L663">
        <v>23713</v>
      </c>
      <c r="M663" t="s">
        <v>192</v>
      </c>
      <c r="O663" t="s">
        <v>11</v>
      </c>
      <c r="P663">
        <v>5102</v>
      </c>
      <c r="Q663">
        <v>1</v>
      </c>
      <c r="R663">
        <v>40.71</v>
      </c>
      <c r="S663">
        <v>40.71</v>
      </c>
      <c r="T663">
        <v>30.9</v>
      </c>
      <c r="U663">
        <v>24.1</v>
      </c>
      <c r="V663" t="str">
        <f>VLOOKUP(L663,'[2]tabela de preços'!$A:$D,4,0)</f>
        <v>NEW PAD</v>
      </c>
      <c r="W663" t="str">
        <f>VLOOKUP(L663,'[2]tabela de preços'!$A:$F,6,0)</f>
        <v>BOINAS PARA POLIMENTO</v>
      </c>
      <c r="X663" t="str">
        <f>VLOOKUP(L663,'[2]tabela de preços'!$A:$G,7,0)</f>
        <v>AUTOMOTIVO</v>
      </c>
    </row>
    <row r="664" spans="1:24" x14ac:dyDescent="0.3">
      <c r="A664" t="s">
        <v>626</v>
      </c>
      <c r="B664" t="s">
        <v>627</v>
      </c>
      <c r="C664" t="s">
        <v>698</v>
      </c>
      <c r="D664" s="1">
        <v>46049</v>
      </c>
      <c r="E664" t="s">
        <v>699</v>
      </c>
      <c r="F664">
        <v>9</v>
      </c>
      <c r="G664">
        <v>174</v>
      </c>
      <c r="H664" t="str">
        <f>VLOOKUP(G664,[1]OPERADORES!$A:$B,2,0)</f>
        <v>MIRIÃ LOBATO RODRIGUES</v>
      </c>
      <c r="I664" t="s">
        <v>21</v>
      </c>
      <c r="J664" t="s">
        <v>630</v>
      </c>
      <c r="K664" t="s">
        <v>631</v>
      </c>
      <c r="L664">
        <v>84487</v>
      </c>
      <c r="M664" t="s">
        <v>633</v>
      </c>
      <c r="O664" t="s">
        <v>11</v>
      </c>
      <c r="P664">
        <v>5403</v>
      </c>
      <c r="Q664">
        <v>2</v>
      </c>
      <c r="R664">
        <v>29.01</v>
      </c>
      <c r="S664">
        <v>58.02</v>
      </c>
      <c r="T664">
        <v>43.78</v>
      </c>
      <c r="U664">
        <v>24.54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626</v>
      </c>
      <c r="B665" t="s">
        <v>627</v>
      </c>
      <c r="C665" t="s">
        <v>698</v>
      </c>
      <c r="D665" s="1">
        <v>46049</v>
      </c>
      <c r="E665" t="s">
        <v>699</v>
      </c>
      <c r="F665">
        <v>9</v>
      </c>
      <c r="G665">
        <v>174</v>
      </c>
      <c r="H665" t="str">
        <f>VLOOKUP(G665,[1]OPERADORES!$A:$B,2,0)</f>
        <v>MIRIÃ LOBATO RODRIGUES</v>
      </c>
      <c r="I665" t="s">
        <v>21</v>
      </c>
      <c r="J665" t="s">
        <v>630</v>
      </c>
      <c r="K665" t="s">
        <v>631</v>
      </c>
      <c r="L665">
        <v>5</v>
      </c>
      <c r="M665" t="s">
        <v>147</v>
      </c>
      <c r="O665" t="s">
        <v>11</v>
      </c>
      <c r="P665">
        <v>5102</v>
      </c>
      <c r="Q665">
        <v>5</v>
      </c>
      <c r="R665">
        <v>5.15</v>
      </c>
      <c r="S665">
        <v>25.75</v>
      </c>
      <c r="T665">
        <v>19.55</v>
      </c>
      <c r="U665">
        <v>24.08</v>
      </c>
      <c r="V665" t="str">
        <f>VLOOKUP(L665,'[2]tabela de preços'!$A:$D,4,0)</f>
        <v>BRILHO ESTOPA</v>
      </c>
      <c r="W665" t="str">
        <f>VLOOKUP(L665,'[2]tabela de preços'!$A:$F,6,0)</f>
        <v>ESTOPAS</v>
      </c>
      <c r="X665" t="str">
        <f>VLOOKUP(L665,'[2]tabela de preços'!$A:$G,7,0)</f>
        <v>AUTOMOTIVO</v>
      </c>
    </row>
    <row r="666" spans="1:24" x14ac:dyDescent="0.3">
      <c r="A666" t="s">
        <v>626</v>
      </c>
      <c r="B666" t="s">
        <v>627</v>
      </c>
      <c r="C666" t="s">
        <v>698</v>
      </c>
      <c r="D666" s="1">
        <v>46049</v>
      </c>
      <c r="E666" t="s">
        <v>699</v>
      </c>
      <c r="F666">
        <v>9</v>
      </c>
      <c r="G666">
        <v>174</v>
      </c>
      <c r="H666" t="str">
        <f>VLOOKUP(G666,[1]OPERADORES!$A:$B,2,0)</f>
        <v>MIRIÃ LOBATO RODRIGUES</v>
      </c>
      <c r="I666" t="s">
        <v>21</v>
      </c>
      <c r="J666" t="s">
        <v>630</v>
      </c>
      <c r="K666" t="s">
        <v>631</v>
      </c>
      <c r="L666">
        <v>23364</v>
      </c>
      <c r="M666" t="s">
        <v>55</v>
      </c>
      <c r="O666" t="s">
        <v>11</v>
      </c>
      <c r="P666">
        <v>5102</v>
      </c>
      <c r="Q666">
        <v>53</v>
      </c>
      <c r="R666">
        <v>6.19</v>
      </c>
      <c r="S666">
        <v>328.07</v>
      </c>
      <c r="T666">
        <v>260.23</v>
      </c>
      <c r="U666">
        <v>20.68</v>
      </c>
      <c r="V666" t="str">
        <f>VLOOKUP(L666,'[2]tabela de preços'!$A:$D,4,0)</f>
        <v>AUTO AMERICA</v>
      </c>
      <c r="W666" t="str">
        <f>VLOOKUP(L666,'[2]tabela de preços'!$A:$F,6,0)</f>
        <v>FLANELAS / PANOS</v>
      </c>
      <c r="X666" t="str">
        <f>VLOOKUP(L666,'[2]tabela de preços'!$A:$G,7,0)</f>
        <v>AUTOMOTIVO</v>
      </c>
    </row>
    <row r="667" spans="1:24" x14ac:dyDescent="0.3">
      <c r="A667" t="s">
        <v>626</v>
      </c>
      <c r="B667" t="s">
        <v>627</v>
      </c>
      <c r="C667" t="s">
        <v>698</v>
      </c>
      <c r="D667" s="1">
        <v>46049</v>
      </c>
      <c r="E667" t="s">
        <v>699</v>
      </c>
      <c r="F667">
        <v>9</v>
      </c>
      <c r="G667">
        <v>174</v>
      </c>
      <c r="H667" t="str">
        <f>VLOOKUP(G667,[1]OPERADORES!$A:$B,2,0)</f>
        <v>MIRIÃ LOBATO RODRIGUES</v>
      </c>
      <c r="I667" t="s">
        <v>21</v>
      </c>
      <c r="J667" t="s">
        <v>630</v>
      </c>
      <c r="K667" t="s">
        <v>631</v>
      </c>
      <c r="L667">
        <v>20817</v>
      </c>
      <c r="M667" t="s">
        <v>153</v>
      </c>
      <c r="O667" t="s">
        <v>11</v>
      </c>
      <c r="P667">
        <v>5102</v>
      </c>
      <c r="Q667">
        <v>3</v>
      </c>
      <c r="R667">
        <v>22.89</v>
      </c>
      <c r="S667">
        <v>68.67</v>
      </c>
      <c r="T667">
        <v>55.86</v>
      </c>
      <c r="U667">
        <v>18.649999999999999</v>
      </c>
      <c r="V667" t="str">
        <f>VLOOKUP(L667,'[2]tabela de preços'!$A:$D,4,0)</f>
        <v>AUTO AMERICA</v>
      </c>
      <c r="W667" t="str">
        <f>VLOOKUP(L667,'[2]tabela de preços'!$A:$F,6,0)</f>
        <v>MASSA DE POLIR</v>
      </c>
      <c r="X667" t="str">
        <f>VLOOKUP(L667,'[2]tabela de preços'!$A:$G,7,0)</f>
        <v>AUTOMOTIVO</v>
      </c>
    </row>
    <row r="668" spans="1:24" x14ac:dyDescent="0.3">
      <c r="A668" t="s">
        <v>626</v>
      </c>
      <c r="B668" t="s">
        <v>627</v>
      </c>
      <c r="C668" t="s">
        <v>698</v>
      </c>
      <c r="D668" s="1">
        <v>46049</v>
      </c>
      <c r="E668" t="s">
        <v>699</v>
      </c>
      <c r="F668">
        <v>9</v>
      </c>
      <c r="G668">
        <v>174</v>
      </c>
      <c r="H668" t="str">
        <f>VLOOKUP(G668,[1]OPERADORES!$A:$B,2,0)</f>
        <v>MIRIÃ LOBATO RODRIGUES</v>
      </c>
      <c r="I668" t="s">
        <v>21</v>
      </c>
      <c r="J668" t="s">
        <v>630</v>
      </c>
      <c r="K668" t="s">
        <v>631</v>
      </c>
      <c r="L668">
        <v>21067</v>
      </c>
      <c r="M668" t="s">
        <v>640</v>
      </c>
      <c r="O668" t="s">
        <v>11</v>
      </c>
      <c r="P668">
        <v>5102</v>
      </c>
      <c r="Q668">
        <v>2</v>
      </c>
      <c r="R668">
        <v>36.07</v>
      </c>
      <c r="S668">
        <v>72.14</v>
      </c>
      <c r="T668">
        <v>54.76</v>
      </c>
      <c r="U668">
        <v>24.09</v>
      </c>
      <c r="V668" t="str">
        <f>VLOOKUP(L668,'[2]tabela de preços'!$A:$D,4,0)</f>
        <v>SIKKENS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626</v>
      </c>
      <c r="B669" t="s">
        <v>627</v>
      </c>
      <c r="C669" t="s">
        <v>698</v>
      </c>
      <c r="D669" s="1">
        <v>46049</v>
      </c>
      <c r="E669" t="s">
        <v>699</v>
      </c>
      <c r="F669">
        <v>9</v>
      </c>
      <c r="G669">
        <v>174</v>
      </c>
      <c r="H669" t="str">
        <f>VLOOKUP(G669,[1]OPERADORES!$A:$B,2,0)</f>
        <v>MIRIÃ LOBATO RODRIGUES</v>
      </c>
      <c r="I669" t="s">
        <v>21</v>
      </c>
      <c r="J669" t="s">
        <v>630</v>
      </c>
      <c r="K669" t="s">
        <v>631</v>
      </c>
      <c r="L669">
        <v>84460</v>
      </c>
      <c r="M669" t="s">
        <v>322</v>
      </c>
      <c r="O669" t="s">
        <v>11</v>
      </c>
      <c r="P669">
        <v>5102</v>
      </c>
      <c r="Q669">
        <v>2</v>
      </c>
      <c r="R669">
        <v>31.07</v>
      </c>
      <c r="S669">
        <v>62.14</v>
      </c>
      <c r="T669">
        <v>47.16</v>
      </c>
      <c r="U669">
        <v>24.11</v>
      </c>
      <c r="V669" t="str">
        <f>VLOOKUP(L669,'[2]tabela de preços'!$A:$D,4,0)</f>
        <v>BRASILUX</v>
      </c>
      <c r="W669" t="str">
        <f>VLOOKUP(L669,'[2]tabela de preços'!$A:$F,6,0)</f>
        <v>VEDADORES / SELANTES</v>
      </c>
      <c r="X669" t="str">
        <f>VLOOKUP(L669,'[2]tabela de preços'!$A:$G,7,0)</f>
        <v>AUTOMOTIVO</v>
      </c>
    </row>
    <row r="670" spans="1:24" x14ac:dyDescent="0.3">
      <c r="A670" t="s">
        <v>626</v>
      </c>
      <c r="B670" t="s">
        <v>627</v>
      </c>
      <c r="C670" t="s">
        <v>698</v>
      </c>
      <c r="D670" s="1">
        <v>46049</v>
      </c>
      <c r="E670" t="s">
        <v>699</v>
      </c>
      <c r="F670">
        <v>9</v>
      </c>
      <c r="G670">
        <v>174</v>
      </c>
      <c r="H670" t="str">
        <f>VLOOKUP(G670,[1]OPERADORES!$A:$B,2,0)</f>
        <v>MIRIÃ LOBATO RODRIGUES</v>
      </c>
      <c r="I670" t="s">
        <v>21</v>
      </c>
      <c r="J670" t="s">
        <v>630</v>
      </c>
      <c r="K670" t="s">
        <v>631</v>
      </c>
      <c r="L670">
        <v>10404</v>
      </c>
      <c r="M670" t="s">
        <v>130</v>
      </c>
      <c r="O670" t="s">
        <v>11</v>
      </c>
      <c r="P670">
        <v>5102</v>
      </c>
      <c r="Q670">
        <v>6</v>
      </c>
      <c r="R670">
        <v>16.29</v>
      </c>
      <c r="S670">
        <v>97.74</v>
      </c>
      <c r="T670">
        <v>75.06</v>
      </c>
      <c r="U670">
        <v>23.2</v>
      </c>
      <c r="V670" t="str">
        <f>VLOOKUP(L670,'[2]tabela de preços'!$A:$D,4,0)</f>
        <v>MAXI RUBBER</v>
      </c>
      <c r="W670" t="str">
        <f>VLOOKUP(L670,'[2]tabela de preços'!$A:$F,6,0)</f>
        <v>VEDADORES / SELANTES</v>
      </c>
      <c r="X670" t="str">
        <f>VLOOKUP(L670,'[2]tabela de preços'!$A:$G,7,0)</f>
        <v>AUTOMOTIVO</v>
      </c>
    </row>
    <row r="671" spans="1:24" x14ac:dyDescent="0.3">
      <c r="A671" t="s">
        <v>626</v>
      </c>
      <c r="B671" t="s">
        <v>627</v>
      </c>
      <c r="C671" t="s">
        <v>700</v>
      </c>
      <c r="D671" s="1">
        <v>46050</v>
      </c>
      <c r="F671">
        <v>9</v>
      </c>
      <c r="G671">
        <v>174</v>
      </c>
      <c r="H671" t="str">
        <f>VLOOKUP(G671,[1]OPERADORES!$A:$B,2,0)</f>
        <v>MIRIÃ LOBATO RODRIGUES</v>
      </c>
      <c r="I671" t="s">
        <v>21</v>
      </c>
      <c r="J671" t="s">
        <v>630</v>
      </c>
      <c r="K671" t="s">
        <v>631</v>
      </c>
      <c r="L671">
        <v>20194</v>
      </c>
      <c r="M671" t="s">
        <v>701</v>
      </c>
      <c r="N671" t="s">
        <v>702</v>
      </c>
      <c r="O671" t="s">
        <v>11</v>
      </c>
      <c r="P671">
        <v>1411</v>
      </c>
      <c r="Q671">
        <v>-1</v>
      </c>
      <c r="R671">
        <v>293.64</v>
      </c>
      <c r="S671">
        <v>-293.64</v>
      </c>
      <c r="T671">
        <v>-222.88</v>
      </c>
      <c r="U671">
        <v>24.1</v>
      </c>
      <c r="V671" t="str">
        <f>VLOOKUP(L671,'[2]tabela de preços'!$A:$D,4,0)</f>
        <v>SIKKENS</v>
      </c>
      <c r="W671" t="str">
        <f>VLOOKUP(L671,'[2]tabela de preços'!$A:$F,6,0)</f>
        <v>VERNIZ AUTOMOTIVO</v>
      </c>
      <c r="X671" t="str">
        <f>VLOOKUP(L671,'[2]tabela de preços'!$A:$G,7,0)</f>
        <v>AUTOMOTIVO</v>
      </c>
    </row>
    <row r="672" spans="1:24" x14ac:dyDescent="0.3">
      <c r="A672" t="s">
        <v>626</v>
      </c>
      <c r="B672" t="s">
        <v>627</v>
      </c>
      <c r="C672" t="s">
        <v>700</v>
      </c>
      <c r="D672" s="1">
        <v>46050</v>
      </c>
      <c r="F672">
        <v>9</v>
      </c>
      <c r="G672">
        <v>174</v>
      </c>
      <c r="H672" t="str">
        <f>VLOOKUP(G672,[1]OPERADORES!$A:$B,2,0)</f>
        <v>MIRIÃ LOBATO RODRIGUES</v>
      </c>
      <c r="I672" t="s">
        <v>21</v>
      </c>
      <c r="J672" t="s">
        <v>630</v>
      </c>
      <c r="K672" t="s">
        <v>631</v>
      </c>
      <c r="L672">
        <v>9773</v>
      </c>
      <c r="M672" t="s">
        <v>703</v>
      </c>
      <c r="N672" t="s">
        <v>702</v>
      </c>
      <c r="O672" t="s">
        <v>11</v>
      </c>
      <c r="P672">
        <v>1202</v>
      </c>
      <c r="Q672">
        <v>-2</v>
      </c>
      <c r="R672">
        <v>95.93</v>
      </c>
      <c r="S672">
        <v>-191.86</v>
      </c>
      <c r="T672">
        <v>-145.62</v>
      </c>
      <c r="U672">
        <v>24.1</v>
      </c>
      <c r="V672" t="str">
        <f>VLOOKUP(L672,'[2]tabela de preços'!$A:$D,4,0)</f>
        <v>SIKKENS</v>
      </c>
      <c r="W672" t="str">
        <f>VLOOKUP(L672,'[2]tabela de preços'!$A:$F,6,0)</f>
        <v>CATALISADORES INDIVIDUAS</v>
      </c>
      <c r="X672" t="str">
        <f>VLOOKUP(L672,'[2]tabela de preços'!$A:$G,7,0)</f>
        <v>AUTOMOTIVO</v>
      </c>
    </row>
    <row r="673" spans="1:24" x14ac:dyDescent="0.3">
      <c r="A673" t="s">
        <v>626</v>
      </c>
      <c r="B673" t="s">
        <v>627</v>
      </c>
      <c r="C673" t="s">
        <v>700</v>
      </c>
      <c r="D673" s="1">
        <v>46050</v>
      </c>
      <c r="F673">
        <v>9</v>
      </c>
      <c r="G673">
        <v>174</v>
      </c>
      <c r="H673" t="str">
        <f>VLOOKUP(G673,[1]OPERADORES!$A:$B,2,0)</f>
        <v>MIRIÃ LOBATO RODRIGUES</v>
      </c>
      <c r="I673" t="s">
        <v>21</v>
      </c>
      <c r="J673" t="s">
        <v>630</v>
      </c>
      <c r="K673" t="s">
        <v>631</v>
      </c>
      <c r="L673">
        <v>9995</v>
      </c>
      <c r="M673" t="s">
        <v>704</v>
      </c>
      <c r="N673" t="s">
        <v>705</v>
      </c>
      <c r="O673" t="s">
        <v>11</v>
      </c>
      <c r="P673">
        <v>1202</v>
      </c>
      <c r="Q673">
        <v>-1</v>
      </c>
      <c r="R673">
        <v>193.83</v>
      </c>
      <c r="S673">
        <v>-193.83</v>
      </c>
      <c r="T673">
        <v>-147.12</v>
      </c>
      <c r="U673">
        <v>24.1</v>
      </c>
      <c r="V673" t="str">
        <f>VLOOKUP(L673,'[2]tabela de preços'!$A:$D,4,0)</f>
        <v>SIKKENS</v>
      </c>
      <c r="W673" t="str">
        <f>VLOOKUP(L673,'[2]tabela de preços'!$A:$F,6,0)</f>
        <v>DILUENTE</v>
      </c>
      <c r="X673" t="str">
        <f>VLOOKUP(L673,'[2]tabela de preços'!$A:$G,7,0)</f>
        <v>AUTOMOTIVO</v>
      </c>
    </row>
    <row r="674" spans="1:24" x14ac:dyDescent="0.3">
      <c r="A674" t="s">
        <v>626</v>
      </c>
      <c r="B674" t="s">
        <v>627</v>
      </c>
      <c r="C674" t="s">
        <v>706</v>
      </c>
      <c r="D674" s="1">
        <v>46050</v>
      </c>
      <c r="E674" t="s">
        <v>707</v>
      </c>
      <c r="F674">
        <v>9</v>
      </c>
      <c r="G674">
        <v>174</v>
      </c>
      <c r="H674" t="str">
        <f>VLOOKUP(G674,[1]OPERADORES!$A:$B,2,0)</f>
        <v>MIRIÃ LOBATO RODRIGUES</v>
      </c>
      <c r="I674" t="s">
        <v>21</v>
      </c>
      <c r="J674" t="s">
        <v>630</v>
      </c>
      <c r="K674" t="s">
        <v>631</v>
      </c>
      <c r="L674">
        <v>84487</v>
      </c>
      <c r="M674" t="s">
        <v>633</v>
      </c>
      <c r="O674" t="s">
        <v>11</v>
      </c>
      <c r="P674">
        <v>5403</v>
      </c>
      <c r="Q674">
        <v>2</v>
      </c>
      <c r="R674">
        <v>28.84</v>
      </c>
      <c r="S674">
        <v>57.68</v>
      </c>
      <c r="T674">
        <v>43.78</v>
      </c>
      <c r="U674">
        <v>24.1</v>
      </c>
      <c r="V674" t="str">
        <f>VLOOKUP(L674,'[2]tabela de preços'!$A:$D,4,0)</f>
        <v>BRASILUX</v>
      </c>
      <c r="W674" t="str">
        <f>VLOOKUP(L674,'[2]tabela de preços'!$A:$F,6,0)</f>
        <v>TINTAS LACA</v>
      </c>
      <c r="X674" t="str">
        <f>VLOOKUP(L674,'[2]tabela de preços'!$A:$G,7,0)</f>
        <v>AUTOMOTIVO</v>
      </c>
    </row>
    <row r="675" spans="1:24" x14ac:dyDescent="0.3">
      <c r="A675" t="s">
        <v>626</v>
      </c>
      <c r="B675" t="s">
        <v>627</v>
      </c>
      <c r="C675" t="s">
        <v>706</v>
      </c>
      <c r="D675" s="1">
        <v>46050</v>
      </c>
      <c r="E675" t="s">
        <v>707</v>
      </c>
      <c r="F675">
        <v>9</v>
      </c>
      <c r="G675">
        <v>174</v>
      </c>
      <c r="H675" t="str">
        <f>VLOOKUP(G675,[1]OPERADORES!$A:$B,2,0)</f>
        <v>MIRIÃ LOBATO RODRIGUES</v>
      </c>
      <c r="I675" t="s">
        <v>21</v>
      </c>
      <c r="J675" t="s">
        <v>630</v>
      </c>
      <c r="K675" t="s">
        <v>631</v>
      </c>
      <c r="L675">
        <v>10236</v>
      </c>
      <c r="M675" t="s">
        <v>133</v>
      </c>
      <c r="O675" t="s">
        <v>11</v>
      </c>
      <c r="P675">
        <v>5102</v>
      </c>
      <c r="Q675">
        <v>10</v>
      </c>
      <c r="R675">
        <v>2.79</v>
      </c>
      <c r="S675">
        <v>27.9</v>
      </c>
      <c r="T675">
        <v>23.2</v>
      </c>
      <c r="U675">
        <v>16.850000000000001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626</v>
      </c>
      <c r="B676" t="s">
        <v>627</v>
      </c>
      <c r="C676" t="s">
        <v>706</v>
      </c>
      <c r="D676" s="1">
        <v>46050</v>
      </c>
      <c r="E676" t="s">
        <v>707</v>
      </c>
      <c r="F676">
        <v>9</v>
      </c>
      <c r="G676">
        <v>174</v>
      </c>
      <c r="H676" t="str">
        <f>VLOOKUP(G676,[1]OPERADORES!$A:$B,2,0)</f>
        <v>MIRIÃ LOBATO RODRIGUES</v>
      </c>
      <c r="I676" t="s">
        <v>21</v>
      </c>
      <c r="J676" t="s">
        <v>630</v>
      </c>
      <c r="K676" t="s">
        <v>631</v>
      </c>
      <c r="L676">
        <v>10226</v>
      </c>
      <c r="M676" t="s">
        <v>145</v>
      </c>
      <c r="O676" t="s">
        <v>11</v>
      </c>
      <c r="P676">
        <v>5102</v>
      </c>
      <c r="Q676">
        <v>13</v>
      </c>
      <c r="R676">
        <v>2.79</v>
      </c>
      <c r="S676">
        <v>36.270000000000003</v>
      </c>
      <c r="T676">
        <v>30.16</v>
      </c>
      <c r="U676">
        <v>16.850000000000001</v>
      </c>
      <c r="V676" t="str">
        <f>VLOOKUP(L676,'[2]tabela de preços'!$A:$D,4,0)</f>
        <v>NORTON</v>
      </c>
      <c r="W676" t="str">
        <f>VLOOKUP(L676,'[2]tabela de preços'!$A:$F,6,0)</f>
        <v xml:space="preserve">DISCOS / LIXAS / ABRASIVOS </v>
      </c>
      <c r="X676" t="str">
        <f>VLOOKUP(L676,'[2]tabela de preços'!$A:$G,7,0)</f>
        <v>AUTOMOTIVO</v>
      </c>
    </row>
    <row r="677" spans="1:24" x14ac:dyDescent="0.3">
      <c r="A677" t="s">
        <v>626</v>
      </c>
      <c r="B677" t="s">
        <v>627</v>
      </c>
      <c r="C677" t="s">
        <v>706</v>
      </c>
      <c r="D677" s="1">
        <v>46050</v>
      </c>
      <c r="E677" t="s">
        <v>707</v>
      </c>
      <c r="F677">
        <v>9</v>
      </c>
      <c r="G677">
        <v>174</v>
      </c>
      <c r="H677" t="str">
        <f>VLOOKUP(G677,[1]OPERADORES!$A:$B,2,0)</f>
        <v>MIRIÃ LOBATO RODRIGUES</v>
      </c>
      <c r="I677" t="s">
        <v>21</v>
      </c>
      <c r="J677" t="s">
        <v>630</v>
      </c>
      <c r="K677" t="s">
        <v>631</v>
      </c>
      <c r="L677">
        <v>24248</v>
      </c>
      <c r="M677" t="s">
        <v>107</v>
      </c>
      <c r="O677" t="s">
        <v>11</v>
      </c>
      <c r="P677">
        <v>5102</v>
      </c>
      <c r="Q677">
        <v>4</v>
      </c>
      <c r="R677">
        <v>8</v>
      </c>
      <c r="S677">
        <v>32</v>
      </c>
      <c r="T677">
        <v>26</v>
      </c>
      <c r="U677">
        <v>18.75</v>
      </c>
      <c r="V677" t="str">
        <f>VLOOKUP(L677,'[2]tabela de preços'!$A:$D,4,0)</f>
        <v>SHERWIN WILLIAMS</v>
      </c>
      <c r="W677" t="str">
        <f>VLOOKUP(L677,'[2]tabela de preços'!$A:$F,6,0)</f>
        <v>PRIMER AUTOMOTIVO</v>
      </c>
      <c r="X677" t="str">
        <f>VLOOKUP(L677,'[2]tabela de preços'!$A:$G,7,0)</f>
        <v>AUTOMOTIVO</v>
      </c>
    </row>
    <row r="678" spans="1:24" x14ac:dyDescent="0.3">
      <c r="A678" t="s">
        <v>626</v>
      </c>
      <c r="B678" t="s">
        <v>627</v>
      </c>
      <c r="C678" t="s">
        <v>706</v>
      </c>
      <c r="D678" s="1">
        <v>46050</v>
      </c>
      <c r="E678" t="s">
        <v>707</v>
      </c>
      <c r="F678">
        <v>9</v>
      </c>
      <c r="G678">
        <v>174</v>
      </c>
      <c r="H678" t="str">
        <f>VLOOKUP(G678,[1]OPERADORES!$A:$B,2,0)</f>
        <v>MIRIÃ LOBATO RODRIGUES</v>
      </c>
      <c r="I678" t="s">
        <v>21</v>
      </c>
      <c r="J678" t="s">
        <v>630</v>
      </c>
      <c r="K678" t="s">
        <v>631</v>
      </c>
      <c r="L678">
        <v>9773</v>
      </c>
      <c r="M678" t="s">
        <v>703</v>
      </c>
      <c r="O678" t="s">
        <v>11</v>
      </c>
      <c r="P678">
        <v>5102</v>
      </c>
      <c r="Q678">
        <v>2</v>
      </c>
      <c r="R678">
        <v>95.77</v>
      </c>
      <c r="S678">
        <v>191.54</v>
      </c>
      <c r="T678">
        <v>145.38</v>
      </c>
      <c r="U678">
        <v>24.1</v>
      </c>
      <c r="V678" t="str">
        <f>VLOOKUP(L678,'[2]tabela de preços'!$A:$D,4,0)</f>
        <v>SIKKENS</v>
      </c>
      <c r="W678" t="str">
        <f>VLOOKUP(L678,'[2]tabela de preços'!$A:$F,6,0)</f>
        <v>CATALISADORES INDIVIDUAS</v>
      </c>
      <c r="X678" t="str">
        <f>VLOOKUP(L678,'[2]tabela de preços'!$A:$G,7,0)</f>
        <v>AUTOMOTIVO</v>
      </c>
    </row>
    <row r="679" spans="1:24" x14ac:dyDescent="0.3">
      <c r="A679" t="s">
        <v>626</v>
      </c>
      <c r="B679" t="s">
        <v>627</v>
      </c>
      <c r="C679" t="s">
        <v>706</v>
      </c>
      <c r="D679" s="1">
        <v>46050</v>
      </c>
      <c r="E679" t="s">
        <v>707</v>
      </c>
      <c r="F679">
        <v>9</v>
      </c>
      <c r="G679">
        <v>174</v>
      </c>
      <c r="H679" t="str">
        <f>VLOOKUP(G679,[1]OPERADORES!$A:$B,2,0)</f>
        <v>MIRIÃ LOBATO RODRIGUES</v>
      </c>
      <c r="I679" t="s">
        <v>21</v>
      </c>
      <c r="J679" t="s">
        <v>630</v>
      </c>
      <c r="K679" t="s">
        <v>631</v>
      </c>
      <c r="L679">
        <v>9775</v>
      </c>
      <c r="M679" t="s">
        <v>708</v>
      </c>
      <c r="O679" t="s">
        <v>11</v>
      </c>
      <c r="P679">
        <v>5102</v>
      </c>
      <c r="Q679">
        <v>1</v>
      </c>
      <c r="R679">
        <v>54.57</v>
      </c>
      <c r="S679">
        <v>54.57</v>
      </c>
      <c r="T679">
        <v>41.42</v>
      </c>
      <c r="U679">
        <v>24.1</v>
      </c>
      <c r="V679" t="str">
        <f>VLOOKUP(L679,'[2]tabela de preços'!$A:$D,4,0)</f>
        <v>SIKKENS</v>
      </c>
      <c r="W679" t="str">
        <f>VLOOKUP(L679,'[2]tabela de preços'!$A:$F,6,0)</f>
        <v>CATALISADORES INDIVIDUAS</v>
      </c>
      <c r="X679" t="str">
        <f>VLOOKUP(L679,'[2]tabela de preços'!$A:$G,7,0)</f>
        <v>AUTOMOTIVO</v>
      </c>
    </row>
    <row r="680" spans="1:24" x14ac:dyDescent="0.3">
      <c r="A680" t="s">
        <v>626</v>
      </c>
      <c r="B680" t="s">
        <v>627</v>
      </c>
      <c r="C680" t="s">
        <v>706</v>
      </c>
      <c r="D680" s="1">
        <v>46050</v>
      </c>
      <c r="E680" t="s">
        <v>707</v>
      </c>
      <c r="F680">
        <v>9</v>
      </c>
      <c r="G680">
        <v>174</v>
      </c>
      <c r="H680" t="str">
        <f>VLOOKUP(G680,[1]OPERADORES!$A:$B,2,0)</f>
        <v>MIRIÃ LOBATO RODRIGUES</v>
      </c>
      <c r="I680" t="s">
        <v>21</v>
      </c>
      <c r="J680" t="s">
        <v>630</v>
      </c>
      <c r="K680" t="s">
        <v>631</v>
      </c>
      <c r="L680">
        <v>23690</v>
      </c>
      <c r="M680" t="s">
        <v>98</v>
      </c>
      <c r="O680" t="s">
        <v>11</v>
      </c>
      <c r="P680">
        <v>5403</v>
      </c>
      <c r="Q680">
        <v>6</v>
      </c>
      <c r="R680">
        <v>39.89</v>
      </c>
      <c r="S680">
        <v>239.34</v>
      </c>
      <c r="T680">
        <v>189.66</v>
      </c>
      <c r="U680">
        <v>20.76</v>
      </c>
      <c r="V680" t="str">
        <f>VLOOKUP(L680,'[2]tabela de preços'!$A:$D,4,0)</f>
        <v>WANDA</v>
      </c>
      <c r="W680" t="str">
        <f>VLOOKUP(L680,'[2]tabela de preços'!$A:$F,6,0)</f>
        <v>VERNIZ AUTOMOTIVO</v>
      </c>
      <c r="X680" t="str">
        <f>VLOOKUP(L680,'[2]tabela de preços'!$A:$G,7,0)</f>
        <v>AUTOMOTIVO</v>
      </c>
    </row>
    <row r="681" spans="1:24" x14ac:dyDescent="0.3">
      <c r="A681" t="s">
        <v>626</v>
      </c>
      <c r="B681" t="s">
        <v>627</v>
      </c>
      <c r="C681" t="s">
        <v>706</v>
      </c>
      <c r="D681" s="1">
        <v>46050</v>
      </c>
      <c r="E681" t="s">
        <v>707</v>
      </c>
      <c r="F681">
        <v>9</v>
      </c>
      <c r="G681">
        <v>174</v>
      </c>
      <c r="H681" t="str">
        <f>VLOOKUP(G681,[1]OPERADORES!$A:$B,2,0)</f>
        <v>MIRIÃ LOBATO RODRIGUES</v>
      </c>
      <c r="I681" t="s">
        <v>21</v>
      </c>
      <c r="J681" t="s">
        <v>630</v>
      </c>
      <c r="K681" t="s">
        <v>631</v>
      </c>
      <c r="L681">
        <v>20318</v>
      </c>
      <c r="M681" t="s">
        <v>136</v>
      </c>
      <c r="O681" t="s">
        <v>11</v>
      </c>
      <c r="P681">
        <v>5403</v>
      </c>
      <c r="Q681">
        <v>2</v>
      </c>
      <c r="R681">
        <v>33.4</v>
      </c>
      <c r="S681">
        <v>66.8</v>
      </c>
      <c r="T681">
        <v>47.62</v>
      </c>
      <c r="U681">
        <v>28.71</v>
      </c>
      <c r="V681" t="str">
        <f>VLOOKUP(L681,'[2]tabela de preços'!$A:$D,4,0)</f>
        <v>SHERWIN WILLIAMS</v>
      </c>
      <c r="W681" t="str">
        <f>VLOOKUP(L681,'[2]tabela de preços'!$A:$F,6,0)</f>
        <v>TINTAS POLIÉSTER</v>
      </c>
      <c r="X681" t="str">
        <f>VLOOKUP(L681,'[2]tabela de preços'!$A:$G,7,0)</f>
        <v>AUTOMOTIVO</v>
      </c>
    </row>
    <row r="682" spans="1:24" x14ac:dyDescent="0.3">
      <c r="A682" t="s">
        <v>626</v>
      </c>
      <c r="B682" t="s">
        <v>627</v>
      </c>
      <c r="C682" t="s">
        <v>706</v>
      </c>
      <c r="D682" s="1">
        <v>46050</v>
      </c>
      <c r="E682" t="s">
        <v>707</v>
      </c>
      <c r="F682">
        <v>9</v>
      </c>
      <c r="G682">
        <v>174</v>
      </c>
      <c r="H682" t="str">
        <f>VLOOKUP(G682,[1]OPERADORES!$A:$B,2,0)</f>
        <v>MIRIÃ LOBATO RODRIGUES</v>
      </c>
      <c r="I682" t="s">
        <v>21</v>
      </c>
      <c r="J682" t="s">
        <v>630</v>
      </c>
      <c r="K682" t="s">
        <v>631</v>
      </c>
      <c r="L682">
        <v>21820</v>
      </c>
      <c r="M682" t="s">
        <v>149</v>
      </c>
      <c r="O682" t="s">
        <v>11</v>
      </c>
      <c r="P682">
        <v>5403</v>
      </c>
      <c r="Q682">
        <v>2</v>
      </c>
      <c r="R682">
        <v>38.61</v>
      </c>
      <c r="S682">
        <v>77.22</v>
      </c>
      <c r="T682">
        <v>55.06</v>
      </c>
      <c r="U682">
        <v>28.7</v>
      </c>
      <c r="V682" t="str">
        <f>VLOOKUP(L682,'[2]tabela de preços'!$A:$D,4,0)</f>
        <v>SHERWIN WILLIAMS</v>
      </c>
      <c r="W682" t="str">
        <f>VLOOKUP(L682,'[2]tabela de preços'!$A:$F,6,0)</f>
        <v>TINTAS PU</v>
      </c>
      <c r="X682" t="str">
        <f>VLOOKUP(L682,'[2]tabela de preços'!$A:$G,7,0)</f>
        <v>AUTOMOTIVO</v>
      </c>
    </row>
    <row r="683" spans="1:24" x14ac:dyDescent="0.3">
      <c r="A683" t="s">
        <v>626</v>
      </c>
      <c r="B683" t="s">
        <v>627</v>
      </c>
      <c r="C683" t="s">
        <v>706</v>
      </c>
      <c r="D683" s="1">
        <v>46050</v>
      </c>
      <c r="E683" t="s">
        <v>707</v>
      </c>
      <c r="F683">
        <v>9</v>
      </c>
      <c r="G683">
        <v>174</v>
      </c>
      <c r="H683" t="str">
        <f>VLOOKUP(G683,[1]OPERADORES!$A:$B,2,0)</f>
        <v>MIRIÃ LOBATO RODRIGUES</v>
      </c>
      <c r="I683" t="s">
        <v>21</v>
      </c>
      <c r="J683" t="s">
        <v>630</v>
      </c>
      <c r="K683" t="s">
        <v>631</v>
      </c>
      <c r="L683">
        <v>20472</v>
      </c>
      <c r="M683" t="s">
        <v>709</v>
      </c>
      <c r="O683" t="s">
        <v>11</v>
      </c>
      <c r="P683">
        <v>5403</v>
      </c>
      <c r="Q683">
        <v>2</v>
      </c>
      <c r="R683">
        <v>35.78</v>
      </c>
      <c r="S683">
        <v>71.56</v>
      </c>
      <c r="T683">
        <v>51.02</v>
      </c>
      <c r="U683">
        <v>28.7</v>
      </c>
      <c r="V683" t="str">
        <f>VLOOKUP(L683,'[2]tabela de preços'!$A:$D,4,0)</f>
        <v>SHERWIN WILLIAMS</v>
      </c>
      <c r="W683" t="str">
        <f>VLOOKUP(L683,'[2]tabela de preços'!$A:$F,6,0)</f>
        <v>TINTAS POLIÉSTER</v>
      </c>
      <c r="X683" t="str">
        <f>VLOOKUP(L683,'[2]tabela de preços'!$A:$G,7,0)</f>
        <v>AUTOMOTIVO</v>
      </c>
    </row>
    <row r="684" spans="1:24" x14ac:dyDescent="0.3">
      <c r="A684" t="s">
        <v>626</v>
      </c>
      <c r="B684" t="s">
        <v>627</v>
      </c>
      <c r="C684" t="s">
        <v>706</v>
      </c>
      <c r="D684" s="1">
        <v>46050</v>
      </c>
      <c r="E684" t="s">
        <v>707</v>
      </c>
      <c r="F684">
        <v>9</v>
      </c>
      <c r="G684">
        <v>174</v>
      </c>
      <c r="H684" t="str">
        <f>VLOOKUP(G684,[1]OPERADORES!$A:$B,2,0)</f>
        <v>MIRIÃ LOBATO RODRIGUES</v>
      </c>
      <c r="I684" t="s">
        <v>21</v>
      </c>
      <c r="J684" t="s">
        <v>630</v>
      </c>
      <c r="K684" t="s">
        <v>631</v>
      </c>
      <c r="L684">
        <v>20846</v>
      </c>
      <c r="M684" t="s">
        <v>163</v>
      </c>
      <c r="O684" t="s">
        <v>11</v>
      </c>
      <c r="P684">
        <v>5102</v>
      </c>
      <c r="Q684">
        <v>2</v>
      </c>
      <c r="R684">
        <v>32.44</v>
      </c>
      <c r="S684">
        <v>64.88</v>
      </c>
      <c r="T684">
        <v>49.24</v>
      </c>
      <c r="U684">
        <v>24.11</v>
      </c>
      <c r="V684" t="str">
        <f>VLOOKUP(L684,'[2]tabela de preços'!$A:$D,4,0)</f>
        <v>SHERWIN WILLIAMS</v>
      </c>
      <c r="W684" t="str">
        <f>VLOOKUP(L684,'[2]tabela de preços'!$A:$F,6,0)</f>
        <v>TINTAS POLIÉSTER</v>
      </c>
      <c r="X684" t="str">
        <f>VLOOKUP(L684,'[2]tabela de preços'!$A:$G,7,0)</f>
        <v>AUTOMOTIVO</v>
      </c>
    </row>
    <row r="685" spans="1:24" x14ac:dyDescent="0.3">
      <c r="A685" t="s">
        <v>626</v>
      </c>
      <c r="B685" t="s">
        <v>627</v>
      </c>
      <c r="C685" t="s">
        <v>706</v>
      </c>
      <c r="D685" s="1">
        <v>46050</v>
      </c>
      <c r="E685" t="s">
        <v>707</v>
      </c>
      <c r="F685">
        <v>9</v>
      </c>
      <c r="G685">
        <v>174</v>
      </c>
      <c r="H685" t="str">
        <f>VLOOKUP(G685,[1]OPERADORES!$A:$B,2,0)</f>
        <v>MIRIÃ LOBATO RODRIGUES</v>
      </c>
      <c r="I685" t="s">
        <v>21</v>
      </c>
      <c r="J685" t="s">
        <v>630</v>
      </c>
      <c r="K685" t="s">
        <v>631</v>
      </c>
      <c r="L685">
        <v>23267</v>
      </c>
      <c r="M685" t="s">
        <v>164</v>
      </c>
      <c r="O685" t="s">
        <v>11</v>
      </c>
      <c r="P685">
        <v>5102</v>
      </c>
      <c r="Q685">
        <v>1</v>
      </c>
      <c r="R685">
        <v>22.89</v>
      </c>
      <c r="S685">
        <v>22.89</v>
      </c>
      <c r="T685">
        <v>19.54</v>
      </c>
      <c r="U685">
        <v>14.64</v>
      </c>
      <c r="V685" t="str">
        <f>VLOOKUP(L685,'[2]tabela de preços'!$A:$D,4,0)</f>
        <v>ANJO</v>
      </c>
      <c r="W685" t="str">
        <f>VLOOKUP(L685,'[2]tabela de preços'!$A:$F,6,0)</f>
        <v>MASSA POLIÉSTER</v>
      </c>
      <c r="X685" t="str">
        <f>VLOOKUP(L685,'[2]tabela de preços'!$A:$G,7,0)</f>
        <v>AUTOMOTIVO</v>
      </c>
    </row>
    <row r="686" spans="1:24" x14ac:dyDescent="0.3">
      <c r="A686" t="s">
        <v>626</v>
      </c>
      <c r="B686" t="s">
        <v>627</v>
      </c>
      <c r="C686" t="s">
        <v>706</v>
      </c>
      <c r="D686" s="1">
        <v>46050</v>
      </c>
      <c r="E686" t="s">
        <v>707</v>
      </c>
      <c r="F686">
        <v>9</v>
      </c>
      <c r="G686">
        <v>174</v>
      </c>
      <c r="H686" t="str">
        <f>VLOOKUP(G686,[1]OPERADORES!$A:$B,2,0)</f>
        <v>MIRIÃ LOBATO RODRIGUES</v>
      </c>
      <c r="I686" t="s">
        <v>21</v>
      </c>
      <c r="J686" t="s">
        <v>630</v>
      </c>
      <c r="K686" t="s">
        <v>631</v>
      </c>
      <c r="L686">
        <v>23926</v>
      </c>
      <c r="M686" t="s">
        <v>645</v>
      </c>
      <c r="O686" t="s">
        <v>11</v>
      </c>
      <c r="P686">
        <v>5403</v>
      </c>
      <c r="Q686">
        <v>1</v>
      </c>
      <c r="R686">
        <v>147.1</v>
      </c>
      <c r="S686">
        <v>147.1</v>
      </c>
      <c r="T686">
        <v>98.89</v>
      </c>
      <c r="U686">
        <v>32.770000000000003</v>
      </c>
      <c r="V686" t="str">
        <f>VLOOKUP(L686,'[2]tabela de preços'!$A:$D,4,0)</f>
        <v>SIKKENS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626</v>
      </c>
      <c r="B687" t="s">
        <v>627</v>
      </c>
      <c r="C687" t="s">
        <v>706</v>
      </c>
      <c r="D687" s="1">
        <v>46050</v>
      </c>
      <c r="E687" t="s">
        <v>707</v>
      </c>
      <c r="F687">
        <v>9</v>
      </c>
      <c r="G687">
        <v>174</v>
      </c>
      <c r="H687" t="str">
        <f>VLOOKUP(G687,[1]OPERADORES!$A:$B,2,0)</f>
        <v>MIRIÃ LOBATO RODRIGUES</v>
      </c>
      <c r="I687" t="s">
        <v>21</v>
      </c>
      <c r="J687" t="s">
        <v>630</v>
      </c>
      <c r="K687" t="s">
        <v>631</v>
      </c>
      <c r="L687">
        <v>24247</v>
      </c>
      <c r="M687" t="s">
        <v>160</v>
      </c>
      <c r="O687" t="s">
        <v>11</v>
      </c>
      <c r="P687">
        <v>5403</v>
      </c>
      <c r="Q687">
        <v>4</v>
      </c>
      <c r="R687">
        <v>21</v>
      </c>
      <c r="S687">
        <v>84</v>
      </c>
      <c r="T687">
        <v>67.48</v>
      </c>
      <c r="U687">
        <v>19.670000000000002</v>
      </c>
      <c r="V687" t="str">
        <f>VLOOKUP(L687,'[2]tabela de preços'!$A:$D,4,0)</f>
        <v>SHERWIN WILLIAMS</v>
      </c>
      <c r="W687" t="str">
        <f>VLOOKUP(L687,'[2]tabela de preços'!$A:$F,6,0)</f>
        <v>PRIMER AUTOMOTIVO</v>
      </c>
      <c r="X687" t="str">
        <f>VLOOKUP(L687,'[2]tabela de preços'!$A:$G,7,0)</f>
        <v>AUTOMOTIVO</v>
      </c>
    </row>
    <row r="688" spans="1:24" x14ac:dyDescent="0.3">
      <c r="A688" t="s">
        <v>626</v>
      </c>
      <c r="B688" t="s">
        <v>627</v>
      </c>
      <c r="C688" t="s">
        <v>710</v>
      </c>
      <c r="D688" s="1">
        <v>46051</v>
      </c>
      <c r="E688" t="s">
        <v>711</v>
      </c>
      <c r="F688">
        <v>9</v>
      </c>
      <c r="G688">
        <v>174</v>
      </c>
      <c r="H688" t="str">
        <f>VLOOKUP(G688,[1]OPERADORES!$A:$B,2,0)</f>
        <v>MIRIÃ LOBATO RODRIGUES</v>
      </c>
      <c r="I688" t="s">
        <v>21</v>
      </c>
      <c r="J688" t="s">
        <v>630</v>
      </c>
      <c r="K688" t="s">
        <v>631</v>
      </c>
      <c r="L688">
        <v>20194</v>
      </c>
      <c r="M688" t="s">
        <v>701</v>
      </c>
      <c r="O688" t="s">
        <v>11</v>
      </c>
      <c r="P688">
        <v>5403</v>
      </c>
      <c r="Q688">
        <v>1</v>
      </c>
      <c r="R688">
        <v>354.65</v>
      </c>
      <c r="S688">
        <v>354.65</v>
      </c>
      <c r="T688">
        <v>231.8</v>
      </c>
      <c r="U688">
        <v>34.64</v>
      </c>
      <c r="V688" t="str">
        <f>VLOOKUP(L688,'[2]tabela de preços'!$A:$D,4,0)</f>
        <v>SIKKENS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626</v>
      </c>
      <c r="B689" t="s">
        <v>627</v>
      </c>
      <c r="C689" t="s">
        <v>710</v>
      </c>
      <c r="D689" s="1">
        <v>46051</v>
      </c>
      <c r="E689" t="s">
        <v>711</v>
      </c>
      <c r="F689">
        <v>9</v>
      </c>
      <c r="G689">
        <v>174</v>
      </c>
      <c r="H689" t="str">
        <f>VLOOKUP(G689,[1]OPERADORES!$A:$B,2,0)</f>
        <v>MIRIÃ LOBATO RODRIGUES</v>
      </c>
      <c r="I689" t="s">
        <v>21</v>
      </c>
      <c r="J689" t="s">
        <v>630</v>
      </c>
      <c r="K689" t="s">
        <v>631</v>
      </c>
      <c r="L689">
        <v>23110</v>
      </c>
      <c r="M689" t="s">
        <v>409</v>
      </c>
      <c r="O689" t="s">
        <v>11</v>
      </c>
      <c r="P689">
        <v>5102</v>
      </c>
      <c r="Q689">
        <v>50</v>
      </c>
      <c r="R689">
        <v>2.35</v>
      </c>
      <c r="S689">
        <v>117.5</v>
      </c>
      <c r="T689">
        <v>92.5</v>
      </c>
      <c r="U689">
        <v>21.28</v>
      </c>
      <c r="V689" t="str">
        <f>VLOOKUP(L689,'[2]tabela de preços'!$A:$D,4,0)</f>
        <v>3M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626</v>
      </c>
      <c r="B690" t="s">
        <v>627</v>
      </c>
      <c r="C690" t="s">
        <v>710</v>
      </c>
      <c r="D690" s="1">
        <v>46051</v>
      </c>
      <c r="E690" t="s">
        <v>711</v>
      </c>
      <c r="F690">
        <v>9</v>
      </c>
      <c r="G690">
        <v>174</v>
      </c>
      <c r="H690" t="str">
        <f>VLOOKUP(G690,[1]OPERADORES!$A:$B,2,0)</f>
        <v>MIRIÃ LOBATO RODRIGUES</v>
      </c>
      <c r="I690" t="s">
        <v>21</v>
      </c>
      <c r="J690" t="s">
        <v>630</v>
      </c>
      <c r="K690" t="s">
        <v>631</v>
      </c>
      <c r="L690">
        <v>23107</v>
      </c>
      <c r="M690" t="s">
        <v>247</v>
      </c>
      <c r="O690" t="s">
        <v>11</v>
      </c>
      <c r="P690">
        <v>5102</v>
      </c>
      <c r="Q690">
        <v>50</v>
      </c>
      <c r="R690">
        <v>2.35</v>
      </c>
      <c r="S690">
        <v>117.5</v>
      </c>
      <c r="T690">
        <v>92.5</v>
      </c>
      <c r="U690">
        <v>21.28</v>
      </c>
      <c r="V690" t="str">
        <f>VLOOKUP(L690,'[2]tabela de preços'!$A:$D,4,0)</f>
        <v>3M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626</v>
      </c>
      <c r="B691" t="s">
        <v>627</v>
      </c>
      <c r="C691" t="s">
        <v>710</v>
      </c>
      <c r="D691" s="1">
        <v>46051</v>
      </c>
      <c r="E691" t="s">
        <v>711</v>
      </c>
      <c r="F691">
        <v>9</v>
      </c>
      <c r="G691">
        <v>174</v>
      </c>
      <c r="H691" t="str">
        <f>VLOOKUP(G691,[1]OPERADORES!$A:$B,2,0)</f>
        <v>MIRIÃ LOBATO RODRIGUES</v>
      </c>
      <c r="I691" t="s">
        <v>21</v>
      </c>
      <c r="J691" t="s">
        <v>630</v>
      </c>
      <c r="K691" t="s">
        <v>631</v>
      </c>
      <c r="L691">
        <v>24248</v>
      </c>
      <c r="M691" t="s">
        <v>107</v>
      </c>
      <c r="O691" t="s">
        <v>11</v>
      </c>
      <c r="P691">
        <v>5102</v>
      </c>
      <c r="Q691">
        <v>12</v>
      </c>
      <c r="R691">
        <v>8</v>
      </c>
      <c r="S691">
        <v>96</v>
      </c>
      <c r="T691">
        <v>78</v>
      </c>
      <c r="U691">
        <v>18.75</v>
      </c>
      <c r="V691" t="str">
        <f>VLOOKUP(L691,'[2]tabela de preços'!$A:$D,4,0)</f>
        <v>SHERWIN WILLIAMS</v>
      </c>
      <c r="W691" t="str">
        <f>VLOOKUP(L691,'[2]tabela de preços'!$A:$F,6,0)</f>
        <v>PRIMER AUTOMOTIVO</v>
      </c>
      <c r="X691" t="str">
        <f>VLOOKUP(L691,'[2]tabela de preços'!$A:$G,7,0)</f>
        <v>AUTOMOTIVO</v>
      </c>
    </row>
    <row r="692" spans="1:24" x14ac:dyDescent="0.3">
      <c r="A692" t="s">
        <v>626</v>
      </c>
      <c r="B692" t="s">
        <v>627</v>
      </c>
      <c r="C692" t="s">
        <v>710</v>
      </c>
      <c r="D692" s="1">
        <v>46051</v>
      </c>
      <c r="E692" t="s">
        <v>711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630</v>
      </c>
      <c r="K692" t="s">
        <v>631</v>
      </c>
      <c r="L692">
        <v>22684</v>
      </c>
      <c r="M692" t="s">
        <v>73</v>
      </c>
      <c r="O692" t="s">
        <v>11</v>
      </c>
      <c r="P692">
        <v>5102</v>
      </c>
      <c r="Q692">
        <v>80</v>
      </c>
      <c r="R692">
        <v>3.65</v>
      </c>
      <c r="S692">
        <v>292</v>
      </c>
      <c r="T692">
        <v>246.4</v>
      </c>
      <c r="U692">
        <v>15.62</v>
      </c>
      <c r="V692" t="str">
        <f>VLOOKUP(L692,'[2]tabela de preços'!$A:$D,4,0)</f>
        <v>3M</v>
      </c>
      <c r="W692" t="str">
        <f>VLOOKUP(L692,'[2]tabela de preços'!$A:$F,6,0)</f>
        <v>FITA AUTOMOTIVA</v>
      </c>
      <c r="X692" t="str">
        <f>VLOOKUP(L692,'[2]tabela de preços'!$A:$G,7,0)</f>
        <v>AUTOMOTIVO</v>
      </c>
    </row>
    <row r="693" spans="1:24" x14ac:dyDescent="0.3">
      <c r="A693" t="s">
        <v>626</v>
      </c>
      <c r="B693" t="s">
        <v>627</v>
      </c>
      <c r="C693" t="s">
        <v>710</v>
      </c>
      <c r="D693" s="1">
        <v>46051</v>
      </c>
      <c r="E693" t="s">
        <v>711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630</v>
      </c>
      <c r="K693" t="s">
        <v>631</v>
      </c>
      <c r="L693">
        <v>9773</v>
      </c>
      <c r="M693" t="s">
        <v>703</v>
      </c>
      <c r="O693" t="s">
        <v>11</v>
      </c>
      <c r="P693">
        <v>5102</v>
      </c>
      <c r="Q693">
        <v>2</v>
      </c>
      <c r="R693">
        <v>95.77</v>
      </c>
      <c r="S693">
        <v>191.54</v>
      </c>
      <c r="T693">
        <v>145.38</v>
      </c>
      <c r="U693">
        <v>24.1</v>
      </c>
      <c r="V693" t="str">
        <f>VLOOKUP(L693,'[2]tabela de preços'!$A:$D,4,0)</f>
        <v>SIKKENS</v>
      </c>
      <c r="W693" t="str">
        <f>VLOOKUP(L693,'[2]tabela de preços'!$A:$F,6,0)</f>
        <v>CATALISADORES INDIVIDUAS</v>
      </c>
      <c r="X693" t="str">
        <f>VLOOKUP(L693,'[2]tabela de preços'!$A:$G,7,0)</f>
        <v>AUTOMOTIVO</v>
      </c>
    </row>
    <row r="694" spans="1:24" x14ac:dyDescent="0.3">
      <c r="A694" t="s">
        <v>626</v>
      </c>
      <c r="B694" t="s">
        <v>627</v>
      </c>
      <c r="C694" t="s">
        <v>710</v>
      </c>
      <c r="D694" s="1">
        <v>46051</v>
      </c>
      <c r="E694" t="s">
        <v>711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630</v>
      </c>
      <c r="K694" t="s">
        <v>631</v>
      </c>
      <c r="L694">
        <v>9775</v>
      </c>
      <c r="M694" t="s">
        <v>708</v>
      </c>
      <c r="O694" t="s">
        <v>11</v>
      </c>
      <c r="P694">
        <v>5102</v>
      </c>
      <c r="Q694">
        <v>1</v>
      </c>
      <c r="R694">
        <v>54.57</v>
      </c>
      <c r="S694">
        <v>54.57</v>
      </c>
      <c r="T694">
        <v>41.42</v>
      </c>
      <c r="U694">
        <v>24.1</v>
      </c>
      <c r="V694" t="str">
        <f>VLOOKUP(L694,'[2]tabela de preços'!$A:$D,4,0)</f>
        <v>SIKKENS</v>
      </c>
      <c r="W694" t="str">
        <f>VLOOKUP(L694,'[2]tabela de preços'!$A:$F,6,0)</f>
        <v>CATALISADORES INDIVIDUAS</v>
      </c>
      <c r="X694" t="str">
        <f>VLOOKUP(L694,'[2]tabela de preços'!$A:$G,7,0)</f>
        <v>AUTOMOTIVO</v>
      </c>
    </row>
    <row r="695" spans="1:24" x14ac:dyDescent="0.3">
      <c r="A695" t="s">
        <v>626</v>
      </c>
      <c r="B695" t="s">
        <v>627</v>
      </c>
      <c r="C695" t="s">
        <v>710</v>
      </c>
      <c r="D695" s="1">
        <v>46051</v>
      </c>
      <c r="E695" t="s">
        <v>711</v>
      </c>
      <c r="F695">
        <v>9</v>
      </c>
      <c r="G695">
        <v>174</v>
      </c>
      <c r="H695" t="str">
        <f>VLOOKUP(G695,[1]OPERADORES!$A:$B,2,0)</f>
        <v>MIRIÃ LOBATO RODRIGUES</v>
      </c>
      <c r="I695" t="s">
        <v>21</v>
      </c>
      <c r="J695" t="s">
        <v>630</v>
      </c>
      <c r="K695" t="s">
        <v>631</v>
      </c>
      <c r="L695">
        <v>23076</v>
      </c>
      <c r="M695" t="s">
        <v>97</v>
      </c>
      <c r="O695" t="s">
        <v>11</v>
      </c>
      <c r="P695">
        <v>5403</v>
      </c>
      <c r="Q695">
        <v>6</v>
      </c>
      <c r="R695">
        <v>34.89</v>
      </c>
      <c r="S695">
        <v>209.34</v>
      </c>
      <c r="T695">
        <v>159.18</v>
      </c>
      <c r="U695">
        <v>23.96</v>
      </c>
      <c r="V695" t="str">
        <f>VLOOKUP(L695,'[2]tabela de preços'!$A:$D,4,0)</f>
        <v>WANDA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626</v>
      </c>
      <c r="B696" t="s">
        <v>627</v>
      </c>
      <c r="C696" t="s">
        <v>710</v>
      </c>
      <c r="D696" s="1">
        <v>46051</v>
      </c>
      <c r="E696" t="s">
        <v>711</v>
      </c>
      <c r="F696">
        <v>9</v>
      </c>
      <c r="G696">
        <v>174</v>
      </c>
      <c r="H696" t="str">
        <f>VLOOKUP(G696,[1]OPERADORES!$A:$B,2,0)</f>
        <v>MIRIÃ LOBATO RODRIGUES</v>
      </c>
      <c r="I696" t="s">
        <v>21</v>
      </c>
      <c r="J696" t="s">
        <v>630</v>
      </c>
      <c r="K696" t="s">
        <v>631</v>
      </c>
      <c r="L696">
        <v>23690</v>
      </c>
      <c r="M696" t="s">
        <v>98</v>
      </c>
      <c r="O696" t="s">
        <v>11</v>
      </c>
      <c r="P696">
        <v>5403</v>
      </c>
      <c r="Q696">
        <v>6</v>
      </c>
      <c r="R696">
        <v>39.89</v>
      </c>
      <c r="S696">
        <v>239.34</v>
      </c>
      <c r="T696">
        <v>189.66</v>
      </c>
      <c r="U696">
        <v>20.76</v>
      </c>
      <c r="V696" t="str">
        <f>VLOOKUP(L696,'[2]tabela de preços'!$A:$D,4,0)</f>
        <v>WANDA</v>
      </c>
      <c r="W696" t="str">
        <f>VLOOKUP(L696,'[2]tabela de preços'!$A:$F,6,0)</f>
        <v>VERNIZ AUTOMOTIVO</v>
      </c>
      <c r="X696" t="str">
        <f>VLOOKUP(L696,'[2]tabela de preços'!$A:$G,7,0)</f>
        <v>AUTOMOTIVO</v>
      </c>
    </row>
    <row r="697" spans="1:24" x14ac:dyDescent="0.3">
      <c r="A697" t="s">
        <v>626</v>
      </c>
      <c r="B697" t="s">
        <v>627</v>
      </c>
      <c r="C697" t="s">
        <v>710</v>
      </c>
      <c r="D697" s="1">
        <v>46051</v>
      </c>
      <c r="E697" t="s">
        <v>711</v>
      </c>
      <c r="F697">
        <v>9</v>
      </c>
      <c r="G697">
        <v>174</v>
      </c>
      <c r="H697" t="str">
        <f>VLOOKUP(G697,[1]OPERADORES!$A:$B,2,0)</f>
        <v>MIRIÃ LOBATO RODRIGUES</v>
      </c>
      <c r="I697" t="s">
        <v>21</v>
      </c>
      <c r="J697" t="s">
        <v>630</v>
      </c>
      <c r="K697" t="s">
        <v>631</v>
      </c>
      <c r="L697">
        <v>23602</v>
      </c>
      <c r="M697" t="s">
        <v>215</v>
      </c>
      <c r="O697" t="s">
        <v>11</v>
      </c>
      <c r="P697">
        <v>5403</v>
      </c>
      <c r="Q697">
        <v>9</v>
      </c>
      <c r="R697">
        <v>35.89</v>
      </c>
      <c r="S697">
        <v>323.01</v>
      </c>
      <c r="T697">
        <v>263.25</v>
      </c>
      <c r="U697">
        <v>18.5</v>
      </c>
      <c r="V697" t="str">
        <f>VLOOKUP(L697,'[2]tabela de preços'!$A:$D,4,0)</f>
        <v>SHERWIN WILLIAMS</v>
      </c>
      <c r="W697" t="str">
        <f>VLOOKUP(L697,'[2]tabela de preços'!$A:$F,6,0)</f>
        <v>VERNIZ AUTOMOTIVO</v>
      </c>
      <c r="X697" t="str">
        <f>VLOOKUP(L697,'[2]tabela de preços'!$A:$G,7,0)</f>
        <v>AUTOMOTIVO</v>
      </c>
    </row>
    <row r="698" spans="1:24" x14ac:dyDescent="0.3">
      <c r="A698" t="s">
        <v>626</v>
      </c>
      <c r="B698" t="s">
        <v>627</v>
      </c>
      <c r="C698" t="s">
        <v>710</v>
      </c>
      <c r="D698" s="1">
        <v>46051</v>
      </c>
      <c r="E698" t="s">
        <v>711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630</v>
      </c>
      <c r="K698" t="s">
        <v>631</v>
      </c>
      <c r="L698">
        <v>21077</v>
      </c>
      <c r="M698" t="s">
        <v>207</v>
      </c>
      <c r="O698" t="s">
        <v>11</v>
      </c>
      <c r="P698">
        <v>5102</v>
      </c>
      <c r="Q698">
        <v>6</v>
      </c>
      <c r="R698">
        <v>44.68</v>
      </c>
      <c r="S698">
        <v>268.08</v>
      </c>
      <c r="T698">
        <v>203.52</v>
      </c>
      <c r="U698">
        <v>24.08</v>
      </c>
      <c r="V698" t="str">
        <f>VLOOKUP(L698,'[2]tabela de preços'!$A:$D,4,0)</f>
        <v>SHERWIN WILLIAMS</v>
      </c>
      <c r="W698" t="str">
        <f>VLOOKUP(L698,'[2]tabela de preços'!$A:$F,6,0)</f>
        <v>MASSA POLIÉSTER</v>
      </c>
      <c r="X698" t="str">
        <f>VLOOKUP(L698,'[2]tabela de preços'!$A:$G,7,0)</f>
        <v>AUTOMOTIVO</v>
      </c>
    </row>
    <row r="699" spans="1:24" x14ac:dyDescent="0.3">
      <c r="A699" t="s">
        <v>626</v>
      </c>
      <c r="B699" t="s">
        <v>627</v>
      </c>
      <c r="C699" t="s">
        <v>710</v>
      </c>
      <c r="D699" s="1">
        <v>46051</v>
      </c>
      <c r="E699" t="s">
        <v>711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24247</v>
      </c>
      <c r="M699" t="s">
        <v>160</v>
      </c>
      <c r="O699" t="s">
        <v>11</v>
      </c>
      <c r="P699">
        <v>5403</v>
      </c>
      <c r="Q699">
        <v>12</v>
      </c>
      <c r="R699">
        <v>21</v>
      </c>
      <c r="S699">
        <v>252</v>
      </c>
      <c r="T699">
        <v>202.44</v>
      </c>
      <c r="U699">
        <v>19.670000000000002</v>
      </c>
      <c r="V699" t="str">
        <f>VLOOKUP(L699,'[2]tabela de preços'!$A:$D,4,0)</f>
        <v>SHERWIN WILLIAMS</v>
      </c>
      <c r="W699" t="str">
        <f>VLOOKUP(L699,'[2]tabela de preços'!$A:$F,6,0)</f>
        <v>PRIMER AUTOMOTIVO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710</v>
      </c>
      <c r="D700" s="1">
        <v>46051</v>
      </c>
      <c r="E700" t="s">
        <v>711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9995</v>
      </c>
      <c r="M700" t="s">
        <v>704</v>
      </c>
      <c r="O700" t="s">
        <v>11</v>
      </c>
      <c r="P700">
        <v>5102</v>
      </c>
      <c r="Q700">
        <v>1</v>
      </c>
      <c r="R700">
        <v>186.08</v>
      </c>
      <c r="S700">
        <v>186.08</v>
      </c>
      <c r="T700">
        <v>141.24</v>
      </c>
      <c r="U700">
        <v>24.1</v>
      </c>
      <c r="V700" t="str">
        <f>VLOOKUP(L700,'[2]tabela de preços'!$A:$D,4,0)</f>
        <v>SIKKENS</v>
      </c>
      <c r="W700" t="str">
        <f>VLOOKUP(L700,'[2]tabela de preços'!$A:$F,6,0)</f>
        <v>DILUENTE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2373</v>
      </c>
      <c r="D701" s="1">
        <v>46052</v>
      </c>
      <c r="E701" t="s">
        <v>2374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20333</v>
      </c>
      <c r="M701" t="s">
        <v>2375</v>
      </c>
      <c r="O701" t="s">
        <v>11</v>
      </c>
      <c r="P701">
        <v>5403</v>
      </c>
      <c r="Q701">
        <v>2</v>
      </c>
      <c r="R701">
        <v>62.82</v>
      </c>
      <c r="S701">
        <v>125.64</v>
      </c>
      <c r="T701">
        <v>89.58</v>
      </c>
      <c r="U701">
        <v>28.7</v>
      </c>
      <c r="V701" t="str">
        <f>VLOOKUP(L701,'[2]tabela de preços'!$A:$D,4,0)</f>
        <v>SHERWIN WILLIAMS</v>
      </c>
      <c r="W701" t="str">
        <f>VLOOKUP(L701,'[2]tabela de preços'!$A:$F,6,0)</f>
        <v>TINTAS POLIÉSTER</v>
      </c>
      <c r="X701" t="str">
        <f>VLOOKUP(L701,'[2]tabela de preços'!$A:$G,7,0)</f>
        <v>AUTOMOTIVO</v>
      </c>
    </row>
    <row r="702" spans="1:24" x14ac:dyDescent="0.3">
      <c r="A702" t="s">
        <v>712</v>
      </c>
      <c r="C702" t="s">
        <v>713</v>
      </c>
      <c r="D702" s="1">
        <v>46027</v>
      </c>
      <c r="E702" t="s">
        <v>714</v>
      </c>
      <c r="F702">
        <v>9</v>
      </c>
      <c r="G702">
        <v>174</v>
      </c>
      <c r="H702" t="str">
        <f>VLOOKUP(G702,[1]OPERADORES!$A:$B,2,0)</f>
        <v>MIRIÃ LOBATO RODRIGUES</v>
      </c>
      <c r="I702" t="s">
        <v>715</v>
      </c>
      <c r="J702" t="s">
        <v>716</v>
      </c>
      <c r="K702" t="s">
        <v>717</v>
      </c>
      <c r="L702">
        <v>10067</v>
      </c>
      <c r="M702" t="s">
        <v>177</v>
      </c>
      <c r="O702" t="s">
        <v>11</v>
      </c>
      <c r="P702">
        <v>6102</v>
      </c>
      <c r="Q702">
        <v>5</v>
      </c>
      <c r="R702">
        <v>89.9</v>
      </c>
      <c r="S702">
        <v>449.5</v>
      </c>
      <c r="T702">
        <v>367.9</v>
      </c>
      <c r="U702">
        <v>18.149999999999999</v>
      </c>
      <c r="V702" t="str">
        <f>VLOOKUP(L702,'[2]tabela de preços'!$A:$D,4,0)</f>
        <v>3M</v>
      </c>
      <c r="W702" t="str">
        <f>VLOOKUP(L702,'[2]tabela de preços'!$A:$F,6,0)</f>
        <v>BOINAS PARA POLIMENTO</v>
      </c>
      <c r="X702" t="str">
        <f>VLOOKUP(L702,'[2]tabela de preços'!$A:$G,7,0)</f>
        <v>AUTOMOTIVO</v>
      </c>
    </row>
    <row r="703" spans="1:24" x14ac:dyDescent="0.3">
      <c r="A703" t="s">
        <v>712</v>
      </c>
      <c r="C703" t="s">
        <v>713</v>
      </c>
      <c r="D703" s="1">
        <v>46027</v>
      </c>
      <c r="E703" t="s">
        <v>714</v>
      </c>
      <c r="F703">
        <v>9</v>
      </c>
      <c r="G703">
        <v>174</v>
      </c>
      <c r="H703" t="str">
        <f>VLOOKUP(G703,[1]OPERADORES!$A:$B,2,0)</f>
        <v>MIRIÃ LOBATO RODRIGUES</v>
      </c>
      <c r="I703" t="s">
        <v>715</v>
      </c>
      <c r="J703" t="s">
        <v>716</v>
      </c>
      <c r="K703" t="s">
        <v>717</v>
      </c>
      <c r="L703">
        <v>20433</v>
      </c>
      <c r="M703" t="s">
        <v>460</v>
      </c>
      <c r="O703" t="s">
        <v>11</v>
      </c>
      <c r="P703">
        <v>6102</v>
      </c>
      <c r="Q703">
        <v>12</v>
      </c>
      <c r="R703">
        <v>31.66</v>
      </c>
      <c r="S703">
        <v>379.92</v>
      </c>
      <c r="T703">
        <v>288.36</v>
      </c>
      <c r="U703">
        <v>24.1</v>
      </c>
      <c r="V703" t="str">
        <f>VLOOKUP(L703,'[2]tabela de preços'!$A:$D,4,0)</f>
        <v>SHERWIN WILLIAMS</v>
      </c>
      <c r="W703" t="str">
        <f>VLOOKUP(L703,'[2]tabela de preços'!$A:$F,6,0)</f>
        <v>VERNIZ AUTOMOTIVO</v>
      </c>
      <c r="X703" t="str">
        <f>VLOOKUP(L703,'[2]tabela de preços'!$A:$G,7,0)</f>
        <v>AUTOMOTIVO</v>
      </c>
    </row>
    <row r="704" spans="1:24" x14ac:dyDescent="0.3">
      <c r="A704" t="s">
        <v>712</v>
      </c>
      <c r="C704" t="s">
        <v>713</v>
      </c>
      <c r="D704" s="1">
        <v>46027</v>
      </c>
      <c r="E704" t="s">
        <v>714</v>
      </c>
      <c r="F704">
        <v>9</v>
      </c>
      <c r="G704">
        <v>174</v>
      </c>
      <c r="H704" t="str">
        <f>VLOOKUP(G704,[1]OPERADORES!$A:$B,2,0)</f>
        <v>MIRIÃ LOBATO RODRIGUES</v>
      </c>
      <c r="I704" t="s">
        <v>715</v>
      </c>
      <c r="J704" t="s">
        <v>716</v>
      </c>
      <c r="K704" t="s">
        <v>717</v>
      </c>
      <c r="L704">
        <v>20817</v>
      </c>
      <c r="M704" t="s">
        <v>153</v>
      </c>
      <c r="O704" t="s">
        <v>11</v>
      </c>
      <c r="P704">
        <v>6102</v>
      </c>
      <c r="Q704">
        <v>24</v>
      </c>
      <c r="R704">
        <v>22.89</v>
      </c>
      <c r="S704">
        <v>549.36</v>
      </c>
      <c r="T704">
        <v>446.88</v>
      </c>
      <c r="U704">
        <v>18.649999999999999</v>
      </c>
      <c r="V704" t="str">
        <f>VLOOKUP(L704,'[2]tabela de preços'!$A:$D,4,0)</f>
        <v>AUTO AMERICA</v>
      </c>
      <c r="W704" t="str">
        <f>VLOOKUP(L704,'[2]tabela de preços'!$A:$F,6,0)</f>
        <v>MASSA DE POLIR</v>
      </c>
      <c r="X704" t="str">
        <f>VLOOKUP(L704,'[2]tabela de preços'!$A:$G,7,0)</f>
        <v>AUTOMOTIVO</v>
      </c>
    </row>
    <row r="705" spans="1:24" x14ac:dyDescent="0.3">
      <c r="A705" t="s">
        <v>712</v>
      </c>
      <c r="C705" t="s">
        <v>713</v>
      </c>
      <c r="D705" s="1">
        <v>46027</v>
      </c>
      <c r="E705" t="s">
        <v>714</v>
      </c>
      <c r="F705">
        <v>9</v>
      </c>
      <c r="G705">
        <v>174</v>
      </c>
      <c r="H705" t="str">
        <f>VLOOKUP(G705,[1]OPERADORES!$A:$B,2,0)</f>
        <v>MIRIÃ LOBATO RODRIGUES</v>
      </c>
      <c r="I705" t="s">
        <v>715</v>
      </c>
      <c r="J705" t="s">
        <v>716</v>
      </c>
      <c r="K705" t="s">
        <v>717</v>
      </c>
      <c r="L705">
        <v>20399</v>
      </c>
      <c r="M705" t="s">
        <v>465</v>
      </c>
      <c r="O705" t="s">
        <v>11</v>
      </c>
      <c r="P705">
        <v>6403</v>
      </c>
      <c r="Q705">
        <v>12</v>
      </c>
      <c r="R705">
        <v>34.700000000000003</v>
      </c>
      <c r="S705">
        <v>416.4</v>
      </c>
      <c r="T705">
        <v>316.2</v>
      </c>
      <c r="U705">
        <v>24.06</v>
      </c>
      <c r="V705" t="str">
        <f>VLOOKUP(L705,'[2]tabela de preços'!$A:$D,4,0)</f>
        <v>SHERWIN WILLIAMS</v>
      </c>
      <c r="W705" t="str">
        <f>VLOOKUP(L705,'[2]tabela de preços'!$A:$F,6,0)</f>
        <v>VERNIZ AUTOMOTIVO</v>
      </c>
      <c r="X705" t="str">
        <f>VLOOKUP(L705,'[2]tabela de preços'!$A:$G,7,0)</f>
        <v>AUTOMOTIVO</v>
      </c>
    </row>
    <row r="706" spans="1:24" x14ac:dyDescent="0.3">
      <c r="A706" t="s">
        <v>712</v>
      </c>
      <c r="C706" t="s">
        <v>718</v>
      </c>
      <c r="D706" s="1">
        <v>46041</v>
      </c>
      <c r="E706" t="s">
        <v>719</v>
      </c>
      <c r="F706">
        <v>9</v>
      </c>
      <c r="G706">
        <v>174</v>
      </c>
      <c r="H706" t="str">
        <f>VLOOKUP(G706,[1]OPERADORES!$A:$B,2,0)</f>
        <v>MIRIÃ LOBATO RODRIGUES</v>
      </c>
      <c r="I706" t="s">
        <v>715</v>
      </c>
      <c r="J706" t="s">
        <v>716</v>
      </c>
      <c r="K706" t="s">
        <v>717</v>
      </c>
      <c r="L706">
        <v>20433</v>
      </c>
      <c r="M706" t="s">
        <v>460</v>
      </c>
      <c r="O706" t="s">
        <v>11</v>
      </c>
      <c r="P706">
        <v>6102</v>
      </c>
      <c r="Q706">
        <v>12</v>
      </c>
      <c r="R706">
        <v>32.19</v>
      </c>
      <c r="S706">
        <v>386.28</v>
      </c>
      <c r="T706">
        <v>293.16000000000003</v>
      </c>
      <c r="U706">
        <v>24.11</v>
      </c>
      <c r="V706" t="str">
        <f>VLOOKUP(L706,'[2]tabela de preços'!$A:$D,4,0)</f>
        <v>SHERWIN WILLIAMS</v>
      </c>
      <c r="W706" t="str">
        <f>VLOOKUP(L706,'[2]tabela de preços'!$A:$F,6,0)</f>
        <v>VERNIZ AUTOMOTIVO</v>
      </c>
      <c r="X706" t="str">
        <f>VLOOKUP(L706,'[2]tabela de preços'!$A:$G,7,0)</f>
        <v>AUTOMOTIVO</v>
      </c>
    </row>
    <row r="707" spans="1:24" x14ac:dyDescent="0.3">
      <c r="A707" t="s">
        <v>712</v>
      </c>
      <c r="C707" t="s">
        <v>718</v>
      </c>
      <c r="D707" s="1">
        <v>46041</v>
      </c>
      <c r="E707" t="s">
        <v>719</v>
      </c>
      <c r="F707">
        <v>9</v>
      </c>
      <c r="G707">
        <v>174</v>
      </c>
      <c r="H707" t="str">
        <f>VLOOKUP(G707,[1]OPERADORES!$A:$B,2,0)</f>
        <v>MIRIÃ LOBATO RODRIGUES</v>
      </c>
      <c r="I707" t="s">
        <v>715</v>
      </c>
      <c r="J707" t="s">
        <v>716</v>
      </c>
      <c r="K707" t="s">
        <v>717</v>
      </c>
      <c r="L707">
        <v>22684</v>
      </c>
      <c r="M707" t="s">
        <v>73</v>
      </c>
      <c r="O707" t="s">
        <v>11</v>
      </c>
      <c r="P707">
        <v>6102</v>
      </c>
      <c r="Q707">
        <v>480</v>
      </c>
      <c r="R707">
        <v>3.65</v>
      </c>
      <c r="S707" s="2">
        <v>1752</v>
      </c>
      <c r="T707" s="2">
        <v>1478.4</v>
      </c>
      <c r="U707">
        <v>15.62</v>
      </c>
      <c r="V707" t="str">
        <f>VLOOKUP(L707,'[2]tabela de preços'!$A:$D,4,0)</f>
        <v>3M</v>
      </c>
      <c r="W707" t="str">
        <f>VLOOKUP(L707,'[2]tabela de preços'!$A:$F,6,0)</f>
        <v>FITA AUTOMOTIVA</v>
      </c>
      <c r="X707" t="str">
        <f>VLOOKUP(L707,'[2]tabela de preços'!$A:$G,7,0)</f>
        <v>AUTOMOTIVO</v>
      </c>
    </row>
    <row r="708" spans="1:24" x14ac:dyDescent="0.3">
      <c r="A708" t="s">
        <v>712</v>
      </c>
      <c r="C708" t="s">
        <v>718</v>
      </c>
      <c r="D708" s="1">
        <v>46041</v>
      </c>
      <c r="E708" t="s">
        <v>719</v>
      </c>
      <c r="F708">
        <v>9</v>
      </c>
      <c r="G708">
        <v>174</v>
      </c>
      <c r="H708" t="str">
        <f>VLOOKUP(G708,[1]OPERADORES!$A:$B,2,0)</f>
        <v>MIRIÃ LOBATO RODRIGUES</v>
      </c>
      <c r="I708" t="s">
        <v>715</v>
      </c>
      <c r="J708" t="s">
        <v>716</v>
      </c>
      <c r="K708" t="s">
        <v>717</v>
      </c>
      <c r="L708">
        <v>21077</v>
      </c>
      <c r="M708" t="s">
        <v>207</v>
      </c>
      <c r="O708" t="s">
        <v>11</v>
      </c>
      <c r="P708">
        <v>6102</v>
      </c>
      <c r="Q708">
        <v>18</v>
      </c>
      <c r="R708">
        <v>44.68</v>
      </c>
      <c r="S708">
        <v>804.24</v>
      </c>
      <c r="T708">
        <v>610.55999999999995</v>
      </c>
      <c r="U708">
        <v>24.08</v>
      </c>
      <c r="V708" t="str">
        <f>VLOOKUP(L708,'[2]tabela de preços'!$A:$D,4,0)</f>
        <v>SHERWIN WILLIAMS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712</v>
      </c>
      <c r="C709" t="s">
        <v>718</v>
      </c>
      <c r="D709" s="1">
        <v>46041</v>
      </c>
      <c r="E709" t="s">
        <v>719</v>
      </c>
      <c r="F709">
        <v>9</v>
      </c>
      <c r="G709">
        <v>174</v>
      </c>
      <c r="H709" t="str">
        <f>VLOOKUP(G709,[1]OPERADORES!$A:$B,2,0)</f>
        <v>MIRIÃ LOBATO RODRIGUES</v>
      </c>
      <c r="I709" t="s">
        <v>715</v>
      </c>
      <c r="J709" t="s">
        <v>716</v>
      </c>
      <c r="K709" t="s">
        <v>717</v>
      </c>
      <c r="L709">
        <v>21078</v>
      </c>
      <c r="M709" t="s">
        <v>141</v>
      </c>
      <c r="O709" t="s">
        <v>11</v>
      </c>
      <c r="P709">
        <v>6102</v>
      </c>
      <c r="Q709">
        <v>12</v>
      </c>
      <c r="R709">
        <v>22.89</v>
      </c>
      <c r="S709">
        <v>274.68</v>
      </c>
      <c r="T709">
        <v>223.92</v>
      </c>
      <c r="U709">
        <v>18.48</v>
      </c>
      <c r="V709" t="str">
        <f>VLOOKUP(L709,'[2]tabela de preços'!$A:$D,4,0)</f>
        <v>SHERWIN WILLIAMS</v>
      </c>
      <c r="W709" t="str">
        <f>VLOOKUP(L709,'[2]tabela de preços'!$A:$F,6,0)</f>
        <v>MASSA POLIÉSTER</v>
      </c>
      <c r="X709" t="str">
        <f>VLOOKUP(L709,'[2]tabela de preços'!$A:$G,7,0)</f>
        <v>AUTOMOTIVO</v>
      </c>
    </row>
    <row r="710" spans="1:24" x14ac:dyDescent="0.3">
      <c r="A710" t="s">
        <v>712</v>
      </c>
      <c r="C710" t="s">
        <v>718</v>
      </c>
      <c r="D710" s="1">
        <v>46041</v>
      </c>
      <c r="E710" t="s">
        <v>719</v>
      </c>
      <c r="F710">
        <v>9</v>
      </c>
      <c r="G710">
        <v>174</v>
      </c>
      <c r="H710" t="str">
        <f>VLOOKUP(G710,[1]OPERADORES!$A:$B,2,0)</f>
        <v>MIRIÃ LOBATO RODRIGUES</v>
      </c>
      <c r="I710" t="s">
        <v>715</v>
      </c>
      <c r="J710" t="s">
        <v>716</v>
      </c>
      <c r="K710" t="s">
        <v>717</v>
      </c>
      <c r="L710">
        <v>86984</v>
      </c>
      <c r="M710" t="s">
        <v>720</v>
      </c>
      <c r="O710" t="s">
        <v>11</v>
      </c>
      <c r="P710">
        <v>6102</v>
      </c>
      <c r="Q710">
        <v>5</v>
      </c>
      <c r="R710">
        <v>44.9</v>
      </c>
      <c r="S710">
        <v>224.5</v>
      </c>
      <c r="T710">
        <v>186.05</v>
      </c>
      <c r="U710">
        <v>17.13</v>
      </c>
      <c r="V710" t="str">
        <f>VLOOKUP(L710,'[2]tabela de preços'!$A:$D,4,0)</f>
        <v>ARPREX</v>
      </c>
      <c r="W710" t="str">
        <f>VLOOKUP(L710,'[2]tabela de preços'!$A:$F,6,0)</f>
        <v>PISTOLAS</v>
      </c>
      <c r="X710" t="str">
        <f>VLOOKUP(L710,'[2]tabela de preços'!$A:$G,7,0)</f>
        <v>IMOBILIÁRIO</v>
      </c>
    </row>
    <row r="711" spans="1:24" x14ac:dyDescent="0.3">
      <c r="A711" t="s">
        <v>712</v>
      </c>
      <c r="C711" t="s">
        <v>718</v>
      </c>
      <c r="D711" s="1">
        <v>46041</v>
      </c>
      <c r="E711" t="s">
        <v>719</v>
      </c>
      <c r="F711">
        <v>9</v>
      </c>
      <c r="G711">
        <v>174</v>
      </c>
      <c r="H711" t="str">
        <f>VLOOKUP(G711,[1]OPERADORES!$A:$B,2,0)</f>
        <v>MIRIÃ LOBATO RODRIGUES</v>
      </c>
      <c r="I711" t="s">
        <v>715</v>
      </c>
      <c r="J711" t="s">
        <v>716</v>
      </c>
      <c r="K711" t="s">
        <v>717</v>
      </c>
      <c r="L711">
        <v>20399</v>
      </c>
      <c r="M711" t="s">
        <v>465</v>
      </c>
      <c r="O711" t="s">
        <v>11</v>
      </c>
      <c r="P711">
        <v>6403</v>
      </c>
      <c r="Q711">
        <v>12</v>
      </c>
      <c r="R711">
        <v>35.26</v>
      </c>
      <c r="S711">
        <v>423.12</v>
      </c>
      <c r="T711">
        <v>321.36</v>
      </c>
      <c r="U711">
        <v>24.05</v>
      </c>
      <c r="V711" t="str">
        <f>VLOOKUP(L711,'[2]tabela de preços'!$A:$D,4,0)</f>
        <v>SHERWIN WILLIAMS</v>
      </c>
      <c r="W711" t="str">
        <f>VLOOKUP(L711,'[2]tabela de preços'!$A:$F,6,0)</f>
        <v>VERNIZ AUTOMOTIVO</v>
      </c>
      <c r="X711" t="str">
        <f>VLOOKUP(L711,'[2]tabela de preços'!$A:$G,7,0)</f>
        <v>AUTOMOTIVO</v>
      </c>
    </row>
    <row r="712" spans="1:24" x14ac:dyDescent="0.3">
      <c r="A712" t="s">
        <v>721</v>
      </c>
      <c r="C712" t="s">
        <v>722</v>
      </c>
      <c r="D712" s="1">
        <v>46030</v>
      </c>
      <c r="E712" t="s">
        <v>723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621</v>
      </c>
      <c r="K712" t="s">
        <v>724</v>
      </c>
      <c r="L712">
        <v>84258</v>
      </c>
      <c r="M712" t="s">
        <v>725</v>
      </c>
      <c r="O712" t="s">
        <v>11</v>
      </c>
      <c r="P712">
        <v>5405</v>
      </c>
      <c r="Q712">
        <v>1</v>
      </c>
      <c r="R712">
        <v>48.47</v>
      </c>
      <c r="S712">
        <v>48.47</v>
      </c>
      <c r="T712">
        <v>23.37</v>
      </c>
      <c r="U712">
        <v>51.78</v>
      </c>
      <c r="V712" t="str">
        <f>VLOOKUP(L712,'[2]tabela de preços'!$A:$D,4,0)</f>
        <v>BRASILUX</v>
      </c>
      <c r="W712" t="str">
        <f>VLOOKUP(L712,'[2]tabela de preços'!$A:$F,6,0)</f>
        <v>TINTA PAREDE</v>
      </c>
      <c r="X712" t="str">
        <f>VLOOKUP(L712,'[2]tabela de preços'!$A:$G,7,0)</f>
        <v>IMOBILIÁRIO</v>
      </c>
    </row>
    <row r="713" spans="1:24" x14ac:dyDescent="0.3">
      <c r="A713" t="s">
        <v>721</v>
      </c>
      <c r="C713" t="s">
        <v>722</v>
      </c>
      <c r="D713" s="1">
        <v>46030</v>
      </c>
      <c r="E713" t="s">
        <v>723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621</v>
      </c>
      <c r="K713" t="s">
        <v>724</v>
      </c>
      <c r="L713">
        <v>10297</v>
      </c>
      <c r="M713" t="s">
        <v>41</v>
      </c>
      <c r="O713" t="s">
        <v>11</v>
      </c>
      <c r="P713">
        <v>5102</v>
      </c>
      <c r="Q713">
        <v>1</v>
      </c>
      <c r="R713">
        <v>16.07</v>
      </c>
      <c r="S713">
        <v>16.07</v>
      </c>
      <c r="T713">
        <v>9.17</v>
      </c>
      <c r="U713">
        <v>42.94</v>
      </c>
      <c r="V713" t="str">
        <f>VLOOKUP(L713,'[2]tabela de preços'!$A:$D,4,0)</f>
        <v>ANJO</v>
      </c>
      <c r="W713" t="str">
        <f>VLOOKUP(L713,'[2]tabela de preços'!$A:$F,6,0)</f>
        <v>THINNER DE LIMPEZA</v>
      </c>
      <c r="X713" t="str">
        <f>VLOOKUP(L713,'[2]tabela de preços'!$A:$G,7,0)</f>
        <v>THINNER</v>
      </c>
    </row>
    <row r="714" spans="1:24" x14ac:dyDescent="0.3">
      <c r="A714" t="s">
        <v>721</v>
      </c>
      <c r="C714" t="s">
        <v>722</v>
      </c>
      <c r="D714" s="1">
        <v>46030</v>
      </c>
      <c r="E714" t="s">
        <v>723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621</v>
      </c>
      <c r="K714" t="s">
        <v>724</v>
      </c>
      <c r="L714">
        <v>85648</v>
      </c>
      <c r="M714" t="s">
        <v>726</v>
      </c>
      <c r="O714" t="s">
        <v>11</v>
      </c>
      <c r="P714">
        <v>5405</v>
      </c>
      <c r="Q714">
        <v>1</v>
      </c>
      <c r="R714">
        <v>12.94</v>
      </c>
      <c r="S714">
        <v>12.94</v>
      </c>
      <c r="T714">
        <v>6.92</v>
      </c>
      <c r="U714">
        <v>46.52</v>
      </c>
      <c r="V714" t="str">
        <f>VLOOKUP(L714,'[2]tabela de preços'!$A:$D,4,0)</f>
        <v>UNIPEGA</v>
      </c>
      <c r="W714" t="str">
        <f>VLOOKUP(L714,'[2]tabela de preços'!$A:$F,6,0)</f>
        <v xml:space="preserve">SPRAYS </v>
      </c>
      <c r="X714" t="str">
        <f>VLOOKUP(L714,'[2]tabela de preços'!$A:$G,7,0)</f>
        <v>AUTOMOTIVO</v>
      </c>
    </row>
    <row r="715" spans="1:24" x14ac:dyDescent="0.3">
      <c r="A715" t="s">
        <v>727</v>
      </c>
      <c r="C715" t="s">
        <v>728</v>
      </c>
      <c r="D715" s="1">
        <v>46027</v>
      </c>
      <c r="E715" t="s">
        <v>729</v>
      </c>
      <c r="F715">
        <v>9</v>
      </c>
      <c r="G715">
        <v>231</v>
      </c>
      <c r="H715" t="str">
        <f>VLOOKUP(G715,[1]OPERADORES!$A:$B,2,0)</f>
        <v>EDIJANE</v>
      </c>
      <c r="I715" t="s">
        <v>21</v>
      </c>
      <c r="J715" t="s">
        <v>730</v>
      </c>
      <c r="K715" t="s">
        <v>731</v>
      </c>
      <c r="L715">
        <v>84767</v>
      </c>
      <c r="M715" t="s">
        <v>732</v>
      </c>
      <c r="O715" t="s">
        <v>11</v>
      </c>
      <c r="P715">
        <v>5403</v>
      </c>
      <c r="Q715">
        <v>18</v>
      </c>
      <c r="R715">
        <v>153.99</v>
      </c>
      <c r="S715" s="2">
        <v>2771.82</v>
      </c>
      <c r="T715" s="2">
        <v>2103.84</v>
      </c>
      <c r="U715">
        <v>24.1</v>
      </c>
      <c r="V715" t="str">
        <f>VLOOKUP(L715,'[2]tabela de preços'!$A:$D,4,0)</f>
        <v>BRASILUX</v>
      </c>
      <c r="W715" t="str">
        <f>VLOOKUP(L715,'[2]tabela de preços'!$A:$F,6,0)</f>
        <v>EPOXI</v>
      </c>
      <c r="X715" t="str">
        <f>VLOOKUP(L715,'[2]tabela de preços'!$A:$G,7,0)</f>
        <v>INDUSTRIAL</v>
      </c>
    </row>
    <row r="716" spans="1:24" x14ac:dyDescent="0.3">
      <c r="A716" t="s">
        <v>727</v>
      </c>
      <c r="C716" t="s">
        <v>733</v>
      </c>
      <c r="D716" s="1">
        <v>46028</v>
      </c>
      <c r="E716" t="s">
        <v>734</v>
      </c>
      <c r="F716">
        <v>9</v>
      </c>
      <c r="G716">
        <v>231</v>
      </c>
      <c r="H716" t="str">
        <f>VLOOKUP(G716,[1]OPERADORES!$A:$B,2,0)</f>
        <v>EDIJANE</v>
      </c>
      <c r="I716" t="s">
        <v>21</v>
      </c>
      <c r="J716" t="s">
        <v>730</v>
      </c>
      <c r="K716" t="s">
        <v>731</v>
      </c>
      <c r="L716">
        <v>10298</v>
      </c>
      <c r="M716" t="s">
        <v>85</v>
      </c>
      <c r="O716" t="s">
        <v>11</v>
      </c>
      <c r="P716">
        <v>5102</v>
      </c>
      <c r="Q716">
        <v>16</v>
      </c>
      <c r="R716">
        <v>56.8</v>
      </c>
      <c r="S716">
        <v>908.8</v>
      </c>
      <c r="T716">
        <v>758.08</v>
      </c>
      <c r="U716">
        <v>16.579999999999998</v>
      </c>
      <c r="V716" t="str">
        <f>VLOOKUP(L716,'[2]tabela de preços'!$A:$D,4,0)</f>
        <v>ANJO</v>
      </c>
      <c r="W716" t="str">
        <f>VLOOKUP(L716,'[2]tabela de preços'!$A:$F,6,0)</f>
        <v>THINNER DE LIMPEZA</v>
      </c>
      <c r="X716" t="str">
        <f>VLOOKUP(L716,'[2]tabela de preços'!$A:$G,7,0)</f>
        <v>THINNER</v>
      </c>
    </row>
    <row r="717" spans="1:24" x14ac:dyDescent="0.3">
      <c r="A717" t="s">
        <v>727</v>
      </c>
      <c r="C717" t="s">
        <v>733</v>
      </c>
      <c r="D717" s="1">
        <v>46028</v>
      </c>
      <c r="E717" t="s">
        <v>734</v>
      </c>
      <c r="F717">
        <v>9</v>
      </c>
      <c r="G717">
        <v>231</v>
      </c>
      <c r="H717" t="str">
        <f>VLOOKUP(G717,[1]OPERADORES!$A:$B,2,0)</f>
        <v>EDIJANE</v>
      </c>
      <c r="I717" t="s">
        <v>21</v>
      </c>
      <c r="J717" t="s">
        <v>730</v>
      </c>
      <c r="K717" t="s">
        <v>731</v>
      </c>
      <c r="L717">
        <v>10297</v>
      </c>
      <c r="M717" t="s">
        <v>41</v>
      </c>
      <c r="O717" t="s">
        <v>11</v>
      </c>
      <c r="P717">
        <v>5102</v>
      </c>
      <c r="Q717">
        <v>24</v>
      </c>
      <c r="R717">
        <v>10.95</v>
      </c>
      <c r="S717">
        <v>262.8</v>
      </c>
      <c r="T717">
        <v>220.08</v>
      </c>
      <c r="U717">
        <v>16.260000000000002</v>
      </c>
      <c r="V717" t="str">
        <f>VLOOKUP(L717,'[2]tabela de preços'!$A:$D,4,0)</f>
        <v>ANJO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727</v>
      </c>
      <c r="C718" t="s">
        <v>735</v>
      </c>
      <c r="D718" s="1">
        <v>46036</v>
      </c>
      <c r="E718" t="s">
        <v>736</v>
      </c>
      <c r="F718">
        <v>9</v>
      </c>
      <c r="G718">
        <v>231</v>
      </c>
      <c r="H718" t="str">
        <f>VLOOKUP(G718,[1]OPERADORES!$A:$B,2,0)</f>
        <v>EDIJANE</v>
      </c>
      <c r="I718" t="s">
        <v>21</v>
      </c>
      <c r="J718" t="s">
        <v>730</v>
      </c>
      <c r="K718" t="s">
        <v>731</v>
      </c>
      <c r="L718">
        <v>84113</v>
      </c>
      <c r="M718" t="s">
        <v>737</v>
      </c>
      <c r="O718" t="s">
        <v>11</v>
      </c>
      <c r="P718">
        <v>5403</v>
      </c>
      <c r="Q718">
        <v>4</v>
      </c>
      <c r="R718">
        <v>153.99</v>
      </c>
      <c r="S718">
        <v>615.96</v>
      </c>
      <c r="T718">
        <v>467.52</v>
      </c>
      <c r="U718">
        <v>24.1</v>
      </c>
      <c r="V718" t="str">
        <f>VLOOKUP(L718,'[2]tabela de preços'!$A:$D,4,0)</f>
        <v>BRASILUX</v>
      </c>
      <c r="W718" t="str">
        <f>VLOOKUP(L718,'[2]tabela de preços'!$A:$F,6,0)</f>
        <v>EPOXI</v>
      </c>
      <c r="X718" t="str">
        <f>VLOOKUP(L718,'[2]tabela de preços'!$A:$G,7,0)</f>
        <v>INDUSTRIAL</v>
      </c>
    </row>
    <row r="719" spans="1:24" x14ac:dyDescent="0.3">
      <c r="A719" t="s">
        <v>727</v>
      </c>
      <c r="C719" t="s">
        <v>735</v>
      </c>
      <c r="D719" s="1">
        <v>46036</v>
      </c>
      <c r="E719" t="s">
        <v>736</v>
      </c>
      <c r="F719">
        <v>9</v>
      </c>
      <c r="G719">
        <v>231</v>
      </c>
      <c r="H719" t="str">
        <f>VLOOKUP(G719,[1]OPERADORES!$A:$B,2,0)</f>
        <v>EDIJANE</v>
      </c>
      <c r="I719" t="s">
        <v>21</v>
      </c>
      <c r="J719" t="s">
        <v>730</v>
      </c>
      <c r="K719" t="s">
        <v>731</v>
      </c>
      <c r="L719">
        <v>84045</v>
      </c>
      <c r="M719" t="s">
        <v>527</v>
      </c>
      <c r="O719" t="s">
        <v>11</v>
      </c>
      <c r="P719">
        <v>5102</v>
      </c>
      <c r="Q719">
        <v>12</v>
      </c>
      <c r="R719">
        <v>19.48</v>
      </c>
      <c r="S719">
        <v>233.76</v>
      </c>
      <c r="T719">
        <v>177.48</v>
      </c>
      <c r="U719">
        <v>24.08</v>
      </c>
      <c r="V719" t="str">
        <f>VLOOKUP(L719,'[2]tabela de preços'!$A:$D,4,0)</f>
        <v>BRASILUX</v>
      </c>
      <c r="W719" t="str">
        <f>VLOOKUP(L719,'[2]tabela de preços'!$A:$F,6,0)</f>
        <v>REMOVEDOR PASTOSO</v>
      </c>
      <c r="X719" t="str">
        <f>VLOOKUP(L719,'[2]tabela de preços'!$A:$G,7,0)</f>
        <v>AUTOMOTIVO</v>
      </c>
    </row>
    <row r="720" spans="1:24" x14ac:dyDescent="0.3">
      <c r="A720" t="s">
        <v>727</v>
      </c>
      <c r="C720" t="s">
        <v>735</v>
      </c>
      <c r="D720" s="1">
        <v>46036</v>
      </c>
      <c r="E720" t="s">
        <v>736</v>
      </c>
      <c r="F720">
        <v>9</v>
      </c>
      <c r="G720">
        <v>231</v>
      </c>
      <c r="H720" t="str">
        <f>VLOOKUP(G720,[1]OPERADORES!$A:$B,2,0)</f>
        <v>EDIJANE</v>
      </c>
      <c r="I720" t="s">
        <v>21</v>
      </c>
      <c r="J720" t="s">
        <v>730</v>
      </c>
      <c r="K720" t="s">
        <v>731</v>
      </c>
      <c r="L720">
        <v>84043</v>
      </c>
      <c r="M720" t="s">
        <v>738</v>
      </c>
      <c r="O720" t="s">
        <v>11</v>
      </c>
      <c r="P720">
        <v>5102</v>
      </c>
      <c r="Q720">
        <v>8</v>
      </c>
      <c r="R720">
        <v>70.69</v>
      </c>
      <c r="S720">
        <v>565.52</v>
      </c>
      <c r="T720">
        <v>429.2</v>
      </c>
      <c r="U720">
        <v>24.11</v>
      </c>
      <c r="V720" t="str">
        <f>VLOOKUP(L720,'[2]tabela de preços'!$A:$D,4,0)</f>
        <v>BRASILUX</v>
      </c>
      <c r="W720" t="str">
        <f>VLOOKUP(L720,'[2]tabela de preços'!$A:$F,6,0)</f>
        <v>REMOVEDOR PASTOSO</v>
      </c>
      <c r="X720" t="str">
        <f>VLOOKUP(L720,'[2]tabela de preços'!$A:$G,7,0)</f>
        <v>AUTOMOTIVO</v>
      </c>
    </row>
    <row r="721" spans="1:24" x14ac:dyDescent="0.3">
      <c r="A721" t="s">
        <v>727</v>
      </c>
      <c r="C721" t="s">
        <v>739</v>
      </c>
      <c r="D721" s="1">
        <v>46037</v>
      </c>
      <c r="E721" t="s">
        <v>740</v>
      </c>
      <c r="F721">
        <v>9</v>
      </c>
      <c r="G721">
        <v>231</v>
      </c>
      <c r="H721" t="str">
        <f>VLOOKUP(G721,[1]OPERADORES!$A:$B,2,0)</f>
        <v>EDIJANE</v>
      </c>
      <c r="I721" t="s">
        <v>21</v>
      </c>
      <c r="J721" t="s">
        <v>730</v>
      </c>
      <c r="K721" t="s">
        <v>731</v>
      </c>
      <c r="L721">
        <v>23267</v>
      </c>
      <c r="M721" t="s">
        <v>164</v>
      </c>
      <c r="O721" t="s">
        <v>11</v>
      </c>
      <c r="P721">
        <v>5102</v>
      </c>
      <c r="Q721">
        <v>36</v>
      </c>
      <c r="R721">
        <v>22.89</v>
      </c>
      <c r="S721">
        <v>824.04</v>
      </c>
      <c r="T721">
        <v>703.44</v>
      </c>
      <c r="U721">
        <v>14.64</v>
      </c>
      <c r="V721" t="str">
        <f>VLOOKUP(L721,'[2]tabela de preços'!$A:$D,4,0)</f>
        <v>ANJO</v>
      </c>
      <c r="W721" t="str">
        <f>VLOOKUP(L721,'[2]tabela de preços'!$A:$F,6,0)</f>
        <v>MASSA POLIÉSTER</v>
      </c>
      <c r="X721" t="str">
        <f>VLOOKUP(L721,'[2]tabela de preços'!$A:$G,7,0)</f>
        <v>AUTOMOTIVO</v>
      </c>
    </row>
    <row r="722" spans="1:24" x14ac:dyDescent="0.3">
      <c r="A722" t="s">
        <v>727</v>
      </c>
      <c r="C722" t="s">
        <v>741</v>
      </c>
      <c r="D722" s="1">
        <v>46041</v>
      </c>
      <c r="E722" t="s">
        <v>742</v>
      </c>
      <c r="F722">
        <v>9</v>
      </c>
      <c r="G722">
        <v>231</v>
      </c>
      <c r="H722" t="str">
        <f>VLOOKUP(G722,[1]OPERADORES!$A:$B,2,0)</f>
        <v>EDIJANE</v>
      </c>
      <c r="I722" t="s">
        <v>21</v>
      </c>
      <c r="J722" t="s">
        <v>730</v>
      </c>
      <c r="K722" t="s">
        <v>731</v>
      </c>
      <c r="L722">
        <v>84324</v>
      </c>
      <c r="M722" t="s">
        <v>359</v>
      </c>
      <c r="O722" t="s">
        <v>11</v>
      </c>
      <c r="P722">
        <v>5403</v>
      </c>
      <c r="Q722">
        <v>4</v>
      </c>
      <c r="R722">
        <v>91.84</v>
      </c>
      <c r="S722">
        <v>367.36</v>
      </c>
      <c r="T722">
        <v>278.83999999999997</v>
      </c>
      <c r="U722">
        <v>24.1</v>
      </c>
      <c r="V722" t="str">
        <f>VLOOKUP(L722,'[2]tabela de preços'!$A:$D,4,0)</f>
        <v>BRASILUX</v>
      </c>
      <c r="W722" t="str">
        <f>VLOOKUP(L722,'[2]tabela de preços'!$A:$F,6,0)</f>
        <v>ESMALTES</v>
      </c>
      <c r="X722" t="str">
        <f>VLOOKUP(L722,'[2]tabela de preços'!$A:$G,7,0)</f>
        <v>INDUSTRIAL</v>
      </c>
    </row>
    <row r="723" spans="1:24" x14ac:dyDescent="0.3">
      <c r="A723" t="s">
        <v>727</v>
      </c>
      <c r="C723" t="s">
        <v>741</v>
      </c>
      <c r="D723" s="1">
        <v>46041</v>
      </c>
      <c r="E723" t="s">
        <v>742</v>
      </c>
      <c r="F723">
        <v>9</v>
      </c>
      <c r="G723">
        <v>231</v>
      </c>
      <c r="H723" t="str">
        <f>VLOOKUP(G723,[1]OPERADORES!$A:$B,2,0)</f>
        <v>EDIJANE</v>
      </c>
      <c r="I723" t="s">
        <v>21</v>
      </c>
      <c r="J723" t="s">
        <v>730</v>
      </c>
      <c r="K723" t="s">
        <v>731</v>
      </c>
      <c r="L723">
        <v>84560</v>
      </c>
      <c r="M723" t="s">
        <v>118</v>
      </c>
      <c r="O723" t="s">
        <v>11</v>
      </c>
      <c r="P723">
        <v>5102</v>
      </c>
      <c r="Q723">
        <v>24</v>
      </c>
      <c r="R723">
        <v>47.89</v>
      </c>
      <c r="S723" s="2">
        <v>1149.3599999999999</v>
      </c>
      <c r="T723">
        <v>939.84</v>
      </c>
      <c r="U723">
        <v>18.23</v>
      </c>
      <c r="V723" t="str">
        <f>VLOOKUP(L723,'[2]tabela de preços'!$A:$D,4,0)</f>
        <v>BRASILUX</v>
      </c>
      <c r="W723" t="str">
        <f>VLOOKUP(L723,'[2]tabela de preços'!$A:$F,6,0)</f>
        <v>THINNER DE LIMPEZA</v>
      </c>
      <c r="X723" t="str">
        <f>VLOOKUP(L723,'[2]tabela de preços'!$A:$G,7,0)</f>
        <v>THINNER</v>
      </c>
    </row>
    <row r="724" spans="1:24" x14ac:dyDescent="0.3">
      <c r="A724" t="s">
        <v>727</v>
      </c>
      <c r="C724" t="s">
        <v>743</v>
      </c>
      <c r="D724" s="1">
        <v>46043</v>
      </c>
      <c r="E724" t="s">
        <v>744</v>
      </c>
      <c r="F724">
        <v>9</v>
      </c>
      <c r="G724">
        <v>231</v>
      </c>
      <c r="H724" t="str">
        <f>VLOOKUP(G724,[1]OPERADORES!$A:$B,2,0)</f>
        <v>EDIJANE</v>
      </c>
      <c r="I724" t="s">
        <v>21</v>
      </c>
      <c r="J724" t="s">
        <v>730</v>
      </c>
      <c r="K724" t="s">
        <v>731</v>
      </c>
      <c r="L724">
        <v>84324</v>
      </c>
      <c r="M724" t="s">
        <v>359</v>
      </c>
      <c r="O724" t="s">
        <v>11</v>
      </c>
      <c r="P724">
        <v>5403</v>
      </c>
      <c r="Q724">
        <v>4</v>
      </c>
      <c r="R724">
        <v>91.84</v>
      </c>
      <c r="S724">
        <v>367.36</v>
      </c>
      <c r="T724">
        <v>278.83999999999997</v>
      </c>
      <c r="U724">
        <v>24.1</v>
      </c>
      <c r="V724" t="str">
        <f>VLOOKUP(L724,'[2]tabela de preços'!$A:$D,4,0)</f>
        <v>BRASILUX</v>
      </c>
      <c r="W724" t="str">
        <f>VLOOKUP(L724,'[2]tabela de preços'!$A:$F,6,0)</f>
        <v>ESMALTES</v>
      </c>
      <c r="X724" t="str">
        <f>VLOOKUP(L724,'[2]tabela de preços'!$A:$G,7,0)</f>
        <v>INDUSTRIAL</v>
      </c>
    </row>
    <row r="725" spans="1:24" x14ac:dyDescent="0.3">
      <c r="A725" t="s">
        <v>727</v>
      </c>
      <c r="C725" t="s">
        <v>743</v>
      </c>
      <c r="D725" s="1">
        <v>46043</v>
      </c>
      <c r="E725" t="s">
        <v>744</v>
      </c>
      <c r="F725">
        <v>9</v>
      </c>
      <c r="G725">
        <v>231</v>
      </c>
      <c r="H725" t="str">
        <f>VLOOKUP(G725,[1]OPERADORES!$A:$B,2,0)</f>
        <v>EDIJANE</v>
      </c>
      <c r="I725" t="s">
        <v>21</v>
      </c>
      <c r="J725" t="s">
        <v>730</v>
      </c>
      <c r="K725" t="s">
        <v>731</v>
      </c>
      <c r="L725">
        <v>84560</v>
      </c>
      <c r="M725" t="s">
        <v>118</v>
      </c>
      <c r="O725" t="s">
        <v>11</v>
      </c>
      <c r="P725">
        <v>5102</v>
      </c>
      <c r="Q725">
        <v>24</v>
      </c>
      <c r="R725">
        <v>47.89</v>
      </c>
      <c r="S725" s="2">
        <v>1149.3599999999999</v>
      </c>
      <c r="T725">
        <v>939.84</v>
      </c>
      <c r="U725">
        <v>18.23</v>
      </c>
      <c r="V725" t="str">
        <f>VLOOKUP(L725,'[2]tabela de preços'!$A:$D,4,0)</f>
        <v>BRASILUX</v>
      </c>
      <c r="W725" t="str">
        <f>VLOOKUP(L725,'[2]tabela de preços'!$A:$F,6,0)</f>
        <v>THINNER DE LIMPEZA</v>
      </c>
      <c r="X725" t="str">
        <f>VLOOKUP(L725,'[2]tabela de preços'!$A:$G,7,0)</f>
        <v>THINNER</v>
      </c>
    </row>
    <row r="726" spans="1:24" x14ac:dyDescent="0.3">
      <c r="A726" t="s">
        <v>727</v>
      </c>
      <c r="C726" t="s">
        <v>745</v>
      </c>
      <c r="D726" s="1">
        <v>46044</v>
      </c>
      <c r="E726" t="s">
        <v>746</v>
      </c>
      <c r="F726">
        <v>9</v>
      </c>
      <c r="G726">
        <v>231</v>
      </c>
      <c r="H726" t="str">
        <f>VLOOKUP(G726,[1]OPERADORES!$A:$B,2,0)</f>
        <v>EDIJANE</v>
      </c>
      <c r="I726" t="s">
        <v>21</v>
      </c>
      <c r="J726" t="s">
        <v>730</v>
      </c>
      <c r="K726" t="s">
        <v>731</v>
      </c>
      <c r="L726">
        <v>84113</v>
      </c>
      <c r="M726" t="s">
        <v>737</v>
      </c>
      <c r="O726" t="s">
        <v>11</v>
      </c>
      <c r="P726">
        <v>5403</v>
      </c>
      <c r="Q726">
        <v>6</v>
      </c>
      <c r="R726">
        <v>153.09</v>
      </c>
      <c r="S726">
        <v>918.54</v>
      </c>
      <c r="T726">
        <v>701.28</v>
      </c>
      <c r="U726">
        <v>23.65</v>
      </c>
      <c r="V726" t="str">
        <f>VLOOKUP(L726,'[2]tabela de preços'!$A:$D,4,0)</f>
        <v>BRASILUX</v>
      </c>
      <c r="W726" t="str">
        <f>VLOOKUP(L726,'[2]tabela de preços'!$A:$F,6,0)</f>
        <v>EPOXI</v>
      </c>
      <c r="X726" t="str">
        <f>VLOOKUP(L726,'[2]tabela de preços'!$A:$G,7,0)</f>
        <v>INDUSTRIAL</v>
      </c>
    </row>
    <row r="727" spans="1:24" x14ac:dyDescent="0.3">
      <c r="A727" t="s">
        <v>747</v>
      </c>
      <c r="C727" t="s">
        <v>748</v>
      </c>
      <c r="D727" s="1">
        <v>46041</v>
      </c>
      <c r="E727" t="s">
        <v>749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750</v>
      </c>
      <c r="K727" t="s">
        <v>751</v>
      </c>
      <c r="L727">
        <v>84338</v>
      </c>
      <c r="M727" t="s">
        <v>752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208</v>
      </c>
      <c r="U727">
        <v>13.3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747</v>
      </c>
      <c r="C728" t="s">
        <v>748</v>
      </c>
      <c r="D728" s="1">
        <v>46041</v>
      </c>
      <c r="E728" t="s">
        <v>749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750</v>
      </c>
      <c r="K728" t="s">
        <v>751</v>
      </c>
      <c r="L728">
        <v>86842</v>
      </c>
      <c r="M728" t="s">
        <v>753</v>
      </c>
      <c r="O728" t="s">
        <v>11</v>
      </c>
      <c r="P728">
        <v>5102</v>
      </c>
      <c r="Q728">
        <v>5</v>
      </c>
      <c r="R728">
        <v>149.9</v>
      </c>
      <c r="S728">
        <v>749.5</v>
      </c>
      <c r="T728">
        <v>628.4</v>
      </c>
      <c r="U728">
        <v>16.16</v>
      </c>
      <c r="V728" t="str">
        <f>VLOOKUP(L728,'[2]tabela de preços'!$A:$D,4,0)</f>
        <v>MACTRA</v>
      </c>
      <c r="W728" t="str">
        <f>VLOOKUP(L728,'[2]tabela de preços'!$A:$F,6,0)</f>
        <v>IMPERMEABILIZANTES</v>
      </c>
      <c r="X728" t="str">
        <f>VLOOKUP(L728,'[2]tabela de preços'!$A:$G,7,0)</f>
        <v>IMOBILIÁRIO</v>
      </c>
    </row>
    <row r="729" spans="1:24" x14ac:dyDescent="0.3">
      <c r="A729" t="s">
        <v>747</v>
      </c>
      <c r="C729" t="s">
        <v>748</v>
      </c>
      <c r="D729" s="1">
        <v>46041</v>
      </c>
      <c r="E729" t="s">
        <v>749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750</v>
      </c>
      <c r="K729" t="s">
        <v>751</v>
      </c>
      <c r="L729">
        <v>84046</v>
      </c>
      <c r="M729" t="s">
        <v>754</v>
      </c>
      <c r="O729" t="s">
        <v>11</v>
      </c>
      <c r="P729">
        <v>5102</v>
      </c>
      <c r="Q729">
        <v>1</v>
      </c>
      <c r="R729">
        <v>11.84</v>
      </c>
      <c r="S729">
        <v>11.84</v>
      </c>
      <c r="T729">
        <v>8.99</v>
      </c>
      <c r="U729">
        <v>24.07</v>
      </c>
      <c r="V729" t="str">
        <f>VLOOKUP(L729,'[2]tabela de preços'!$A:$D,4,0)</f>
        <v>BRASILUX</v>
      </c>
      <c r="W729" t="str">
        <f>VLOOKUP(L729,'[2]tabela de preços'!$A:$F,6,0)</f>
        <v>MASSA DE POLIR</v>
      </c>
      <c r="X729" t="str">
        <f>VLOOKUP(L729,'[2]tabela de preços'!$A:$G,7,0)</f>
        <v>AUTOMOTIVO</v>
      </c>
    </row>
    <row r="730" spans="1:24" x14ac:dyDescent="0.3">
      <c r="A730" t="s">
        <v>747</v>
      </c>
      <c r="C730" t="s">
        <v>748</v>
      </c>
      <c r="D730" s="1">
        <v>46041</v>
      </c>
      <c r="E730" t="s">
        <v>749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750</v>
      </c>
      <c r="K730" t="s">
        <v>751</v>
      </c>
      <c r="L730">
        <v>85415</v>
      </c>
      <c r="M730" t="s">
        <v>755</v>
      </c>
      <c r="O730" t="s">
        <v>11</v>
      </c>
      <c r="P730">
        <v>5102</v>
      </c>
      <c r="Q730">
        <v>6</v>
      </c>
      <c r="R730">
        <v>8.9</v>
      </c>
      <c r="S730">
        <v>53.4</v>
      </c>
      <c r="T730">
        <v>43.92</v>
      </c>
      <c r="U730">
        <v>17.75</v>
      </c>
      <c r="V730" t="str">
        <f>VLOOKUP(L730,'[2]tabela de preços'!$A:$D,4,0)</f>
        <v>IBERÊ</v>
      </c>
      <c r="W730" t="str">
        <f>VLOOKUP(L730,'[2]tabela de preços'!$A:$F,6,0)</f>
        <v xml:space="preserve">COLA  PLÁSTICA </v>
      </c>
      <c r="X730" t="str">
        <f>VLOOKUP(L730,'[2]tabela de preços'!$A:$G,7,0)</f>
        <v>AUTOMOTIVO</v>
      </c>
    </row>
    <row r="731" spans="1:24" x14ac:dyDescent="0.3">
      <c r="A731" t="s">
        <v>747</v>
      </c>
      <c r="C731" t="s">
        <v>748</v>
      </c>
      <c r="D731" s="1">
        <v>46041</v>
      </c>
      <c r="E731" t="s">
        <v>749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750</v>
      </c>
      <c r="K731" t="s">
        <v>751</v>
      </c>
      <c r="L731">
        <v>85416</v>
      </c>
      <c r="M731" t="s">
        <v>756</v>
      </c>
      <c r="O731" t="s">
        <v>11</v>
      </c>
      <c r="P731">
        <v>5102</v>
      </c>
      <c r="Q731">
        <v>6</v>
      </c>
      <c r="R731">
        <v>8.9</v>
      </c>
      <c r="S731">
        <v>53.4</v>
      </c>
      <c r="T731">
        <v>43.92</v>
      </c>
      <c r="U731">
        <v>17.75</v>
      </c>
      <c r="V731" t="str">
        <f>VLOOKUP(L731,'[2]tabela de preços'!$A:$D,4,0)</f>
        <v>IBERÊ</v>
      </c>
      <c r="W731" t="str">
        <f>VLOOKUP(L731,'[2]tabela de preços'!$A:$F,6,0)</f>
        <v xml:space="preserve">COLA  PLÁSTICA </v>
      </c>
      <c r="X731" t="str">
        <f>VLOOKUP(L731,'[2]tabela de preços'!$A:$G,7,0)</f>
        <v>AUTOMOTIVO</v>
      </c>
    </row>
    <row r="732" spans="1:24" x14ac:dyDescent="0.3">
      <c r="A732" t="s">
        <v>747</v>
      </c>
      <c r="C732" t="s">
        <v>757</v>
      </c>
      <c r="D732" s="1">
        <v>46042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750</v>
      </c>
      <c r="K732" t="s">
        <v>751</v>
      </c>
      <c r="L732">
        <v>86842</v>
      </c>
      <c r="M732" t="s">
        <v>753</v>
      </c>
      <c r="N732" t="s">
        <v>758</v>
      </c>
      <c r="O732" t="s">
        <v>11</v>
      </c>
      <c r="P732">
        <v>1202</v>
      </c>
      <c r="Q732">
        <v>-5</v>
      </c>
      <c r="R732">
        <v>149.9</v>
      </c>
      <c r="S732">
        <v>-749.5</v>
      </c>
      <c r="T732">
        <v>-628.4</v>
      </c>
      <c r="U732">
        <v>16.16</v>
      </c>
      <c r="V732" t="str">
        <f>VLOOKUP(L732,'[2]tabela de preços'!$A:$D,4,0)</f>
        <v>MACTRA</v>
      </c>
      <c r="W732" t="str">
        <f>VLOOKUP(L732,'[2]tabela de preços'!$A:$F,6,0)</f>
        <v>IMPERMEABILIZANTES</v>
      </c>
      <c r="X732" t="str">
        <f>VLOOKUP(L732,'[2]tabela de preços'!$A:$G,7,0)</f>
        <v>IMOBILIÁRIO</v>
      </c>
    </row>
    <row r="733" spans="1:24" x14ac:dyDescent="0.3">
      <c r="A733" t="s">
        <v>759</v>
      </c>
      <c r="C733" t="s">
        <v>760</v>
      </c>
      <c r="D733" s="1">
        <v>46044</v>
      </c>
      <c r="E733" t="s">
        <v>761</v>
      </c>
      <c r="F733">
        <v>9</v>
      </c>
      <c r="G733">
        <v>231</v>
      </c>
      <c r="H733" t="str">
        <f>VLOOKUP(G733,[1]OPERADORES!$A:$B,2,0)</f>
        <v>EDIJANE</v>
      </c>
      <c r="I733" t="s">
        <v>21</v>
      </c>
      <c r="J733" t="s">
        <v>762</v>
      </c>
      <c r="K733" t="s">
        <v>763</v>
      </c>
      <c r="L733">
        <v>85693</v>
      </c>
      <c r="M733" t="s">
        <v>526</v>
      </c>
      <c r="O733" t="s">
        <v>11</v>
      </c>
      <c r="P733">
        <v>5102</v>
      </c>
      <c r="Q733">
        <v>12</v>
      </c>
      <c r="R733">
        <v>7.89</v>
      </c>
      <c r="S733">
        <v>94.68</v>
      </c>
      <c r="T733">
        <v>78.12</v>
      </c>
      <c r="U733">
        <v>17.489999999999998</v>
      </c>
      <c r="V733" t="str">
        <f>VLOOKUP(L733,'[2]tabela de preços'!$A:$D,4,0)</f>
        <v>UNIPEGA</v>
      </c>
      <c r="W733" t="str">
        <f>VLOOKUP(L733,'[2]tabela de preços'!$A:$F,6,0)</f>
        <v>PU 40</v>
      </c>
      <c r="X733" t="str">
        <f>VLOOKUP(L733,'[2]tabela de preços'!$A:$G,7,0)</f>
        <v>IMOBILIÁRIO</v>
      </c>
    </row>
    <row r="734" spans="1:24" x14ac:dyDescent="0.3">
      <c r="A734" t="s">
        <v>759</v>
      </c>
      <c r="C734" t="s">
        <v>760</v>
      </c>
      <c r="D734" s="1">
        <v>46044</v>
      </c>
      <c r="E734" t="s">
        <v>761</v>
      </c>
      <c r="F734">
        <v>9</v>
      </c>
      <c r="G734">
        <v>231</v>
      </c>
      <c r="H734" t="str">
        <f>VLOOKUP(G734,[1]OPERADORES!$A:$B,2,0)</f>
        <v>EDIJANE</v>
      </c>
      <c r="I734" t="s">
        <v>21</v>
      </c>
      <c r="J734" t="s">
        <v>762</v>
      </c>
      <c r="K734" t="s">
        <v>763</v>
      </c>
      <c r="L734">
        <v>10238</v>
      </c>
      <c r="M734" t="s">
        <v>79</v>
      </c>
      <c r="O734" t="s">
        <v>11</v>
      </c>
      <c r="P734">
        <v>5102</v>
      </c>
      <c r="Q734">
        <v>100</v>
      </c>
      <c r="R734">
        <v>2.79</v>
      </c>
      <c r="S734">
        <v>279</v>
      </c>
      <c r="T734">
        <v>224</v>
      </c>
      <c r="U734">
        <v>19.71</v>
      </c>
      <c r="V734" t="str">
        <f>VLOOKUP(L734,'[2]tabela de preços'!$A:$D,4,0)</f>
        <v>NORTON</v>
      </c>
      <c r="W734" t="str">
        <f>VLOOKUP(L734,'[2]tabela de preços'!$A:$F,6,0)</f>
        <v xml:space="preserve">DISCOS / LIXAS / ABRASIVOS </v>
      </c>
      <c r="X734" t="str">
        <f>VLOOKUP(L734,'[2]tabela de preços'!$A:$G,7,0)</f>
        <v>AUTOMOTIVO</v>
      </c>
    </row>
    <row r="735" spans="1:24" x14ac:dyDescent="0.3">
      <c r="A735" t="s">
        <v>759</v>
      </c>
      <c r="C735" t="s">
        <v>760</v>
      </c>
      <c r="D735" s="1">
        <v>46044</v>
      </c>
      <c r="E735" t="s">
        <v>761</v>
      </c>
      <c r="F735">
        <v>9</v>
      </c>
      <c r="G735">
        <v>231</v>
      </c>
      <c r="H735" t="str">
        <f>VLOOKUP(G735,[1]OPERADORES!$A:$B,2,0)</f>
        <v>EDIJANE</v>
      </c>
      <c r="I735" t="s">
        <v>21</v>
      </c>
      <c r="J735" t="s">
        <v>762</v>
      </c>
      <c r="K735" t="s">
        <v>763</v>
      </c>
      <c r="L735">
        <v>86984</v>
      </c>
      <c r="M735" t="s">
        <v>720</v>
      </c>
      <c r="O735" t="s">
        <v>11</v>
      </c>
      <c r="P735">
        <v>5102</v>
      </c>
      <c r="Q735">
        <v>4</v>
      </c>
      <c r="R735">
        <v>44.9</v>
      </c>
      <c r="S735">
        <v>179.6</v>
      </c>
      <c r="T735">
        <v>148.84</v>
      </c>
      <c r="U735">
        <v>17.13</v>
      </c>
      <c r="V735" t="str">
        <f>VLOOKUP(L735,'[2]tabela de preços'!$A:$D,4,0)</f>
        <v>ARPREX</v>
      </c>
      <c r="W735" t="str">
        <f>VLOOKUP(L735,'[2]tabela de preços'!$A:$F,6,0)</f>
        <v>PISTOLAS</v>
      </c>
      <c r="X735" t="str">
        <f>VLOOKUP(L735,'[2]tabela de preços'!$A:$G,7,0)</f>
        <v>IMOBILIÁRIO</v>
      </c>
    </row>
    <row r="736" spans="1:24" x14ac:dyDescent="0.3">
      <c r="A736" t="s">
        <v>759</v>
      </c>
      <c r="C736" t="s">
        <v>760</v>
      </c>
      <c r="D736" s="1">
        <v>46044</v>
      </c>
      <c r="E736" t="s">
        <v>761</v>
      </c>
      <c r="F736">
        <v>9</v>
      </c>
      <c r="G736">
        <v>231</v>
      </c>
      <c r="H736" t="str">
        <f>VLOOKUP(G736,[1]OPERADORES!$A:$B,2,0)</f>
        <v>EDIJANE</v>
      </c>
      <c r="I736" t="s">
        <v>21</v>
      </c>
      <c r="J736" t="s">
        <v>762</v>
      </c>
      <c r="K736" t="s">
        <v>763</v>
      </c>
      <c r="L736">
        <v>10297</v>
      </c>
      <c r="M736" t="s">
        <v>41</v>
      </c>
      <c r="O736" t="s">
        <v>11</v>
      </c>
      <c r="P736">
        <v>5102</v>
      </c>
      <c r="Q736">
        <v>12</v>
      </c>
      <c r="R736">
        <v>10.89</v>
      </c>
      <c r="S736">
        <v>130.68</v>
      </c>
      <c r="T736">
        <v>110.04</v>
      </c>
      <c r="U736">
        <v>15.79</v>
      </c>
      <c r="V736" t="str">
        <f>VLOOKUP(L736,'[2]tabela de preços'!$A:$D,4,0)</f>
        <v>ANJO</v>
      </c>
      <c r="W736" t="str">
        <f>VLOOKUP(L736,'[2]tabela de preços'!$A:$F,6,0)</f>
        <v>THINNER DE LIMPEZA</v>
      </c>
      <c r="X736" t="str">
        <f>VLOOKUP(L736,'[2]tabela de preços'!$A:$G,7,0)</f>
        <v>THINNER</v>
      </c>
    </row>
    <row r="737" spans="1:24" x14ac:dyDescent="0.3">
      <c r="A737" t="s">
        <v>764</v>
      </c>
      <c r="C737" t="s">
        <v>765</v>
      </c>
      <c r="D737" s="1">
        <v>46042</v>
      </c>
      <c r="E737" t="s">
        <v>766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767</v>
      </c>
      <c r="K737" t="s">
        <v>768</v>
      </c>
      <c r="L737">
        <v>23709</v>
      </c>
      <c r="M737" t="s">
        <v>769</v>
      </c>
      <c r="O737" t="s">
        <v>11</v>
      </c>
      <c r="P737">
        <v>5102</v>
      </c>
      <c r="Q737">
        <v>20</v>
      </c>
      <c r="R737">
        <v>15.34</v>
      </c>
      <c r="S737">
        <v>306.8</v>
      </c>
      <c r="T737">
        <v>195.8</v>
      </c>
      <c r="U737">
        <v>36.18</v>
      </c>
      <c r="V737" t="str">
        <f>VLOOKUP(L737,'[2]tabela de preços'!$A:$D,4,0)</f>
        <v>NEW PAD</v>
      </c>
      <c r="W737" t="str">
        <f>VLOOKUP(L737,'[2]tabela de preços'!$A:$F,6,0)</f>
        <v>APLICADORES / ADAPTADORES / ENGATES / SUPORTES</v>
      </c>
      <c r="X737" t="str">
        <f>VLOOKUP(L737,'[2]tabela de preços'!$A:$G,7,0)</f>
        <v>AUTOMOTIVO</v>
      </c>
    </row>
    <row r="738" spans="1:24" x14ac:dyDescent="0.3">
      <c r="A738" t="s">
        <v>764</v>
      </c>
      <c r="C738" t="s">
        <v>765</v>
      </c>
      <c r="D738" s="1">
        <v>46042</v>
      </c>
      <c r="E738" t="s">
        <v>766</v>
      </c>
      <c r="F738">
        <v>9</v>
      </c>
      <c r="G738">
        <v>236</v>
      </c>
      <c r="H738" t="str">
        <f>VLOOKUP(G738,[1]OPERADORES!$A:$B,2,0)</f>
        <v>DANIEL</v>
      </c>
      <c r="I738" t="s">
        <v>21</v>
      </c>
      <c r="J738" t="s">
        <v>767</v>
      </c>
      <c r="K738" t="s">
        <v>768</v>
      </c>
      <c r="L738">
        <v>20135</v>
      </c>
      <c r="M738" t="s">
        <v>459</v>
      </c>
      <c r="O738" t="s">
        <v>11</v>
      </c>
      <c r="P738">
        <v>5102</v>
      </c>
      <c r="Q738">
        <v>15</v>
      </c>
      <c r="R738">
        <v>26.27</v>
      </c>
      <c r="S738">
        <v>394.05</v>
      </c>
      <c r="T738">
        <v>288.89999999999998</v>
      </c>
      <c r="U738">
        <v>26.68</v>
      </c>
      <c r="V738" t="str">
        <f>VLOOKUP(L738,'[2]tabela de preços'!$A:$D,4,0)</f>
        <v>3M</v>
      </c>
      <c r="W738" t="str">
        <f>VLOOKUP(L738,'[2]tabela de preços'!$A:$F,6,0)</f>
        <v>DISCO TRIZACT</v>
      </c>
      <c r="X738" t="str">
        <f>VLOOKUP(L738,'[2]tabela de preços'!$A:$G,7,0)</f>
        <v>AUTOMOTIVO</v>
      </c>
    </row>
    <row r="739" spans="1:24" x14ac:dyDescent="0.3">
      <c r="A739" t="s">
        <v>770</v>
      </c>
      <c r="C739" t="s">
        <v>771</v>
      </c>
      <c r="D739" s="1">
        <v>46028</v>
      </c>
      <c r="E739" t="s">
        <v>772</v>
      </c>
      <c r="F739">
        <v>9</v>
      </c>
      <c r="G739">
        <v>230</v>
      </c>
      <c r="H739" t="str">
        <f>VLOOKUP(G739,[1]OPERADORES!$A:$B,2,0)</f>
        <v>SÔNIA</v>
      </c>
      <c r="I739" t="s">
        <v>21</v>
      </c>
      <c r="J739" t="s">
        <v>397</v>
      </c>
      <c r="K739" t="s">
        <v>773</v>
      </c>
      <c r="L739">
        <v>20375</v>
      </c>
      <c r="M739" t="s">
        <v>148</v>
      </c>
      <c r="O739" t="s">
        <v>11</v>
      </c>
      <c r="P739">
        <v>5403</v>
      </c>
      <c r="Q739">
        <v>3</v>
      </c>
      <c r="R739">
        <v>35.49</v>
      </c>
      <c r="S739">
        <v>106.47</v>
      </c>
      <c r="T739">
        <v>75.900000000000006</v>
      </c>
      <c r="U739">
        <v>28.71</v>
      </c>
      <c r="V739" t="str">
        <f>VLOOKUP(L739,'[2]tabela de preços'!$A:$D,4,0)</f>
        <v>SHERWIN WILLIAMS</v>
      </c>
      <c r="W739" t="str">
        <f>VLOOKUP(L739,'[2]tabela de preços'!$A:$F,6,0)</f>
        <v>TINTAS POLIÉSTER</v>
      </c>
      <c r="X739" t="str">
        <f>VLOOKUP(L739,'[2]tabela de preços'!$A:$G,7,0)</f>
        <v>AUTOMOTIVO</v>
      </c>
    </row>
    <row r="740" spans="1:24" x14ac:dyDescent="0.3">
      <c r="A740" t="s">
        <v>770</v>
      </c>
      <c r="C740" t="s">
        <v>771</v>
      </c>
      <c r="D740" s="1">
        <v>46028</v>
      </c>
      <c r="E740" t="s">
        <v>772</v>
      </c>
      <c r="F740">
        <v>9</v>
      </c>
      <c r="G740">
        <v>230</v>
      </c>
      <c r="H740" t="str">
        <f>VLOOKUP(G740,[1]OPERADORES!$A:$B,2,0)</f>
        <v>SÔNIA</v>
      </c>
      <c r="I740" t="s">
        <v>21</v>
      </c>
      <c r="J740" t="s">
        <v>397</v>
      </c>
      <c r="K740" t="s">
        <v>773</v>
      </c>
      <c r="L740">
        <v>20384</v>
      </c>
      <c r="M740" t="s">
        <v>648</v>
      </c>
      <c r="O740" t="s">
        <v>11</v>
      </c>
      <c r="P740">
        <v>5403</v>
      </c>
      <c r="Q740">
        <v>1</v>
      </c>
      <c r="R740">
        <v>32.159999999999997</v>
      </c>
      <c r="S740">
        <v>32.159999999999997</v>
      </c>
      <c r="T740">
        <v>22.93</v>
      </c>
      <c r="U740">
        <v>28.7</v>
      </c>
      <c r="V740" t="str">
        <f>VLOOKUP(L740,'[2]tabela de preços'!$A:$D,4,0)</f>
        <v>SHERWIN WILLIAMS</v>
      </c>
      <c r="W740" t="str">
        <f>VLOOKUP(L740,'[2]tabela de preços'!$A:$F,6,0)</f>
        <v>TINTAS PU</v>
      </c>
      <c r="X740" t="str">
        <f>VLOOKUP(L740,'[2]tabela de preços'!$A:$G,7,0)</f>
        <v>AUTOMOTIVO</v>
      </c>
    </row>
    <row r="741" spans="1:24" x14ac:dyDescent="0.3">
      <c r="A741" t="s">
        <v>770</v>
      </c>
      <c r="C741" t="s">
        <v>774</v>
      </c>
      <c r="D741" s="1">
        <v>46029</v>
      </c>
      <c r="E741" t="s">
        <v>775</v>
      </c>
      <c r="F741">
        <v>9</v>
      </c>
      <c r="G741">
        <v>230</v>
      </c>
      <c r="H741" t="str">
        <f>VLOOKUP(G741,[1]OPERADORES!$A:$B,2,0)</f>
        <v>SÔNIA</v>
      </c>
      <c r="I741" t="s">
        <v>21</v>
      </c>
      <c r="J741" t="s">
        <v>397</v>
      </c>
      <c r="K741" t="s">
        <v>773</v>
      </c>
      <c r="L741">
        <v>10067</v>
      </c>
      <c r="M741" t="s">
        <v>177</v>
      </c>
      <c r="O741" t="s">
        <v>11</v>
      </c>
      <c r="P741">
        <v>5102</v>
      </c>
      <c r="Q741">
        <v>1</v>
      </c>
      <c r="R741">
        <v>89.9</v>
      </c>
      <c r="S741">
        <v>89.9</v>
      </c>
      <c r="T741">
        <v>73.58</v>
      </c>
      <c r="U741">
        <v>18.149999999999999</v>
      </c>
      <c r="V741" t="str">
        <f>VLOOKUP(L741,'[2]tabela de preços'!$A:$D,4,0)</f>
        <v>3M</v>
      </c>
      <c r="W741" t="str">
        <f>VLOOKUP(L741,'[2]tabela de preços'!$A:$F,6,0)</f>
        <v>BOINAS PARA POLIMENTO</v>
      </c>
      <c r="X741" t="str">
        <f>VLOOKUP(L741,'[2]tabela de preços'!$A:$G,7,0)</f>
        <v>AUTOMOTIVO</v>
      </c>
    </row>
    <row r="742" spans="1:24" x14ac:dyDescent="0.3">
      <c r="A742" t="s">
        <v>770</v>
      </c>
      <c r="C742" t="s">
        <v>774</v>
      </c>
      <c r="D742" s="1">
        <v>46029</v>
      </c>
      <c r="E742" t="s">
        <v>775</v>
      </c>
      <c r="F742">
        <v>9</v>
      </c>
      <c r="G742">
        <v>230</v>
      </c>
      <c r="H742" t="str">
        <f>VLOOKUP(G742,[1]OPERADORES!$A:$B,2,0)</f>
        <v>SÔNIA</v>
      </c>
      <c r="I742" t="s">
        <v>21</v>
      </c>
      <c r="J742" t="s">
        <v>397</v>
      </c>
      <c r="K742" t="s">
        <v>773</v>
      </c>
      <c r="L742">
        <v>23653</v>
      </c>
      <c r="M742" t="s">
        <v>644</v>
      </c>
      <c r="O742" t="s">
        <v>11</v>
      </c>
      <c r="P742">
        <v>5102</v>
      </c>
      <c r="Q742">
        <v>1</v>
      </c>
      <c r="R742">
        <v>67.150000000000006</v>
      </c>
      <c r="S742">
        <v>67.150000000000006</v>
      </c>
      <c r="T742">
        <v>50.97</v>
      </c>
      <c r="U742">
        <v>24.1</v>
      </c>
      <c r="V742" t="str">
        <f>VLOOKUP(L742,'[2]tabela de preços'!$A:$D,4,0)</f>
        <v>SIKKENS</v>
      </c>
      <c r="W742" t="str">
        <f>VLOOKUP(L742,'[2]tabela de preços'!$A:$F,6,0)</f>
        <v>CATALISADORES INDIVIDUAS</v>
      </c>
      <c r="X742" t="str">
        <f>VLOOKUP(L742,'[2]tabela de preços'!$A:$G,7,0)</f>
        <v>AUTOMOTIVO</v>
      </c>
    </row>
    <row r="743" spans="1:24" x14ac:dyDescent="0.3">
      <c r="A743" t="s">
        <v>770</v>
      </c>
      <c r="C743" t="s">
        <v>774</v>
      </c>
      <c r="D743" s="1">
        <v>46029</v>
      </c>
      <c r="E743" t="s">
        <v>775</v>
      </c>
      <c r="F743">
        <v>9</v>
      </c>
      <c r="G743">
        <v>230</v>
      </c>
      <c r="H743" t="str">
        <f>VLOOKUP(G743,[1]OPERADORES!$A:$B,2,0)</f>
        <v>SÔNIA</v>
      </c>
      <c r="I743" t="s">
        <v>21</v>
      </c>
      <c r="J743" t="s">
        <v>397</v>
      </c>
      <c r="K743" t="s">
        <v>773</v>
      </c>
      <c r="L743">
        <v>9764</v>
      </c>
      <c r="M743" t="s">
        <v>173</v>
      </c>
      <c r="O743" t="s">
        <v>11</v>
      </c>
      <c r="P743">
        <v>5102</v>
      </c>
      <c r="Q743">
        <v>1</v>
      </c>
      <c r="R743">
        <v>33.54</v>
      </c>
      <c r="S743">
        <v>33.54</v>
      </c>
      <c r="T743">
        <v>25.46</v>
      </c>
      <c r="U743">
        <v>24.09</v>
      </c>
      <c r="V743" t="str">
        <f>VLOOKUP(L743,'[2]tabela de preços'!$A:$D,4,0)</f>
        <v>SIKKENS</v>
      </c>
      <c r="W743" t="str">
        <f>VLOOKUP(L743,'[2]tabela de preços'!$A:$F,6,0)</f>
        <v>MASSA DE PEQUENOS REPAROS</v>
      </c>
      <c r="X743" t="str">
        <f>VLOOKUP(L743,'[2]tabela de preços'!$A:$G,7,0)</f>
        <v>AUTOMOTIVO</v>
      </c>
    </row>
    <row r="744" spans="1:24" x14ac:dyDescent="0.3">
      <c r="A744" t="s">
        <v>770</v>
      </c>
      <c r="C744" t="s">
        <v>776</v>
      </c>
      <c r="D744" s="1">
        <v>46030</v>
      </c>
      <c r="E744" t="s">
        <v>777</v>
      </c>
      <c r="F744">
        <v>9</v>
      </c>
      <c r="G744">
        <v>230</v>
      </c>
      <c r="H744" t="str">
        <f>VLOOKUP(G744,[1]OPERADORES!$A:$B,2,0)</f>
        <v>SÔNIA</v>
      </c>
      <c r="I744" t="s">
        <v>21</v>
      </c>
      <c r="J744" t="s">
        <v>397</v>
      </c>
      <c r="K744" t="s">
        <v>773</v>
      </c>
      <c r="L744">
        <v>21820</v>
      </c>
      <c r="M744" t="s">
        <v>149</v>
      </c>
      <c r="O744" t="s">
        <v>11</v>
      </c>
      <c r="P744">
        <v>5403</v>
      </c>
      <c r="Q744">
        <v>1</v>
      </c>
      <c r="R744">
        <v>38.51</v>
      </c>
      <c r="S744">
        <v>38.51</v>
      </c>
      <c r="T744">
        <v>27.46</v>
      </c>
      <c r="U744">
        <v>28.69</v>
      </c>
      <c r="V744" t="str">
        <f>VLOOKUP(L744,'[2]tabela de preços'!$A:$D,4,0)</f>
        <v>SHERWIN WILLIAMS</v>
      </c>
      <c r="W744" t="str">
        <f>VLOOKUP(L744,'[2]tabela de preços'!$A:$F,6,0)</f>
        <v>TINTAS PU</v>
      </c>
      <c r="X744" t="str">
        <f>VLOOKUP(L744,'[2]tabela de preços'!$A:$G,7,0)</f>
        <v>AUTOMOTIVO</v>
      </c>
    </row>
    <row r="745" spans="1:24" x14ac:dyDescent="0.3">
      <c r="A745" t="s">
        <v>770</v>
      </c>
      <c r="C745" t="s">
        <v>778</v>
      </c>
      <c r="D745" s="1">
        <v>46034</v>
      </c>
      <c r="E745" t="s">
        <v>779</v>
      </c>
      <c r="F745">
        <v>9</v>
      </c>
      <c r="G745">
        <v>230</v>
      </c>
      <c r="H745" t="str">
        <f>VLOOKUP(G745,[1]OPERADORES!$A:$B,2,0)</f>
        <v>SÔNIA</v>
      </c>
      <c r="I745" t="s">
        <v>21</v>
      </c>
      <c r="J745" t="s">
        <v>397</v>
      </c>
      <c r="K745" t="s">
        <v>773</v>
      </c>
      <c r="L745">
        <v>9788</v>
      </c>
      <c r="M745" t="s">
        <v>780</v>
      </c>
      <c r="O745" t="s">
        <v>11</v>
      </c>
      <c r="P745">
        <v>5102</v>
      </c>
      <c r="Q745">
        <v>2</v>
      </c>
      <c r="R745">
        <v>66.760000000000005</v>
      </c>
      <c r="S745">
        <v>133.52000000000001</v>
      </c>
      <c r="T745">
        <v>101.34</v>
      </c>
      <c r="U745">
        <v>24.1</v>
      </c>
      <c r="V745" t="str">
        <f>VLOOKUP(L745,'[2]tabela de preços'!$A:$D,4,0)</f>
        <v>WANDA</v>
      </c>
      <c r="W745" t="str">
        <f>VLOOKUP(L745,'[2]tabela de preços'!$A:$F,6,0)</f>
        <v>CATALISADORES INDIVIDUAS</v>
      </c>
      <c r="X745" t="str">
        <f>VLOOKUP(L745,'[2]tabela de preços'!$A:$G,7,0)</f>
        <v>AUTOMOTIVO</v>
      </c>
    </row>
    <row r="746" spans="1:24" x14ac:dyDescent="0.3">
      <c r="A746" t="s">
        <v>770</v>
      </c>
      <c r="C746" t="s">
        <v>778</v>
      </c>
      <c r="D746" s="1">
        <v>46034</v>
      </c>
      <c r="E746" t="s">
        <v>779</v>
      </c>
      <c r="F746">
        <v>9</v>
      </c>
      <c r="G746">
        <v>230</v>
      </c>
      <c r="H746" t="str">
        <f>VLOOKUP(G746,[1]OPERADORES!$A:$B,2,0)</f>
        <v>SÔNIA</v>
      </c>
      <c r="I746" t="s">
        <v>21</v>
      </c>
      <c r="J746" t="s">
        <v>397</v>
      </c>
      <c r="K746" t="s">
        <v>773</v>
      </c>
      <c r="L746">
        <v>23653</v>
      </c>
      <c r="M746" t="s">
        <v>644</v>
      </c>
      <c r="O746" t="s">
        <v>11</v>
      </c>
      <c r="P746">
        <v>5102</v>
      </c>
      <c r="Q746">
        <v>1</v>
      </c>
      <c r="R746">
        <v>67.150000000000006</v>
      </c>
      <c r="S746">
        <v>67.150000000000006</v>
      </c>
      <c r="T746">
        <v>50.97</v>
      </c>
      <c r="U746">
        <v>24.1</v>
      </c>
      <c r="V746" t="str">
        <f>VLOOKUP(L746,'[2]tabela de preços'!$A:$D,4,0)</f>
        <v>SIKKENS</v>
      </c>
      <c r="W746" t="str">
        <f>VLOOKUP(L746,'[2]tabela de preços'!$A:$F,6,0)</f>
        <v>CATALISADORES INDIVIDUAS</v>
      </c>
      <c r="X746" t="str">
        <f>VLOOKUP(L746,'[2]tabela de preços'!$A:$G,7,0)</f>
        <v>AUTOMOTIVO</v>
      </c>
    </row>
    <row r="747" spans="1:24" x14ac:dyDescent="0.3">
      <c r="A747" t="s">
        <v>770</v>
      </c>
      <c r="C747" t="s">
        <v>778</v>
      </c>
      <c r="D747" s="1">
        <v>46034</v>
      </c>
      <c r="E747" t="s">
        <v>779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397</v>
      </c>
      <c r="K747" t="s">
        <v>773</v>
      </c>
      <c r="L747">
        <v>13</v>
      </c>
      <c r="M747" t="s">
        <v>152</v>
      </c>
      <c r="O747" t="s">
        <v>11</v>
      </c>
      <c r="P747">
        <v>5102</v>
      </c>
      <c r="Q747">
        <v>5</v>
      </c>
      <c r="R747">
        <v>5.79</v>
      </c>
      <c r="S747">
        <v>28.95</v>
      </c>
      <c r="T747">
        <v>20.8</v>
      </c>
      <c r="U747">
        <v>28.15</v>
      </c>
      <c r="V747" t="str">
        <f>VLOOKUP(L747,'[2]tabela de preços'!$A:$D,4,0)</f>
        <v>3M</v>
      </c>
      <c r="W747" t="str">
        <f>VLOOKUP(L747,'[2]tabela de preços'!$A:$F,6,0)</f>
        <v>LIXA DÁGUA</v>
      </c>
      <c r="X747" t="str">
        <f>VLOOKUP(L747,'[2]tabela de preços'!$A:$G,7,0)</f>
        <v>AUTOMOTIVO</v>
      </c>
    </row>
    <row r="748" spans="1:24" x14ac:dyDescent="0.3">
      <c r="A748" t="s">
        <v>770</v>
      </c>
      <c r="C748" t="s">
        <v>778</v>
      </c>
      <c r="D748" s="1">
        <v>46034</v>
      </c>
      <c r="E748" t="s">
        <v>779</v>
      </c>
      <c r="F748">
        <v>9</v>
      </c>
      <c r="G748">
        <v>230</v>
      </c>
      <c r="H748" t="str">
        <f>VLOOKUP(G748,[1]OPERADORES!$A:$B,2,0)</f>
        <v>SÔNIA</v>
      </c>
      <c r="I748" t="s">
        <v>21</v>
      </c>
      <c r="J748" t="s">
        <v>397</v>
      </c>
      <c r="K748" t="s">
        <v>773</v>
      </c>
      <c r="L748">
        <v>15</v>
      </c>
      <c r="M748" t="s">
        <v>205</v>
      </c>
      <c r="O748" t="s">
        <v>11</v>
      </c>
      <c r="P748">
        <v>5102</v>
      </c>
      <c r="Q748">
        <v>5</v>
      </c>
      <c r="R748">
        <v>5.79</v>
      </c>
      <c r="S748">
        <v>28.95</v>
      </c>
      <c r="T748">
        <v>20.8</v>
      </c>
      <c r="U748">
        <v>28.15</v>
      </c>
      <c r="V748" t="str">
        <f>VLOOKUP(L748,'[2]tabela de preços'!$A:$D,4,0)</f>
        <v>3M</v>
      </c>
      <c r="W748" t="str">
        <f>VLOOKUP(L748,'[2]tabela de preços'!$A:$F,6,0)</f>
        <v>LIXA DÁGUA</v>
      </c>
      <c r="X748" t="str">
        <f>VLOOKUP(L748,'[2]tabela de preços'!$A:$G,7,0)</f>
        <v>AUTOMOTIVO</v>
      </c>
    </row>
    <row r="749" spans="1:24" x14ac:dyDescent="0.3">
      <c r="A749" t="s">
        <v>770</v>
      </c>
      <c r="C749" t="s">
        <v>778</v>
      </c>
      <c r="D749" s="1">
        <v>46034</v>
      </c>
      <c r="E749" t="s">
        <v>779</v>
      </c>
      <c r="F749">
        <v>9</v>
      </c>
      <c r="G749">
        <v>230</v>
      </c>
      <c r="H749" t="str">
        <f>VLOOKUP(G749,[1]OPERADORES!$A:$B,2,0)</f>
        <v>SÔNIA</v>
      </c>
      <c r="I749" t="s">
        <v>21</v>
      </c>
      <c r="J749" t="s">
        <v>397</v>
      </c>
      <c r="K749" t="s">
        <v>773</v>
      </c>
      <c r="L749">
        <v>23926</v>
      </c>
      <c r="M749" t="s">
        <v>645</v>
      </c>
      <c r="O749" t="s">
        <v>11</v>
      </c>
      <c r="P749">
        <v>5403</v>
      </c>
      <c r="Q749">
        <v>1</v>
      </c>
      <c r="R749">
        <v>135.72</v>
      </c>
      <c r="S749">
        <v>135.72</v>
      </c>
      <c r="T749">
        <v>103.01</v>
      </c>
      <c r="U749">
        <v>24.1</v>
      </c>
      <c r="V749" t="str">
        <f>VLOOKUP(L749,'[2]tabela de preços'!$A:$D,4,0)</f>
        <v>SIKKENS</v>
      </c>
      <c r="W749" t="str">
        <f>VLOOKUP(L749,'[2]tabela de preços'!$A:$F,6,0)</f>
        <v>PRIMER AUTOMOTIVO</v>
      </c>
      <c r="X749" t="str">
        <f>VLOOKUP(L749,'[2]tabela de preços'!$A:$G,7,0)</f>
        <v>AUTOMOTIVO</v>
      </c>
    </row>
    <row r="750" spans="1:24" x14ac:dyDescent="0.3">
      <c r="A750" t="s">
        <v>770</v>
      </c>
      <c r="C750" t="s">
        <v>778</v>
      </c>
      <c r="D750" s="1">
        <v>46034</v>
      </c>
      <c r="E750" t="s">
        <v>779</v>
      </c>
      <c r="F750">
        <v>9</v>
      </c>
      <c r="G750">
        <v>230</v>
      </c>
      <c r="H750" t="str">
        <f>VLOOKUP(G750,[1]OPERADORES!$A:$B,2,0)</f>
        <v>SÔNIA</v>
      </c>
      <c r="I750" t="s">
        <v>21</v>
      </c>
      <c r="J750" t="s">
        <v>397</v>
      </c>
      <c r="K750" t="s">
        <v>773</v>
      </c>
      <c r="L750">
        <v>21489</v>
      </c>
      <c r="M750" t="s">
        <v>781</v>
      </c>
      <c r="O750" t="s">
        <v>11</v>
      </c>
      <c r="P750">
        <v>5403</v>
      </c>
      <c r="Q750">
        <v>1</v>
      </c>
      <c r="R750">
        <v>173.14</v>
      </c>
      <c r="S750">
        <v>173.14</v>
      </c>
      <c r="T750">
        <v>131.41</v>
      </c>
      <c r="U750">
        <v>24.1</v>
      </c>
      <c r="V750" t="str">
        <f>VLOOKUP(L750,'[2]tabela de preços'!$A:$D,4,0)</f>
        <v>WANDA</v>
      </c>
      <c r="W750" t="str">
        <f>VLOOKUP(L750,'[2]tabela de preços'!$A:$F,6,0)</f>
        <v>VERNIZ AUTOMOTIVO</v>
      </c>
      <c r="X750" t="str">
        <f>VLOOKUP(L750,'[2]tabela de preços'!$A:$G,7,0)</f>
        <v>AUTOMOTIVO</v>
      </c>
    </row>
    <row r="751" spans="1:24" x14ac:dyDescent="0.3">
      <c r="A751" t="s">
        <v>770</v>
      </c>
      <c r="C751" t="s">
        <v>782</v>
      </c>
      <c r="D751" s="1">
        <v>46036</v>
      </c>
      <c r="E751" t="s">
        <v>783</v>
      </c>
      <c r="F751">
        <v>9</v>
      </c>
      <c r="G751">
        <v>230</v>
      </c>
      <c r="H751" t="str">
        <f>VLOOKUP(G751,[1]OPERADORES!$A:$B,2,0)</f>
        <v>SÔNIA</v>
      </c>
      <c r="I751" t="s">
        <v>21</v>
      </c>
      <c r="J751" t="s">
        <v>397</v>
      </c>
      <c r="K751" t="s">
        <v>773</v>
      </c>
      <c r="L751">
        <v>84557</v>
      </c>
      <c r="M751" t="s">
        <v>116</v>
      </c>
      <c r="O751" t="s">
        <v>11</v>
      </c>
      <c r="P751">
        <v>5102</v>
      </c>
      <c r="Q751">
        <v>5</v>
      </c>
      <c r="R751">
        <v>17.489999999999998</v>
      </c>
      <c r="S751">
        <v>87.45</v>
      </c>
      <c r="T751">
        <v>69.8</v>
      </c>
      <c r="U751">
        <v>20.18</v>
      </c>
      <c r="V751" t="str">
        <f>VLOOKUP(L751,'[2]tabela de preços'!$A:$D,4,0)</f>
        <v>BRASILUX</v>
      </c>
      <c r="W751" t="str">
        <f>VLOOKUP(L751,'[2]tabela de preços'!$A:$F,6,0)</f>
        <v>DILUENTE</v>
      </c>
      <c r="X751" t="str">
        <f>VLOOKUP(L751,'[2]tabela de preços'!$A:$G,7,0)</f>
        <v>AUTOMOTIVO</v>
      </c>
    </row>
    <row r="752" spans="1:24" x14ac:dyDescent="0.3">
      <c r="A752" t="s">
        <v>770</v>
      </c>
      <c r="C752" t="s">
        <v>782</v>
      </c>
      <c r="D752" s="1">
        <v>46036</v>
      </c>
      <c r="E752" t="s">
        <v>783</v>
      </c>
      <c r="F752">
        <v>9</v>
      </c>
      <c r="G752">
        <v>230</v>
      </c>
      <c r="H752" t="str">
        <f>VLOOKUP(G752,[1]OPERADORES!$A:$B,2,0)</f>
        <v>SÔNIA</v>
      </c>
      <c r="I752" t="s">
        <v>21</v>
      </c>
      <c r="J752" t="s">
        <v>397</v>
      </c>
      <c r="K752" t="s">
        <v>773</v>
      </c>
      <c r="L752">
        <v>22173</v>
      </c>
      <c r="M752" t="s">
        <v>194</v>
      </c>
      <c r="O752" t="s">
        <v>11</v>
      </c>
      <c r="P752">
        <v>5102</v>
      </c>
      <c r="Q752">
        <v>10</v>
      </c>
      <c r="R752">
        <v>4.58</v>
      </c>
      <c r="S752">
        <v>45.8</v>
      </c>
      <c r="T752">
        <v>34.799999999999997</v>
      </c>
      <c r="U752">
        <v>24.02</v>
      </c>
      <c r="V752" t="str">
        <f>VLOOKUP(L752,'[2]tabela de preços'!$A:$D,4,0)</f>
        <v>3M</v>
      </c>
      <c r="W752" t="str">
        <f>VLOOKUP(L752,'[2]tabela de preços'!$A:$F,6,0)</f>
        <v>FITA AUTOMOTIVA</v>
      </c>
      <c r="X752" t="str">
        <f>VLOOKUP(L752,'[2]tabela de preços'!$A:$G,7,0)</f>
        <v>AUTOMOTIVO</v>
      </c>
    </row>
    <row r="753" spans="1:24" x14ac:dyDescent="0.3">
      <c r="A753" t="s">
        <v>770</v>
      </c>
      <c r="C753" t="s">
        <v>782</v>
      </c>
      <c r="D753" s="1">
        <v>46036</v>
      </c>
      <c r="E753" t="s">
        <v>783</v>
      </c>
      <c r="F753">
        <v>9</v>
      </c>
      <c r="G753">
        <v>230</v>
      </c>
      <c r="H753" t="str">
        <f>VLOOKUP(G753,[1]OPERADORES!$A:$B,2,0)</f>
        <v>SÔNIA</v>
      </c>
      <c r="I753" t="s">
        <v>21</v>
      </c>
      <c r="J753" t="s">
        <v>397</v>
      </c>
      <c r="K753" t="s">
        <v>773</v>
      </c>
      <c r="L753">
        <v>22188</v>
      </c>
      <c r="M753" t="s">
        <v>78</v>
      </c>
      <c r="O753" t="s">
        <v>11</v>
      </c>
      <c r="P753">
        <v>5102</v>
      </c>
      <c r="Q753">
        <v>1</v>
      </c>
      <c r="R753">
        <v>16.88</v>
      </c>
      <c r="S753">
        <v>16.88</v>
      </c>
      <c r="T753">
        <v>10.89</v>
      </c>
      <c r="U753">
        <v>35.49</v>
      </c>
      <c r="V753" t="str">
        <f>VLOOKUP(L753,'[2]tabela de preços'!$A:$D,4,0)</f>
        <v>3M</v>
      </c>
      <c r="W753" t="str">
        <f>VLOOKUP(L753,'[2]tabela de preços'!$A:$F,6,0)</f>
        <v>FITA AUTOMOTIVA</v>
      </c>
      <c r="X753" t="str">
        <f>VLOOKUP(L753,'[2]tabela de preços'!$A:$G,7,0)</f>
        <v>AUTOMOTIVO</v>
      </c>
    </row>
    <row r="754" spans="1:24" x14ac:dyDescent="0.3">
      <c r="A754" t="s">
        <v>770</v>
      </c>
      <c r="C754" t="s">
        <v>782</v>
      </c>
      <c r="D754" s="1">
        <v>46036</v>
      </c>
      <c r="E754" t="s">
        <v>783</v>
      </c>
      <c r="F754">
        <v>9</v>
      </c>
      <c r="G754">
        <v>230</v>
      </c>
      <c r="H754" t="str">
        <f>VLOOKUP(G754,[1]OPERADORES!$A:$B,2,0)</f>
        <v>SÔNIA</v>
      </c>
      <c r="I754" t="s">
        <v>21</v>
      </c>
      <c r="J754" t="s">
        <v>397</v>
      </c>
      <c r="K754" t="s">
        <v>773</v>
      </c>
      <c r="L754">
        <v>10298</v>
      </c>
      <c r="M754" t="s">
        <v>85</v>
      </c>
      <c r="O754" t="s">
        <v>11</v>
      </c>
      <c r="P754">
        <v>5102</v>
      </c>
      <c r="Q754">
        <v>2</v>
      </c>
      <c r="R754">
        <v>56.89</v>
      </c>
      <c r="S754">
        <v>113.78</v>
      </c>
      <c r="T754">
        <v>94.76</v>
      </c>
      <c r="U754">
        <v>16.72</v>
      </c>
      <c r="V754" t="str">
        <f>VLOOKUP(L754,'[2]tabela de preços'!$A:$D,4,0)</f>
        <v>ANJO</v>
      </c>
      <c r="W754" t="str">
        <f>VLOOKUP(L754,'[2]tabela de preços'!$A:$F,6,0)</f>
        <v>THINNER DE LIMPEZA</v>
      </c>
      <c r="X754" t="str">
        <f>VLOOKUP(L754,'[2]tabela de preços'!$A:$G,7,0)</f>
        <v>THINNER</v>
      </c>
    </row>
    <row r="755" spans="1:24" x14ac:dyDescent="0.3">
      <c r="A755" t="s">
        <v>770</v>
      </c>
      <c r="C755" t="s">
        <v>784</v>
      </c>
      <c r="D755" s="1">
        <v>46036</v>
      </c>
      <c r="E755" t="s">
        <v>785</v>
      </c>
      <c r="F755">
        <v>9</v>
      </c>
      <c r="G755">
        <v>230</v>
      </c>
      <c r="H755" t="str">
        <f>VLOOKUP(G755,[1]OPERADORES!$A:$B,2,0)</f>
        <v>SÔNIA</v>
      </c>
      <c r="I755" t="s">
        <v>21</v>
      </c>
      <c r="J755" t="s">
        <v>397</v>
      </c>
      <c r="K755" t="s">
        <v>773</v>
      </c>
      <c r="L755">
        <v>23063</v>
      </c>
      <c r="M755" t="s">
        <v>786</v>
      </c>
      <c r="O755" t="s">
        <v>11</v>
      </c>
      <c r="P755">
        <v>5403</v>
      </c>
      <c r="Q755">
        <v>1</v>
      </c>
      <c r="R755">
        <v>39.67</v>
      </c>
      <c r="S755">
        <v>39.67</v>
      </c>
      <c r="T755">
        <v>30.11</v>
      </c>
      <c r="U755">
        <v>24.1</v>
      </c>
      <c r="V755" t="str">
        <f>VLOOKUP(L755,'[2]tabela de preços'!$A:$D,4,0)</f>
        <v>WANDA</v>
      </c>
      <c r="W755" t="str">
        <f>VLOOKUP(L755,'[2]tabela de preços'!$A:$F,6,0)</f>
        <v>VERNIZ AUTOMOTIVO</v>
      </c>
      <c r="X755" t="str">
        <f>VLOOKUP(L755,'[2]tabela de preços'!$A:$G,7,0)</f>
        <v>AUTOMOTIVO</v>
      </c>
    </row>
    <row r="756" spans="1:24" x14ac:dyDescent="0.3">
      <c r="A756" t="s">
        <v>770</v>
      </c>
      <c r="C756" t="s">
        <v>784</v>
      </c>
      <c r="D756" s="1">
        <v>46036</v>
      </c>
      <c r="E756" t="s">
        <v>785</v>
      </c>
      <c r="F756">
        <v>9</v>
      </c>
      <c r="G756">
        <v>230</v>
      </c>
      <c r="H756" t="str">
        <f>VLOOKUP(G756,[1]OPERADORES!$A:$B,2,0)</f>
        <v>SÔNIA</v>
      </c>
      <c r="I756" t="s">
        <v>21</v>
      </c>
      <c r="J756" t="s">
        <v>397</v>
      </c>
      <c r="K756" t="s">
        <v>773</v>
      </c>
      <c r="L756">
        <v>21782</v>
      </c>
      <c r="M756" t="s">
        <v>655</v>
      </c>
      <c r="O756" t="s">
        <v>11</v>
      </c>
      <c r="P756">
        <v>5403</v>
      </c>
      <c r="Q756">
        <v>1</v>
      </c>
      <c r="R756">
        <v>35.68</v>
      </c>
      <c r="S756">
        <v>35.68</v>
      </c>
      <c r="T756">
        <v>25.44</v>
      </c>
      <c r="U756">
        <v>28.7</v>
      </c>
      <c r="V756" t="str">
        <f>VLOOKUP(L756,'[2]tabela de preços'!$A:$D,4,0)</f>
        <v>SHERWIN WILLIAMS</v>
      </c>
      <c r="W756" t="str">
        <f>VLOOKUP(L756,'[2]tabela de preços'!$A:$F,6,0)</f>
        <v>TINTAS POLIÉSTER</v>
      </c>
      <c r="X756" t="str">
        <f>VLOOKUP(L756,'[2]tabela de preços'!$A:$G,7,0)</f>
        <v>AUTOMOTIVO</v>
      </c>
    </row>
    <row r="757" spans="1:24" x14ac:dyDescent="0.3">
      <c r="A757" t="s">
        <v>770</v>
      </c>
      <c r="C757" t="s">
        <v>784</v>
      </c>
      <c r="D757" s="1">
        <v>46036</v>
      </c>
      <c r="E757" t="s">
        <v>785</v>
      </c>
      <c r="F757">
        <v>9</v>
      </c>
      <c r="G757">
        <v>230</v>
      </c>
      <c r="H757" t="str">
        <f>VLOOKUP(G757,[1]OPERADORES!$A:$B,2,0)</f>
        <v>SÔNIA</v>
      </c>
      <c r="I757" t="s">
        <v>21</v>
      </c>
      <c r="J757" t="s">
        <v>397</v>
      </c>
      <c r="K757" t="s">
        <v>773</v>
      </c>
      <c r="L757">
        <v>10298</v>
      </c>
      <c r="M757" t="s">
        <v>85</v>
      </c>
      <c r="O757" t="s">
        <v>11</v>
      </c>
      <c r="P757">
        <v>5102</v>
      </c>
      <c r="Q757">
        <v>1</v>
      </c>
      <c r="R757">
        <v>56.89</v>
      </c>
      <c r="S757">
        <v>56.89</v>
      </c>
      <c r="T757">
        <v>47.38</v>
      </c>
      <c r="U757">
        <v>16.72</v>
      </c>
      <c r="V757" t="str">
        <f>VLOOKUP(L757,'[2]tabela de preços'!$A:$D,4,0)</f>
        <v>ANJO</v>
      </c>
      <c r="W757" t="str">
        <f>VLOOKUP(L757,'[2]tabela de preços'!$A:$F,6,0)</f>
        <v>THINNER DE LIMPEZA</v>
      </c>
      <c r="X757" t="str">
        <f>VLOOKUP(L757,'[2]tabela de preços'!$A:$G,7,0)</f>
        <v>THINNER</v>
      </c>
    </row>
    <row r="758" spans="1:24" x14ac:dyDescent="0.3">
      <c r="A758" t="s">
        <v>770</v>
      </c>
      <c r="C758" t="s">
        <v>787</v>
      </c>
      <c r="D758" s="1">
        <v>46037</v>
      </c>
      <c r="E758" t="s">
        <v>788</v>
      </c>
      <c r="F758">
        <v>9</v>
      </c>
      <c r="G758">
        <v>230</v>
      </c>
      <c r="H758" t="str">
        <f>VLOOKUP(G758,[1]OPERADORES!$A:$B,2,0)</f>
        <v>SÔNIA</v>
      </c>
      <c r="I758" t="s">
        <v>21</v>
      </c>
      <c r="J758" t="s">
        <v>397</v>
      </c>
      <c r="K758" t="s">
        <v>773</v>
      </c>
      <c r="L758">
        <v>23295</v>
      </c>
      <c r="M758" t="s">
        <v>789</v>
      </c>
      <c r="O758" t="s">
        <v>11</v>
      </c>
      <c r="P758">
        <v>5403</v>
      </c>
      <c r="Q758">
        <v>1</v>
      </c>
      <c r="R758">
        <v>255.71</v>
      </c>
      <c r="S758">
        <v>255.71</v>
      </c>
      <c r="T758">
        <v>194.09</v>
      </c>
      <c r="U758">
        <v>24.1</v>
      </c>
      <c r="V758" t="str">
        <f>VLOOKUP(L758,'[2]tabela de preços'!$A:$D,4,0)</f>
        <v>SIKKENS</v>
      </c>
      <c r="W758" t="str">
        <f>VLOOKUP(L758,'[2]tabela de preços'!$A:$F,6,0)</f>
        <v>VERNIZ AUTOMOTIVO</v>
      </c>
      <c r="X758" t="str">
        <f>VLOOKUP(L758,'[2]tabela de preços'!$A:$G,7,0)</f>
        <v>AUTOMOTIVO</v>
      </c>
    </row>
    <row r="759" spans="1:24" x14ac:dyDescent="0.3">
      <c r="A759" t="s">
        <v>770</v>
      </c>
      <c r="C759" t="s">
        <v>787</v>
      </c>
      <c r="D759" s="1">
        <v>46037</v>
      </c>
      <c r="E759" t="s">
        <v>788</v>
      </c>
      <c r="F759">
        <v>9</v>
      </c>
      <c r="G759">
        <v>230</v>
      </c>
      <c r="H759" t="str">
        <f>VLOOKUP(G759,[1]OPERADORES!$A:$B,2,0)</f>
        <v>SÔNIA</v>
      </c>
      <c r="I759" t="s">
        <v>21</v>
      </c>
      <c r="J759" t="s">
        <v>397</v>
      </c>
      <c r="K759" t="s">
        <v>773</v>
      </c>
      <c r="L759">
        <v>23653</v>
      </c>
      <c r="M759" t="s">
        <v>644</v>
      </c>
      <c r="O759" t="s">
        <v>11</v>
      </c>
      <c r="P759">
        <v>5102</v>
      </c>
      <c r="Q759">
        <v>2</v>
      </c>
      <c r="R759">
        <v>67.150000000000006</v>
      </c>
      <c r="S759">
        <v>134.30000000000001</v>
      </c>
      <c r="T759">
        <v>101.94</v>
      </c>
      <c r="U759">
        <v>24.1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770</v>
      </c>
      <c r="C760" t="s">
        <v>787</v>
      </c>
      <c r="D760" s="1">
        <v>46037</v>
      </c>
      <c r="E760" t="s">
        <v>788</v>
      </c>
      <c r="F760">
        <v>9</v>
      </c>
      <c r="G760">
        <v>230</v>
      </c>
      <c r="H760" t="str">
        <f>VLOOKUP(G760,[1]OPERADORES!$A:$B,2,0)</f>
        <v>SÔNIA</v>
      </c>
      <c r="I760" t="s">
        <v>21</v>
      </c>
      <c r="J760" t="s">
        <v>397</v>
      </c>
      <c r="K760" t="s">
        <v>773</v>
      </c>
      <c r="L760">
        <v>20318</v>
      </c>
      <c r="M760" t="s">
        <v>136</v>
      </c>
      <c r="O760" t="s">
        <v>11</v>
      </c>
      <c r="P760">
        <v>5403</v>
      </c>
      <c r="Q760">
        <v>1</v>
      </c>
      <c r="R760">
        <v>33.4</v>
      </c>
      <c r="S760">
        <v>33.4</v>
      </c>
      <c r="T760">
        <v>23.81</v>
      </c>
      <c r="U760">
        <v>28.71</v>
      </c>
      <c r="V760" t="str">
        <f>VLOOKUP(L760,'[2]tabela de preços'!$A:$D,4,0)</f>
        <v>SHERWIN WILLIAMS</v>
      </c>
      <c r="W760" t="str">
        <f>VLOOKUP(L760,'[2]tabela de preços'!$A:$F,6,0)</f>
        <v>TINTAS POLIÉSTER</v>
      </c>
      <c r="X760" t="str">
        <f>VLOOKUP(L760,'[2]tabela de preços'!$A:$G,7,0)</f>
        <v>AUTOMOTIVO</v>
      </c>
    </row>
    <row r="761" spans="1:24" x14ac:dyDescent="0.3">
      <c r="A761" t="s">
        <v>770</v>
      </c>
      <c r="C761" t="s">
        <v>790</v>
      </c>
      <c r="D761" s="1">
        <v>46038</v>
      </c>
      <c r="E761" t="s">
        <v>791</v>
      </c>
      <c r="F761">
        <v>9</v>
      </c>
      <c r="G761">
        <v>230</v>
      </c>
      <c r="H761" t="str">
        <f>VLOOKUP(G761,[1]OPERADORES!$A:$B,2,0)</f>
        <v>SÔNIA</v>
      </c>
      <c r="I761" t="s">
        <v>21</v>
      </c>
      <c r="J761" t="s">
        <v>397</v>
      </c>
      <c r="K761" t="s">
        <v>773</v>
      </c>
      <c r="L761">
        <v>21819</v>
      </c>
      <c r="M761" t="s">
        <v>792</v>
      </c>
      <c r="O761" t="s">
        <v>11</v>
      </c>
      <c r="P761">
        <v>5403</v>
      </c>
      <c r="Q761">
        <v>3</v>
      </c>
      <c r="R761">
        <v>33.380000000000003</v>
      </c>
      <c r="S761">
        <v>100.14</v>
      </c>
      <c r="T761">
        <v>71.400000000000006</v>
      </c>
      <c r="U761">
        <v>28.7</v>
      </c>
      <c r="V761" t="str">
        <f>VLOOKUP(L761,'[2]tabela de preços'!$A:$D,4,0)</f>
        <v>SHERWIN WILLIAMS</v>
      </c>
      <c r="W761" t="str">
        <f>VLOOKUP(L761,'[2]tabela de preços'!$A:$F,6,0)</f>
        <v>TINTAS POLIÉSTER</v>
      </c>
      <c r="X761" t="str">
        <f>VLOOKUP(L761,'[2]tabela de preços'!$A:$G,7,0)</f>
        <v>AUTOMOTIVO</v>
      </c>
    </row>
    <row r="762" spans="1:24" x14ac:dyDescent="0.3">
      <c r="A762" t="s">
        <v>770</v>
      </c>
      <c r="C762" t="s">
        <v>793</v>
      </c>
      <c r="D762" s="1">
        <v>46043</v>
      </c>
      <c r="E762" t="s">
        <v>794</v>
      </c>
      <c r="F762">
        <v>9</v>
      </c>
      <c r="G762">
        <v>230</v>
      </c>
      <c r="H762" t="str">
        <f>VLOOKUP(G762,[1]OPERADORES!$A:$B,2,0)</f>
        <v>SÔNIA</v>
      </c>
      <c r="I762" t="s">
        <v>21</v>
      </c>
      <c r="J762" t="s">
        <v>397</v>
      </c>
      <c r="K762" t="s">
        <v>773</v>
      </c>
      <c r="L762">
        <v>20052</v>
      </c>
      <c r="M762" t="s">
        <v>795</v>
      </c>
      <c r="O762" t="s">
        <v>11</v>
      </c>
      <c r="P762">
        <v>5403</v>
      </c>
      <c r="Q762">
        <v>1</v>
      </c>
      <c r="R762">
        <v>55.1</v>
      </c>
      <c r="S762">
        <v>55.1</v>
      </c>
      <c r="T762">
        <v>41.82</v>
      </c>
      <c r="U762">
        <v>24.1</v>
      </c>
      <c r="V762" t="str">
        <f>VLOOKUP(L762,'[2]tabela de preços'!$A:$D,4,0)</f>
        <v>SHERWIN WILLIAMS</v>
      </c>
      <c r="W762" t="str">
        <f>VLOOKUP(L762,'[2]tabela de preços'!$A:$F,6,0)</f>
        <v>CATALISADORES INDIVIDUAS</v>
      </c>
      <c r="X762" t="str">
        <f>VLOOKUP(L762,'[2]tabela de preços'!$A:$G,7,0)</f>
        <v>AUTOMOTIVO</v>
      </c>
    </row>
    <row r="763" spans="1:24" x14ac:dyDescent="0.3">
      <c r="A763" t="s">
        <v>770</v>
      </c>
      <c r="C763" t="s">
        <v>793</v>
      </c>
      <c r="D763" s="1">
        <v>46043</v>
      </c>
      <c r="E763" t="s">
        <v>794</v>
      </c>
      <c r="F763">
        <v>9</v>
      </c>
      <c r="G763">
        <v>230</v>
      </c>
      <c r="H763" t="str">
        <f>VLOOKUP(G763,[1]OPERADORES!$A:$B,2,0)</f>
        <v>SÔNIA</v>
      </c>
      <c r="I763" t="s">
        <v>21</v>
      </c>
      <c r="J763" t="s">
        <v>397</v>
      </c>
      <c r="K763" t="s">
        <v>773</v>
      </c>
      <c r="L763">
        <v>23653</v>
      </c>
      <c r="M763" t="s">
        <v>644</v>
      </c>
      <c r="O763" t="s">
        <v>11</v>
      </c>
      <c r="P763">
        <v>5102</v>
      </c>
      <c r="Q763">
        <v>1</v>
      </c>
      <c r="R763">
        <v>67.150000000000006</v>
      </c>
      <c r="S763">
        <v>67.150000000000006</v>
      </c>
      <c r="T763">
        <v>50.97</v>
      </c>
      <c r="U763">
        <v>24.1</v>
      </c>
      <c r="V763" t="str">
        <f>VLOOKUP(L763,'[2]tabela de preços'!$A:$D,4,0)</f>
        <v>SIKKENS</v>
      </c>
      <c r="W763" t="str">
        <f>VLOOKUP(L763,'[2]tabela de preços'!$A:$F,6,0)</f>
        <v>CATALISADORES INDIVIDUAS</v>
      </c>
      <c r="X763" t="str">
        <f>VLOOKUP(L763,'[2]tabela de preços'!$A:$G,7,0)</f>
        <v>AUTOMOTIVO</v>
      </c>
    </row>
    <row r="764" spans="1:24" x14ac:dyDescent="0.3">
      <c r="A764" t="s">
        <v>770</v>
      </c>
      <c r="C764" t="s">
        <v>793</v>
      </c>
      <c r="D764" s="1">
        <v>46043</v>
      </c>
      <c r="E764" t="s">
        <v>794</v>
      </c>
      <c r="F764">
        <v>9</v>
      </c>
      <c r="G764">
        <v>230</v>
      </c>
      <c r="H764" t="str">
        <f>VLOOKUP(G764,[1]OPERADORES!$A:$B,2,0)</f>
        <v>SÔNIA</v>
      </c>
      <c r="I764" t="s">
        <v>21</v>
      </c>
      <c r="J764" t="s">
        <v>397</v>
      </c>
      <c r="K764" t="s">
        <v>773</v>
      </c>
      <c r="L764">
        <v>23926</v>
      </c>
      <c r="M764" t="s">
        <v>645</v>
      </c>
      <c r="O764" t="s">
        <v>11</v>
      </c>
      <c r="P764">
        <v>5403</v>
      </c>
      <c r="Q764">
        <v>1</v>
      </c>
      <c r="R764">
        <v>147.1</v>
      </c>
      <c r="S764">
        <v>147.1</v>
      </c>
      <c r="T764">
        <v>98.89</v>
      </c>
      <c r="U764">
        <v>32.770000000000003</v>
      </c>
      <c r="V764" t="str">
        <f>VLOOKUP(L764,'[2]tabela de preços'!$A:$D,4,0)</f>
        <v>SIKKENS</v>
      </c>
      <c r="W764" t="str">
        <f>VLOOKUP(L764,'[2]tabela de preços'!$A:$F,6,0)</f>
        <v>PRIMER AUTOMOTIVO</v>
      </c>
      <c r="X764" t="str">
        <f>VLOOKUP(L764,'[2]tabela de preços'!$A:$G,7,0)</f>
        <v>AUTOMOTIVO</v>
      </c>
    </row>
    <row r="765" spans="1:24" x14ac:dyDescent="0.3">
      <c r="A765" t="s">
        <v>770</v>
      </c>
      <c r="C765" t="s">
        <v>793</v>
      </c>
      <c r="D765" s="1">
        <v>46043</v>
      </c>
      <c r="E765" t="s">
        <v>794</v>
      </c>
      <c r="F765">
        <v>9</v>
      </c>
      <c r="G765">
        <v>230</v>
      </c>
      <c r="H765" t="str">
        <f>VLOOKUP(G765,[1]OPERADORES!$A:$B,2,0)</f>
        <v>SÔNIA</v>
      </c>
      <c r="I765" t="s">
        <v>21</v>
      </c>
      <c r="J765" t="s">
        <v>397</v>
      </c>
      <c r="K765" t="s">
        <v>773</v>
      </c>
      <c r="L765">
        <v>20212</v>
      </c>
      <c r="M765" t="s">
        <v>198</v>
      </c>
      <c r="O765" t="s">
        <v>11</v>
      </c>
      <c r="P765">
        <v>5403</v>
      </c>
      <c r="Q765">
        <v>1</v>
      </c>
      <c r="R765">
        <v>26.95</v>
      </c>
      <c r="S765">
        <v>26.95</v>
      </c>
      <c r="T765">
        <v>20.46</v>
      </c>
      <c r="U765">
        <v>24.08</v>
      </c>
      <c r="V765" t="str">
        <f>VLOOKUP(L765,'[2]tabela de preços'!$A:$D,4,0)</f>
        <v>MAXI RUBBER</v>
      </c>
      <c r="W765" t="str">
        <f>VLOOKUP(L765,'[2]tabela de preços'!$A:$F,6,0)</f>
        <v>SELADORA P/ PLASTICO</v>
      </c>
      <c r="X765" t="str">
        <f>VLOOKUP(L765,'[2]tabela de preços'!$A:$G,7,0)</f>
        <v>AUTOMOTIVO</v>
      </c>
    </row>
    <row r="766" spans="1:24" x14ac:dyDescent="0.3">
      <c r="A766" t="s">
        <v>770</v>
      </c>
      <c r="C766" t="s">
        <v>796</v>
      </c>
      <c r="D766" s="1">
        <v>46044</v>
      </c>
      <c r="E766" t="s">
        <v>797</v>
      </c>
      <c r="F766">
        <v>9</v>
      </c>
      <c r="G766">
        <v>230</v>
      </c>
      <c r="H766" t="str">
        <f>VLOOKUP(G766,[1]OPERADORES!$A:$B,2,0)</f>
        <v>SÔNIA</v>
      </c>
      <c r="I766" t="s">
        <v>21</v>
      </c>
      <c r="J766" t="s">
        <v>397</v>
      </c>
      <c r="K766" t="s">
        <v>773</v>
      </c>
      <c r="L766">
        <v>23360</v>
      </c>
      <c r="M766" t="s">
        <v>798</v>
      </c>
      <c r="O766" t="s">
        <v>11</v>
      </c>
      <c r="P766">
        <v>5403</v>
      </c>
      <c r="Q766">
        <v>1</v>
      </c>
      <c r="R766">
        <v>35.1</v>
      </c>
      <c r="S766">
        <v>35.1</v>
      </c>
      <c r="T766">
        <v>26.64</v>
      </c>
      <c r="U766">
        <v>24.1</v>
      </c>
      <c r="V766" t="str">
        <f>VLOOKUP(L766,'[2]tabela de preços'!$A:$D,4,0)</f>
        <v>WANDA</v>
      </c>
      <c r="W766" t="str">
        <f>VLOOKUP(L766,'[2]tabela de preços'!$A:$F,6,0)</f>
        <v>TINTAS POLIÉSTER</v>
      </c>
      <c r="X766" t="str">
        <f>VLOOKUP(L766,'[2]tabela de preços'!$A:$G,7,0)</f>
        <v>AUTOMOTIVO</v>
      </c>
    </row>
    <row r="767" spans="1:24" x14ac:dyDescent="0.3">
      <c r="A767" t="s">
        <v>770</v>
      </c>
      <c r="C767" t="s">
        <v>799</v>
      </c>
      <c r="D767" s="1">
        <v>46044</v>
      </c>
      <c r="E767" t="s">
        <v>800</v>
      </c>
      <c r="F767">
        <v>9</v>
      </c>
      <c r="G767">
        <v>230</v>
      </c>
      <c r="H767" t="str">
        <f>VLOOKUP(G767,[1]OPERADORES!$A:$B,2,0)</f>
        <v>SÔNIA</v>
      </c>
      <c r="I767" t="s">
        <v>21</v>
      </c>
      <c r="J767" t="s">
        <v>397</v>
      </c>
      <c r="K767" t="s">
        <v>773</v>
      </c>
      <c r="L767">
        <v>23295</v>
      </c>
      <c r="M767" t="s">
        <v>789</v>
      </c>
      <c r="O767" t="s">
        <v>11</v>
      </c>
      <c r="P767">
        <v>5403</v>
      </c>
      <c r="Q767">
        <v>1</v>
      </c>
      <c r="R767">
        <v>288.70999999999998</v>
      </c>
      <c r="S767">
        <v>288.70999999999998</v>
      </c>
      <c r="T767">
        <v>194.09</v>
      </c>
      <c r="U767">
        <v>32.770000000000003</v>
      </c>
      <c r="V767" t="str">
        <f>VLOOKUP(L767,'[2]tabela de preços'!$A:$D,4,0)</f>
        <v>SIKKENS</v>
      </c>
      <c r="W767" t="str">
        <f>VLOOKUP(L767,'[2]tabela de preços'!$A:$F,6,0)</f>
        <v>VERNIZ AUTOMOTIVO</v>
      </c>
      <c r="X767" t="str">
        <f>VLOOKUP(L767,'[2]tabela de preços'!$A:$G,7,0)</f>
        <v>AUTOMOTIVO</v>
      </c>
    </row>
    <row r="768" spans="1:24" x14ac:dyDescent="0.3">
      <c r="A768" t="s">
        <v>770</v>
      </c>
      <c r="C768" t="s">
        <v>799</v>
      </c>
      <c r="D768" s="1">
        <v>46044</v>
      </c>
      <c r="E768" t="s">
        <v>800</v>
      </c>
      <c r="F768">
        <v>9</v>
      </c>
      <c r="G768">
        <v>230</v>
      </c>
      <c r="H768" t="str">
        <f>VLOOKUP(G768,[1]OPERADORES!$A:$B,2,0)</f>
        <v>SÔNIA</v>
      </c>
      <c r="I768" t="s">
        <v>21</v>
      </c>
      <c r="J768" t="s">
        <v>397</v>
      </c>
      <c r="K768" t="s">
        <v>773</v>
      </c>
      <c r="L768">
        <v>23653</v>
      </c>
      <c r="M768" t="s">
        <v>644</v>
      </c>
      <c r="O768" t="s">
        <v>11</v>
      </c>
      <c r="P768">
        <v>5102</v>
      </c>
      <c r="Q768">
        <v>2</v>
      </c>
      <c r="R768">
        <v>67.150000000000006</v>
      </c>
      <c r="S768">
        <v>134.30000000000001</v>
      </c>
      <c r="T768">
        <v>101.94</v>
      </c>
      <c r="U768">
        <v>24.1</v>
      </c>
      <c r="V768" t="str">
        <f>VLOOKUP(L768,'[2]tabela de preços'!$A:$D,4,0)</f>
        <v>SIKKENS</v>
      </c>
      <c r="W768" t="str">
        <f>VLOOKUP(L768,'[2]tabela de preços'!$A:$F,6,0)</f>
        <v>CATALISADORES INDIVIDUAS</v>
      </c>
      <c r="X768" t="str">
        <f>VLOOKUP(L768,'[2]tabela de preços'!$A:$G,7,0)</f>
        <v>AUTOMOTIVO</v>
      </c>
    </row>
    <row r="769" spans="1:24" x14ac:dyDescent="0.3">
      <c r="A769" t="s">
        <v>770</v>
      </c>
      <c r="C769" t="s">
        <v>801</v>
      </c>
      <c r="D769" s="1">
        <v>46048</v>
      </c>
      <c r="E769" t="s">
        <v>802</v>
      </c>
      <c r="F769">
        <v>9</v>
      </c>
      <c r="G769">
        <v>230</v>
      </c>
      <c r="H769" t="str">
        <f>VLOOKUP(G769,[1]OPERADORES!$A:$B,2,0)</f>
        <v>SÔNIA</v>
      </c>
      <c r="I769" t="s">
        <v>21</v>
      </c>
      <c r="J769" t="s">
        <v>397</v>
      </c>
      <c r="K769" t="s">
        <v>773</v>
      </c>
      <c r="L769">
        <v>84108</v>
      </c>
      <c r="M769" t="s">
        <v>144</v>
      </c>
      <c r="O769" t="s">
        <v>11</v>
      </c>
      <c r="P769">
        <v>5403</v>
      </c>
      <c r="Q769">
        <v>1</v>
      </c>
      <c r="R769">
        <v>27.29</v>
      </c>
      <c r="S769">
        <v>27.29</v>
      </c>
      <c r="T769">
        <v>20.71</v>
      </c>
      <c r="U769">
        <v>24.11</v>
      </c>
      <c r="V769" t="str">
        <f>VLOOKUP(L769,'[2]tabela de preços'!$A:$D,4,0)</f>
        <v>BRASILUX</v>
      </c>
      <c r="W769" t="str">
        <f>VLOOKUP(L769,'[2]tabela de preços'!$A:$F,6,0)</f>
        <v>TINTAS LACA</v>
      </c>
      <c r="X769" t="str">
        <f>VLOOKUP(L769,'[2]tabela de preços'!$A:$G,7,0)</f>
        <v>AUTOMOTIVO</v>
      </c>
    </row>
    <row r="770" spans="1:24" x14ac:dyDescent="0.3">
      <c r="A770" t="s">
        <v>770</v>
      </c>
      <c r="C770" t="s">
        <v>801</v>
      </c>
      <c r="D770" s="1">
        <v>46048</v>
      </c>
      <c r="E770" t="s">
        <v>802</v>
      </c>
      <c r="F770">
        <v>9</v>
      </c>
      <c r="G770">
        <v>230</v>
      </c>
      <c r="H770" t="str">
        <f>VLOOKUP(G770,[1]OPERADORES!$A:$B,2,0)</f>
        <v>SÔNIA</v>
      </c>
      <c r="I770" t="s">
        <v>21</v>
      </c>
      <c r="J770" t="s">
        <v>397</v>
      </c>
      <c r="K770" t="s">
        <v>773</v>
      </c>
      <c r="L770">
        <v>23406</v>
      </c>
      <c r="M770" t="s">
        <v>803</v>
      </c>
      <c r="O770" t="s">
        <v>11</v>
      </c>
      <c r="P770">
        <v>5102</v>
      </c>
      <c r="Q770">
        <v>5</v>
      </c>
      <c r="R770">
        <v>13.8</v>
      </c>
      <c r="S770">
        <v>69</v>
      </c>
      <c r="T770">
        <v>52.35</v>
      </c>
      <c r="U770">
        <v>24.13</v>
      </c>
      <c r="V770" t="str">
        <f>VLOOKUP(L770,'[2]tabela de preços'!$A:$D,4,0)</f>
        <v>NORTON</v>
      </c>
      <c r="W770" t="str">
        <f>VLOOKUP(L770,'[2]tabela de preços'!$A:$F,6,0)</f>
        <v xml:space="preserve">OUTROS DISCOS </v>
      </c>
      <c r="X770" t="str">
        <f>VLOOKUP(L770,'[2]tabela de preços'!$A:$G,7,0)</f>
        <v>AUTOMOTIVO</v>
      </c>
    </row>
    <row r="771" spans="1:24" x14ac:dyDescent="0.3">
      <c r="A771" t="s">
        <v>770</v>
      </c>
      <c r="C771" t="s">
        <v>801</v>
      </c>
      <c r="D771" s="1">
        <v>46048</v>
      </c>
      <c r="E771" t="s">
        <v>802</v>
      </c>
      <c r="F771">
        <v>9</v>
      </c>
      <c r="G771">
        <v>230</v>
      </c>
      <c r="H771" t="str">
        <f>VLOOKUP(G771,[1]OPERADORES!$A:$B,2,0)</f>
        <v>SÔNIA</v>
      </c>
      <c r="I771" t="s">
        <v>21</v>
      </c>
      <c r="J771" t="s">
        <v>397</v>
      </c>
      <c r="K771" t="s">
        <v>773</v>
      </c>
      <c r="L771">
        <v>22173</v>
      </c>
      <c r="M771" t="s">
        <v>194</v>
      </c>
      <c r="O771" t="s">
        <v>11</v>
      </c>
      <c r="P771">
        <v>5102</v>
      </c>
      <c r="Q771">
        <v>10</v>
      </c>
      <c r="R771">
        <v>4.58</v>
      </c>
      <c r="S771">
        <v>45.8</v>
      </c>
      <c r="T771">
        <v>34.799999999999997</v>
      </c>
      <c r="U771">
        <v>24.02</v>
      </c>
      <c r="V771" t="str">
        <f>VLOOKUP(L771,'[2]tabela de preços'!$A:$D,4,0)</f>
        <v>3M</v>
      </c>
      <c r="W771" t="str">
        <f>VLOOKUP(L771,'[2]tabela de preços'!$A:$F,6,0)</f>
        <v>FITA AUTOMOTIVA</v>
      </c>
      <c r="X771" t="str">
        <f>VLOOKUP(L771,'[2]tabela de preços'!$A:$G,7,0)</f>
        <v>AUTOMOTIVO</v>
      </c>
    </row>
    <row r="772" spans="1:24" x14ac:dyDescent="0.3">
      <c r="A772" t="s">
        <v>770</v>
      </c>
      <c r="C772" t="s">
        <v>801</v>
      </c>
      <c r="D772" s="1">
        <v>46048</v>
      </c>
      <c r="E772" t="s">
        <v>802</v>
      </c>
      <c r="F772">
        <v>9</v>
      </c>
      <c r="G772">
        <v>230</v>
      </c>
      <c r="H772" t="str">
        <f>VLOOKUP(G772,[1]OPERADORES!$A:$B,2,0)</f>
        <v>SÔNIA</v>
      </c>
      <c r="I772" t="s">
        <v>21</v>
      </c>
      <c r="J772" t="s">
        <v>397</v>
      </c>
      <c r="K772" t="s">
        <v>773</v>
      </c>
      <c r="L772">
        <v>22188</v>
      </c>
      <c r="M772" t="s">
        <v>78</v>
      </c>
      <c r="O772" t="s">
        <v>11</v>
      </c>
      <c r="P772">
        <v>5102</v>
      </c>
      <c r="Q772">
        <v>1</v>
      </c>
      <c r="R772">
        <v>14.35</v>
      </c>
      <c r="S772">
        <v>14.35</v>
      </c>
      <c r="T772">
        <v>10.89</v>
      </c>
      <c r="U772">
        <v>24.11</v>
      </c>
      <c r="V772" t="str">
        <f>VLOOKUP(L772,'[2]tabela de preços'!$A:$D,4,0)</f>
        <v>3M</v>
      </c>
      <c r="W772" t="str">
        <f>VLOOKUP(L772,'[2]tabela de preços'!$A:$F,6,0)</f>
        <v>FITA AUTOMOTIVA</v>
      </c>
      <c r="X772" t="str">
        <f>VLOOKUP(L772,'[2]tabela de preços'!$A:$G,7,0)</f>
        <v>AUTOMOTIVO</v>
      </c>
    </row>
    <row r="773" spans="1:24" x14ac:dyDescent="0.3">
      <c r="A773" t="s">
        <v>770</v>
      </c>
      <c r="C773" t="s">
        <v>801</v>
      </c>
      <c r="D773" s="1">
        <v>46048</v>
      </c>
      <c r="E773" t="s">
        <v>802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397</v>
      </c>
      <c r="K773" t="s">
        <v>773</v>
      </c>
      <c r="L773">
        <v>10298</v>
      </c>
      <c r="M773" t="s">
        <v>85</v>
      </c>
      <c r="O773" t="s">
        <v>11</v>
      </c>
      <c r="P773">
        <v>5102</v>
      </c>
      <c r="Q773">
        <v>2</v>
      </c>
      <c r="R773">
        <v>56.89</v>
      </c>
      <c r="S773">
        <v>113.78</v>
      </c>
      <c r="T773">
        <v>94.76</v>
      </c>
      <c r="U773">
        <v>16.72</v>
      </c>
      <c r="V773" t="str">
        <f>VLOOKUP(L773,'[2]tabela de preços'!$A:$D,4,0)</f>
        <v>ANJO</v>
      </c>
      <c r="W773" t="str">
        <f>VLOOKUP(L773,'[2]tabela de preços'!$A:$F,6,0)</f>
        <v>THINNER DE LIMPEZA</v>
      </c>
      <c r="X773" t="str">
        <f>VLOOKUP(L773,'[2]tabela de preços'!$A:$G,7,0)</f>
        <v>THINNER</v>
      </c>
    </row>
    <row r="774" spans="1:24" x14ac:dyDescent="0.3">
      <c r="A774" t="s">
        <v>770</v>
      </c>
      <c r="C774" t="s">
        <v>801</v>
      </c>
      <c r="D774" s="1">
        <v>46048</v>
      </c>
      <c r="E774" t="s">
        <v>802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397</v>
      </c>
      <c r="K774" t="s">
        <v>773</v>
      </c>
      <c r="L774">
        <v>20414</v>
      </c>
      <c r="M774" t="s">
        <v>112</v>
      </c>
      <c r="O774" t="s">
        <v>11</v>
      </c>
      <c r="P774">
        <v>5102</v>
      </c>
      <c r="Q774">
        <v>2</v>
      </c>
      <c r="R774">
        <v>21.89</v>
      </c>
      <c r="S774">
        <v>43.78</v>
      </c>
      <c r="T774">
        <v>36</v>
      </c>
      <c r="U774">
        <v>17.77</v>
      </c>
      <c r="V774" t="str">
        <f>VLOOKUP(L774,'[2]tabela de preços'!$A:$D,4,0)</f>
        <v>SHERWIN WILLIAMS</v>
      </c>
      <c r="W774" t="str">
        <f>VLOOKUP(L774,'[2]tabela de preços'!$A:$F,6,0)</f>
        <v>DILUENTE</v>
      </c>
      <c r="X774" t="str">
        <f>VLOOKUP(L774,'[2]tabela de preços'!$A:$G,7,0)</f>
        <v>AUTOMOTIVO</v>
      </c>
    </row>
    <row r="775" spans="1:24" x14ac:dyDescent="0.3">
      <c r="A775" t="s">
        <v>770</v>
      </c>
      <c r="C775" t="s">
        <v>804</v>
      </c>
      <c r="D775" s="1">
        <v>46049</v>
      </c>
      <c r="E775" t="s">
        <v>805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397</v>
      </c>
      <c r="K775" t="s">
        <v>773</v>
      </c>
      <c r="L775">
        <v>20327</v>
      </c>
      <c r="M775" t="s">
        <v>216</v>
      </c>
      <c r="O775" t="s">
        <v>11</v>
      </c>
      <c r="P775">
        <v>5102</v>
      </c>
      <c r="Q775">
        <v>2</v>
      </c>
      <c r="R775">
        <v>33.119999999999997</v>
      </c>
      <c r="S775">
        <v>66.239999999999995</v>
      </c>
      <c r="T775">
        <v>47.24</v>
      </c>
      <c r="U775">
        <v>28.68</v>
      </c>
      <c r="V775" t="str">
        <f>VLOOKUP(L775,'[2]tabela de preços'!$A:$D,4,0)</f>
        <v>SHERWIN WILLIAMS</v>
      </c>
      <c r="W775" t="str">
        <f>VLOOKUP(L775,'[2]tabela de preços'!$A:$F,6,0)</f>
        <v>TINTAS PU</v>
      </c>
      <c r="X775" t="str">
        <f>VLOOKUP(L775,'[2]tabela de preços'!$A:$G,7,0)</f>
        <v>AUTOMOTIVO</v>
      </c>
    </row>
    <row r="776" spans="1:24" x14ac:dyDescent="0.3">
      <c r="A776" t="s">
        <v>770</v>
      </c>
      <c r="C776" t="s">
        <v>806</v>
      </c>
      <c r="D776" s="1">
        <v>46050</v>
      </c>
      <c r="E776" t="s">
        <v>807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397</v>
      </c>
      <c r="K776" t="s">
        <v>773</v>
      </c>
      <c r="L776">
        <v>23295</v>
      </c>
      <c r="M776" t="s">
        <v>789</v>
      </c>
      <c r="O776" t="s">
        <v>11</v>
      </c>
      <c r="P776">
        <v>5403</v>
      </c>
      <c r="Q776">
        <v>1</v>
      </c>
      <c r="R776">
        <v>288.70999999999998</v>
      </c>
      <c r="S776">
        <v>288.70999999999998</v>
      </c>
      <c r="T776">
        <v>194.09</v>
      </c>
      <c r="U776">
        <v>32.770000000000003</v>
      </c>
      <c r="V776" t="str">
        <f>VLOOKUP(L776,'[2]tabela de preços'!$A:$D,4,0)</f>
        <v>SIKKENS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770</v>
      </c>
      <c r="C777" t="s">
        <v>806</v>
      </c>
      <c r="D777" s="1">
        <v>46050</v>
      </c>
      <c r="E777" t="s">
        <v>807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397</v>
      </c>
      <c r="K777" t="s">
        <v>773</v>
      </c>
      <c r="L777">
        <v>23653</v>
      </c>
      <c r="M777" t="s">
        <v>644</v>
      </c>
      <c r="O777" t="s">
        <v>11</v>
      </c>
      <c r="P777">
        <v>5102</v>
      </c>
      <c r="Q777">
        <v>3</v>
      </c>
      <c r="R777">
        <v>67.150000000000006</v>
      </c>
      <c r="S777">
        <v>201.45</v>
      </c>
      <c r="T777">
        <v>152.91</v>
      </c>
      <c r="U777">
        <v>24.1</v>
      </c>
      <c r="V777" t="str">
        <f>VLOOKUP(L777,'[2]tabela de preços'!$A:$D,4,0)</f>
        <v>SIKKENS</v>
      </c>
      <c r="W777" t="str">
        <f>VLOOKUP(L777,'[2]tabela de preços'!$A:$F,6,0)</f>
        <v>CATALISADORES INDIVIDUAS</v>
      </c>
      <c r="X777" t="str">
        <f>VLOOKUP(L777,'[2]tabela de preços'!$A:$G,7,0)</f>
        <v>AUTOMOTIVO</v>
      </c>
    </row>
    <row r="778" spans="1:24" x14ac:dyDescent="0.3">
      <c r="A778" t="s">
        <v>770</v>
      </c>
      <c r="C778" t="s">
        <v>806</v>
      </c>
      <c r="D778" s="1">
        <v>46050</v>
      </c>
      <c r="E778" t="s">
        <v>807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397</v>
      </c>
      <c r="K778" t="s">
        <v>773</v>
      </c>
      <c r="L778">
        <v>23926</v>
      </c>
      <c r="M778" t="s">
        <v>645</v>
      </c>
      <c r="O778" t="s">
        <v>11</v>
      </c>
      <c r="P778">
        <v>5403</v>
      </c>
      <c r="Q778">
        <v>1</v>
      </c>
      <c r="R778">
        <v>147.1</v>
      </c>
      <c r="S778">
        <v>147.1</v>
      </c>
      <c r="T778">
        <v>98.89</v>
      </c>
      <c r="U778">
        <v>32.770000000000003</v>
      </c>
      <c r="V778" t="str">
        <f>VLOOKUP(L778,'[2]tabela de preços'!$A:$D,4,0)</f>
        <v>SIKKENS</v>
      </c>
      <c r="W778" t="str">
        <f>VLOOKUP(L778,'[2]tabela de preços'!$A:$F,6,0)</f>
        <v>PRIMER AUTOMOTIVO</v>
      </c>
      <c r="X778" t="str">
        <f>VLOOKUP(L778,'[2]tabela de preços'!$A:$G,7,0)</f>
        <v>AUTOMOTIVO</v>
      </c>
    </row>
    <row r="779" spans="1:24" x14ac:dyDescent="0.3">
      <c r="A779" t="s">
        <v>770</v>
      </c>
      <c r="C779" t="s">
        <v>808</v>
      </c>
      <c r="D779" s="1">
        <v>46051</v>
      </c>
      <c r="E779" t="s">
        <v>809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397</v>
      </c>
      <c r="K779" t="s">
        <v>773</v>
      </c>
      <c r="L779">
        <v>21274</v>
      </c>
      <c r="M779" t="s">
        <v>810</v>
      </c>
      <c r="O779" t="s">
        <v>11</v>
      </c>
      <c r="P779">
        <v>5102</v>
      </c>
      <c r="Q779">
        <v>10</v>
      </c>
      <c r="R779">
        <v>0.85</v>
      </c>
      <c r="S779">
        <v>8.5</v>
      </c>
      <c r="T779">
        <v>5.5</v>
      </c>
      <c r="U779">
        <v>35.29</v>
      </c>
      <c r="V779" t="str">
        <f>VLOOKUP(L779,'[2]tabela de preços'!$A:$D,4,0)</f>
        <v>SHERWIN WILLIAMS</v>
      </c>
      <c r="W779" t="str">
        <f>VLOOKUP(L779,'[2]tabela de preços'!$A:$F,6,0)</f>
        <v>COADORES</v>
      </c>
      <c r="X779" t="str">
        <f>VLOOKUP(L779,'[2]tabela de preços'!$A:$G,7,0)</f>
        <v>AUTOMOTIVO</v>
      </c>
    </row>
    <row r="780" spans="1:24" x14ac:dyDescent="0.3">
      <c r="A780" t="s">
        <v>770</v>
      </c>
      <c r="C780" t="s">
        <v>808</v>
      </c>
      <c r="D780" s="1">
        <v>46051</v>
      </c>
      <c r="E780" t="s">
        <v>809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397</v>
      </c>
      <c r="K780" t="s">
        <v>773</v>
      </c>
      <c r="L780">
        <v>20384</v>
      </c>
      <c r="M780" t="s">
        <v>648</v>
      </c>
      <c r="O780" t="s">
        <v>11</v>
      </c>
      <c r="P780">
        <v>5403</v>
      </c>
      <c r="Q780">
        <v>1</v>
      </c>
      <c r="R780">
        <v>32.159999999999997</v>
      </c>
      <c r="S780">
        <v>32.159999999999997</v>
      </c>
      <c r="T780">
        <v>22.93</v>
      </c>
      <c r="U780">
        <v>28.7</v>
      </c>
      <c r="V780" t="str">
        <f>VLOOKUP(L780,'[2]tabela de preços'!$A:$D,4,0)</f>
        <v>SHERWIN WILLIAMS</v>
      </c>
      <c r="W780" t="str">
        <f>VLOOKUP(L780,'[2]tabela de preços'!$A:$F,6,0)</f>
        <v>TINTAS PU</v>
      </c>
      <c r="X780" t="str">
        <f>VLOOKUP(L780,'[2]tabela de preços'!$A:$G,7,0)</f>
        <v>AUTOMOTIVO</v>
      </c>
    </row>
    <row r="781" spans="1:24" x14ac:dyDescent="0.3">
      <c r="A781" t="s">
        <v>770</v>
      </c>
      <c r="C781" t="s">
        <v>808</v>
      </c>
      <c r="D781" s="1">
        <v>46051</v>
      </c>
      <c r="E781" t="s">
        <v>809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397</v>
      </c>
      <c r="K781" t="s">
        <v>773</v>
      </c>
      <c r="L781">
        <v>10296</v>
      </c>
      <c r="M781" t="s">
        <v>334</v>
      </c>
      <c r="O781" t="s">
        <v>11</v>
      </c>
      <c r="P781">
        <v>5102</v>
      </c>
      <c r="Q781">
        <v>1</v>
      </c>
      <c r="R781">
        <v>17.02</v>
      </c>
      <c r="S781">
        <v>17.02</v>
      </c>
      <c r="T781">
        <v>12.57</v>
      </c>
      <c r="U781">
        <v>26.15</v>
      </c>
      <c r="V781" t="str">
        <f>VLOOKUP(L781,'[2]tabela de preços'!$A:$D,4,0)</f>
        <v>ANJO</v>
      </c>
      <c r="W781" t="str">
        <f>VLOOKUP(L781,'[2]tabela de preços'!$A:$F,6,0)</f>
        <v>DESENGRAXANTE</v>
      </c>
      <c r="X781" t="str">
        <f>VLOOKUP(L781,'[2]tabela de preços'!$A:$G,7,0)</f>
        <v>AUTOMOTIVO</v>
      </c>
    </row>
    <row r="782" spans="1:24" x14ac:dyDescent="0.3">
      <c r="A782" t="s">
        <v>811</v>
      </c>
      <c r="C782" t="s">
        <v>812</v>
      </c>
      <c r="D782" s="1">
        <v>46035</v>
      </c>
      <c r="E782" t="s">
        <v>813</v>
      </c>
      <c r="F782">
        <v>9</v>
      </c>
      <c r="G782">
        <v>236</v>
      </c>
      <c r="H782" t="str">
        <f>VLOOKUP(G782,[1]OPERADORES!$A:$B,2,0)</f>
        <v>DANIEL</v>
      </c>
      <c r="I782" t="s">
        <v>282</v>
      </c>
      <c r="J782" t="s">
        <v>814</v>
      </c>
      <c r="K782" t="s">
        <v>815</v>
      </c>
      <c r="L782">
        <v>84026</v>
      </c>
      <c r="M782" t="s">
        <v>816</v>
      </c>
      <c r="O782" t="s">
        <v>11</v>
      </c>
      <c r="P782">
        <v>6102</v>
      </c>
      <c r="Q782">
        <v>6</v>
      </c>
      <c r="R782">
        <v>9.48</v>
      </c>
      <c r="S782">
        <v>56.88</v>
      </c>
      <c r="T782">
        <v>41.7</v>
      </c>
      <c r="U782">
        <v>26.69</v>
      </c>
      <c r="V782" t="str">
        <f>VLOOKUP(L782,'[2]tabela de preços'!$A:$D,4,0)</f>
        <v>BRASILUX</v>
      </c>
      <c r="W782" t="str">
        <f>VLOOKUP(L782,'[2]tabela de preços'!$A:$F,6,0)</f>
        <v>CATALISADORES INDIVIDUAIS</v>
      </c>
      <c r="X782" t="str">
        <f>VLOOKUP(L782,'[2]tabela de preços'!$A:$G,7,0)</f>
        <v>IMOBILIÁRIO</v>
      </c>
    </row>
    <row r="783" spans="1:24" x14ac:dyDescent="0.3">
      <c r="A783" t="s">
        <v>811</v>
      </c>
      <c r="C783" t="s">
        <v>812</v>
      </c>
      <c r="D783" s="1">
        <v>46035</v>
      </c>
      <c r="E783" t="s">
        <v>813</v>
      </c>
      <c r="F783">
        <v>9</v>
      </c>
      <c r="G783">
        <v>236</v>
      </c>
      <c r="H783" t="str">
        <f>VLOOKUP(G783,[1]OPERADORES!$A:$B,2,0)</f>
        <v>DANIEL</v>
      </c>
      <c r="I783" t="s">
        <v>282</v>
      </c>
      <c r="J783" t="s">
        <v>814</v>
      </c>
      <c r="K783" t="s">
        <v>815</v>
      </c>
      <c r="L783">
        <v>10316</v>
      </c>
      <c r="M783" t="s">
        <v>582</v>
      </c>
      <c r="O783" t="s">
        <v>11</v>
      </c>
      <c r="P783">
        <v>6102</v>
      </c>
      <c r="Q783">
        <v>12</v>
      </c>
      <c r="R783">
        <v>13.89</v>
      </c>
      <c r="S783">
        <v>166.68</v>
      </c>
      <c r="T783">
        <v>139.56</v>
      </c>
      <c r="U783">
        <v>16.27</v>
      </c>
      <c r="V783" t="str">
        <f>VLOOKUP(L783,'[2]tabela de preços'!$A:$D,4,0)</f>
        <v>ANJO</v>
      </c>
      <c r="W783" t="str">
        <f>VLOOKUP(L783,'[2]tabela de preços'!$A:$F,6,0)</f>
        <v xml:space="preserve">COLA  PLÁSTICA 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20484</v>
      </c>
      <c r="M784" t="s">
        <v>817</v>
      </c>
      <c r="O784" t="s">
        <v>11</v>
      </c>
      <c r="P784">
        <v>6102</v>
      </c>
      <c r="Q784">
        <v>3</v>
      </c>
      <c r="R784">
        <v>10.53</v>
      </c>
      <c r="S784">
        <v>31.59</v>
      </c>
      <c r="T784">
        <v>23.16</v>
      </c>
      <c r="U784">
        <v>26.69</v>
      </c>
      <c r="V784" t="str">
        <f>VLOOKUP(L784,'[2]tabela de preços'!$A:$D,4,0)</f>
        <v>3M</v>
      </c>
      <c r="W784" t="str">
        <f>VLOOKUP(L784,'[2]tabela de preços'!$A:$F,6,0)</f>
        <v>FITA DUPLA FACE</v>
      </c>
      <c r="X784" t="str">
        <f>VLOOKUP(L784,'[2]tabela de preços'!$A:$G,7,0)</f>
        <v>AUTOMOTIVO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84020</v>
      </c>
      <c r="M785" t="s">
        <v>518</v>
      </c>
      <c r="O785" t="s">
        <v>11</v>
      </c>
      <c r="P785">
        <v>6102</v>
      </c>
      <c r="Q785">
        <v>50</v>
      </c>
      <c r="R785">
        <v>0.91</v>
      </c>
      <c r="S785">
        <v>45.5</v>
      </c>
      <c r="T785">
        <v>34.5</v>
      </c>
      <c r="U785">
        <v>24.18</v>
      </c>
      <c r="V785" t="str">
        <f>VLOOKUP(L785,'[2]tabela de preços'!$A:$D,4,0)</f>
        <v>3M</v>
      </c>
      <c r="W785" t="str">
        <f>VLOOKUP(L785,'[2]tabela de preços'!$A:$F,6,0)</f>
        <v>LIXA MASSA  /MADEIRA / PAREDE</v>
      </c>
      <c r="X785" t="str">
        <f>VLOOKUP(L785,'[2]tabela de preços'!$A:$G,7,0)</f>
        <v>IMOBILIÁRIO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84017</v>
      </c>
      <c r="M786" t="s">
        <v>519</v>
      </c>
      <c r="O786" t="s">
        <v>11</v>
      </c>
      <c r="P786">
        <v>6102</v>
      </c>
      <c r="Q786">
        <v>50</v>
      </c>
      <c r="R786">
        <v>0.6</v>
      </c>
      <c r="S786">
        <v>30</v>
      </c>
      <c r="T786">
        <v>23</v>
      </c>
      <c r="U786">
        <v>23.33</v>
      </c>
      <c r="V786" t="str">
        <f>VLOOKUP(L786,'[2]tabela de preços'!$A:$D,4,0)</f>
        <v>3M</v>
      </c>
      <c r="W786" t="str">
        <f>VLOOKUP(L786,'[2]tabela de preços'!$A:$F,6,0)</f>
        <v>LIXA MASSA  /MADEIRA / PAREDE</v>
      </c>
      <c r="X786" t="str">
        <f>VLOOKUP(L786,'[2]tabela de preços'!$A:$G,7,0)</f>
        <v>IMOBILIÁRIO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84018</v>
      </c>
      <c r="M787" t="s">
        <v>818</v>
      </c>
      <c r="O787" t="s">
        <v>11</v>
      </c>
      <c r="P787">
        <v>6102</v>
      </c>
      <c r="Q787">
        <v>50</v>
      </c>
      <c r="R787">
        <v>0.6</v>
      </c>
      <c r="S787">
        <v>30</v>
      </c>
      <c r="T787">
        <v>23</v>
      </c>
      <c r="U787">
        <v>23.33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10241</v>
      </c>
      <c r="M788" t="s">
        <v>819</v>
      </c>
      <c r="O788" t="s">
        <v>11</v>
      </c>
      <c r="P788">
        <v>6102</v>
      </c>
      <c r="Q788">
        <v>50</v>
      </c>
      <c r="R788">
        <v>2.79</v>
      </c>
      <c r="S788">
        <v>139.5</v>
      </c>
      <c r="T788">
        <v>114</v>
      </c>
      <c r="U788">
        <v>18.28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10243</v>
      </c>
      <c r="M789" t="s">
        <v>83</v>
      </c>
      <c r="O789" t="s">
        <v>11</v>
      </c>
      <c r="P789">
        <v>6102</v>
      </c>
      <c r="Q789">
        <v>50</v>
      </c>
      <c r="R789">
        <v>2.79</v>
      </c>
      <c r="S789">
        <v>139.5</v>
      </c>
      <c r="T789">
        <v>96.5</v>
      </c>
      <c r="U789">
        <v>30.82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10245</v>
      </c>
      <c r="M790" t="s">
        <v>195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96.5</v>
      </c>
      <c r="U790">
        <v>30.82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10401</v>
      </c>
      <c r="M791" t="s">
        <v>154</v>
      </c>
      <c r="O791" t="s">
        <v>11</v>
      </c>
      <c r="P791">
        <v>6403</v>
      </c>
      <c r="Q791">
        <v>6</v>
      </c>
      <c r="R791">
        <v>34.39</v>
      </c>
      <c r="S791">
        <v>206.34</v>
      </c>
      <c r="T791">
        <v>151.26</v>
      </c>
      <c r="U791">
        <v>26.69</v>
      </c>
      <c r="V791" t="str">
        <f>VLOOKUP(L791,'[2]tabela de preços'!$A:$D,4,0)</f>
        <v>MAXI RUBBER</v>
      </c>
      <c r="W791" t="str">
        <f>VLOOKUP(L791,'[2]tabela de preços'!$A:$F,6,0)</f>
        <v>PRIMER AUTOMOTIVO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10298</v>
      </c>
      <c r="M792" t="s">
        <v>85</v>
      </c>
      <c r="O792" t="s">
        <v>11</v>
      </c>
      <c r="P792">
        <v>6102</v>
      </c>
      <c r="Q792">
        <v>8</v>
      </c>
      <c r="R792">
        <v>56.89</v>
      </c>
      <c r="S792">
        <v>455.12</v>
      </c>
      <c r="T792">
        <v>379.04</v>
      </c>
      <c r="U792">
        <v>16.72</v>
      </c>
      <c r="V792" t="str">
        <f>VLOOKUP(L792,'[2]tabela de preços'!$A:$D,4,0)</f>
        <v>ANJO</v>
      </c>
      <c r="W792" t="str">
        <f>VLOOKUP(L792,'[2]tabela de preços'!$A:$F,6,0)</f>
        <v>THINNER DE LIMPEZA</v>
      </c>
      <c r="X792" t="str">
        <f>VLOOKUP(L792,'[2]tabela de preços'!$A:$G,7,0)</f>
        <v>THINNER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84460</v>
      </c>
      <c r="M793" t="s">
        <v>322</v>
      </c>
      <c r="O793" t="s">
        <v>11</v>
      </c>
      <c r="P793">
        <v>6102</v>
      </c>
      <c r="Q793">
        <v>4</v>
      </c>
      <c r="R793">
        <v>31.07</v>
      </c>
      <c r="S793">
        <v>124.28</v>
      </c>
      <c r="T793">
        <v>94.32</v>
      </c>
      <c r="U793">
        <v>24.11</v>
      </c>
      <c r="V793" t="str">
        <f>VLOOKUP(L793,'[2]tabela de preços'!$A:$D,4,0)</f>
        <v>BRASILUX</v>
      </c>
      <c r="W793" t="str">
        <f>VLOOKUP(L793,'[2]tabela de preços'!$A:$F,6,0)</f>
        <v>VEDADORES / SELANTES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820</v>
      </c>
      <c r="D794" s="1">
        <v>46042</v>
      </c>
      <c r="E794" t="s">
        <v>821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84215</v>
      </c>
      <c r="M794" t="s">
        <v>822</v>
      </c>
      <c r="O794" t="s">
        <v>11</v>
      </c>
      <c r="P794">
        <v>6403</v>
      </c>
      <c r="Q794">
        <v>4</v>
      </c>
      <c r="R794">
        <v>260.36</v>
      </c>
      <c r="S794" s="2">
        <v>1041.44</v>
      </c>
      <c r="T794">
        <v>772.28</v>
      </c>
      <c r="U794">
        <v>25.84</v>
      </c>
      <c r="V794" t="str">
        <f>VLOOKUP(L794,'[2]tabela de preços'!$A:$D,4,0)</f>
        <v>BRASILUX</v>
      </c>
      <c r="W794" t="str">
        <f>VLOOKUP(L794,'[2]tabela de preços'!$A:$F,6,0)</f>
        <v>ESMALTES</v>
      </c>
      <c r="X794" t="str">
        <f>VLOOKUP(L794,'[2]tabela de preços'!$A:$G,7,0)</f>
        <v>INDUSTRIAL</v>
      </c>
    </row>
    <row r="795" spans="1:24" x14ac:dyDescent="0.3">
      <c r="A795" t="s">
        <v>823</v>
      </c>
      <c r="B795" t="s">
        <v>824</v>
      </c>
      <c r="C795" t="s">
        <v>825</v>
      </c>
      <c r="D795" s="1">
        <v>46042</v>
      </c>
      <c r="E795" t="s">
        <v>826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450</v>
      </c>
      <c r="K795" t="s">
        <v>827</v>
      </c>
      <c r="L795">
        <v>10297</v>
      </c>
      <c r="M795" t="s">
        <v>41</v>
      </c>
      <c r="O795" t="s">
        <v>11</v>
      </c>
      <c r="P795">
        <v>5102</v>
      </c>
      <c r="Q795">
        <v>72</v>
      </c>
      <c r="R795">
        <v>10.89</v>
      </c>
      <c r="S795">
        <v>784.08</v>
      </c>
      <c r="T795">
        <v>660.24</v>
      </c>
      <c r="U795">
        <v>15.79</v>
      </c>
      <c r="V795" t="str">
        <f>VLOOKUP(L795,'[2]tabela de preços'!$A:$D,4,0)</f>
        <v>ANJO</v>
      </c>
      <c r="W795" t="str">
        <f>VLOOKUP(L795,'[2]tabela de preços'!$A:$F,6,0)</f>
        <v>THINNER DE LIMPEZA</v>
      </c>
      <c r="X795" t="str">
        <f>VLOOKUP(L795,'[2]tabela de preços'!$A:$G,7,0)</f>
        <v>THINNER</v>
      </c>
    </row>
    <row r="796" spans="1:24" x14ac:dyDescent="0.3">
      <c r="A796" t="s">
        <v>828</v>
      </c>
      <c r="C796" t="s">
        <v>829</v>
      </c>
      <c r="D796" s="1">
        <v>46036</v>
      </c>
      <c r="E796" t="s">
        <v>830</v>
      </c>
      <c r="F796">
        <v>9</v>
      </c>
      <c r="G796">
        <v>231</v>
      </c>
      <c r="H796" t="str">
        <f>VLOOKUP(G796,[1]OPERADORES!$A:$B,2,0)</f>
        <v>EDIJANE</v>
      </c>
      <c r="I796" t="s">
        <v>21</v>
      </c>
      <c r="J796" t="s">
        <v>372</v>
      </c>
      <c r="K796" t="s">
        <v>831</v>
      </c>
      <c r="L796">
        <v>84389</v>
      </c>
      <c r="M796" t="s">
        <v>832</v>
      </c>
      <c r="O796" t="s">
        <v>11</v>
      </c>
      <c r="P796">
        <v>5403</v>
      </c>
      <c r="Q796">
        <v>6</v>
      </c>
      <c r="R796">
        <v>159.9</v>
      </c>
      <c r="S796">
        <v>959.4</v>
      </c>
      <c r="T796">
        <v>825.66</v>
      </c>
      <c r="U796">
        <v>13.94</v>
      </c>
      <c r="V796" t="str">
        <f>VLOOKUP(L796,'[2]tabela de preços'!$A:$D,4,0)</f>
        <v>BRASILUX</v>
      </c>
      <c r="W796" t="str">
        <f>VLOOKUP(L796,'[2]tabela de preços'!$A:$F,6,0)</f>
        <v>TINTA PARA PISO</v>
      </c>
      <c r="X796" t="str">
        <f>VLOOKUP(L796,'[2]tabela de preços'!$A:$G,7,0)</f>
        <v>IMOBILIÁRIO</v>
      </c>
    </row>
    <row r="797" spans="1:24" x14ac:dyDescent="0.3">
      <c r="A797" t="s">
        <v>828</v>
      </c>
      <c r="C797" t="s">
        <v>833</v>
      </c>
      <c r="D797" s="1">
        <v>46045</v>
      </c>
      <c r="E797" t="s">
        <v>834</v>
      </c>
      <c r="F797">
        <v>9</v>
      </c>
      <c r="G797">
        <v>231</v>
      </c>
      <c r="H797" t="str">
        <f>VLOOKUP(G797,[1]OPERADORES!$A:$B,2,0)</f>
        <v>EDIJANE</v>
      </c>
      <c r="I797" t="s">
        <v>21</v>
      </c>
      <c r="J797" t="s">
        <v>372</v>
      </c>
      <c r="K797" t="s">
        <v>831</v>
      </c>
      <c r="L797">
        <v>84382</v>
      </c>
      <c r="M797" t="s">
        <v>835</v>
      </c>
      <c r="O797" t="s">
        <v>11</v>
      </c>
      <c r="P797">
        <v>5403</v>
      </c>
      <c r="Q797">
        <v>1</v>
      </c>
      <c r="R797">
        <v>159.9</v>
      </c>
      <c r="S797">
        <v>159.9</v>
      </c>
      <c r="T797">
        <v>137.61000000000001</v>
      </c>
      <c r="U797">
        <v>13.94</v>
      </c>
      <c r="V797" t="str">
        <f>VLOOKUP(L797,'[2]tabela de preços'!$A:$D,4,0)</f>
        <v>BRASILUX</v>
      </c>
      <c r="W797" t="str">
        <f>VLOOKUP(L797,'[2]tabela de preços'!$A:$F,6,0)</f>
        <v>TINTA PARA PISO</v>
      </c>
      <c r="X797" t="str">
        <f>VLOOKUP(L797,'[2]tabela de preços'!$A:$G,7,0)</f>
        <v>IMOBILIÁRIO</v>
      </c>
    </row>
    <row r="798" spans="1:24" x14ac:dyDescent="0.3">
      <c r="A798" t="s">
        <v>828</v>
      </c>
      <c r="C798" t="s">
        <v>833</v>
      </c>
      <c r="D798" s="1">
        <v>46045</v>
      </c>
      <c r="E798" t="s">
        <v>834</v>
      </c>
      <c r="F798">
        <v>9</v>
      </c>
      <c r="G798">
        <v>231</v>
      </c>
      <c r="H798" t="str">
        <f>VLOOKUP(G798,[1]OPERADORES!$A:$B,2,0)</f>
        <v>EDIJANE</v>
      </c>
      <c r="I798" t="s">
        <v>21</v>
      </c>
      <c r="J798" t="s">
        <v>372</v>
      </c>
      <c r="K798" t="s">
        <v>831</v>
      </c>
      <c r="L798">
        <v>84383</v>
      </c>
      <c r="M798" t="s">
        <v>836</v>
      </c>
      <c r="O798" t="s">
        <v>11</v>
      </c>
      <c r="P798">
        <v>5403</v>
      </c>
      <c r="Q798">
        <v>1</v>
      </c>
      <c r="R798">
        <v>159.9</v>
      </c>
      <c r="S798">
        <v>159.9</v>
      </c>
      <c r="T798">
        <v>137.61000000000001</v>
      </c>
      <c r="U798">
        <v>13.94</v>
      </c>
      <c r="V798" t="str">
        <f>VLOOKUP(L798,'[2]tabela de preços'!$A:$D,4,0)</f>
        <v>BRASILUX</v>
      </c>
      <c r="W798" t="str">
        <f>VLOOKUP(L798,'[2]tabela de preços'!$A:$F,6,0)</f>
        <v>TINTA PARA PISO</v>
      </c>
      <c r="X798" t="str">
        <f>VLOOKUP(L798,'[2]tabela de preços'!$A:$G,7,0)</f>
        <v>IMOBILIÁRIO</v>
      </c>
    </row>
    <row r="799" spans="1:24" x14ac:dyDescent="0.3">
      <c r="A799" t="s">
        <v>828</v>
      </c>
      <c r="C799" t="s">
        <v>833</v>
      </c>
      <c r="D799" s="1">
        <v>46045</v>
      </c>
      <c r="E799" t="s">
        <v>834</v>
      </c>
      <c r="F799">
        <v>9</v>
      </c>
      <c r="G799">
        <v>231</v>
      </c>
      <c r="H799" t="str">
        <f>VLOOKUP(G799,[1]OPERADORES!$A:$B,2,0)</f>
        <v>EDIJANE</v>
      </c>
      <c r="I799" t="s">
        <v>21</v>
      </c>
      <c r="J799" t="s">
        <v>372</v>
      </c>
      <c r="K799" t="s">
        <v>831</v>
      </c>
      <c r="L799">
        <v>84389</v>
      </c>
      <c r="M799" t="s">
        <v>832</v>
      </c>
      <c r="O799" t="s">
        <v>11</v>
      </c>
      <c r="P799">
        <v>5403</v>
      </c>
      <c r="Q799">
        <v>5</v>
      </c>
      <c r="R799">
        <v>159.9</v>
      </c>
      <c r="S799">
        <v>799.5</v>
      </c>
      <c r="T799">
        <v>688.05</v>
      </c>
      <c r="U799">
        <v>13.94</v>
      </c>
      <c r="V799" t="str">
        <f>VLOOKUP(L799,'[2]tabela de preços'!$A:$D,4,0)</f>
        <v>BRASILUX</v>
      </c>
      <c r="W799" t="str">
        <f>VLOOKUP(L799,'[2]tabela de preços'!$A:$F,6,0)</f>
        <v>TINTA PARA PISO</v>
      </c>
      <c r="X799" t="str">
        <f>VLOOKUP(L799,'[2]tabela de preços'!$A:$G,7,0)</f>
        <v>IMOBILIÁRIO</v>
      </c>
    </row>
    <row r="800" spans="1:24" x14ac:dyDescent="0.3">
      <c r="A800" t="s">
        <v>828</v>
      </c>
      <c r="C800" t="s">
        <v>837</v>
      </c>
      <c r="D800" s="1">
        <v>46048</v>
      </c>
      <c r="E800" t="s">
        <v>838</v>
      </c>
      <c r="F800">
        <v>9</v>
      </c>
      <c r="G800">
        <v>231</v>
      </c>
      <c r="H800" t="str">
        <f>VLOOKUP(G800,[1]OPERADORES!$A:$B,2,0)</f>
        <v>EDIJANE</v>
      </c>
      <c r="I800" t="s">
        <v>21</v>
      </c>
      <c r="J800" t="s">
        <v>372</v>
      </c>
      <c r="K800" t="s">
        <v>831</v>
      </c>
      <c r="L800">
        <v>85344</v>
      </c>
      <c r="M800" t="s">
        <v>839</v>
      </c>
      <c r="O800" t="s">
        <v>11</v>
      </c>
      <c r="P800">
        <v>5102</v>
      </c>
      <c r="Q800">
        <v>15</v>
      </c>
      <c r="R800">
        <v>35.74</v>
      </c>
      <c r="S800">
        <v>536.1</v>
      </c>
      <c r="T800">
        <v>406.95</v>
      </c>
      <c r="U800">
        <v>24.09</v>
      </c>
      <c r="V800" t="str">
        <f>VLOOKUP(L800,'[2]tabela de preços'!$A:$D,4,0)</f>
        <v>DÁVILA  INOVE</v>
      </c>
      <c r="W800" t="str">
        <f>VLOOKUP(L800,'[2]tabela de preços'!$A:$F,6,0)</f>
        <v>MASSA CORRIDA / ACRÍLICA</v>
      </c>
      <c r="X800" t="str">
        <f>VLOOKUP(L800,'[2]tabela de preços'!$A:$G,7,0)</f>
        <v>IMOBILIÁRIO</v>
      </c>
    </row>
    <row r="801" spans="1:24" x14ac:dyDescent="0.3">
      <c r="A801" t="s">
        <v>840</v>
      </c>
      <c r="C801" t="s">
        <v>841</v>
      </c>
      <c r="D801" s="1">
        <v>46043</v>
      </c>
      <c r="E801" t="s">
        <v>842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843</v>
      </c>
      <c r="K801" t="s">
        <v>844</v>
      </c>
      <c r="L801">
        <v>85318</v>
      </c>
      <c r="M801" t="s">
        <v>258</v>
      </c>
      <c r="O801" t="s">
        <v>11</v>
      </c>
      <c r="P801">
        <v>5102</v>
      </c>
      <c r="Q801">
        <v>4</v>
      </c>
      <c r="R801">
        <v>674.43</v>
      </c>
      <c r="S801" s="2">
        <v>2697.72</v>
      </c>
      <c r="T801" s="2">
        <v>2211.2399999999998</v>
      </c>
      <c r="U801">
        <v>18.03</v>
      </c>
      <c r="V801" t="str">
        <f>VLOOKUP(L801,'[2]tabela de preços'!$A:$D,4,0)</f>
        <v>BRASILUX</v>
      </c>
      <c r="W801" t="str">
        <f>VLOOKUP(L801,'[2]tabela de preços'!$A:$F,6,0)</f>
        <v>TINTA EM PÓ</v>
      </c>
      <c r="X801" t="str">
        <f>VLOOKUP(L801,'[2]tabela de preços'!$A:$G,7,0)</f>
        <v>INDUSTRIAL</v>
      </c>
    </row>
    <row r="802" spans="1:24" x14ac:dyDescent="0.3">
      <c r="A802" t="s">
        <v>840</v>
      </c>
      <c r="C802" t="s">
        <v>841</v>
      </c>
      <c r="D802" s="1">
        <v>46043</v>
      </c>
      <c r="E802" t="s">
        <v>842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843</v>
      </c>
      <c r="K802" t="s">
        <v>844</v>
      </c>
      <c r="L802">
        <v>85325</v>
      </c>
      <c r="M802" t="s">
        <v>845</v>
      </c>
      <c r="O802" t="s">
        <v>11</v>
      </c>
      <c r="P802">
        <v>5102</v>
      </c>
      <c r="Q802">
        <v>2</v>
      </c>
      <c r="R802">
        <v>686.62</v>
      </c>
      <c r="S802" s="2">
        <v>1373.24</v>
      </c>
      <c r="T802" s="2">
        <v>1116.46</v>
      </c>
      <c r="U802">
        <v>18.7</v>
      </c>
      <c r="V802" t="str">
        <f>VLOOKUP(L802,'[2]tabela de preços'!$A:$D,4,0)</f>
        <v>BRASILUX</v>
      </c>
      <c r="W802" t="str">
        <f>VLOOKUP(L802,'[2]tabela de preços'!$A:$F,6,0)</f>
        <v>TINTA EM PÓ</v>
      </c>
      <c r="X802" t="str">
        <f>VLOOKUP(L802,'[2]tabela de preços'!$A:$G,7,0)</f>
        <v>INDUSTRIAL</v>
      </c>
    </row>
    <row r="803" spans="1:24" x14ac:dyDescent="0.3">
      <c r="A803" t="s">
        <v>840</v>
      </c>
      <c r="C803" t="s">
        <v>2376</v>
      </c>
      <c r="D803" s="1">
        <v>46052</v>
      </c>
      <c r="E803" t="s">
        <v>2377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843</v>
      </c>
      <c r="K803" t="s">
        <v>844</v>
      </c>
      <c r="L803">
        <v>85318</v>
      </c>
      <c r="M803" t="s">
        <v>258</v>
      </c>
      <c r="O803" t="s">
        <v>11</v>
      </c>
      <c r="P803">
        <v>5102</v>
      </c>
      <c r="Q803">
        <v>1</v>
      </c>
      <c r="R803">
        <v>674.43</v>
      </c>
      <c r="S803">
        <v>674.43</v>
      </c>
      <c r="T803">
        <v>552.80999999999995</v>
      </c>
      <c r="U803">
        <v>18.03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846</v>
      </c>
      <c r="C804" t="s">
        <v>847</v>
      </c>
      <c r="D804" s="1">
        <v>46041</v>
      </c>
      <c r="E804" t="s">
        <v>848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339</v>
      </c>
      <c r="K804" t="s">
        <v>849</v>
      </c>
      <c r="L804">
        <v>85271</v>
      </c>
      <c r="M804" t="s">
        <v>850</v>
      </c>
      <c r="O804" t="s">
        <v>11</v>
      </c>
      <c r="P804">
        <v>5403</v>
      </c>
      <c r="Q804">
        <v>5</v>
      </c>
      <c r="R804">
        <v>148.80000000000001</v>
      </c>
      <c r="S804">
        <v>744</v>
      </c>
      <c r="T804">
        <v>564.70000000000005</v>
      </c>
      <c r="U804">
        <v>24.1</v>
      </c>
      <c r="V804" t="str">
        <f>VLOOKUP(L804,'[2]tabela de preços'!$A:$D,4,0)</f>
        <v>BRASILUX</v>
      </c>
      <c r="W804" t="str">
        <f>VLOOKUP(L804,'[2]tabela de preços'!$A:$F,6,0)</f>
        <v>TINTA PARA PISO</v>
      </c>
      <c r="X804" t="str">
        <f>VLOOKUP(L804,'[2]tabela de preços'!$A:$G,7,0)</f>
        <v>IMOBILIÁRIO</v>
      </c>
    </row>
    <row r="805" spans="1:24" x14ac:dyDescent="0.3">
      <c r="A805" t="s">
        <v>846</v>
      </c>
      <c r="C805" t="s">
        <v>847</v>
      </c>
      <c r="D805" s="1">
        <v>46041</v>
      </c>
      <c r="E805" t="s">
        <v>848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339</v>
      </c>
      <c r="K805" t="s">
        <v>849</v>
      </c>
      <c r="L805">
        <v>24241</v>
      </c>
      <c r="M805" t="s">
        <v>233</v>
      </c>
      <c r="O805" t="s">
        <v>11</v>
      </c>
      <c r="P805">
        <v>5102</v>
      </c>
      <c r="Q805">
        <v>20</v>
      </c>
      <c r="R805">
        <v>12.2</v>
      </c>
      <c r="S805">
        <v>244</v>
      </c>
      <c r="T805">
        <v>185.2</v>
      </c>
      <c r="U805">
        <v>24.1</v>
      </c>
      <c r="V805" t="str">
        <f>VLOOKUP(L805,'[2]tabela de preços'!$A:$D,4,0)</f>
        <v>ADERE</v>
      </c>
      <c r="W805" t="str">
        <f>VLOOKUP(L805,'[2]tabela de preços'!$A:$F,6,0)</f>
        <v>FITA AUTOMOTIVA</v>
      </c>
      <c r="X805" t="str">
        <f>VLOOKUP(L805,'[2]tabela de preços'!$A:$G,7,0)</f>
        <v>AUTOMOTIVO</v>
      </c>
    </row>
    <row r="806" spans="1:24" x14ac:dyDescent="0.3">
      <c r="A806" t="s">
        <v>846</v>
      </c>
      <c r="C806" t="s">
        <v>847</v>
      </c>
      <c r="D806" s="1">
        <v>46041</v>
      </c>
      <c r="E806" t="s">
        <v>848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339</v>
      </c>
      <c r="K806" t="s">
        <v>849</v>
      </c>
      <c r="L806">
        <v>86995</v>
      </c>
      <c r="M806" t="s">
        <v>37</v>
      </c>
      <c r="O806" t="s">
        <v>11</v>
      </c>
      <c r="P806">
        <v>5102</v>
      </c>
      <c r="Q806">
        <v>20</v>
      </c>
      <c r="R806">
        <v>7.29</v>
      </c>
      <c r="S806">
        <v>145.80000000000001</v>
      </c>
      <c r="T806">
        <v>116.6</v>
      </c>
      <c r="U806">
        <v>20.03</v>
      </c>
      <c r="V806" t="str">
        <f>VLOOKUP(L806,'[2]tabela de preços'!$A:$D,4,0)</f>
        <v>AUTOAMERICA</v>
      </c>
      <c r="W806" t="str">
        <f>VLOOKUP(L806,'[2]tabela de preços'!$A:$F,6,0)</f>
        <v>FLANELAS / PANOS</v>
      </c>
      <c r="X806" t="str">
        <f>VLOOKUP(L806,'[2]tabela de preços'!$A:$G,7,0)</f>
        <v>AUTOMOTIVO</v>
      </c>
    </row>
    <row r="807" spans="1:24" x14ac:dyDescent="0.3">
      <c r="A807" t="s">
        <v>846</v>
      </c>
      <c r="C807" t="s">
        <v>847</v>
      </c>
      <c r="D807" s="1">
        <v>46041</v>
      </c>
      <c r="E807" t="s">
        <v>848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339</v>
      </c>
      <c r="K807" t="s">
        <v>849</v>
      </c>
      <c r="L807">
        <v>23878</v>
      </c>
      <c r="M807" t="s">
        <v>851</v>
      </c>
      <c r="O807" t="s">
        <v>11</v>
      </c>
      <c r="P807">
        <v>5102</v>
      </c>
      <c r="Q807">
        <v>10</v>
      </c>
      <c r="R807">
        <v>8.41</v>
      </c>
      <c r="S807">
        <v>84.1</v>
      </c>
      <c r="T807">
        <v>63.8</v>
      </c>
      <c r="U807">
        <v>24.14</v>
      </c>
      <c r="V807" t="str">
        <f>VLOOKUP(L807,'[2]tabela de preços'!$A:$D,4,0)</f>
        <v>ATLAS</v>
      </c>
      <c r="W807" t="str">
        <f>VLOOKUP(L807,'[2]tabela de preços'!$A:$F,6,0)</f>
        <v>ROLOS / TRINCHAS / PINCÉIS / ESPÁTULAS</v>
      </c>
      <c r="X807" t="str">
        <f>VLOOKUP(L807,'[2]tabela de preços'!$A:$G,7,0)</f>
        <v>IMOBILIÁRIO</v>
      </c>
    </row>
    <row r="808" spans="1:24" x14ac:dyDescent="0.3">
      <c r="A808" t="s">
        <v>846</v>
      </c>
      <c r="C808" t="s">
        <v>847</v>
      </c>
      <c r="D808" s="1">
        <v>46041</v>
      </c>
      <c r="E808" t="s">
        <v>848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339</v>
      </c>
      <c r="K808" t="s">
        <v>849</v>
      </c>
      <c r="L808">
        <v>84499</v>
      </c>
      <c r="M808" t="s">
        <v>534</v>
      </c>
      <c r="O808" t="s">
        <v>11</v>
      </c>
      <c r="P808">
        <v>5102</v>
      </c>
      <c r="Q808">
        <v>6</v>
      </c>
      <c r="R808">
        <v>176.61</v>
      </c>
      <c r="S808" s="2">
        <v>1059.6600000000001</v>
      </c>
      <c r="T808">
        <v>804.3</v>
      </c>
      <c r="U808">
        <v>24.1</v>
      </c>
      <c r="V808" t="str">
        <f>VLOOKUP(L808,'[2]tabela de preços'!$A:$D,4,0)</f>
        <v>BRASILUX</v>
      </c>
      <c r="W808" t="str">
        <f>VLOOKUP(L808,'[2]tabela de preços'!$A:$F,6,0)</f>
        <v>THINNER DE LIMPEZA</v>
      </c>
      <c r="X808" t="str">
        <f>VLOOKUP(L808,'[2]tabela de preços'!$A:$G,7,0)</f>
        <v>THINNER</v>
      </c>
    </row>
    <row r="809" spans="1:24" x14ac:dyDescent="0.3">
      <c r="A809" t="s">
        <v>846</v>
      </c>
      <c r="C809" t="s">
        <v>847</v>
      </c>
      <c r="D809" s="1">
        <v>46041</v>
      </c>
      <c r="E809" t="s">
        <v>848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339</v>
      </c>
      <c r="K809" t="s">
        <v>849</v>
      </c>
      <c r="L809">
        <v>84897</v>
      </c>
      <c r="M809" t="s">
        <v>852</v>
      </c>
      <c r="O809" t="s">
        <v>11</v>
      </c>
      <c r="P809">
        <v>5403</v>
      </c>
      <c r="Q809">
        <v>5</v>
      </c>
      <c r="R809">
        <v>230.87</v>
      </c>
      <c r="S809" s="2">
        <v>1154.3499999999999</v>
      </c>
      <c r="T809">
        <v>876.15</v>
      </c>
      <c r="U809">
        <v>24.1</v>
      </c>
      <c r="V809" t="str">
        <f>VLOOKUP(L809,'[2]tabela de preços'!$A:$D,4,0)</f>
        <v>BRASILUX</v>
      </c>
      <c r="W809" t="str">
        <f>VLOOKUP(L809,'[2]tabela de preços'!$A:$F,6,0)</f>
        <v>EPOXI</v>
      </c>
      <c r="X809" t="str">
        <f>VLOOKUP(L809,'[2]tabela de preços'!$A:$G,7,0)</f>
        <v>INDUSTRIAL</v>
      </c>
    </row>
    <row r="810" spans="1:24" x14ac:dyDescent="0.3">
      <c r="A810" t="s">
        <v>846</v>
      </c>
      <c r="C810" t="s">
        <v>847</v>
      </c>
      <c r="D810" s="1">
        <v>46041</v>
      </c>
      <c r="E810" t="s">
        <v>848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339</v>
      </c>
      <c r="K810" t="s">
        <v>849</v>
      </c>
      <c r="L810">
        <v>84898</v>
      </c>
      <c r="M810" t="s">
        <v>853</v>
      </c>
      <c r="O810" t="s">
        <v>11</v>
      </c>
      <c r="P810">
        <v>5403</v>
      </c>
      <c r="Q810">
        <v>12</v>
      </c>
      <c r="R810">
        <v>209.03</v>
      </c>
      <c r="S810" s="2">
        <v>2508.36</v>
      </c>
      <c r="T810" s="2">
        <v>1903.92</v>
      </c>
      <c r="U810">
        <v>24.1</v>
      </c>
      <c r="V810" t="str">
        <f>VLOOKUP(L810,'[2]tabela de preços'!$A:$D,4,0)</f>
        <v>BRASILUX</v>
      </c>
      <c r="W810" t="str">
        <f>VLOOKUP(L810,'[2]tabela de preços'!$A:$F,6,0)</f>
        <v>EPOXI</v>
      </c>
      <c r="X810" t="str">
        <f>VLOOKUP(L810,'[2]tabela de preços'!$A:$G,7,0)</f>
        <v>INDUSTRIAL</v>
      </c>
    </row>
    <row r="811" spans="1:24" x14ac:dyDescent="0.3">
      <c r="A811" t="s">
        <v>846</v>
      </c>
      <c r="C811" t="s">
        <v>847</v>
      </c>
      <c r="D811" s="1">
        <v>46041</v>
      </c>
      <c r="E811" t="s">
        <v>848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339</v>
      </c>
      <c r="K811" t="s">
        <v>849</v>
      </c>
      <c r="L811">
        <v>84899</v>
      </c>
      <c r="M811" t="s">
        <v>854</v>
      </c>
      <c r="O811" t="s">
        <v>11</v>
      </c>
      <c r="P811">
        <v>5403</v>
      </c>
      <c r="Q811">
        <v>1</v>
      </c>
      <c r="R811">
        <v>169.39</v>
      </c>
      <c r="S811">
        <v>169.39</v>
      </c>
      <c r="T811">
        <v>128.57</v>
      </c>
      <c r="U811">
        <v>24.1</v>
      </c>
      <c r="V811" t="str">
        <f>VLOOKUP(L811,'[2]tabela de preços'!$A:$D,4,0)</f>
        <v>BRASILUX</v>
      </c>
      <c r="W811" t="str">
        <f>VLOOKUP(L811,'[2]tabela de preços'!$A:$F,6,0)</f>
        <v>EPOXI</v>
      </c>
      <c r="X811" t="str">
        <f>VLOOKUP(L811,'[2]tabela de preços'!$A:$G,7,0)</f>
        <v>INDUSTRIAL</v>
      </c>
    </row>
    <row r="812" spans="1:24" x14ac:dyDescent="0.3">
      <c r="A812" t="s">
        <v>846</v>
      </c>
      <c r="C812" t="s">
        <v>847</v>
      </c>
      <c r="D812" s="1">
        <v>46041</v>
      </c>
      <c r="E812" t="s">
        <v>848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339</v>
      </c>
      <c r="K812" t="s">
        <v>849</v>
      </c>
      <c r="L812">
        <v>84902</v>
      </c>
      <c r="M812" t="s">
        <v>855</v>
      </c>
      <c r="O812" t="s">
        <v>11</v>
      </c>
      <c r="P812">
        <v>5403</v>
      </c>
      <c r="Q812">
        <v>11</v>
      </c>
      <c r="R812">
        <v>264.45</v>
      </c>
      <c r="S812" s="2">
        <v>2908.95</v>
      </c>
      <c r="T812" s="2">
        <v>2207.92</v>
      </c>
      <c r="U812">
        <v>24.1</v>
      </c>
      <c r="V812" t="str">
        <f>VLOOKUP(L812,'[2]tabela de preços'!$A:$D,4,0)</f>
        <v>BRASILUX</v>
      </c>
      <c r="W812" t="str">
        <f>VLOOKUP(L812,'[2]tabela de preços'!$A:$F,6,0)</f>
        <v>EPOXI</v>
      </c>
      <c r="X812" t="str">
        <f>VLOOKUP(L812,'[2]tabela de preços'!$A:$G,7,0)</f>
        <v>INDUSTRIAL</v>
      </c>
    </row>
    <row r="813" spans="1:24" x14ac:dyDescent="0.3">
      <c r="A813" t="s">
        <v>846</v>
      </c>
      <c r="C813" t="s">
        <v>856</v>
      </c>
      <c r="D813" s="1">
        <v>46045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339</v>
      </c>
      <c r="K813" t="s">
        <v>849</v>
      </c>
      <c r="L813">
        <v>84898</v>
      </c>
      <c r="M813" t="s">
        <v>853</v>
      </c>
      <c r="N813" t="s">
        <v>857</v>
      </c>
      <c r="O813" t="s">
        <v>11</v>
      </c>
      <c r="P813">
        <v>1411</v>
      </c>
      <c r="Q813">
        <v>-8</v>
      </c>
      <c r="R813">
        <v>209.03</v>
      </c>
      <c r="S813" s="2">
        <v>-1672.24</v>
      </c>
      <c r="T813" s="2">
        <v>-1269.28</v>
      </c>
      <c r="U813">
        <v>24.1</v>
      </c>
      <c r="V813" t="str">
        <f>VLOOKUP(L813,'[2]tabela de preços'!$A:$D,4,0)</f>
        <v>BRASILUX</v>
      </c>
      <c r="W813" t="str">
        <f>VLOOKUP(L813,'[2]tabela de preços'!$A:$F,6,0)</f>
        <v>EPOXI</v>
      </c>
      <c r="X813" t="str">
        <f>VLOOKUP(L813,'[2]tabela de preços'!$A:$G,7,0)</f>
        <v>INDUSTRIAL</v>
      </c>
    </row>
    <row r="814" spans="1:24" x14ac:dyDescent="0.3">
      <c r="A814" t="s">
        <v>846</v>
      </c>
      <c r="C814" t="s">
        <v>858</v>
      </c>
      <c r="D814" s="1">
        <v>46045</v>
      </c>
      <c r="E814" t="s">
        <v>859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339</v>
      </c>
      <c r="K814" t="s">
        <v>849</v>
      </c>
      <c r="L814">
        <v>22954</v>
      </c>
      <c r="M814" t="s">
        <v>860</v>
      </c>
      <c r="O814" t="s">
        <v>11</v>
      </c>
      <c r="P814">
        <v>5403</v>
      </c>
      <c r="Q814">
        <v>3</v>
      </c>
      <c r="R814">
        <v>32.51</v>
      </c>
      <c r="S814">
        <v>97.53</v>
      </c>
      <c r="T814">
        <v>74.040000000000006</v>
      </c>
      <c r="U814">
        <v>24.08</v>
      </c>
      <c r="V814" t="str">
        <f>VLOOKUP(L814,'[2]tabela de preços'!$A:$D,4,0)</f>
        <v>WANDA</v>
      </c>
      <c r="W814" t="str">
        <f>VLOOKUP(L814,'[2]tabela de preços'!$A:$F,6,0)</f>
        <v>TINTAS POLIÉSTER</v>
      </c>
      <c r="X814" t="str">
        <f>VLOOKUP(L814,'[2]tabela de preços'!$A:$G,7,0)</f>
        <v>AUTOMOTIVO</v>
      </c>
    </row>
    <row r="815" spans="1:24" x14ac:dyDescent="0.3">
      <c r="A815" t="s">
        <v>846</v>
      </c>
      <c r="C815" t="s">
        <v>858</v>
      </c>
      <c r="D815" s="1">
        <v>46045</v>
      </c>
      <c r="E815" t="s">
        <v>859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339</v>
      </c>
      <c r="K815" t="s">
        <v>849</v>
      </c>
      <c r="L815">
        <v>84329</v>
      </c>
      <c r="M815" t="s">
        <v>285</v>
      </c>
      <c r="O815" t="s">
        <v>11</v>
      </c>
      <c r="P815">
        <v>5403</v>
      </c>
      <c r="Q815">
        <v>7</v>
      </c>
      <c r="R815">
        <v>59.98</v>
      </c>
      <c r="S815">
        <v>419.86</v>
      </c>
      <c r="T815">
        <v>337.89</v>
      </c>
      <c r="U815">
        <v>19.52</v>
      </c>
      <c r="V815" t="str">
        <f>VLOOKUP(L815,'[2]tabela de preços'!$A:$D,4,0)</f>
        <v>BRASILUX</v>
      </c>
      <c r="W815" t="str">
        <f>VLOOKUP(L815,'[2]tabela de preços'!$A:$F,6,0)</f>
        <v>ESMALTES</v>
      </c>
      <c r="X815" t="str">
        <f>VLOOKUP(L815,'[2]tabela de preços'!$A:$G,7,0)</f>
        <v>INDUSTRIAL</v>
      </c>
    </row>
    <row r="816" spans="1:24" x14ac:dyDescent="0.3">
      <c r="A816" t="s">
        <v>846</v>
      </c>
      <c r="C816" t="s">
        <v>858</v>
      </c>
      <c r="D816" s="1">
        <v>46045</v>
      </c>
      <c r="E816" t="s">
        <v>859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339</v>
      </c>
      <c r="K816" t="s">
        <v>849</v>
      </c>
      <c r="L816">
        <v>84331</v>
      </c>
      <c r="M816" t="s">
        <v>497</v>
      </c>
      <c r="O816" t="s">
        <v>11</v>
      </c>
      <c r="P816">
        <v>5403</v>
      </c>
      <c r="Q816">
        <v>4</v>
      </c>
      <c r="R816">
        <v>59.98</v>
      </c>
      <c r="S816">
        <v>239.92</v>
      </c>
      <c r="T816">
        <v>208</v>
      </c>
      <c r="U816">
        <v>13.3</v>
      </c>
      <c r="V816" t="str">
        <f>VLOOKUP(L816,'[2]tabela de preços'!$A:$D,4,0)</f>
        <v>BRASILUX</v>
      </c>
      <c r="W816" t="str">
        <f>VLOOKUP(L816,'[2]tabela de preços'!$A:$F,6,0)</f>
        <v>ESMALTES</v>
      </c>
      <c r="X816" t="str">
        <f>VLOOKUP(L816,'[2]tabela de preços'!$A:$G,7,0)</f>
        <v>INDUSTRIAL</v>
      </c>
    </row>
    <row r="817" spans="1:24" x14ac:dyDescent="0.3">
      <c r="A817" t="s">
        <v>846</v>
      </c>
      <c r="C817" t="s">
        <v>858</v>
      </c>
      <c r="D817" s="1">
        <v>46045</v>
      </c>
      <c r="E817" t="s">
        <v>859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339</v>
      </c>
      <c r="K817" t="s">
        <v>849</v>
      </c>
      <c r="L817">
        <v>20433</v>
      </c>
      <c r="M817" t="s">
        <v>460</v>
      </c>
      <c r="O817" t="s">
        <v>11</v>
      </c>
      <c r="P817">
        <v>5102</v>
      </c>
      <c r="Q817">
        <v>3</v>
      </c>
      <c r="R817">
        <v>32.19</v>
      </c>
      <c r="S817">
        <v>96.57</v>
      </c>
      <c r="T817">
        <v>73.290000000000006</v>
      </c>
      <c r="U817">
        <v>24.11</v>
      </c>
      <c r="V817" t="str">
        <f>VLOOKUP(L817,'[2]tabela de preços'!$A:$D,4,0)</f>
        <v>SHERWIN WILLIAMS</v>
      </c>
      <c r="W817" t="str">
        <f>VLOOKUP(L817,'[2]tabela de preços'!$A:$F,6,0)</f>
        <v>VERNIZ AUTOMOTIVO</v>
      </c>
      <c r="X817" t="str">
        <f>VLOOKUP(L817,'[2]tabela de preços'!$A:$G,7,0)</f>
        <v>AUTOMOTIVO</v>
      </c>
    </row>
    <row r="818" spans="1:24" x14ac:dyDescent="0.3">
      <c r="A818" t="s">
        <v>846</v>
      </c>
      <c r="C818" t="s">
        <v>858</v>
      </c>
      <c r="D818" s="1">
        <v>46045</v>
      </c>
      <c r="E818" t="s">
        <v>859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339</v>
      </c>
      <c r="K818" t="s">
        <v>849</v>
      </c>
      <c r="L818">
        <v>24248</v>
      </c>
      <c r="M818" t="s">
        <v>107</v>
      </c>
      <c r="O818" t="s">
        <v>11</v>
      </c>
      <c r="P818">
        <v>5102</v>
      </c>
      <c r="Q818">
        <v>2</v>
      </c>
      <c r="R818">
        <v>8</v>
      </c>
      <c r="S818">
        <v>16</v>
      </c>
      <c r="T818">
        <v>13</v>
      </c>
      <c r="U818">
        <v>18.75</v>
      </c>
      <c r="V818" t="str">
        <f>VLOOKUP(L818,'[2]tabela de preços'!$A:$D,4,0)</f>
        <v>SHERWIN WILLIAMS</v>
      </c>
      <c r="W818" t="str">
        <f>VLOOKUP(L818,'[2]tabela de preços'!$A:$F,6,0)</f>
        <v>PRIMER AUTOMOTIVO</v>
      </c>
      <c r="X818" t="str">
        <f>VLOOKUP(L818,'[2]tabela de preços'!$A:$G,7,0)</f>
        <v>AUTOMOTIVO</v>
      </c>
    </row>
    <row r="819" spans="1:24" x14ac:dyDescent="0.3">
      <c r="A819" t="s">
        <v>846</v>
      </c>
      <c r="C819" t="s">
        <v>858</v>
      </c>
      <c r="D819" s="1">
        <v>46045</v>
      </c>
      <c r="E819" t="s">
        <v>859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339</v>
      </c>
      <c r="K819" t="s">
        <v>849</v>
      </c>
      <c r="L819">
        <v>84756</v>
      </c>
      <c r="M819" t="s">
        <v>861</v>
      </c>
      <c r="O819" t="s">
        <v>11</v>
      </c>
      <c r="P819">
        <v>5403</v>
      </c>
      <c r="Q819">
        <v>1</v>
      </c>
      <c r="R819">
        <v>81.44</v>
      </c>
      <c r="S819">
        <v>81.44</v>
      </c>
      <c r="T819">
        <v>60.39</v>
      </c>
      <c r="U819">
        <v>25.85</v>
      </c>
      <c r="V819" t="str">
        <f>VLOOKUP(L819,'[2]tabela de preços'!$A:$D,4,0)</f>
        <v>BRASILUX</v>
      </c>
      <c r="W819" t="str">
        <f>VLOOKUP(L819,'[2]tabela de preços'!$A:$F,6,0)</f>
        <v>ESMALTES</v>
      </c>
      <c r="X819" t="str">
        <f>VLOOKUP(L819,'[2]tabela de preços'!$A:$G,7,0)</f>
        <v>INDUSTRIAL</v>
      </c>
    </row>
    <row r="820" spans="1:24" x14ac:dyDescent="0.3">
      <c r="A820" t="s">
        <v>846</v>
      </c>
      <c r="C820" t="s">
        <v>858</v>
      </c>
      <c r="D820" s="1">
        <v>46045</v>
      </c>
      <c r="E820" t="s">
        <v>859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339</v>
      </c>
      <c r="K820" t="s">
        <v>849</v>
      </c>
      <c r="L820">
        <v>13</v>
      </c>
      <c r="M820" t="s">
        <v>152</v>
      </c>
      <c r="O820" t="s">
        <v>11</v>
      </c>
      <c r="P820">
        <v>5102</v>
      </c>
      <c r="Q820">
        <v>7</v>
      </c>
      <c r="R820">
        <v>5.79</v>
      </c>
      <c r="S820">
        <v>40.53</v>
      </c>
      <c r="T820">
        <v>29.12</v>
      </c>
      <c r="U820">
        <v>28.15</v>
      </c>
      <c r="V820" t="str">
        <f>VLOOKUP(L820,'[2]tabela de preços'!$A:$D,4,0)</f>
        <v>3M</v>
      </c>
      <c r="W820" t="str">
        <f>VLOOKUP(L820,'[2]tabela de preços'!$A:$F,6,0)</f>
        <v>LIXA DÁGUA</v>
      </c>
      <c r="X820" t="str">
        <f>VLOOKUP(L820,'[2]tabela de preços'!$A:$G,7,0)</f>
        <v>AUTOMOTIVO</v>
      </c>
    </row>
    <row r="821" spans="1:24" x14ac:dyDescent="0.3">
      <c r="A821" t="s">
        <v>846</v>
      </c>
      <c r="C821" t="s">
        <v>858</v>
      </c>
      <c r="D821" s="1">
        <v>46045</v>
      </c>
      <c r="E821" t="s">
        <v>859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339</v>
      </c>
      <c r="K821" t="s">
        <v>849</v>
      </c>
      <c r="L821">
        <v>84016</v>
      </c>
      <c r="M821" t="s">
        <v>862</v>
      </c>
      <c r="O821" t="s">
        <v>11</v>
      </c>
      <c r="P821">
        <v>5102</v>
      </c>
      <c r="Q821">
        <v>50</v>
      </c>
      <c r="R821">
        <v>0.71</v>
      </c>
      <c r="S821">
        <v>35.5</v>
      </c>
      <c r="T821">
        <v>23</v>
      </c>
      <c r="U821">
        <v>35.21</v>
      </c>
      <c r="V821" t="str">
        <f>VLOOKUP(L821,'[2]tabela de preços'!$A:$D,4,0)</f>
        <v>3M</v>
      </c>
      <c r="W821" t="str">
        <f>VLOOKUP(L821,'[2]tabela de preços'!$A:$F,6,0)</f>
        <v>LIXA MASSA  /MADEIRA / PAREDE</v>
      </c>
      <c r="X821" t="str">
        <f>VLOOKUP(L821,'[2]tabela de preços'!$A:$G,7,0)</f>
        <v>IMOBILIÁRIO</v>
      </c>
    </row>
    <row r="822" spans="1:24" x14ac:dyDescent="0.3">
      <c r="A822" t="s">
        <v>846</v>
      </c>
      <c r="C822" t="s">
        <v>858</v>
      </c>
      <c r="D822" s="1">
        <v>46045</v>
      </c>
      <c r="E822" t="s">
        <v>859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339</v>
      </c>
      <c r="K822" t="s">
        <v>849</v>
      </c>
      <c r="L822">
        <v>10243</v>
      </c>
      <c r="M822" t="s">
        <v>83</v>
      </c>
      <c r="O822" t="s">
        <v>11</v>
      </c>
      <c r="P822">
        <v>5102</v>
      </c>
      <c r="Q822">
        <v>10</v>
      </c>
      <c r="R822">
        <v>2.79</v>
      </c>
      <c r="S822">
        <v>27.9</v>
      </c>
      <c r="T822">
        <v>19.3</v>
      </c>
      <c r="U822">
        <v>30.82</v>
      </c>
      <c r="V822" t="str">
        <f>VLOOKUP(L822,'[2]tabela de preços'!$A:$D,4,0)</f>
        <v>NORTON</v>
      </c>
      <c r="W822" t="str">
        <f>VLOOKUP(L822,'[2]tabela de preços'!$A:$F,6,0)</f>
        <v xml:space="preserve">DISCOS / LIXAS / ABRASIVOS </v>
      </c>
      <c r="X822" t="str">
        <f>VLOOKUP(L822,'[2]tabela de preços'!$A:$G,7,0)</f>
        <v>AUTOMOTIVO</v>
      </c>
    </row>
    <row r="823" spans="1:24" x14ac:dyDescent="0.3">
      <c r="A823" t="s">
        <v>846</v>
      </c>
      <c r="C823" t="s">
        <v>858</v>
      </c>
      <c r="D823" s="1">
        <v>46045</v>
      </c>
      <c r="E823" t="s">
        <v>859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339</v>
      </c>
      <c r="K823" t="s">
        <v>849</v>
      </c>
      <c r="L823">
        <v>10244</v>
      </c>
      <c r="M823" t="s">
        <v>84</v>
      </c>
      <c r="O823" t="s">
        <v>11</v>
      </c>
      <c r="P823">
        <v>5102</v>
      </c>
      <c r="Q823">
        <v>10</v>
      </c>
      <c r="R823">
        <v>2.79</v>
      </c>
      <c r="S823">
        <v>27.9</v>
      </c>
      <c r="T823">
        <v>19.3</v>
      </c>
      <c r="U823">
        <v>30.82</v>
      </c>
      <c r="V823" t="str">
        <f>VLOOKUP(L823,'[2]tabela de preços'!$A:$D,4,0)</f>
        <v>NORTON</v>
      </c>
      <c r="W823" t="str">
        <f>VLOOKUP(L823,'[2]tabela de preços'!$A:$F,6,0)</f>
        <v xml:space="preserve">DISCOS / LIXAS / ABRASIVOS </v>
      </c>
      <c r="X823" t="str">
        <f>VLOOKUP(L823,'[2]tabela de preços'!$A:$G,7,0)</f>
        <v>AUTOMOTIVO</v>
      </c>
    </row>
    <row r="824" spans="1:24" x14ac:dyDescent="0.3">
      <c r="A824" t="s">
        <v>846</v>
      </c>
      <c r="C824" t="s">
        <v>858</v>
      </c>
      <c r="D824" s="1">
        <v>46045</v>
      </c>
      <c r="E824" t="s">
        <v>859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339</v>
      </c>
      <c r="K824" t="s">
        <v>849</v>
      </c>
      <c r="L824">
        <v>10245</v>
      </c>
      <c r="M824" t="s">
        <v>195</v>
      </c>
      <c r="O824" t="s">
        <v>11</v>
      </c>
      <c r="P824">
        <v>5102</v>
      </c>
      <c r="Q824">
        <v>10</v>
      </c>
      <c r="R824">
        <v>2.79</v>
      </c>
      <c r="S824">
        <v>27.9</v>
      </c>
      <c r="T824">
        <v>19.3</v>
      </c>
      <c r="U824">
        <v>30.82</v>
      </c>
      <c r="V824" t="str">
        <f>VLOOKUP(L824,'[2]tabela de preços'!$A:$D,4,0)</f>
        <v>NORTON</v>
      </c>
      <c r="W824" t="str">
        <f>VLOOKUP(L824,'[2]tabela de preços'!$A:$F,6,0)</f>
        <v xml:space="preserve">DISCOS / LIXAS / ABRASIVOS </v>
      </c>
      <c r="X824" t="str">
        <f>VLOOKUP(L824,'[2]tabela de preços'!$A:$G,7,0)</f>
        <v>AUTOMOTIVO</v>
      </c>
    </row>
    <row r="825" spans="1:24" x14ac:dyDescent="0.3">
      <c r="A825" t="s">
        <v>846</v>
      </c>
      <c r="C825" t="s">
        <v>858</v>
      </c>
      <c r="D825" s="1">
        <v>46045</v>
      </c>
      <c r="E825" t="s">
        <v>859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339</v>
      </c>
      <c r="K825" t="s">
        <v>849</v>
      </c>
      <c r="L825">
        <v>10246</v>
      </c>
      <c r="M825" t="s">
        <v>206</v>
      </c>
      <c r="O825" t="s">
        <v>11</v>
      </c>
      <c r="P825">
        <v>5102</v>
      </c>
      <c r="Q825">
        <v>10</v>
      </c>
      <c r="R825">
        <v>2.79</v>
      </c>
      <c r="S825">
        <v>27.9</v>
      </c>
      <c r="T825">
        <v>19.3</v>
      </c>
      <c r="U825">
        <v>30.82</v>
      </c>
      <c r="V825" t="str">
        <f>VLOOKUP(L825,'[2]tabela de preços'!$A:$D,4,0)</f>
        <v>NORTON</v>
      </c>
      <c r="W825" t="str">
        <f>VLOOKUP(L825,'[2]tabela de preços'!$A:$F,6,0)</f>
        <v xml:space="preserve">DISCOS / LIXAS / ABRASIVOS </v>
      </c>
      <c r="X825" t="str">
        <f>VLOOKUP(L825,'[2]tabela de preços'!$A:$G,7,0)</f>
        <v>AUTOMOTIVO</v>
      </c>
    </row>
    <row r="826" spans="1:24" x14ac:dyDescent="0.3">
      <c r="A826" t="s">
        <v>846</v>
      </c>
      <c r="C826" t="s">
        <v>858</v>
      </c>
      <c r="D826" s="1">
        <v>46045</v>
      </c>
      <c r="E826" t="s">
        <v>859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339</v>
      </c>
      <c r="K826" t="s">
        <v>849</v>
      </c>
      <c r="L826">
        <v>24247</v>
      </c>
      <c r="M826" t="s">
        <v>160</v>
      </c>
      <c r="O826" t="s">
        <v>11</v>
      </c>
      <c r="P826">
        <v>5403</v>
      </c>
      <c r="Q826">
        <v>2</v>
      </c>
      <c r="R826">
        <v>21</v>
      </c>
      <c r="S826">
        <v>42</v>
      </c>
      <c r="T826">
        <v>33.74</v>
      </c>
      <c r="U826">
        <v>19.670000000000002</v>
      </c>
      <c r="V826" t="str">
        <f>VLOOKUP(L826,'[2]tabela de preços'!$A:$D,4,0)</f>
        <v>SHERWIN WILLIAMS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846</v>
      </c>
      <c r="C827" t="s">
        <v>858</v>
      </c>
      <c r="D827" s="1">
        <v>46045</v>
      </c>
      <c r="E827" t="s">
        <v>859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339</v>
      </c>
      <c r="K827" t="s">
        <v>849</v>
      </c>
      <c r="L827">
        <v>84499</v>
      </c>
      <c r="M827" t="s">
        <v>534</v>
      </c>
      <c r="O827" t="s">
        <v>11</v>
      </c>
      <c r="P827">
        <v>5102</v>
      </c>
      <c r="Q827">
        <v>1</v>
      </c>
      <c r="R827">
        <v>175.57</v>
      </c>
      <c r="S827">
        <v>175.57</v>
      </c>
      <c r="T827">
        <v>134.05000000000001</v>
      </c>
      <c r="U827">
        <v>23.65</v>
      </c>
      <c r="V827" t="str">
        <f>VLOOKUP(L827,'[2]tabela de preços'!$A:$D,4,0)</f>
        <v>BRASILUX</v>
      </c>
      <c r="W827" t="str">
        <f>VLOOKUP(L827,'[2]tabela de preços'!$A:$F,6,0)</f>
        <v>THINNER DE LIMPEZA</v>
      </c>
      <c r="X827" t="str">
        <f>VLOOKUP(L827,'[2]tabela de preços'!$A:$G,7,0)</f>
        <v>THINNER</v>
      </c>
    </row>
    <row r="828" spans="1:24" x14ac:dyDescent="0.3">
      <c r="A828" t="s">
        <v>846</v>
      </c>
      <c r="C828" t="s">
        <v>858</v>
      </c>
      <c r="D828" s="1">
        <v>46045</v>
      </c>
      <c r="E828" t="s">
        <v>859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339</v>
      </c>
      <c r="K828" t="s">
        <v>849</v>
      </c>
      <c r="L828">
        <v>20399</v>
      </c>
      <c r="M828" t="s">
        <v>465</v>
      </c>
      <c r="O828" t="s">
        <v>11</v>
      </c>
      <c r="P828">
        <v>5403</v>
      </c>
      <c r="Q828">
        <v>3</v>
      </c>
      <c r="R828">
        <v>35.26</v>
      </c>
      <c r="S828">
        <v>105.78</v>
      </c>
      <c r="T828">
        <v>80.34</v>
      </c>
      <c r="U828">
        <v>24.05</v>
      </c>
      <c r="V828" t="str">
        <f>VLOOKUP(L828,'[2]tabela de preços'!$A:$D,4,0)</f>
        <v>SHERWIN WILLIAMS</v>
      </c>
      <c r="W828" t="str">
        <f>VLOOKUP(L828,'[2]tabela de preços'!$A:$F,6,0)</f>
        <v>VERNIZ AUTOMOTIVO</v>
      </c>
      <c r="X828" t="str">
        <f>VLOOKUP(L828,'[2]tabela de preços'!$A:$G,7,0)</f>
        <v>AUTOMOTIVO</v>
      </c>
    </row>
    <row r="829" spans="1:24" x14ac:dyDescent="0.3">
      <c r="A829" t="s">
        <v>846</v>
      </c>
      <c r="C829" t="s">
        <v>863</v>
      </c>
      <c r="D829" s="1">
        <v>46045</v>
      </c>
      <c r="E829" t="s">
        <v>864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339</v>
      </c>
      <c r="K829" t="s">
        <v>849</v>
      </c>
      <c r="L829">
        <v>21577</v>
      </c>
      <c r="M829" t="s">
        <v>865</v>
      </c>
      <c r="O829" t="s">
        <v>11</v>
      </c>
      <c r="P829">
        <v>5102</v>
      </c>
      <c r="Q829">
        <v>1</v>
      </c>
      <c r="R829">
        <v>574.65</v>
      </c>
      <c r="S829">
        <v>574.65</v>
      </c>
      <c r="T829">
        <v>436.17</v>
      </c>
      <c r="U829">
        <v>24.1</v>
      </c>
      <c r="V829" t="str">
        <f>VLOOKUP(L829,'[2]tabela de preços'!$A:$D,4,0)</f>
        <v>DEWALT</v>
      </c>
      <c r="W829" t="str">
        <f>VLOOKUP(L829,'[2]tabela de preços'!$A:$F,6,0)</f>
        <v>OUTRAS FERRAMENTAS / EQUIPAMENTOS</v>
      </c>
      <c r="X829" t="str">
        <f>VLOOKUP(L829,'[2]tabela de preços'!$A:$G,7,0)</f>
        <v>AUTOMOTIVO</v>
      </c>
    </row>
    <row r="830" spans="1:24" x14ac:dyDescent="0.3">
      <c r="A830" t="s">
        <v>846</v>
      </c>
      <c r="C830" t="s">
        <v>866</v>
      </c>
      <c r="D830" s="1">
        <v>46051</v>
      </c>
      <c r="E830" t="s">
        <v>867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339</v>
      </c>
      <c r="K830" t="s">
        <v>849</v>
      </c>
      <c r="L830">
        <v>84329</v>
      </c>
      <c r="M830" t="s">
        <v>285</v>
      </c>
      <c r="O830" t="s">
        <v>11</v>
      </c>
      <c r="P830">
        <v>5403</v>
      </c>
      <c r="Q830">
        <v>7</v>
      </c>
      <c r="R830">
        <v>59.98</v>
      </c>
      <c r="S830">
        <v>419.86</v>
      </c>
      <c r="T830">
        <v>337.89</v>
      </c>
      <c r="U830">
        <v>19.52</v>
      </c>
      <c r="V830" t="str">
        <f>VLOOKUP(L830,'[2]tabela de preços'!$A:$D,4,0)</f>
        <v>BRASILUX</v>
      </c>
      <c r="W830" t="str">
        <f>VLOOKUP(L830,'[2]tabela de preços'!$A:$F,6,0)</f>
        <v>ESMALTES</v>
      </c>
      <c r="X830" t="str">
        <f>VLOOKUP(L830,'[2]tabela de preços'!$A:$G,7,0)</f>
        <v>INDUSTRIAL</v>
      </c>
    </row>
    <row r="831" spans="1:24" x14ac:dyDescent="0.3">
      <c r="A831" t="s">
        <v>846</v>
      </c>
      <c r="C831" t="s">
        <v>866</v>
      </c>
      <c r="D831" s="1">
        <v>46051</v>
      </c>
      <c r="E831" t="s">
        <v>867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339</v>
      </c>
      <c r="K831" t="s">
        <v>849</v>
      </c>
      <c r="L831">
        <v>84560</v>
      </c>
      <c r="M831" t="s">
        <v>118</v>
      </c>
      <c r="O831" t="s">
        <v>11</v>
      </c>
      <c r="P831">
        <v>5102</v>
      </c>
      <c r="Q831">
        <v>4</v>
      </c>
      <c r="R831">
        <v>47.89</v>
      </c>
      <c r="S831">
        <v>191.56</v>
      </c>
      <c r="T831">
        <v>156.63999999999999</v>
      </c>
      <c r="U831">
        <v>18.23</v>
      </c>
      <c r="V831" t="str">
        <f>VLOOKUP(L831,'[2]tabela de preços'!$A:$D,4,0)</f>
        <v>BRASILUX</v>
      </c>
      <c r="W831" t="str">
        <f>VLOOKUP(L831,'[2]tabela de preços'!$A:$F,6,0)</f>
        <v>THINNER DE LIMPEZA</v>
      </c>
      <c r="X831" t="str">
        <f>VLOOKUP(L831,'[2]tabela de preços'!$A:$G,7,0)</f>
        <v>THINNER</v>
      </c>
    </row>
    <row r="832" spans="1:24" x14ac:dyDescent="0.3">
      <c r="A832" t="s">
        <v>846</v>
      </c>
      <c r="C832" t="s">
        <v>2378</v>
      </c>
      <c r="D832" s="1">
        <v>46052</v>
      </c>
      <c r="E832" t="s">
        <v>2379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339</v>
      </c>
      <c r="K832" t="s">
        <v>849</v>
      </c>
      <c r="L832">
        <v>24241</v>
      </c>
      <c r="M832" t="s">
        <v>233</v>
      </c>
      <c r="O832" t="s">
        <v>11</v>
      </c>
      <c r="P832">
        <v>5102</v>
      </c>
      <c r="Q832">
        <v>30</v>
      </c>
      <c r="R832">
        <v>12.2</v>
      </c>
      <c r="S832">
        <v>366</v>
      </c>
      <c r="T832">
        <v>277.8</v>
      </c>
      <c r="U832">
        <v>24.1</v>
      </c>
      <c r="V832" t="str">
        <f>VLOOKUP(L832,'[2]tabela de preços'!$A:$D,4,0)</f>
        <v>ADERE</v>
      </c>
      <c r="W832" t="str">
        <f>VLOOKUP(L832,'[2]tabela de preços'!$A:$F,6,0)</f>
        <v>FITA AUTOMOTIVA</v>
      </c>
      <c r="X832" t="str">
        <f>VLOOKUP(L832,'[2]tabela de preços'!$A:$G,7,0)</f>
        <v>AUTOMOTIVO</v>
      </c>
    </row>
    <row r="833" spans="1:24" x14ac:dyDescent="0.3">
      <c r="A833" t="s">
        <v>846</v>
      </c>
      <c r="C833" t="s">
        <v>2378</v>
      </c>
      <c r="D833" s="1">
        <v>46052</v>
      </c>
      <c r="E833" t="s">
        <v>2379</v>
      </c>
      <c r="F833">
        <v>9</v>
      </c>
      <c r="G833">
        <v>174</v>
      </c>
      <c r="H833" t="str">
        <f>VLOOKUP(G833,[1]OPERADORES!$A:$B,2,0)</f>
        <v>MIRIÃ LOBATO RODRIGUES</v>
      </c>
      <c r="I833" t="s">
        <v>21</v>
      </c>
      <c r="J833" t="s">
        <v>339</v>
      </c>
      <c r="K833" t="s">
        <v>849</v>
      </c>
      <c r="L833">
        <v>84785</v>
      </c>
      <c r="M833" t="s">
        <v>944</v>
      </c>
      <c r="O833" t="s">
        <v>11</v>
      </c>
      <c r="P833">
        <v>5403</v>
      </c>
      <c r="Q833">
        <v>20</v>
      </c>
      <c r="R833">
        <v>172.23</v>
      </c>
      <c r="S833" s="2">
        <v>3444.6</v>
      </c>
      <c r="T833" s="2">
        <v>2614.4</v>
      </c>
      <c r="U833">
        <v>24.1</v>
      </c>
      <c r="V833" t="str">
        <f>VLOOKUP(L833,'[2]tabela de preços'!$A:$D,4,0)</f>
        <v>BRASILUX</v>
      </c>
      <c r="W833" t="str">
        <f>VLOOKUP(L833,'[2]tabela de preços'!$A:$F,6,0)</f>
        <v>EPOXI</v>
      </c>
      <c r="X833" t="str">
        <f>VLOOKUP(L833,'[2]tabela de preços'!$A:$G,7,0)</f>
        <v>INDUSTRIAL</v>
      </c>
    </row>
    <row r="834" spans="1:24" x14ac:dyDescent="0.3">
      <c r="A834" t="s">
        <v>846</v>
      </c>
      <c r="C834" t="s">
        <v>2378</v>
      </c>
      <c r="D834" s="1">
        <v>46052</v>
      </c>
      <c r="E834" t="s">
        <v>2379</v>
      </c>
      <c r="F834">
        <v>9</v>
      </c>
      <c r="G834">
        <v>174</v>
      </c>
      <c r="H834" t="str">
        <f>VLOOKUP(G834,[1]OPERADORES!$A:$B,2,0)</f>
        <v>MIRIÃ LOBATO RODRIGUES</v>
      </c>
      <c r="I834" t="s">
        <v>21</v>
      </c>
      <c r="J834" t="s">
        <v>339</v>
      </c>
      <c r="K834" t="s">
        <v>849</v>
      </c>
      <c r="L834">
        <v>84423</v>
      </c>
      <c r="M834" t="s">
        <v>1198</v>
      </c>
      <c r="O834" t="s">
        <v>11</v>
      </c>
      <c r="P834">
        <v>5102</v>
      </c>
      <c r="Q834">
        <v>10</v>
      </c>
      <c r="R834">
        <v>17.82</v>
      </c>
      <c r="S834">
        <v>178.2</v>
      </c>
      <c r="T834">
        <v>135.19999999999999</v>
      </c>
      <c r="U834">
        <v>24.13</v>
      </c>
      <c r="V834" t="str">
        <f>VLOOKUP(L834,'[2]tabela de preços'!$A:$D,4,0)</f>
        <v>ATLAS</v>
      </c>
      <c r="W834" t="str">
        <f>VLOOKUP(L834,'[2]tabela de preços'!$A:$F,6,0)</f>
        <v>ROLOS / TRINCHAS / PINCÉIS / ESPÁTULAS</v>
      </c>
      <c r="X834" t="str">
        <f>VLOOKUP(L834,'[2]tabela de preços'!$A:$G,7,0)</f>
        <v>IMOBILIÁRIO</v>
      </c>
    </row>
    <row r="835" spans="1:24" x14ac:dyDescent="0.3">
      <c r="A835" t="s">
        <v>846</v>
      </c>
      <c r="C835" t="s">
        <v>2378</v>
      </c>
      <c r="D835" s="1">
        <v>46052</v>
      </c>
      <c r="E835" t="s">
        <v>2379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339</v>
      </c>
      <c r="K835" t="s">
        <v>849</v>
      </c>
      <c r="L835">
        <v>84422</v>
      </c>
      <c r="M835" t="s">
        <v>569</v>
      </c>
      <c r="O835" t="s">
        <v>11</v>
      </c>
      <c r="P835">
        <v>5102</v>
      </c>
      <c r="Q835">
        <v>2</v>
      </c>
      <c r="R835">
        <v>9.32</v>
      </c>
      <c r="S835">
        <v>18.64</v>
      </c>
      <c r="T835">
        <v>14.16</v>
      </c>
      <c r="U835">
        <v>24.03</v>
      </c>
      <c r="V835" t="str">
        <f>VLOOKUP(L835,'[2]tabela de preços'!$A:$D,4,0)</f>
        <v>ATLAS</v>
      </c>
      <c r="W835" t="str">
        <f>VLOOKUP(L835,'[2]tabela de preços'!$A:$F,6,0)</f>
        <v>ROLOS / TRINCHAS / PINCÉIS / ESPÁTULAS</v>
      </c>
      <c r="X835" t="str">
        <f>VLOOKUP(L835,'[2]tabela de preços'!$A:$G,7,0)</f>
        <v>IMOBILIÁRIO</v>
      </c>
    </row>
    <row r="836" spans="1:24" x14ac:dyDescent="0.3">
      <c r="A836" t="s">
        <v>846</v>
      </c>
      <c r="C836" t="s">
        <v>2378</v>
      </c>
      <c r="D836" s="1">
        <v>46052</v>
      </c>
      <c r="E836" t="s">
        <v>2379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339</v>
      </c>
      <c r="K836" t="s">
        <v>849</v>
      </c>
      <c r="L836">
        <v>84499</v>
      </c>
      <c r="M836" t="s">
        <v>534</v>
      </c>
      <c r="O836" t="s">
        <v>11</v>
      </c>
      <c r="P836">
        <v>5102</v>
      </c>
      <c r="Q836">
        <v>8</v>
      </c>
      <c r="R836">
        <v>176.61</v>
      </c>
      <c r="S836" s="2">
        <v>1412.88</v>
      </c>
      <c r="T836" s="2">
        <v>1072.4000000000001</v>
      </c>
      <c r="U836">
        <v>24.1</v>
      </c>
      <c r="V836" t="str">
        <f>VLOOKUP(L836,'[2]tabela de preços'!$A:$D,4,0)</f>
        <v>BRASILUX</v>
      </c>
      <c r="W836" t="str">
        <f>VLOOKUP(L836,'[2]tabela de preços'!$A:$F,6,0)</f>
        <v>THINNER DE LIMPEZA</v>
      </c>
      <c r="X836" t="str">
        <f>VLOOKUP(L836,'[2]tabela de preços'!$A:$G,7,0)</f>
        <v>THINNER</v>
      </c>
    </row>
    <row r="837" spans="1:24" x14ac:dyDescent="0.3">
      <c r="A837" t="s">
        <v>846</v>
      </c>
      <c r="C837" t="s">
        <v>2378</v>
      </c>
      <c r="D837" s="1">
        <v>46052</v>
      </c>
      <c r="E837" t="s">
        <v>2379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339</v>
      </c>
      <c r="K837" t="s">
        <v>849</v>
      </c>
      <c r="L837">
        <v>84898</v>
      </c>
      <c r="M837" t="s">
        <v>853</v>
      </c>
      <c r="O837" t="s">
        <v>11</v>
      </c>
      <c r="P837">
        <v>5403</v>
      </c>
      <c r="Q837">
        <v>20</v>
      </c>
      <c r="R837">
        <v>209.03</v>
      </c>
      <c r="S837" s="2">
        <v>4180.6000000000004</v>
      </c>
      <c r="T837" s="2">
        <v>2571.4</v>
      </c>
      <c r="U837">
        <v>38.49</v>
      </c>
      <c r="V837" t="str">
        <f>VLOOKUP(L837,'[2]tabela de preços'!$A:$D,4,0)</f>
        <v>BRASILUX</v>
      </c>
      <c r="W837" t="str">
        <f>VLOOKUP(L837,'[2]tabela de preços'!$A:$F,6,0)</f>
        <v>EPOXI</v>
      </c>
      <c r="X837" t="str">
        <f>VLOOKUP(L837,'[2]tabela de preços'!$A:$G,7,0)</f>
        <v>INDUSTRIAL</v>
      </c>
    </row>
    <row r="838" spans="1:24" x14ac:dyDescent="0.3">
      <c r="A838" t="s">
        <v>846</v>
      </c>
      <c r="C838" t="s">
        <v>2378</v>
      </c>
      <c r="D838" s="1">
        <v>46052</v>
      </c>
      <c r="E838" t="s">
        <v>2379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339</v>
      </c>
      <c r="K838" t="s">
        <v>849</v>
      </c>
      <c r="L838">
        <v>84899</v>
      </c>
      <c r="M838" t="s">
        <v>854</v>
      </c>
      <c r="O838" t="s">
        <v>11</v>
      </c>
      <c r="P838">
        <v>5403</v>
      </c>
      <c r="Q838">
        <v>2</v>
      </c>
      <c r="R838">
        <v>169.39</v>
      </c>
      <c r="S838">
        <v>338.78</v>
      </c>
      <c r="T838">
        <v>257.14</v>
      </c>
      <c r="U838">
        <v>24.1</v>
      </c>
      <c r="V838" t="str">
        <f>VLOOKUP(L838,'[2]tabela de preços'!$A:$D,4,0)</f>
        <v>BRASILUX</v>
      </c>
      <c r="W838" t="str">
        <f>VLOOKUP(L838,'[2]tabela de preços'!$A:$F,6,0)</f>
        <v>EPOXI</v>
      </c>
      <c r="X838" t="str">
        <f>VLOOKUP(L838,'[2]tabela de preços'!$A:$G,7,0)</f>
        <v>INDUSTRIAL</v>
      </c>
    </row>
    <row r="839" spans="1:24" x14ac:dyDescent="0.3">
      <c r="A839" t="s">
        <v>846</v>
      </c>
      <c r="C839" t="s">
        <v>2378</v>
      </c>
      <c r="D839" s="1">
        <v>46052</v>
      </c>
      <c r="E839" t="s">
        <v>2379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339</v>
      </c>
      <c r="K839" t="s">
        <v>849</v>
      </c>
      <c r="L839">
        <v>86935</v>
      </c>
      <c r="M839" t="s">
        <v>1521</v>
      </c>
      <c r="O839" t="s">
        <v>11</v>
      </c>
      <c r="P839">
        <v>5403</v>
      </c>
      <c r="Q839">
        <v>16</v>
      </c>
      <c r="R839">
        <v>219.88</v>
      </c>
      <c r="S839" s="2">
        <v>3518.08</v>
      </c>
      <c r="T839" s="2">
        <v>2057.12</v>
      </c>
      <c r="U839">
        <v>41.53</v>
      </c>
      <c r="V839" t="str">
        <f>VLOOKUP(L839,'[2]tabela de preços'!$A:$D,4,0)</f>
        <v>BRASILUX</v>
      </c>
      <c r="W839" t="str">
        <f>VLOOKUP(L839,'[2]tabela de preços'!$A:$F,6,0)</f>
        <v>EPOXI</v>
      </c>
      <c r="X839" t="str">
        <f>VLOOKUP(L839,'[2]tabela de preços'!$A:$G,7,0)</f>
        <v>INDUSTRIAL</v>
      </c>
    </row>
    <row r="840" spans="1:24" x14ac:dyDescent="0.3">
      <c r="A840" t="s">
        <v>868</v>
      </c>
      <c r="B840" t="s">
        <v>869</v>
      </c>
      <c r="C840" t="s">
        <v>870</v>
      </c>
      <c r="D840" s="1">
        <v>46029</v>
      </c>
      <c r="E840" t="s">
        <v>871</v>
      </c>
      <c r="F840">
        <v>9</v>
      </c>
      <c r="G840">
        <v>197</v>
      </c>
      <c r="H840" t="str">
        <f>VLOOKUP(G840,[1]OPERADORES!$A:$B,2,0)</f>
        <v xml:space="preserve">POLIANA LORRANE DE AMORIM </v>
      </c>
      <c r="I840" t="s">
        <v>21</v>
      </c>
      <c r="J840" t="s">
        <v>872</v>
      </c>
      <c r="K840" t="s">
        <v>873</v>
      </c>
      <c r="L840">
        <v>10298</v>
      </c>
      <c r="M840" t="s">
        <v>85</v>
      </c>
      <c r="O840" t="s">
        <v>11</v>
      </c>
      <c r="P840">
        <v>5102</v>
      </c>
      <c r="Q840">
        <v>40</v>
      </c>
      <c r="R840">
        <v>54.9</v>
      </c>
      <c r="S840" s="2">
        <v>2196</v>
      </c>
      <c r="T840" s="2">
        <v>1895.2</v>
      </c>
      <c r="U840">
        <v>13.7</v>
      </c>
      <c r="V840" t="str">
        <f>VLOOKUP(L840,'[2]tabela de preços'!$A:$D,4,0)</f>
        <v>ANJO</v>
      </c>
      <c r="W840" t="str">
        <f>VLOOKUP(L840,'[2]tabela de preços'!$A:$F,6,0)</f>
        <v>THINNER DE LIMPEZA</v>
      </c>
      <c r="X840" t="str">
        <f>VLOOKUP(L840,'[2]tabela de preços'!$A:$G,7,0)</f>
        <v>THINNER</v>
      </c>
    </row>
    <row r="841" spans="1:24" x14ac:dyDescent="0.3">
      <c r="A841" t="s">
        <v>868</v>
      </c>
      <c r="B841" t="s">
        <v>869</v>
      </c>
      <c r="C841" t="s">
        <v>874</v>
      </c>
      <c r="D841" s="1">
        <v>46031</v>
      </c>
      <c r="E841" t="s">
        <v>875</v>
      </c>
      <c r="F841">
        <v>9</v>
      </c>
      <c r="G841">
        <v>197</v>
      </c>
      <c r="H841" t="str">
        <f>VLOOKUP(G841,[1]OPERADORES!$A:$B,2,0)</f>
        <v xml:space="preserve">POLIANA LORRANE DE AMORIM </v>
      </c>
      <c r="I841" t="s">
        <v>21</v>
      </c>
      <c r="J841" t="s">
        <v>872</v>
      </c>
      <c r="K841" t="s">
        <v>873</v>
      </c>
      <c r="L841">
        <v>84123</v>
      </c>
      <c r="M841" t="s">
        <v>296</v>
      </c>
      <c r="O841" t="s">
        <v>11</v>
      </c>
      <c r="P841">
        <v>5403</v>
      </c>
      <c r="Q841">
        <v>6</v>
      </c>
      <c r="R841">
        <v>19.100000000000001</v>
      </c>
      <c r="S841">
        <v>114.6</v>
      </c>
      <c r="T841">
        <v>87</v>
      </c>
      <c r="U841">
        <v>24.08</v>
      </c>
      <c r="V841" t="str">
        <f>VLOOKUP(L841,'[2]tabela de preços'!$A:$D,4,0)</f>
        <v>BRASILUX</v>
      </c>
      <c r="W841" t="str">
        <f>VLOOKUP(L841,'[2]tabela de preços'!$A:$F,6,0)</f>
        <v>ESMALTES</v>
      </c>
      <c r="X841" t="str">
        <f>VLOOKUP(L841,'[2]tabela de preços'!$A:$G,7,0)</f>
        <v>INDUSTRIAL</v>
      </c>
    </row>
    <row r="842" spans="1:24" x14ac:dyDescent="0.3">
      <c r="A842" t="s">
        <v>868</v>
      </c>
      <c r="B842" t="s">
        <v>869</v>
      </c>
      <c r="C842" t="s">
        <v>874</v>
      </c>
      <c r="D842" s="1">
        <v>46031</v>
      </c>
      <c r="E842" t="s">
        <v>875</v>
      </c>
      <c r="F842">
        <v>9</v>
      </c>
      <c r="G842">
        <v>197</v>
      </c>
      <c r="H842" t="str">
        <f>VLOOKUP(G842,[1]OPERADORES!$A:$B,2,0)</f>
        <v xml:space="preserve">POLIANA LORRANE DE AMORIM </v>
      </c>
      <c r="I842" t="s">
        <v>21</v>
      </c>
      <c r="J842" t="s">
        <v>872</v>
      </c>
      <c r="K842" t="s">
        <v>873</v>
      </c>
      <c r="L842">
        <v>84038</v>
      </c>
      <c r="M842" t="s">
        <v>593</v>
      </c>
      <c r="O842" t="s">
        <v>11</v>
      </c>
      <c r="P842">
        <v>5102</v>
      </c>
      <c r="Q842">
        <v>4</v>
      </c>
      <c r="R842">
        <v>18.350000000000001</v>
      </c>
      <c r="S842">
        <v>73.400000000000006</v>
      </c>
      <c r="T842">
        <v>53.8</v>
      </c>
      <c r="U842">
        <v>26.7</v>
      </c>
      <c r="V842" t="str">
        <f>VLOOKUP(L842,'[2]tabela de preços'!$A:$D,4,0)</f>
        <v>BRASILUX</v>
      </c>
      <c r="W842" t="str">
        <f>VLOOKUP(L842,'[2]tabela de preços'!$A:$F,6,0)</f>
        <v>MASSA CORRIDA / ACRÍLICA</v>
      </c>
      <c r="X842" t="str">
        <f>VLOOKUP(L842,'[2]tabela de preços'!$A:$G,7,0)</f>
        <v>IMOBILIÁRIO</v>
      </c>
    </row>
    <row r="843" spans="1:24" x14ac:dyDescent="0.3">
      <c r="A843" t="s">
        <v>868</v>
      </c>
      <c r="B843" t="s">
        <v>869</v>
      </c>
      <c r="C843" t="s">
        <v>874</v>
      </c>
      <c r="D843" s="1">
        <v>46031</v>
      </c>
      <c r="E843" t="s">
        <v>875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872</v>
      </c>
      <c r="K843" t="s">
        <v>873</v>
      </c>
      <c r="L843">
        <v>84036</v>
      </c>
      <c r="M843" t="s">
        <v>289</v>
      </c>
      <c r="O843" t="s">
        <v>11</v>
      </c>
      <c r="P843">
        <v>5102</v>
      </c>
      <c r="Q843">
        <v>3</v>
      </c>
      <c r="R843">
        <v>47.89</v>
      </c>
      <c r="S843">
        <v>143.66999999999999</v>
      </c>
      <c r="T843">
        <v>124.89</v>
      </c>
      <c r="U843">
        <v>13.07</v>
      </c>
      <c r="V843" t="str">
        <f>VLOOKUP(L843,'[2]tabela de preços'!$A:$D,4,0)</f>
        <v>BRASILUX</v>
      </c>
      <c r="W843" t="str">
        <f>VLOOKUP(L843,'[2]tabela de preços'!$A:$F,6,0)</f>
        <v>MASSA CORRIDA / ACRÍLICA</v>
      </c>
      <c r="X843" t="str">
        <f>VLOOKUP(L843,'[2]tabela de preços'!$A:$G,7,0)</f>
        <v>IMOBILIÁRIO</v>
      </c>
    </row>
    <row r="844" spans="1:24" x14ac:dyDescent="0.3">
      <c r="A844" t="s">
        <v>868</v>
      </c>
      <c r="B844" t="s">
        <v>869</v>
      </c>
      <c r="C844" t="s">
        <v>876</v>
      </c>
      <c r="D844" s="1">
        <v>46035</v>
      </c>
      <c r="E844" t="s">
        <v>877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872</v>
      </c>
      <c r="K844" t="s">
        <v>873</v>
      </c>
      <c r="L844">
        <v>84219</v>
      </c>
      <c r="M844" t="s">
        <v>878</v>
      </c>
      <c r="O844" t="s">
        <v>11</v>
      </c>
      <c r="P844">
        <v>5403</v>
      </c>
      <c r="Q844">
        <v>2</v>
      </c>
      <c r="R844">
        <v>52.73</v>
      </c>
      <c r="S844">
        <v>105.46</v>
      </c>
      <c r="T844">
        <v>80.06</v>
      </c>
      <c r="U844">
        <v>24.08</v>
      </c>
      <c r="V844" t="str">
        <f>VLOOKUP(L844,'[2]tabela de preços'!$A:$D,4,0)</f>
        <v>BRASILUX</v>
      </c>
      <c r="W844" t="str">
        <f>VLOOKUP(L844,'[2]tabela de preços'!$A:$F,6,0)</f>
        <v>ESMALTES</v>
      </c>
      <c r="X844" t="str">
        <f>VLOOKUP(L844,'[2]tabela de preços'!$A:$G,7,0)</f>
        <v>INDUSTRIAL</v>
      </c>
    </row>
    <row r="845" spans="1:24" x14ac:dyDescent="0.3">
      <c r="A845" t="s">
        <v>868</v>
      </c>
      <c r="B845" t="s">
        <v>869</v>
      </c>
      <c r="C845" t="s">
        <v>876</v>
      </c>
      <c r="D845" s="1">
        <v>46035</v>
      </c>
      <c r="E845" t="s">
        <v>877</v>
      </c>
      <c r="F845">
        <v>9</v>
      </c>
      <c r="G845">
        <v>197</v>
      </c>
      <c r="H845" t="str">
        <f>VLOOKUP(G845,[1]OPERADORES!$A:$B,2,0)</f>
        <v xml:space="preserve">POLIANA LORRANE DE AMORIM </v>
      </c>
      <c r="I845" t="s">
        <v>21</v>
      </c>
      <c r="J845" t="s">
        <v>872</v>
      </c>
      <c r="K845" t="s">
        <v>873</v>
      </c>
      <c r="L845">
        <v>84218</v>
      </c>
      <c r="M845" t="s">
        <v>879</v>
      </c>
      <c r="O845" t="s">
        <v>11</v>
      </c>
      <c r="P845">
        <v>5403</v>
      </c>
      <c r="Q845">
        <v>3</v>
      </c>
      <c r="R845">
        <v>57.11</v>
      </c>
      <c r="S845">
        <v>171.33</v>
      </c>
      <c r="T845">
        <v>130.05000000000001</v>
      </c>
      <c r="U845">
        <v>24.09</v>
      </c>
      <c r="V845" t="str">
        <f>VLOOKUP(L845,'[2]tabela de preços'!$A:$D,4,0)</f>
        <v>BRASILUX</v>
      </c>
      <c r="W845" t="str">
        <f>VLOOKUP(L845,'[2]tabela de preços'!$A:$F,6,0)</f>
        <v>ESMALTES</v>
      </c>
      <c r="X845" t="str">
        <f>VLOOKUP(L845,'[2]tabela de preços'!$A:$G,7,0)</f>
        <v>INDUSTRIAL</v>
      </c>
    </row>
    <row r="846" spans="1:24" x14ac:dyDescent="0.3">
      <c r="A846" t="s">
        <v>868</v>
      </c>
      <c r="B846" t="s">
        <v>869</v>
      </c>
      <c r="C846" t="s">
        <v>876</v>
      </c>
      <c r="D846" s="1">
        <v>46035</v>
      </c>
      <c r="E846" t="s">
        <v>877</v>
      </c>
      <c r="F846">
        <v>9</v>
      </c>
      <c r="G846">
        <v>197</v>
      </c>
      <c r="H846" t="str">
        <f>VLOOKUP(G846,[1]OPERADORES!$A:$B,2,0)</f>
        <v xml:space="preserve">POLIANA LORRANE DE AMORIM </v>
      </c>
      <c r="I846" t="s">
        <v>21</v>
      </c>
      <c r="J846" t="s">
        <v>872</v>
      </c>
      <c r="K846" t="s">
        <v>873</v>
      </c>
      <c r="L846">
        <v>10277</v>
      </c>
      <c r="M846" t="s">
        <v>135</v>
      </c>
      <c r="O846" t="s">
        <v>11</v>
      </c>
      <c r="P846">
        <v>5102</v>
      </c>
      <c r="Q846">
        <v>24</v>
      </c>
      <c r="R846">
        <v>15.89</v>
      </c>
      <c r="S846">
        <v>381.36</v>
      </c>
      <c r="T846">
        <v>309.12</v>
      </c>
      <c r="U846">
        <v>18.940000000000001</v>
      </c>
      <c r="V846" t="str">
        <f>VLOOKUP(L846,'[2]tabela de preços'!$A:$D,4,0)</f>
        <v>RETOQUE</v>
      </c>
      <c r="W846" t="str">
        <f>VLOOKUP(L846,'[2]tabela de preços'!$A:$F,6,0)</f>
        <v xml:space="preserve">COLA  PLÁSTICA </v>
      </c>
      <c r="X846" t="str">
        <f>VLOOKUP(L846,'[2]tabela de preços'!$A:$G,7,0)</f>
        <v>AUTOMOTIVO</v>
      </c>
    </row>
    <row r="847" spans="1:24" x14ac:dyDescent="0.3">
      <c r="A847" t="s">
        <v>868</v>
      </c>
      <c r="B847" t="s">
        <v>869</v>
      </c>
      <c r="C847" t="s">
        <v>880</v>
      </c>
      <c r="D847" s="1">
        <v>46038</v>
      </c>
      <c r="E847" t="s">
        <v>881</v>
      </c>
      <c r="F847">
        <v>9</v>
      </c>
      <c r="G847">
        <v>197</v>
      </c>
      <c r="H847" t="str">
        <f>VLOOKUP(G847,[1]OPERADORES!$A:$B,2,0)</f>
        <v xml:space="preserve">POLIANA LORRANE DE AMORIM </v>
      </c>
      <c r="I847" t="s">
        <v>21</v>
      </c>
      <c r="J847" t="s">
        <v>872</v>
      </c>
      <c r="K847" t="s">
        <v>873</v>
      </c>
      <c r="L847">
        <v>84217</v>
      </c>
      <c r="M847" t="s">
        <v>882</v>
      </c>
      <c r="O847" t="s">
        <v>11</v>
      </c>
      <c r="P847">
        <v>5403</v>
      </c>
      <c r="Q847">
        <v>2</v>
      </c>
      <c r="R847">
        <v>51.16</v>
      </c>
      <c r="S847">
        <v>102.32</v>
      </c>
      <c r="T847">
        <v>77.66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ESMALTES</v>
      </c>
      <c r="X847" t="str">
        <f>VLOOKUP(L847,'[2]tabela de preços'!$A:$G,7,0)</f>
        <v>INDUSTRIAL</v>
      </c>
    </row>
    <row r="848" spans="1:24" x14ac:dyDescent="0.3">
      <c r="A848" t="s">
        <v>868</v>
      </c>
      <c r="B848" t="s">
        <v>869</v>
      </c>
      <c r="C848" t="s">
        <v>880</v>
      </c>
      <c r="D848" s="1">
        <v>46038</v>
      </c>
      <c r="E848" t="s">
        <v>881</v>
      </c>
      <c r="F848">
        <v>9</v>
      </c>
      <c r="G848">
        <v>197</v>
      </c>
      <c r="H848" t="str">
        <f>VLOOKUP(G848,[1]OPERADORES!$A:$B,2,0)</f>
        <v xml:space="preserve">POLIANA LORRANE DE AMORIM </v>
      </c>
      <c r="I848" t="s">
        <v>21</v>
      </c>
      <c r="J848" t="s">
        <v>872</v>
      </c>
      <c r="K848" t="s">
        <v>873</v>
      </c>
      <c r="L848">
        <v>84460</v>
      </c>
      <c r="M848" t="s">
        <v>322</v>
      </c>
      <c r="O848" t="s">
        <v>11</v>
      </c>
      <c r="P848">
        <v>5102</v>
      </c>
      <c r="Q848">
        <v>5</v>
      </c>
      <c r="R848">
        <v>31.07</v>
      </c>
      <c r="S848">
        <v>155.35</v>
      </c>
      <c r="T848">
        <v>117.9</v>
      </c>
      <c r="U848">
        <v>24.11</v>
      </c>
      <c r="V848" t="str">
        <f>VLOOKUP(L848,'[2]tabela de preços'!$A:$D,4,0)</f>
        <v>BRASILUX</v>
      </c>
      <c r="W848" t="str">
        <f>VLOOKUP(L848,'[2]tabela de preços'!$A:$F,6,0)</f>
        <v>VEDADORES / SELANTES</v>
      </c>
      <c r="X848" t="str">
        <f>VLOOKUP(L848,'[2]tabela de preços'!$A:$G,7,0)</f>
        <v>AUTOMOTIVO</v>
      </c>
    </row>
    <row r="849" spans="1:24" x14ac:dyDescent="0.3">
      <c r="A849" t="s">
        <v>868</v>
      </c>
      <c r="B849" t="s">
        <v>869</v>
      </c>
      <c r="C849" t="s">
        <v>883</v>
      </c>
      <c r="D849" s="1">
        <v>46041</v>
      </c>
      <c r="E849" t="s">
        <v>884</v>
      </c>
      <c r="F849">
        <v>9</v>
      </c>
      <c r="G849">
        <v>197</v>
      </c>
      <c r="H849" t="str">
        <f>VLOOKUP(G849,[1]OPERADORES!$A:$B,2,0)</f>
        <v xml:space="preserve">POLIANA LORRANE DE AMORIM </v>
      </c>
      <c r="I849" t="s">
        <v>21</v>
      </c>
      <c r="J849" t="s">
        <v>872</v>
      </c>
      <c r="K849" t="s">
        <v>873</v>
      </c>
      <c r="L849">
        <v>84112</v>
      </c>
      <c r="M849" t="s">
        <v>885</v>
      </c>
      <c r="O849" t="s">
        <v>11</v>
      </c>
      <c r="P849">
        <v>5403</v>
      </c>
      <c r="Q849">
        <v>2</v>
      </c>
      <c r="R849">
        <v>163.04</v>
      </c>
      <c r="S849">
        <v>326.08</v>
      </c>
      <c r="T849">
        <v>233.76</v>
      </c>
      <c r="U849">
        <v>28.31</v>
      </c>
      <c r="V849" t="str">
        <f>VLOOKUP(L849,'[2]tabela de preços'!$A:$D,4,0)</f>
        <v>BRASILUX</v>
      </c>
      <c r="W849" t="str">
        <f>VLOOKUP(L849,'[2]tabela de preços'!$A:$F,6,0)</f>
        <v>EPOXI</v>
      </c>
      <c r="X849" t="str">
        <f>VLOOKUP(L849,'[2]tabela de preços'!$A:$G,7,0)</f>
        <v>INDUSTRIAL</v>
      </c>
    </row>
    <row r="850" spans="1:24" x14ac:dyDescent="0.3">
      <c r="A850" t="s">
        <v>868</v>
      </c>
      <c r="B850" t="s">
        <v>869</v>
      </c>
      <c r="C850" t="s">
        <v>883</v>
      </c>
      <c r="D850" s="1">
        <v>46041</v>
      </c>
      <c r="E850" t="s">
        <v>884</v>
      </c>
      <c r="F850">
        <v>9</v>
      </c>
      <c r="G850">
        <v>197</v>
      </c>
      <c r="H850" t="str">
        <f>VLOOKUP(G850,[1]OPERADORES!$A:$B,2,0)</f>
        <v xml:space="preserve">POLIANA LORRANE DE AMORIM </v>
      </c>
      <c r="I850" t="s">
        <v>21</v>
      </c>
      <c r="J850" t="s">
        <v>872</v>
      </c>
      <c r="K850" t="s">
        <v>873</v>
      </c>
      <c r="L850">
        <v>84115</v>
      </c>
      <c r="M850" t="s">
        <v>886</v>
      </c>
      <c r="O850" t="s">
        <v>11</v>
      </c>
      <c r="P850">
        <v>5403</v>
      </c>
      <c r="Q850">
        <v>1</v>
      </c>
      <c r="R850">
        <v>163.04</v>
      </c>
      <c r="S850">
        <v>163.04</v>
      </c>
      <c r="T850">
        <v>116.88</v>
      </c>
      <c r="U850">
        <v>28.31</v>
      </c>
      <c r="V850" t="str">
        <f>VLOOKUP(L850,'[2]tabela de preços'!$A:$D,4,0)</f>
        <v>BRASILUX</v>
      </c>
      <c r="W850" t="str">
        <f>VLOOKUP(L850,'[2]tabela de preços'!$A:$F,6,0)</f>
        <v>EPOXI</v>
      </c>
      <c r="X850" t="str">
        <f>VLOOKUP(L850,'[2]tabela de preços'!$A:$G,7,0)</f>
        <v>INDUSTRIAL</v>
      </c>
    </row>
    <row r="851" spans="1:24" x14ac:dyDescent="0.3">
      <c r="A851" t="s">
        <v>868</v>
      </c>
      <c r="B851" t="s">
        <v>869</v>
      </c>
      <c r="C851" t="s">
        <v>887</v>
      </c>
      <c r="D851" s="1">
        <v>46043</v>
      </c>
      <c r="E851" t="s">
        <v>888</v>
      </c>
      <c r="F851">
        <v>9</v>
      </c>
      <c r="G851">
        <v>197</v>
      </c>
      <c r="H851" t="str">
        <f>VLOOKUP(G851,[1]OPERADORES!$A:$B,2,0)</f>
        <v xml:space="preserve">POLIANA LORRANE DE AMORIM </v>
      </c>
      <c r="I851" t="s">
        <v>21</v>
      </c>
      <c r="J851" t="s">
        <v>872</v>
      </c>
      <c r="K851" t="s">
        <v>873</v>
      </c>
      <c r="L851">
        <v>84191</v>
      </c>
      <c r="M851" t="s">
        <v>889</v>
      </c>
      <c r="O851" t="s">
        <v>11</v>
      </c>
      <c r="P851">
        <v>5403</v>
      </c>
      <c r="Q851">
        <v>3</v>
      </c>
      <c r="R851">
        <v>22.8</v>
      </c>
      <c r="S851">
        <v>68.400000000000006</v>
      </c>
      <c r="T851">
        <v>50.16</v>
      </c>
      <c r="U851">
        <v>26.67</v>
      </c>
      <c r="V851" t="str">
        <f>VLOOKUP(L851,'[2]tabela de preços'!$A:$D,4,0)</f>
        <v>BRASILUX</v>
      </c>
      <c r="W851" t="str">
        <f>VLOOKUP(L851,'[2]tabela de preços'!$A:$F,6,0)</f>
        <v>LINHA MOVELEIRA</v>
      </c>
      <c r="X851" t="str">
        <f>VLOOKUP(L851,'[2]tabela de preços'!$A:$G,7,0)</f>
        <v>MOVELEIRA</v>
      </c>
    </row>
    <row r="852" spans="1:24" x14ac:dyDescent="0.3">
      <c r="A852" t="s">
        <v>868</v>
      </c>
      <c r="B852" t="s">
        <v>869</v>
      </c>
      <c r="C852" t="s">
        <v>887</v>
      </c>
      <c r="D852" s="1">
        <v>46043</v>
      </c>
      <c r="E852" t="s">
        <v>888</v>
      </c>
      <c r="F852">
        <v>9</v>
      </c>
      <c r="G852">
        <v>197</v>
      </c>
      <c r="H852" t="str">
        <f>VLOOKUP(G852,[1]OPERADORES!$A:$B,2,0)</f>
        <v xml:space="preserve">POLIANA LORRANE DE AMORIM </v>
      </c>
      <c r="I852" t="s">
        <v>21</v>
      </c>
      <c r="J852" t="s">
        <v>872</v>
      </c>
      <c r="K852" t="s">
        <v>873</v>
      </c>
      <c r="L852">
        <v>84034</v>
      </c>
      <c r="M852" t="s">
        <v>890</v>
      </c>
      <c r="O852" t="s">
        <v>11</v>
      </c>
      <c r="P852">
        <v>5102</v>
      </c>
      <c r="Q852">
        <v>1</v>
      </c>
      <c r="R852">
        <v>26</v>
      </c>
      <c r="S852">
        <v>26</v>
      </c>
      <c r="T852">
        <v>19.059999999999999</v>
      </c>
      <c r="U852">
        <v>26.69</v>
      </c>
      <c r="V852" t="str">
        <f>VLOOKUP(L852,'[2]tabela de preços'!$A:$D,4,0)</f>
        <v>BRASILUX</v>
      </c>
      <c r="W852" t="str">
        <f>VLOOKUP(L852,'[2]tabela de preços'!$A:$F,6,0)</f>
        <v>MASSA CORRIDA / ACRÍLICA</v>
      </c>
      <c r="X852" t="str">
        <f>VLOOKUP(L852,'[2]tabela de preços'!$A:$G,7,0)</f>
        <v>IMOBILIÁRIO</v>
      </c>
    </row>
    <row r="853" spans="1:24" x14ac:dyDescent="0.3">
      <c r="A853" t="s">
        <v>868</v>
      </c>
      <c r="B853" t="s">
        <v>869</v>
      </c>
      <c r="C853" t="s">
        <v>887</v>
      </c>
      <c r="D853" s="1">
        <v>46043</v>
      </c>
      <c r="E853" t="s">
        <v>888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872</v>
      </c>
      <c r="K853" t="s">
        <v>873</v>
      </c>
      <c r="L853">
        <v>84038</v>
      </c>
      <c r="M853" t="s">
        <v>593</v>
      </c>
      <c r="O853" t="s">
        <v>11</v>
      </c>
      <c r="P853">
        <v>5102</v>
      </c>
      <c r="Q853">
        <v>4</v>
      </c>
      <c r="R853">
        <v>18.350000000000001</v>
      </c>
      <c r="S853">
        <v>73.400000000000006</v>
      </c>
      <c r="T853">
        <v>53.8</v>
      </c>
      <c r="U853">
        <v>26.7</v>
      </c>
      <c r="V853" t="str">
        <f>VLOOKUP(L853,'[2]tabela de preços'!$A:$D,4,0)</f>
        <v>BRASILUX</v>
      </c>
      <c r="W853" t="str">
        <f>VLOOKUP(L853,'[2]tabela de preços'!$A:$F,6,0)</f>
        <v>MASSA CORRIDA / ACRÍLICA</v>
      </c>
      <c r="X853" t="str">
        <f>VLOOKUP(L853,'[2]tabela de preços'!$A:$G,7,0)</f>
        <v>IMOBILIÁRIO</v>
      </c>
    </row>
    <row r="854" spans="1:24" x14ac:dyDescent="0.3">
      <c r="A854" t="s">
        <v>868</v>
      </c>
      <c r="B854" t="s">
        <v>869</v>
      </c>
      <c r="C854" t="s">
        <v>887</v>
      </c>
      <c r="D854" s="1">
        <v>46043</v>
      </c>
      <c r="E854" t="s">
        <v>888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872</v>
      </c>
      <c r="K854" t="s">
        <v>873</v>
      </c>
      <c r="L854">
        <v>84036</v>
      </c>
      <c r="M854" t="s">
        <v>289</v>
      </c>
      <c r="O854" t="s">
        <v>11</v>
      </c>
      <c r="P854">
        <v>5102</v>
      </c>
      <c r="Q854">
        <v>2</v>
      </c>
      <c r="R854">
        <v>47.9</v>
      </c>
      <c r="S854">
        <v>95.8</v>
      </c>
      <c r="T854">
        <v>83.26</v>
      </c>
      <c r="U854">
        <v>13.09</v>
      </c>
      <c r="V854" t="str">
        <f>VLOOKUP(L854,'[2]tabela de preços'!$A:$D,4,0)</f>
        <v>BRASILUX</v>
      </c>
      <c r="W854" t="str">
        <f>VLOOKUP(L854,'[2]tabela de preços'!$A:$F,6,0)</f>
        <v>MASSA CORRIDA / ACRÍLICA</v>
      </c>
      <c r="X854" t="str">
        <f>VLOOKUP(L854,'[2]tabela de preços'!$A:$G,7,0)</f>
        <v>IMOBILIÁRIO</v>
      </c>
    </row>
    <row r="855" spans="1:24" x14ac:dyDescent="0.3">
      <c r="A855" t="s">
        <v>868</v>
      </c>
      <c r="B855" t="s">
        <v>869</v>
      </c>
      <c r="C855" t="s">
        <v>887</v>
      </c>
      <c r="D855" s="1">
        <v>46043</v>
      </c>
      <c r="E855" t="s">
        <v>888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872</v>
      </c>
      <c r="K855" t="s">
        <v>873</v>
      </c>
      <c r="L855">
        <v>84460</v>
      </c>
      <c r="M855" t="s">
        <v>322</v>
      </c>
      <c r="O855" t="s">
        <v>11</v>
      </c>
      <c r="P855">
        <v>5102</v>
      </c>
      <c r="Q855">
        <v>5</v>
      </c>
      <c r="R855">
        <v>31.07</v>
      </c>
      <c r="S855">
        <v>155.35</v>
      </c>
      <c r="T855">
        <v>117.9</v>
      </c>
      <c r="U855">
        <v>24.11</v>
      </c>
      <c r="V855" t="str">
        <f>VLOOKUP(L855,'[2]tabela de preços'!$A:$D,4,0)</f>
        <v>BRASILUX</v>
      </c>
      <c r="W855" t="str">
        <f>VLOOKUP(L855,'[2]tabela de preços'!$A:$F,6,0)</f>
        <v>VEDADORES / SELANTES</v>
      </c>
      <c r="X855" t="str">
        <f>VLOOKUP(L855,'[2]tabela de preços'!$A:$G,7,0)</f>
        <v>AUTOMOTIVO</v>
      </c>
    </row>
    <row r="856" spans="1:24" x14ac:dyDescent="0.3">
      <c r="A856" t="s">
        <v>868</v>
      </c>
      <c r="B856" t="s">
        <v>869</v>
      </c>
      <c r="C856" t="s">
        <v>891</v>
      </c>
      <c r="D856" s="1">
        <v>46050</v>
      </c>
      <c r="E856" t="s">
        <v>892</v>
      </c>
      <c r="F856">
        <v>9</v>
      </c>
      <c r="G856">
        <v>197</v>
      </c>
      <c r="H856" t="str">
        <f>VLOOKUP(G856,[1]OPERADORES!$A:$B,2,0)</f>
        <v xml:space="preserve">POLIANA LORRANE DE AMORIM </v>
      </c>
      <c r="I856" t="s">
        <v>21</v>
      </c>
      <c r="J856" t="s">
        <v>872</v>
      </c>
      <c r="K856" t="s">
        <v>873</v>
      </c>
      <c r="L856">
        <v>84331</v>
      </c>
      <c r="M856" t="s">
        <v>497</v>
      </c>
      <c r="O856" t="s">
        <v>11</v>
      </c>
      <c r="P856">
        <v>5403</v>
      </c>
      <c r="Q856">
        <v>16</v>
      </c>
      <c r="R856">
        <v>59.98</v>
      </c>
      <c r="S856">
        <v>959.68</v>
      </c>
      <c r="T856">
        <v>832</v>
      </c>
      <c r="U856">
        <v>13.3</v>
      </c>
      <c r="V856" t="str">
        <f>VLOOKUP(L856,'[2]tabela de preços'!$A:$D,4,0)</f>
        <v>BRASILUX</v>
      </c>
      <c r="W856" t="str">
        <f>VLOOKUP(L856,'[2]tabela de preços'!$A:$F,6,0)</f>
        <v>ESMALTES</v>
      </c>
      <c r="X856" t="str">
        <f>VLOOKUP(L856,'[2]tabela de preços'!$A:$G,7,0)</f>
        <v>INDUSTRIAL</v>
      </c>
    </row>
    <row r="857" spans="1:24" x14ac:dyDescent="0.3">
      <c r="A857" t="s">
        <v>868</v>
      </c>
      <c r="B857" t="s">
        <v>869</v>
      </c>
      <c r="C857" t="s">
        <v>891</v>
      </c>
      <c r="D857" s="1">
        <v>46050</v>
      </c>
      <c r="E857" t="s">
        <v>892</v>
      </c>
      <c r="F857">
        <v>9</v>
      </c>
      <c r="G857">
        <v>197</v>
      </c>
      <c r="H857" t="str">
        <f>VLOOKUP(G857,[1]OPERADORES!$A:$B,2,0)</f>
        <v xml:space="preserve">POLIANA LORRANE DE AMORIM </v>
      </c>
      <c r="I857" t="s">
        <v>21</v>
      </c>
      <c r="J857" t="s">
        <v>872</v>
      </c>
      <c r="K857" t="s">
        <v>873</v>
      </c>
      <c r="L857">
        <v>84342</v>
      </c>
      <c r="M857" t="s">
        <v>498</v>
      </c>
      <c r="O857" t="s">
        <v>11</v>
      </c>
      <c r="P857">
        <v>5403</v>
      </c>
      <c r="Q857">
        <v>4</v>
      </c>
      <c r="R857">
        <v>59.98</v>
      </c>
      <c r="S857">
        <v>239.92</v>
      </c>
      <c r="T857">
        <v>183.12</v>
      </c>
      <c r="U857">
        <v>23.67</v>
      </c>
      <c r="V857" t="str">
        <f>VLOOKUP(L857,'[2]tabela de preços'!$A:$D,4,0)</f>
        <v>BRASILUX</v>
      </c>
      <c r="W857" t="str">
        <f>VLOOKUP(L857,'[2]tabela de preços'!$A:$F,6,0)</f>
        <v>ESMALTES</v>
      </c>
      <c r="X857" t="str">
        <f>VLOOKUP(L857,'[2]tabela de preços'!$A:$G,7,0)</f>
        <v>INDUSTRIAL</v>
      </c>
    </row>
    <row r="858" spans="1:24" x14ac:dyDescent="0.3">
      <c r="A858" t="s">
        <v>868</v>
      </c>
      <c r="B858" t="s">
        <v>869</v>
      </c>
      <c r="C858" t="s">
        <v>893</v>
      </c>
      <c r="D858" s="1">
        <v>46051</v>
      </c>
      <c r="E858" t="s">
        <v>894</v>
      </c>
      <c r="F858">
        <v>9</v>
      </c>
      <c r="G858">
        <v>197</v>
      </c>
      <c r="H858" t="str">
        <f>VLOOKUP(G858,[1]OPERADORES!$A:$B,2,0)</f>
        <v xml:space="preserve">POLIANA LORRANE DE AMORIM </v>
      </c>
      <c r="I858" t="s">
        <v>21</v>
      </c>
      <c r="J858" t="s">
        <v>872</v>
      </c>
      <c r="K858" t="s">
        <v>873</v>
      </c>
      <c r="L858">
        <v>84334</v>
      </c>
      <c r="M858" t="s">
        <v>895</v>
      </c>
      <c r="O858" t="s">
        <v>11</v>
      </c>
      <c r="P858">
        <v>5403</v>
      </c>
      <c r="Q858">
        <v>8</v>
      </c>
      <c r="R858">
        <v>59.98</v>
      </c>
      <c r="S858">
        <v>479.84</v>
      </c>
      <c r="T858">
        <v>381.28</v>
      </c>
      <c r="U858">
        <v>20.54</v>
      </c>
      <c r="V858" t="str">
        <f>VLOOKUP(L858,'[2]tabela de preços'!$A:$D,4,0)</f>
        <v>BRASILUX</v>
      </c>
      <c r="W858" t="str">
        <f>VLOOKUP(L858,'[2]tabela de preços'!$A:$F,6,0)</f>
        <v>ESMALTES</v>
      </c>
      <c r="X858" t="str">
        <f>VLOOKUP(L858,'[2]tabela de preços'!$A:$G,7,0)</f>
        <v>INDUSTRIAL</v>
      </c>
    </row>
    <row r="859" spans="1:24" x14ac:dyDescent="0.3">
      <c r="A859" t="s">
        <v>868</v>
      </c>
      <c r="B859" t="s">
        <v>869</v>
      </c>
      <c r="C859" t="s">
        <v>893</v>
      </c>
      <c r="D859" s="1">
        <v>46051</v>
      </c>
      <c r="E859" t="s">
        <v>894</v>
      </c>
      <c r="F859">
        <v>9</v>
      </c>
      <c r="G859">
        <v>197</v>
      </c>
      <c r="H859" t="str">
        <f>VLOOKUP(G859,[1]OPERADORES!$A:$B,2,0)</f>
        <v xml:space="preserve">POLIANA LORRANE DE AMORIM </v>
      </c>
      <c r="I859" t="s">
        <v>21</v>
      </c>
      <c r="J859" t="s">
        <v>872</v>
      </c>
      <c r="K859" t="s">
        <v>873</v>
      </c>
      <c r="L859">
        <v>84342</v>
      </c>
      <c r="M859" t="s">
        <v>498</v>
      </c>
      <c r="O859" t="s">
        <v>11</v>
      </c>
      <c r="P859">
        <v>5403</v>
      </c>
      <c r="Q859">
        <v>4</v>
      </c>
      <c r="R859">
        <v>59.98</v>
      </c>
      <c r="S859">
        <v>239.92</v>
      </c>
      <c r="T859">
        <v>183.12</v>
      </c>
      <c r="U859">
        <v>23.67</v>
      </c>
      <c r="V859" t="str">
        <f>VLOOKUP(L859,'[2]tabela de preços'!$A:$D,4,0)</f>
        <v>BRASILUX</v>
      </c>
      <c r="W859" t="str">
        <f>VLOOKUP(L859,'[2]tabela de preços'!$A:$F,6,0)</f>
        <v>ESMALTES</v>
      </c>
      <c r="X859" t="str">
        <f>VLOOKUP(L859,'[2]tabela de preços'!$A:$G,7,0)</f>
        <v>INDUSTRIAL</v>
      </c>
    </row>
    <row r="860" spans="1:24" x14ac:dyDescent="0.3">
      <c r="A860" t="s">
        <v>868</v>
      </c>
      <c r="B860" t="s">
        <v>869</v>
      </c>
      <c r="C860" t="s">
        <v>2380</v>
      </c>
      <c r="D860" s="1">
        <v>46052</v>
      </c>
      <c r="E860" t="s">
        <v>2381</v>
      </c>
      <c r="F860">
        <v>9</v>
      </c>
      <c r="G860">
        <v>197</v>
      </c>
      <c r="H860" t="str">
        <f>VLOOKUP(G860,[1]OPERADORES!$A:$B,2,0)</f>
        <v xml:space="preserve">POLIANA LORRANE DE AMORIM </v>
      </c>
      <c r="I860" t="s">
        <v>21</v>
      </c>
      <c r="J860" t="s">
        <v>872</v>
      </c>
      <c r="K860" t="s">
        <v>873</v>
      </c>
      <c r="L860">
        <v>84351</v>
      </c>
      <c r="M860" t="s">
        <v>2152</v>
      </c>
      <c r="O860" t="s">
        <v>11</v>
      </c>
      <c r="P860">
        <v>5403</v>
      </c>
      <c r="Q860">
        <v>5</v>
      </c>
      <c r="R860">
        <v>59.98</v>
      </c>
      <c r="S860">
        <v>299.89999999999998</v>
      </c>
      <c r="T860">
        <v>260</v>
      </c>
      <c r="U860">
        <v>13.3</v>
      </c>
      <c r="V860" t="str">
        <f>VLOOKUP(L860,'[2]tabela de preços'!$A:$D,4,0)</f>
        <v>BRASILUX</v>
      </c>
      <c r="W860" t="str">
        <f>VLOOKUP(L860,'[2]tabela de preços'!$A:$F,6,0)</f>
        <v>ESMALTES</v>
      </c>
      <c r="X860" t="str">
        <f>VLOOKUP(L860,'[2]tabela de preços'!$A:$G,7,0)</f>
        <v>INDUSTRIAL</v>
      </c>
    </row>
    <row r="861" spans="1:24" x14ac:dyDescent="0.3">
      <c r="A861" t="s">
        <v>868</v>
      </c>
      <c r="B861" t="s">
        <v>869</v>
      </c>
      <c r="C861" t="s">
        <v>2380</v>
      </c>
      <c r="D861" s="1">
        <v>46052</v>
      </c>
      <c r="E861" t="s">
        <v>2381</v>
      </c>
      <c r="F861">
        <v>9</v>
      </c>
      <c r="G861">
        <v>197</v>
      </c>
      <c r="H861" t="str">
        <f>VLOOKUP(G861,[1]OPERADORES!$A:$B,2,0)</f>
        <v xml:space="preserve">POLIANA LORRANE DE AMORIM </v>
      </c>
      <c r="I861" t="s">
        <v>21</v>
      </c>
      <c r="J861" t="s">
        <v>872</v>
      </c>
      <c r="K861" t="s">
        <v>873</v>
      </c>
      <c r="L861">
        <v>84334</v>
      </c>
      <c r="M861" t="s">
        <v>895</v>
      </c>
      <c r="O861" t="s">
        <v>11</v>
      </c>
      <c r="P861">
        <v>5403</v>
      </c>
      <c r="Q861">
        <v>10</v>
      </c>
      <c r="R861">
        <v>59.98</v>
      </c>
      <c r="S861">
        <v>599.79999999999995</v>
      </c>
      <c r="T861">
        <v>476.6</v>
      </c>
      <c r="U861">
        <v>20.54</v>
      </c>
      <c r="V861" t="str">
        <f>VLOOKUP(L861,'[2]tabela de preços'!$A:$D,4,0)</f>
        <v>BRASILUX</v>
      </c>
      <c r="W861" t="str">
        <f>VLOOKUP(L861,'[2]tabela de preços'!$A:$F,6,0)</f>
        <v>ESMALTES</v>
      </c>
      <c r="X861" t="str">
        <f>VLOOKUP(L861,'[2]tabela de preços'!$A:$G,7,0)</f>
        <v>INDUSTRIAL</v>
      </c>
    </row>
    <row r="862" spans="1:24" x14ac:dyDescent="0.3">
      <c r="A862" t="s">
        <v>896</v>
      </c>
      <c r="C862" t="s">
        <v>897</v>
      </c>
      <c r="D862" s="1">
        <v>46049</v>
      </c>
      <c r="E862" t="s">
        <v>898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339</v>
      </c>
      <c r="K862" t="s">
        <v>899</v>
      </c>
      <c r="L862">
        <v>84030</v>
      </c>
      <c r="M862" t="s">
        <v>900</v>
      </c>
      <c r="O862" t="s">
        <v>11</v>
      </c>
      <c r="P862">
        <v>5102</v>
      </c>
      <c r="Q862">
        <v>4</v>
      </c>
      <c r="R862">
        <v>55.81</v>
      </c>
      <c r="S862">
        <v>223.24</v>
      </c>
      <c r="T862">
        <v>169.44</v>
      </c>
      <c r="U862">
        <v>24.1</v>
      </c>
      <c r="V862" t="str">
        <f>VLOOKUP(L862,'[2]tabela de preços'!$A:$D,4,0)</f>
        <v>BRASILUX</v>
      </c>
      <c r="W862" t="str">
        <f>VLOOKUP(L862,'[2]tabela de preços'!$A:$F,6,0)</f>
        <v>AGUARRAS</v>
      </c>
      <c r="X862" t="str">
        <f>VLOOKUP(L862,'[2]tabela de preços'!$A:$G,7,0)</f>
        <v>IMOBILIÁRIO</v>
      </c>
    </row>
    <row r="863" spans="1:24" x14ac:dyDescent="0.3">
      <c r="A863" t="s">
        <v>901</v>
      </c>
      <c r="C863" t="s">
        <v>902</v>
      </c>
      <c r="D863" s="1">
        <v>46028</v>
      </c>
      <c r="E863" t="s">
        <v>903</v>
      </c>
      <c r="F863">
        <v>9</v>
      </c>
      <c r="G863">
        <v>230</v>
      </c>
      <c r="H863" t="str">
        <f>VLOOKUP(G863,[1]OPERADORES!$A:$B,2,0)</f>
        <v>SÔNIA</v>
      </c>
      <c r="I863" t="s">
        <v>21</v>
      </c>
      <c r="J863" t="s">
        <v>904</v>
      </c>
      <c r="K863" t="s">
        <v>905</v>
      </c>
      <c r="L863">
        <v>84331</v>
      </c>
      <c r="M863" t="s">
        <v>497</v>
      </c>
      <c r="O863" t="s">
        <v>11</v>
      </c>
      <c r="P863">
        <v>5403</v>
      </c>
      <c r="Q863">
        <v>20</v>
      </c>
      <c r="R863">
        <v>60.89</v>
      </c>
      <c r="S863" s="2">
        <v>1217.8</v>
      </c>
      <c r="T863" s="2">
        <v>1040</v>
      </c>
      <c r="U863">
        <v>14.6</v>
      </c>
      <c r="V863" t="str">
        <f>VLOOKUP(L863,'[2]tabela de preços'!$A:$D,4,0)</f>
        <v>BRASILUX</v>
      </c>
      <c r="W863" t="str">
        <f>VLOOKUP(L863,'[2]tabela de preços'!$A:$F,6,0)</f>
        <v>ESMALTES</v>
      </c>
      <c r="X863" t="str">
        <f>VLOOKUP(L863,'[2]tabela de preços'!$A:$G,7,0)</f>
        <v>INDUSTRIAL</v>
      </c>
    </row>
    <row r="864" spans="1:24" x14ac:dyDescent="0.3">
      <c r="A864" t="s">
        <v>901</v>
      </c>
      <c r="C864" t="s">
        <v>902</v>
      </c>
      <c r="D864" s="1">
        <v>46028</v>
      </c>
      <c r="E864" t="s">
        <v>903</v>
      </c>
      <c r="F864">
        <v>9</v>
      </c>
      <c r="G864">
        <v>230</v>
      </c>
      <c r="H864" t="str">
        <f>VLOOKUP(G864,[1]OPERADORES!$A:$B,2,0)</f>
        <v>SÔNIA</v>
      </c>
      <c r="I864" t="s">
        <v>21</v>
      </c>
      <c r="J864" t="s">
        <v>904</v>
      </c>
      <c r="K864" t="s">
        <v>905</v>
      </c>
      <c r="L864">
        <v>5</v>
      </c>
      <c r="M864" t="s">
        <v>147</v>
      </c>
      <c r="O864" t="s">
        <v>11</v>
      </c>
      <c r="P864">
        <v>5102</v>
      </c>
      <c r="Q864">
        <v>8</v>
      </c>
      <c r="R864">
        <v>4.8499999999999996</v>
      </c>
      <c r="S864">
        <v>38.799999999999997</v>
      </c>
      <c r="T864">
        <v>31.28</v>
      </c>
      <c r="U864">
        <v>19.38</v>
      </c>
      <c r="V864" t="str">
        <f>VLOOKUP(L864,'[2]tabela de preços'!$A:$D,4,0)</f>
        <v>BRILHO ESTOPA</v>
      </c>
      <c r="W864" t="str">
        <f>VLOOKUP(L864,'[2]tabela de preços'!$A:$F,6,0)</f>
        <v>ESTOPAS</v>
      </c>
      <c r="X864" t="str">
        <f>VLOOKUP(L864,'[2]tabela de preços'!$A:$G,7,0)</f>
        <v>AUTOMOTIVO</v>
      </c>
    </row>
    <row r="865" spans="1:24" x14ac:dyDescent="0.3">
      <c r="A865" t="s">
        <v>901</v>
      </c>
      <c r="C865" t="s">
        <v>902</v>
      </c>
      <c r="D865" s="1">
        <v>46028</v>
      </c>
      <c r="E865" t="s">
        <v>903</v>
      </c>
      <c r="F865">
        <v>9</v>
      </c>
      <c r="G865">
        <v>230</v>
      </c>
      <c r="H865" t="str">
        <f>VLOOKUP(G865,[1]OPERADORES!$A:$B,2,0)</f>
        <v>SÔNIA</v>
      </c>
      <c r="I865" t="s">
        <v>21</v>
      </c>
      <c r="J865" t="s">
        <v>904</v>
      </c>
      <c r="K865" t="s">
        <v>905</v>
      </c>
      <c r="L865">
        <v>84928</v>
      </c>
      <c r="M865" t="s">
        <v>36</v>
      </c>
      <c r="O865" t="s">
        <v>11</v>
      </c>
      <c r="P865">
        <v>5102</v>
      </c>
      <c r="Q865">
        <v>40</v>
      </c>
      <c r="R865">
        <v>9.39</v>
      </c>
      <c r="S865">
        <v>375.6</v>
      </c>
      <c r="T865">
        <v>285.2</v>
      </c>
      <c r="U865">
        <v>24.07</v>
      </c>
      <c r="V865" t="str">
        <f>VLOOKUP(L865,'[2]tabela de preços'!$A:$D,4,0)</f>
        <v>ADERE</v>
      </c>
      <c r="W865" t="str">
        <f>VLOOKUP(L865,'[2]tabela de preços'!$A:$F,6,0)</f>
        <v xml:space="preserve">FITA DE USO GERAL </v>
      </c>
      <c r="X865" t="str">
        <f>VLOOKUP(L865,'[2]tabela de preços'!$A:$G,7,0)</f>
        <v>IMOBILIÁRIO</v>
      </c>
    </row>
    <row r="866" spans="1:24" x14ac:dyDescent="0.3">
      <c r="A866" t="s">
        <v>901</v>
      </c>
      <c r="C866" t="s">
        <v>902</v>
      </c>
      <c r="D866" s="1">
        <v>46028</v>
      </c>
      <c r="E866" t="s">
        <v>903</v>
      </c>
      <c r="F866">
        <v>9</v>
      </c>
      <c r="G866">
        <v>230</v>
      </c>
      <c r="H866" t="str">
        <f>VLOOKUP(G866,[1]OPERADORES!$A:$B,2,0)</f>
        <v>SÔNIA</v>
      </c>
      <c r="I866" t="s">
        <v>21</v>
      </c>
      <c r="J866" t="s">
        <v>904</v>
      </c>
      <c r="K866" t="s">
        <v>905</v>
      </c>
      <c r="L866">
        <v>84016</v>
      </c>
      <c r="M866" t="s">
        <v>862</v>
      </c>
      <c r="O866" t="s">
        <v>11</v>
      </c>
      <c r="P866">
        <v>5102</v>
      </c>
      <c r="Q866">
        <v>10</v>
      </c>
      <c r="R866">
        <v>0.52</v>
      </c>
      <c r="S866">
        <v>5.2</v>
      </c>
      <c r="T866">
        <v>4.5999999999999996</v>
      </c>
      <c r="U866">
        <v>11.54</v>
      </c>
      <c r="V866" t="str">
        <f>VLOOKUP(L866,'[2]tabela de preços'!$A:$D,4,0)</f>
        <v>3M</v>
      </c>
      <c r="W866" t="str">
        <f>VLOOKUP(L866,'[2]tabela de preços'!$A:$F,6,0)</f>
        <v>LIXA MASSA  /MADEIRA / PAREDE</v>
      </c>
      <c r="X866" t="str">
        <f>VLOOKUP(L866,'[2]tabela de preços'!$A:$G,7,0)</f>
        <v>IMOBILIÁRIO</v>
      </c>
    </row>
    <row r="867" spans="1:24" x14ac:dyDescent="0.3">
      <c r="A867" t="s">
        <v>901</v>
      </c>
      <c r="C867" t="s">
        <v>902</v>
      </c>
      <c r="D867" s="1">
        <v>46028</v>
      </c>
      <c r="E867" t="s">
        <v>903</v>
      </c>
      <c r="F867">
        <v>9</v>
      </c>
      <c r="G867">
        <v>230</v>
      </c>
      <c r="H867" t="str">
        <f>VLOOKUP(G867,[1]OPERADORES!$A:$B,2,0)</f>
        <v>SÔNIA</v>
      </c>
      <c r="I867" t="s">
        <v>21</v>
      </c>
      <c r="J867" t="s">
        <v>904</v>
      </c>
      <c r="K867" t="s">
        <v>905</v>
      </c>
      <c r="L867">
        <v>85707</v>
      </c>
      <c r="M867" t="s">
        <v>906</v>
      </c>
      <c r="O867" t="s">
        <v>46</v>
      </c>
      <c r="P867">
        <v>5405</v>
      </c>
      <c r="Q867">
        <v>2</v>
      </c>
      <c r="R867">
        <v>309.81</v>
      </c>
      <c r="S867">
        <v>619.62</v>
      </c>
      <c r="T867">
        <v>470.3</v>
      </c>
      <c r="U867">
        <v>24.1</v>
      </c>
      <c r="V867" t="str">
        <f>VLOOKUP(L867,'[2]tabela de preços'!$A:$D,4,0)</f>
        <v>MULTILONA</v>
      </c>
      <c r="W867" t="str">
        <f>VLOOKUP(L867,'[2]tabela de preços'!$A:$F,6,0)</f>
        <v>LONAS</v>
      </c>
      <c r="X867" t="str">
        <f>VLOOKUP(L867,'[2]tabela de preços'!$A:$G,7,0)</f>
        <v>IMOBILIÁRIO</v>
      </c>
    </row>
    <row r="868" spans="1:24" x14ac:dyDescent="0.3">
      <c r="A868" t="s">
        <v>901</v>
      </c>
      <c r="C868" t="s">
        <v>902</v>
      </c>
      <c r="D868" s="1">
        <v>46028</v>
      </c>
      <c r="E868" t="s">
        <v>903</v>
      </c>
      <c r="F868">
        <v>9</v>
      </c>
      <c r="G868">
        <v>230</v>
      </c>
      <c r="H868" t="str">
        <f>VLOOKUP(G868,[1]OPERADORES!$A:$B,2,0)</f>
        <v>SÔNIA</v>
      </c>
      <c r="I868" t="s">
        <v>21</v>
      </c>
      <c r="J868" t="s">
        <v>904</v>
      </c>
      <c r="K868" t="s">
        <v>905</v>
      </c>
      <c r="L868">
        <v>84421</v>
      </c>
      <c r="M868" t="s">
        <v>568</v>
      </c>
      <c r="O868" t="s">
        <v>11</v>
      </c>
      <c r="P868">
        <v>5102</v>
      </c>
      <c r="Q868">
        <v>12</v>
      </c>
      <c r="R868">
        <v>6.35</v>
      </c>
      <c r="S868">
        <v>76.2</v>
      </c>
      <c r="T868">
        <v>57.84</v>
      </c>
      <c r="U868">
        <v>24.09</v>
      </c>
      <c r="V868" t="str">
        <f>VLOOKUP(L868,'[2]tabela de preços'!$A:$D,4,0)</f>
        <v>ATLAS</v>
      </c>
      <c r="W868" t="str">
        <f>VLOOKUP(L868,'[2]tabela de preços'!$A:$F,6,0)</f>
        <v>ROLOS / TRINCHAS / PINCÉIS / ESPÁTULAS</v>
      </c>
      <c r="X868" t="str">
        <f>VLOOKUP(L868,'[2]tabela de preços'!$A:$G,7,0)</f>
        <v>IMOBILIÁRIO</v>
      </c>
    </row>
    <row r="869" spans="1:24" x14ac:dyDescent="0.3">
      <c r="A869" t="s">
        <v>901</v>
      </c>
      <c r="C869" t="s">
        <v>902</v>
      </c>
      <c r="D869" s="1">
        <v>46028</v>
      </c>
      <c r="E869" t="s">
        <v>903</v>
      </c>
      <c r="F869">
        <v>9</v>
      </c>
      <c r="G869">
        <v>230</v>
      </c>
      <c r="H869" t="str">
        <f>VLOOKUP(G869,[1]OPERADORES!$A:$B,2,0)</f>
        <v>SÔNIA</v>
      </c>
      <c r="I869" t="s">
        <v>21</v>
      </c>
      <c r="J869" t="s">
        <v>904</v>
      </c>
      <c r="K869" t="s">
        <v>905</v>
      </c>
      <c r="L869">
        <v>84499</v>
      </c>
      <c r="M869" t="s">
        <v>534</v>
      </c>
      <c r="O869" t="s">
        <v>11</v>
      </c>
      <c r="P869">
        <v>5102</v>
      </c>
      <c r="Q869">
        <v>2</v>
      </c>
      <c r="R869">
        <v>176.61</v>
      </c>
      <c r="S869">
        <v>353.22</v>
      </c>
      <c r="T869">
        <v>268.10000000000002</v>
      </c>
      <c r="U869">
        <v>24.1</v>
      </c>
      <c r="V869" t="str">
        <f>VLOOKUP(L869,'[2]tabela de preços'!$A:$D,4,0)</f>
        <v>BRASILUX</v>
      </c>
      <c r="W869" t="str">
        <f>VLOOKUP(L869,'[2]tabela de preços'!$A:$F,6,0)</f>
        <v>THINNER DE LIMPEZA</v>
      </c>
      <c r="X869" t="str">
        <f>VLOOKUP(L869,'[2]tabela de preços'!$A:$G,7,0)</f>
        <v>THINNER</v>
      </c>
    </row>
    <row r="870" spans="1:24" x14ac:dyDescent="0.3">
      <c r="A870" t="s">
        <v>901</v>
      </c>
      <c r="C870" t="s">
        <v>907</v>
      </c>
      <c r="D870" s="1">
        <v>46036</v>
      </c>
      <c r="E870" t="s">
        <v>908</v>
      </c>
      <c r="F870">
        <v>9</v>
      </c>
      <c r="G870">
        <v>230</v>
      </c>
      <c r="H870" t="str">
        <f>VLOOKUP(G870,[1]OPERADORES!$A:$B,2,0)</f>
        <v>SÔNIA</v>
      </c>
      <c r="I870" t="s">
        <v>21</v>
      </c>
      <c r="J870" t="s">
        <v>904</v>
      </c>
      <c r="K870" t="s">
        <v>905</v>
      </c>
      <c r="L870">
        <v>84030</v>
      </c>
      <c r="M870" t="s">
        <v>900</v>
      </c>
      <c r="O870" t="s">
        <v>11</v>
      </c>
      <c r="P870">
        <v>5102</v>
      </c>
      <c r="Q870">
        <v>1</v>
      </c>
      <c r="R870">
        <v>55.81</v>
      </c>
      <c r="S870">
        <v>55.81</v>
      </c>
      <c r="T870">
        <v>42.36</v>
      </c>
      <c r="U870">
        <v>24.1</v>
      </c>
      <c r="V870" t="str">
        <f>VLOOKUP(L870,'[2]tabela de preços'!$A:$D,4,0)</f>
        <v>BRASILUX</v>
      </c>
      <c r="W870" t="str">
        <f>VLOOKUP(L870,'[2]tabela de preços'!$A:$F,6,0)</f>
        <v>AGUARRAS</v>
      </c>
      <c r="X870" t="str">
        <f>VLOOKUP(L870,'[2]tabela de preços'!$A:$G,7,0)</f>
        <v>IMOBILIÁRIO</v>
      </c>
    </row>
    <row r="871" spans="1:24" x14ac:dyDescent="0.3">
      <c r="A871" t="s">
        <v>901</v>
      </c>
      <c r="C871" t="s">
        <v>907</v>
      </c>
      <c r="D871" s="1">
        <v>46036</v>
      </c>
      <c r="E871" t="s">
        <v>908</v>
      </c>
      <c r="F871">
        <v>9</v>
      </c>
      <c r="G871">
        <v>230</v>
      </c>
      <c r="H871" t="str">
        <f>VLOOKUP(G871,[1]OPERADORES!$A:$B,2,0)</f>
        <v>SÔNIA</v>
      </c>
      <c r="I871" t="s">
        <v>21</v>
      </c>
      <c r="J871" t="s">
        <v>904</v>
      </c>
      <c r="K871" t="s">
        <v>905</v>
      </c>
      <c r="L871">
        <v>22188</v>
      </c>
      <c r="M871" t="s">
        <v>78</v>
      </c>
      <c r="O871" t="s">
        <v>11</v>
      </c>
      <c r="P871">
        <v>5102</v>
      </c>
      <c r="Q871">
        <v>4</v>
      </c>
      <c r="R871">
        <v>14.35</v>
      </c>
      <c r="S871">
        <v>57.4</v>
      </c>
      <c r="T871">
        <v>43.56</v>
      </c>
      <c r="U871">
        <v>24.11</v>
      </c>
      <c r="V871" t="str">
        <f>VLOOKUP(L871,'[2]tabela de preços'!$A:$D,4,0)</f>
        <v>3M</v>
      </c>
      <c r="W871" t="str">
        <f>VLOOKUP(L871,'[2]tabela de preços'!$A:$F,6,0)</f>
        <v>FITA AUTOMOTIVA</v>
      </c>
      <c r="X871" t="str">
        <f>VLOOKUP(L871,'[2]tabela de preços'!$A:$G,7,0)</f>
        <v>AUTOMOTIVO</v>
      </c>
    </row>
    <row r="872" spans="1:24" x14ac:dyDescent="0.3">
      <c r="A872" t="s">
        <v>901</v>
      </c>
      <c r="C872" t="s">
        <v>907</v>
      </c>
      <c r="D872" s="1">
        <v>46036</v>
      </c>
      <c r="E872" t="s">
        <v>908</v>
      </c>
      <c r="F872">
        <v>9</v>
      </c>
      <c r="G872">
        <v>230</v>
      </c>
      <c r="H872" t="str">
        <f>VLOOKUP(G872,[1]OPERADORES!$A:$B,2,0)</f>
        <v>SÔNIA</v>
      </c>
      <c r="I872" t="s">
        <v>21</v>
      </c>
      <c r="J872" t="s">
        <v>904</v>
      </c>
      <c r="K872" t="s">
        <v>905</v>
      </c>
      <c r="L872">
        <v>85707</v>
      </c>
      <c r="M872" t="s">
        <v>906</v>
      </c>
      <c r="O872" t="s">
        <v>46</v>
      </c>
      <c r="P872">
        <v>5405</v>
      </c>
      <c r="Q872">
        <v>1</v>
      </c>
      <c r="R872">
        <v>309.81</v>
      </c>
      <c r="S872">
        <v>309.81</v>
      </c>
      <c r="T872">
        <v>235.15</v>
      </c>
      <c r="U872">
        <v>24.1</v>
      </c>
      <c r="V872" t="str">
        <f>VLOOKUP(L872,'[2]tabela de preços'!$A:$D,4,0)</f>
        <v>MULTILONA</v>
      </c>
      <c r="W872" t="str">
        <f>VLOOKUP(L872,'[2]tabela de preços'!$A:$F,6,0)</f>
        <v>LONAS</v>
      </c>
      <c r="X872" t="str">
        <f>VLOOKUP(L872,'[2]tabela de preços'!$A:$G,7,0)</f>
        <v>IMOBILIÁRIO</v>
      </c>
    </row>
    <row r="873" spans="1:24" x14ac:dyDescent="0.3">
      <c r="A873" t="s">
        <v>901</v>
      </c>
      <c r="C873" t="s">
        <v>909</v>
      </c>
      <c r="D873" s="1">
        <v>46038</v>
      </c>
      <c r="E873" t="s">
        <v>910</v>
      </c>
      <c r="F873">
        <v>9</v>
      </c>
      <c r="G873">
        <v>230</v>
      </c>
      <c r="H873" t="str">
        <f>VLOOKUP(G873,[1]OPERADORES!$A:$B,2,0)</f>
        <v>SÔNIA</v>
      </c>
      <c r="I873" t="s">
        <v>21</v>
      </c>
      <c r="J873" t="s">
        <v>904</v>
      </c>
      <c r="K873" t="s">
        <v>905</v>
      </c>
      <c r="L873">
        <v>84030</v>
      </c>
      <c r="M873" t="s">
        <v>900</v>
      </c>
      <c r="O873" t="s">
        <v>11</v>
      </c>
      <c r="P873">
        <v>5102</v>
      </c>
      <c r="Q873">
        <v>1</v>
      </c>
      <c r="R873">
        <v>55.81</v>
      </c>
      <c r="S873">
        <v>55.81</v>
      </c>
      <c r="T873">
        <v>42.36</v>
      </c>
      <c r="U873">
        <v>24.1</v>
      </c>
      <c r="V873" t="str">
        <f>VLOOKUP(L873,'[2]tabela de preços'!$A:$D,4,0)</f>
        <v>BRASILUX</v>
      </c>
      <c r="W873" t="str">
        <f>VLOOKUP(L873,'[2]tabela de preços'!$A:$F,6,0)</f>
        <v>AGUARRAS</v>
      </c>
      <c r="X873" t="str">
        <f>VLOOKUP(L873,'[2]tabela de preços'!$A:$G,7,0)</f>
        <v>IMOBILIÁRIO</v>
      </c>
    </row>
    <row r="874" spans="1:24" x14ac:dyDescent="0.3">
      <c r="A874" t="s">
        <v>901</v>
      </c>
      <c r="C874" t="s">
        <v>909</v>
      </c>
      <c r="D874" s="1">
        <v>46038</v>
      </c>
      <c r="E874" t="s">
        <v>910</v>
      </c>
      <c r="F874">
        <v>9</v>
      </c>
      <c r="G874">
        <v>230</v>
      </c>
      <c r="H874" t="str">
        <f>VLOOKUP(G874,[1]OPERADORES!$A:$B,2,0)</f>
        <v>SÔNIA</v>
      </c>
      <c r="I874" t="s">
        <v>21</v>
      </c>
      <c r="J874" t="s">
        <v>904</v>
      </c>
      <c r="K874" t="s">
        <v>905</v>
      </c>
      <c r="L874">
        <v>84331</v>
      </c>
      <c r="M874" t="s">
        <v>497</v>
      </c>
      <c r="O874" t="s">
        <v>11</v>
      </c>
      <c r="P874">
        <v>5403</v>
      </c>
      <c r="Q874">
        <v>10</v>
      </c>
      <c r="R874">
        <v>59.98</v>
      </c>
      <c r="S874">
        <v>599.79999999999995</v>
      </c>
      <c r="T874">
        <v>520</v>
      </c>
      <c r="U874">
        <v>13.3</v>
      </c>
      <c r="V874" t="str">
        <f>VLOOKUP(L874,'[2]tabela de preços'!$A:$D,4,0)</f>
        <v>BRASILUX</v>
      </c>
      <c r="W874" t="str">
        <f>VLOOKUP(L874,'[2]tabela de preços'!$A:$F,6,0)</f>
        <v>ESMALTES</v>
      </c>
      <c r="X874" t="str">
        <f>VLOOKUP(L874,'[2]tabela de preços'!$A:$G,7,0)</f>
        <v>INDUSTRIAL</v>
      </c>
    </row>
    <row r="875" spans="1:24" x14ac:dyDescent="0.3">
      <c r="A875" t="s">
        <v>901</v>
      </c>
      <c r="C875" t="s">
        <v>909</v>
      </c>
      <c r="D875" s="1">
        <v>46038</v>
      </c>
      <c r="E875" t="s">
        <v>910</v>
      </c>
      <c r="F875">
        <v>9</v>
      </c>
      <c r="G875">
        <v>230</v>
      </c>
      <c r="H875" t="str">
        <f>VLOOKUP(G875,[1]OPERADORES!$A:$B,2,0)</f>
        <v>SÔNIA</v>
      </c>
      <c r="I875" t="s">
        <v>21</v>
      </c>
      <c r="J875" t="s">
        <v>904</v>
      </c>
      <c r="K875" t="s">
        <v>905</v>
      </c>
      <c r="L875">
        <v>85674</v>
      </c>
      <c r="M875" t="s">
        <v>911</v>
      </c>
      <c r="O875" t="s">
        <v>11</v>
      </c>
      <c r="P875">
        <v>5102</v>
      </c>
      <c r="Q875">
        <v>12</v>
      </c>
      <c r="R875">
        <v>14.32</v>
      </c>
      <c r="S875">
        <v>171.84</v>
      </c>
      <c r="T875">
        <v>130.44</v>
      </c>
      <c r="U875">
        <v>24.09</v>
      </c>
      <c r="V875" t="str">
        <f>VLOOKUP(L875,'[2]tabela de preços'!$A:$D,4,0)</f>
        <v>UNIPEGA</v>
      </c>
      <c r="W875" t="str">
        <f>VLOOKUP(L875,'[2]tabela de preços'!$A:$F,6,0)</f>
        <v>ESPUMA EXPANSIVA</v>
      </c>
      <c r="X875" t="str">
        <f>VLOOKUP(L875,'[2]tabela de preços'!$A:$G,7,0)</f>
        <v>IMOBILIÁRIO</v>
      </c>
    </row>
    <row r="876" spans="1:24" x14ac:dyDescent="0.3">
      <c r="A876" t="s">
        <v>901</v>
      </c>
      <c r="C876" t="s">
        <v>909</v>
      </c>
      <c r="D876" s="1">
        <v>46038</v>
      </c>
      <c r="E876" t="s">
        <v>910</v>
      </c>
      <c r="F876">
        <v>9</v>
      </c>
      <c r="G876">
        <v>230</v>
      </c>
      <c r="H876" t="str">
        <f>VLOOKUP(G876,[1]OPERADORES!$A:$B,2,0)</f>
        <v>SÔNIA</v>
      </c>
      <c r="I876" t="s">
        <v>21</v>
      </c>
      <c r="J876" t="s">
        <v>904</v>
      </c>
      <c r="K876" t="s">
        <v>905</v>
      </c>
      <c r="L876">
        <v>10295</v>
      </c>
      <c r="M876" t="s">
        <v>912</v>
      </c>
      <c r="O876" t="s">
        <v>11</v>
      </c>
      <c r="P876">
        <v>5102</v>
      </c>
      <c r="Q876">
        <v>2</v>
      </c>
      <c r="R876">
        <v>22.88</v>
      </c>
      <c r="S876">
        <v>45.76</v>
      </c>
      <c r="T876">
        <v>34.74</v>
      </c>
      <c r="U876">
        <v>24.08</v>
      </c>
      <c r="V876" t="str">
        <f>VLOOKUP(L876,'[2]tabela de preços'!$A:$D,4,0)</f>
        <v>ANJO</v>
      </c>
      <c r="W876" t="str">
        <f>VLOOKUP(L876,'[2]tabela de preços'!$A:$F,6,0)</f>
        <v>QUEROSENE</v>
      </c>
      <c r="X876" t="str">
        <f>VLOOKUP(L876,'[2]tabela de preços'!$A:$G,7,0)</f>
        <v>AUTOMOTIVO</v>
      </c>
    </row>
    <row r="877" spans="1:24" x14ac:dyDescent="0.3">
      <c r="A877" t="s">
        <v>901</v>
      </c>
      <c r="C877" t="s">
        <v>909</v>
      </c>
      <c r="D877" s="1">
        <v>46038</v>
      </c>
      <c r="E877" t="s">
        <v>910</v>
      </c>
      <c r="F877">
        <v>9</v>
      </c>
      <c r="G877">
        <v>230</v>
      </c>
      <c r="H877" t="str">
        <f>VLOOKUP(G877,[1]OPERADORES!$A:$B,2,0)</f>
        <v>SÔNIA</v>
      </c>
      <c r="I877" t="s">
        <v>21</v>
      </c>
      <c r="J877" t="s">
        <v>904</v>
      </c>
      <c r="K877" t="s">
        <v>905</v>
      </c>
      <c r="L877">
        <v>84499</v>
      </c>
      <c r="M877" t="s">
        <v>534</v>
      </c>
      <c r="O877" t="s">
        <v>11</v>
      </c>
      <c r="P877">
        <v>5102</v>
      </c>
      <c r="Q877">
        <v>1</v>
      </c>
      <c r="R877">
        <v>176.61</v>
      </c>
      <c r="S877">
        <v>176.61</v>
      </c>
      <c r="T877">
        <v>134.05000000000001</v>
      </c>
      <c r="U877">
        <v>24.1</v>
      </c>
      <c r="V877" t="str">
        <f>VLOOKUP(L877,'[2]tabela de preços'!$A:$D,4,0)</f>
        <v>BRASILUX</v>
      </c>
      <c r="W877" t="str">
        <f>VLOOKUP(L877,'[2]tabela de preços'!$A:$F,6,0)</f>
        <v>THINNER DE LIMPEZA</v>
      </c>
      <c r="X877" t="str">
        <f>VLOOKUP(L877,'[2]tabela de preços'!$A:$G,7,0)</f>
        <v>THINNER</v>
      </c>
    </row>
    <row r="878" spans="1:24" x14ac:dyDescent="0.3">
      <c r="A878" t="s">
        <v>913</v>
      </c>
      <c r="B878" t="s">
        <v>914</v>
      </c>
      <c r="C878" t="s">
        <v>915</v>
      </c>
      <c r="D878" s="1">
        <v>46030</v>
      </c>
      <c r="E878" t="s">
        <v>916</v>
      </c>
      <c r="F878">
        <v>9</v>
      </c>
      <c r="G878">
        <v>236</v>
      </c>
      <c r="H878" t="str">
        <f>VLOOKUP(G878,[1]OPERADORES!$A:$B,2,0)</f>
        <v>DANIEL</v>
      </c>
      <c r="I878" t="s">
        <v>21</v>
      </c>
      <c r="J878" t="s">
        <v>917</v>
      </c>
      <c r="K878" t="s">
        <v>918</v>
      </c>
      <c r="L878">
        <v>85771</v>
      </c>
      <c r="M878" t="s">
        <v>919</v>
      </c>
      <c r="O878" t="s">
        <v>11</v>
      </c>
      <c r="P878">
        <v>5403</v>
      </c>
      <c r="Q878">
        <v>1</v>
      </c>
      <c r="R878">
        <v>455.72</v>
      </c>
      <c r="S878">
        <v>455.72</v>
      </c>
      <c r="T878">
        <v>269.02</v>
      </c>
      <c r="U878">
        <v>40.97</v>
      </c>
      <c r="V878" t="str">
        <f>VLOOKUP(L878,'[2]tabela de preços'!$A:$D,4,0)</f>
        <v>CORAL</v>
      </c>
      <c r="W878" t="str">
        <f>VLOOKUP(L878,'[2]tabela de preços'!$A:$F,6,0)</f>
        <v>BASES IMOBILIÁRIAS</v>
      </c>
      <c r="X878" t="str">
        <f>VLOOKUP(L878,'[2]tabela de preços'!$A:$G,7,0)</f>
        <v>IMOBILIÁRIO</v>
      </c>
    </row>
    <row r="879" spans="1:24" x14ac:dyDescent="0.3">
      <c r="A879" t="s">
        <v>913</v>
      </c>
      <c r="B879" t="s">
        <v>914</v>
      </c>
      <c r="C879" t="s">
        <v>920</v>
      </c>
      <c r="D879" s="1">
        <v>46051</v>
      </c>
      <c r="E879" t="s">
        <v>921</v>
      </c>
      <c r="F879">
        <v>9</v>
      </c>
      <c r="G879">
        <v>236</v>
      </c>
      <c r="H879" t="str">
        <f>VLOOKUP(G879,[1]OPERADORES!$A:$B,2,0)</f>
        <v>DANIEL</v>
      </c>
      <c r="I879" t="s">
        <v>21</v>
      </c>
      <c r="J879" t="s">
        <v>917</v>
      </c>
      <c r="K879" t="s">
        <v>918</v>
      </c>
      <c r="L879">
        <v>84250</v>
      </c>
      <c r="M879" t="s">
        <v>922</v>
      </c>
      <c r="O879" t="s">
        <v>11</v>
      </c>
      <c r="P879">
        <v>5403</v>
      </c>
      <c r="Q879">
        <v>4</v>
      </c>
      <c r="R879">
        <v>120.8</v>
      </c>
      <c r="S879">
        <v>483.2</v>
      </c>
      <c r="T879">
        <v>378.64</v>
      </c>
      <c r="U879">
        <v>21.64</v>
      </c>
      <c r="V879" t="str">
        <f>VLOOKUP(L879,'[2]tabela de preços'!$A:$D,4,0)</f>
        <v>BRASILUX</v>
      </c>
      <c r="W879" t="str">
        <f>VLOOKUP(L879,'[2]tabela de preços'!$A:$F,6,0)</f>
        <v>TINTA PAREDE</v>
      </c>
      <c r="X879" t="str">
        <f>VLOOKUP(L879,'[2]tabela de preços'!$A:$G,7,0)</f>
        <v>IMOBILIÁRIO</v>
      </c>
    </row>
    <row r="880" spans="1:24" x14ac:dyDescent="0.3">
      <c r="A880" t="s">
        <v>923</v>
      </c>
      <c r="C880" t="s">
        <v>924</v>
      </c>
      <c r="D880" s="1">
        <v>46034</v>
      </c>
      <c r="E880" t="s">
        <v>925</v>
      </c>
      <c r="F880">
        <v>9</v>
      </c>
      <c r="G880">
        <v>236</v>
      </c>
      <c r="H880" t="str">
        <f>VLOOKUP(G880,[1]OPERADORES!$A:$B,2,0)</f>
        <v>DANIEL</v>
      </c>
      <c r="I880" t="s">
        <v>21</v>
      </c>
      <c r="J880" t="s">
        <v>211</v>
      </c>
      <c r="K880" t="s">
        <v>926</v>
      </c>
      <c r="L880">
        <v>23295</v>
      </c>
      <c r="M880" t="s">
        <v>789</v>
      </c>
      <c r="O880" t="s">
        <v>11</v>
      </c>
      <c r="P880">
        <v>5403</v>
      </c>
      <c r="Q880">
        <v>1</v>
      </c>
      <c r="R880">
        <v>270.76</v>
      </c>
      <c r="S880">
        <v>270.76</v>
      </c>
      <c r="T880">
        <v>194.09</v>
      </c>
      <c r="U880">
        <v>28.32</v>
      </c>
      <c r="V880" t="str">
        <f>VLOOKUP(L880,'[2]tabela de preços'!$A:$D,4,0)</f>
        <v>SIKKENS</v>
      </c>
      <c r="W880" t="str">
        <f>VLOOKUP(L880,'[2]tabela de preços'!$A:$F,6,0)</f>
        <v>VERNIZ AUTOMOTIVO</v>
      </c>
      <c r="X880" t="str">
        <f>VLOOKUP(L880,'[2]tabela de preços'!$A:$G,7,0)</f>
        <v>AUTOMOTIVO</v>
      </c>
    </row>
    <row r="881" spans="1:24" x14ac:dyDescent="0.3">
      <c r="A881" t="s">
        <v>923</v>
      </c>
      <c r="C881" t="s">
        <v>924</v>
      </c>
      <c r="D881" s="1">
        <v>46034</v>
      </c>
      <c r="E881" t="s">
        <v>925</v>
      </c>
      <c r="F881">
        <v>9</v>
      </c>
      <c r="G881">
        <v>236</v>
      </c>
      <c r="H881" t="str">
        <f>VLOOKUP(G881,[1]OPERADORES!$A:$B,2,0)</f>
        <v>DANIEL</v>
      </c>
      <c r="I881" t="s">
        <v>21</v>
      </c>
      <c r="J881" t="s">
        <v>211</v>
      </c>
      <c r="K881" t="s">
        <v>926</v>
      </c>
      <c r="L881">
        <v>22188</v>
      </c>
      <c r="M881" t="s">
        <v>78</v>
      </c>
      <c r="O881" t="s">
        <v>11</v>
      </c>
      <c r="P881">
        <v>5102</v>
      </c>
      <c r="Q881">
        <v>6</v>
      </c>
      <c r="R881">
        <v>15.19</v>
      </c>
      <c r="S881">
        <v>91.14</v>
      </c>
      <c r="T881">
        <v>65.34</v>
      </c>
      <c r="U881">
        <v>28.31</v>
      </c>
      <c r="V881" t="str">
        <f>VLOOKUP(L881,'[2]tabela de preços'!$A:$D,4,0)</f>
        <v>3M</v>
      </c>
      <c r="W881" t="str">
        <f>VLOOKUP(L881,'[2]tabela de preços'!$A:$F,6,0)</f>
        <v>FITA AUTOMOTIVA</v>
      </c>
      <c r="X881" t="str">
        <f>VLOOKUP(L881,'[2]tabela de preços'!$A:$G,7,0)</f>
        <v>AUTOMOTIVO</v>
      </c>
    </row>
    <row r="882" spans="1:24" x14ac:dyDescent="0.3">
      <c r="A882" t="s">
        <v>923</v>
      </c>
      <c r="C882" t="s">
        <v>924</v>
      </c>
      <c r="D882" s="1">
        <v>46034</v>
      </c>
      <c r="E882" t="s">
        <v>925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211</v>
      </c>
      <c r="K882" t="s">
        <v>926</v>
      </c>
      <c r="L882">
        <v>24240</v>
      </c>
      <c r="M882" t="s">
        <v>240</v>
      </c>
      <c r="O882" t="s">
        <v>11</v>
      </c>
      <c r="P882">
        <v>5102</v>
      </c>
      <c r="Q882">
        <v>32</v>
      </c>
      <c r="R882">
        <v>3.81</v>
      </c>
      <c r="S882">
        <v>121.92</v>
      </c>
      <c r="T882">
        <v>104.96</v>
      </c>
      <c r="U882">
        <v>13.91</v>
      </c>
      <c r="V882" t="str">
        <f>VLOOKUP(L882,'[2]tabela de preços'!$A:$D,4,0)</f>
        <v>ADERE</v>
      </c>
      <c r="W882" t="str">
        <f>VLOOKUP(L882,'[2]tabela de preços'!$A:$F,6,0)</f>
        <v>FITA AUTOMOTIVA</v>
      </c>
      <c r="X882" t="str">
        <f>VLOOKUP(L882,'[2]tabela de preços'!$A:$G,7,0)</f>
        <v>AUTOMOTIVO</v>
      </c>
    </row>
    <row r="883" spans="1:24" x14ac:dyDescent="0.3">
      <c r="A883" t="s">
        <v>923</v>
      </c>
      <c r="C883" t="s">
        <v>924</v>
      </c>
      <c r="D883" s="1">
        <v>46034</v>
      </c>
      <c r="E883" t="s">
        <v>925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211</v>
      </c>
      <c r="K883" t="s">
        <v>926</v>
      </c>
      <c r="L883">
        <v>23653</v>
      </c>
      <c r="M883" t="s">
        <v>644</v>
      </c>
      <c r="O883" t="s">
        <v>11</v>
      </c>
      <c r="P883">
        <v>5102</v>
      </c>
      <c r="Q883">
        <v>3</v>
      </c>
      <c r="R883">
        <v>79</v>
      </c>
      <c r="S883">
        <v>237</v>
      </c>
      <c r="T883">
        <v>152.91</v>
      </c>
      <c r="U883">
        <v>35.479999999999997</v>
      </c>
      <c r="V883" t="str">
        <f>VLOOKUP(L883,'[2]tabela de preços'!$A:$D,4,0)</f>
        <v>SIKKENS</v>
      </c>
      <c r="W883" t="str">
        <f>VLOOKUP(L883,'[2]tabela de preços'!$A:$F,6,0)</f>
        <v>CATALISADORES INDIVIDUAS</v>
      </c>
      <c r="X883" t="str">
        <f>VLOOKUP(L883,'[2]tabela de preços'!$A:$G,7,0)</f>
        <v>AUTOMOTIVO</v>
      </c>
    </row>
    <row r="884" spans="1:24" x14ac:dyDescent="0.3">
      <c r="A884" t="s">
        <v>923</v>
      </c>
      <c r="C884" t="s">
        <v>924</v>
      </c>
      <c r="D884" s="1">
        <v>46034</v>
      </c>
      <c r="E884" t="s">
        <v>925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211</v>
      </c>
      <c r="K884" t="s">
        <v>926</v>
      </c>
      <c r="L884">
        <v>21078</v>
      </c>
      <c r="M884" t="s">
        <v>141</v>
      </c>
      <c r="O884" t="s">
        <v>11</v>
      </c>
      <c r="P884">
        <v>5102</v>
      </c>
      <c r="Q884">
        <v>12</v>
      </c>
      <c r="R884">
        <v>22.89</v>
      </c>
      <c r="S884">
        <v>274.68</v>
      </c>
      <c r="T884">
        <v>223.92</v>
      </c>
      <c r="U884">
        <v>18.48</v>
      </c>
      <c r="V884" t="str">
        <f>VLOOKUP(L884,'[2]tabela de preços'!$A:$D,4,0)</f>
        <v>SHERWIN WILLIAMS</v>
      </c>
      <c r="W884" t="str">
        <f>VLOOKUP(L884,'[2]tabela de preços'!$A:$F,6,0)</f>
        <v>MASSA POLIÉSTER</v>
      </c>
      <c r="X884" t="str">
        <f>VLOOKUP(L884,'[2]tabela de preços'!$A:$G,7,0)</f>
        <v>AUTOMOTIVO</v>
      </c>
    </row>
    <row r="885" spans="1:24" x14ac:dyDescent="0.3">
      <c r="A885" t="s">
        <v>923</v>
      </c>
      <c r="C885" t="s">
        <v>924</v>
      </c>
      <c r="D885" s="1">
        <v>46034</v>
      </c>
      <c r="E885" t="s">
        <v>925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211</v>
      </c>
      <c r="K885" t="s">
        <v>926</v>
      </c>
      <c r="L885">
        <v>23926</v>
      </c>
      <c r="M885" t="s">
        <v>645</v>
      </c>
      <c r="O885" t="s">
        <v>11</v>
      </c>
      <c r="P885">
        <v>5403</v>
      </c>
      <c r="Q885">
        <v>1</v>
      </c>
      <c r="R885">
        <v>159.66999999999999</v>
      </c>
      <c r="S885">
        <v>159.66999999999999</v>
      </c>
      <c r="T885">
        <v>103.01</v>
      </c>
      <c r="U885">
        <v>35.49</v>
      </c>
      <c r="V885" t="str">
        <f>VLOOKUP(L885,'[2]tabela de preços'!$A:$D,4,0)</f>
        <v>SIKKENS</v>
      </c>
      <c r="W885" t="str">
        <f>VLOOKUP(L885,'[2]tabela de preços'!$A:$F,6,0)</f>
        <v>PRIMER AUTOMOTIVO</v>
      </c>
      <c r="X885" t="str">
        <f>VLOOKUP(L885,'[2]tabela de preços'!$A:$G,7,0)</f>
        <v>AUTOMOTIVO</v>
      </c>
    </row>
    <row r="886" spans="1:24" x14ac:dyDescent="0.3">
      <c r="A886" t="s">
        <v>923</v>
      </c>
      <c r="C886" t="s">
        <v>924</v>
      </c>
      <c r="D886" s="1">
        <v>46034</v>
      </c>
      <c r="E886" t="s">
        <v>925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211</v>
      </c>
      <c r="K886" t="s">
        <v>926</v>
      </c>
      <c r="L886">
        <v>23710</v>
      </c>
      <c r="M886" t="s">
        <v>927</v>
      </c>
      <c r="O886" t="s">
        <v>11</v>
      </c>
      <c r="P886">
        <v>5102</v>
      </c>
      <c r="Q886">
        <v>2</v>
      </c>
      <c r="R886">
        <v>39.340000000000003</v>
      </c>
      <c r="S886">
        <v>78.680000000000007</v>
      </c>
      <c r="T886">
        <v>57.68</v>
      </c>
      <c r="U886">
        <v>26.69</v>
      </c>
      <c r="V886" t="str">
        <f>VLOOKUP(L886,'[2]tabela de preços'!$A:$D,4,0)</f>
        <v>NEW PAD</v>
      </c>
      <c r="W886" t="str">
        <f>VLOOKUP(L886,'[2]tabela de preços'!$A:$F,6,0)</f>
        <v>APLICADORES / ADAPTADORES / ENGATES / SUPORTES</v>
      </c>
      <c r="X886" t="str">
        <f>VLOOKUP(L886,'[2]tabela de preços'!$A:$G,7,0)</f>
        <v>AUTOMOTIVO</v>
      </c>
    </row>
    <row r="887" spans="1:24" x14ac:dyDescent="0.3">
      <c r="A887" t="s">
        <v>923</v>
      </c>
      <c r="C887" t="s">
        <v>924</v>
      </c>
      <c r="D887" s="1">
        <v>46034</v>
      </c>
      <c r="E887" t="s">
        <v>925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211</v>
      </c>
      <c r="K887" t="s">
        <v>926</v>
      </c>
      <c r="L887">
        <v>20414</v>
      </c>
      <c r="M887" t="s">
        <v>112</v>
      </c>
      <c r="O887" t="s">
        <v>11</v>
      </c>
      <c r="P887">
        <v>5102</v>
      </c>
      <c r="Q887">
        <v>5</v>
      </c>
      <c r="R887">
        <v>21.89</v>
      </c>
      <c r="S887">
        <v>109.45</v>
      </c>
      <c r="T887">
        <v>90</v>
      </c>
      <c r="U887">
        <v>17.77</v>
      </c>
      <c r="V887" t="str">
        <f>VLOOKUP(L887,'[2]tabela de preços'!$A:$D,4,0)</f>
        <v>SHERWIN WILLIAMS</v>
      </c>
      <c r="W887" t="str">
        <f>VLOOKUP(L887,'[2]tabela de preços'!$A:$F,6,0)</f>
        <v>DILUENTE</v>
      </c>
      <c r="X887" t="str">
        <f>VLOOKUP(L887,'[2]tabela de preços'!$A:$G,7,0)</f>
        <v>AUTOMOTIVO</v>
      </c>
    </row>
    <row r="888" spans="1:24" x14ac:dyDescent="0.3">
      <c r="A888" t="s">
        <v>923</v>
      </c>
      <c r="C888" t="s">
        <v>928</v>
      </c>
      <c r="D888" s="1">
        <v>46041</v>
      </c>
      <c r="E888" t="s">
        <v>929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211</v>
      </c>
      <c r="K888" t="s">
        <v>926</v>
      </c>
      <c r="L888">
        <v>24248</v>
      </c>
      <c r="M888" t="s">
        <v>107</v>
      </c>
      <c r="O888" t="s">
        <v>11</v>
      </c>
      <c r="P888">
        <v>5102</v>
      </c>
      <c r="Q888">
        <v>12</v>
      </c>
      <c r="R888">
        <v>8</v>
      </c>
      <c r="S888">
        <v>96</v>
      </c>
      <c r="T888">
        <v>78</v>
      </c>
      <c r="U888">
        <v>18.75</v>
      </c>
      <c r="V888" t="str">
        <f>VLOOKUP(L888,'[2]tabela de preços'!$A:$D,4,0)</f>
        <v>SHERWIN WILLIAMS</v>
      </c>
      <c r="W888" t="str">
        <f>VLOOKUP(L888,'[2]tabela de preços'!$A:$F,6,0)</f>
        <v>PRIMER AUTOMOTIVO</v>
      </c>
      <c r="X888" t="str">
        <f>VLOOKUP(L888,'[2]tabela de preços'!$A:$G,7,0)</f>
        <v>AUTOMOTIVO</v>
      </c>
    </row>
    <row r="889" spans="1:24" x14ac:dyDescent="0.3">
      <c r="A889" t="s">
        <v>923</v>
      </c>
      <c r="C889" t="s">
        <v>928</v>
      </c>
      <c r="D889" s="1">
        <v>46041</v>
      </c>
      <c r="E889" t="s">
        <v>929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211</v>
      </c>
      <c r="K889" t="s">
        <v>926</v>
      </c>
      <c r="L889">
        <v>24247</v>
      </c>
      <c r="M889" t="s">
        <v>111</v>
      </c>
      <c r="O889" t="s">
        <v>11</v>
      </c>
      <c r="P889">
        <v>5403</v>
      </c>
      <c r="Q889">
        <v>12</v>
      </c>
      <c r="R889">
        <v>21</v>
      </c>
      <c r="S889">
        <v>252</v>
      </c>
      <c r="T889">
        <v>202.44</v>
      </c>
      <c r="U889">
        <v>19.670000000000002</v>
      </c>
      <c r="V889" t="str">
        <f>VLOOKUP(L889,'[2]tabela de preços'!$A:$D,4,0)</f>
        <v>SHERWIN WILLIAMS</v>
      </c>
      <c r="W889" t="str">
        <f>VLOOKUP(L889,'[2]tabela de preços'!$A:$F,6,0)</f>
        <v>PRIMER AUTOMOTIVO</v>
      </c>
      <c r="X889" t="str">
        <f>VLOOKUP(L889,'[2]tabela de preços'!$A:$G,7,0)</f>
        <v>AUTOMOTIVO</v>
      </c>
    </row>
    <row r="890" spans="1:24" x14ac:dyDescent="0.3">
      <c r="A890" t="s">
        <v>923</v>
      </c>
      <c r="C890" t="s">
        <v>928</v>
      </c>
      <c r="D890" s="1">
        <v>46041</v>
      </c>
      <c r="E890" t="s">
        <v>929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211</v>
      </c>
      <c r="K890" t="s">
        <v>926</v>
      </c>
      <c r="L890">
        <v>20414</v>
      </c>
      <c r="M890" t="s">
        <v>112</v>
      </c>
      <c r="O890" t="s">
        <v>11</v>
      </c>
      <c r="P890">
        <v>5102</v>
      </c>
      <c r="Q890">
        <v>6</v>
      </c>
      <c r="R890">
        <v>21.89</v>
      </c>
      <c r="S890">
        <v>131.34</v>
      </c>
      <c r="T890">
        <v>108</v>
      </c>
      <c r="U890">
        <v>17.77</v>
      </c>
      <c r="V890" t="str">
        <f>VLOOKUP(L890,'[2]tabela de preços'!$A:$D,4,0)</f>
        <v>SHERWIN WILLIAMS</v>
      </c>
      <c r="W890" t="str">
        <f>VLOOKUP(L890,'[2]tabela de preços'!$A:$F,6,0)</f>
        <v>DILUENTE</v>
      </c>
      <c r="X890" t="str">
        <f>VLOOKUP(L890,'[2]tabela de preços'!$A:$G,7,0)</f>
        <v>AUTOMOTIVO</v>
      </c>
    </row>
    <row r="891" spans="1:24" x14ac:dyDescent="0.3">
      <c r="A891" t="s">
        <v>923</v>
      </c>
      <c r="C891" t="s">
        <v>930</v>
      </c>
      <c r="D891" s="1">
        <v>46044</v>
      </c>
      <c r="E891" t="s">
        <v>931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211</v>
      </c>
      <c r="K891" t="s">
        <v>926</v>
      </c>
      <c r="L891">
        <v>21078</v>
      </c>
      <c r="M891" t="s">
        <v>141</v>
      </c>
      <c r="O891" t="s">
        <v>11</v>
      </c>
      <c r="P891">
        <v>5102</v>
      </c>
      <c r="Q891">
        <v>12</v>
      </c>
      <c r="R891">
        <v>22.89</v>
      </c>
      <c r="S891">
        <v>274.68</v>
      </c>
      <c r="T891">
        <v>223.92</v>
      </c>
      <c r="U891">
        <v>18.48</v>
      </c>
      <c r="V891" t="str">
        <f>VLOOKUP(L891,'[2]tabela de preços'!$A:$D,4,0)</f>
        <v>SHERWIN WILLIAMS</v>
      </c>
      <c r="W891" t="str">
        <f>VLOOKUP(L891,'[2]tabela de preços'!$A:$F,6,0)</f>
        <v>MASSA POLIÉSTER</v>
      </c>
      <c r="X891" t="str">
        <f>VLOOKUP(L891,'[2]tabela de preços'!$A:$G,7,0)</f>
        <v>AUTOMOTIVO</v>
      </c>
    </row>
    <row r="892" spans="1:24" x14ac:dyDescent="0.3">
      <c r="A892" t="s">
        <v>923</v>
      </c>
      <c r="C892" t="s">
        <v>930</v>
      </c>
      <c r="D892" s="1">
        <v>46044</v>
      </c>
      <c r="E892" t="s">
        <v>931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211</v>
      </c>
      <c r="K892" t="s">
        <v>926</v>
      </c>
      <c r="L892">
        <v>23926</v>
      </c>
      <c r="M892" t="s">
        <v>645</v>
      </c>
      <c r="O892" t="s">
        <v>11</v>
      </c>
      <c r="P892">
        <v>5403</v>
      </c>
      <c r="Q892">
        <v>1</v>
      </c>
      <c r="R892">
        <v>159.22</v>
      </c>
      <c r="S892">
        <v>159.22</v>
      </c>
      <c r="T892">
        <v>98.89</v>
      </c>
      <c r="U892">
        <v>37.89</v>
      </c>
      <c r="V892" t="str">
        <f>VLOOKUP(L892,'[2]tabela de preços'!$A:$D,4,0)</f>
        <v>SIKKENS</v>
      </c>
      <c r="W892" t="str">
        <f>VLOOKUP(L892,'[2]tabela de preços'!$A:$F,6,0)</f>
        <v>PRIMER AUTOMOTIVO</v>
      </c>
      <c r="X892" t="str">
        <f>VLOOKUP(L892,'[2]tabela de preços'!$A:$G,7,0)</f>
        <v>AUTOMOTIVO</v>
      </c>
    </row>
    <row r="893" spans="1:24" x14ac:dyDescent="0.3">
      <c r="A893" t="s">
        <v>923</v>
      </c>
      <c r="C893" t="s">
        <v>932</v>
      </c>
      <c r="D893" s="1">
        <v>46051</v>
      </c>
      <c r="E893" t="s">
        <v>933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211</v>
      </c>
      <c r="K893" t="s">
        <v>926</v>
      </c>
      <c r="L893">
        <v>23653</v>
      </c>
      <c r="M893" t="s">
        <v>644</v>
      </c>
      <c r="O893" t="s">
        <v>11</v>
      </c>
      <c r="P893">
        <v>5102</v>
      </c>
      <c r="Q893">
        <v>1</v>
      </c>
      <c r="R893">
        <v>79</v>
      </c>
      <c r="S893">
        <v>79</v>
      </c>
      <c r="T893">
        <v>50.97</v>
      </c>
      <c r="U893">
        <v>35.479999999999997</v>
      </c>
      <c r="V893" t="str">
        <f>VLOOKUP(L893,'[2]tabela de preços'!$A:$D,4,0)</f>
        <v>SIKKENS</v>
      </c>
      <c r="W893" t="str">
        <f>VLOOKUP(L893,'[2]tabela de preços'!$A:$F,6,0)</f>
        <v>CATALISADORES INDIVIDUAS</v>
      </c>
      <c r="X893" t="str">
        <f>VLOOKUP(L893,'[2]tabela de preços'!$A:$G,7,0)</f>
        <v>AUTOMOTIVO</v>
      </c>
    </row>
    <row r="894" spans="1:24" x14ac:dyDescent="0.3">
      <c r="A894" t="s">
        <v>923</v>
      </c>
      <c r="C894" t="s">
        <v>932</v>
      </c>
      <c r="D894" s="1">
        <v>46051</v>
      </c>
      <c r="E894" t="s">
        <v>933</v>
      </c>
      <c r="F894">
        <v>9</v>
      </c>
      <c r="G894">
        <v>236</v>
      </c>
      <c r="H894" t="str">
        <f>VLOOKUP(G894,[1]OPERADORES!$A:$B,2,0)</f>
        <v>DANIEL</v>
      </c>
      <c r="I894" t="s">
        <v>21</v>
      </c>
      <c r="J894" t="s">
        <v>211</v>
      </c>
      <c r="K894" t="s">
        <v>926</v>
      </c>
      <c r="L894">
        <v>23926</v>
      </c>
      <c r="M894" t="s">
        <v>645</v>
      </c>
      <c r="O894" t="s">
        <v>11</v>
      </c>
      <c r="P894">
        <v>5403</v>
      </c>
      <c r="Q894">
        <v>1</v>
      </c>
      <c r="R894">
        <v>159.22</v>
      </c>
      <c r="S894">
        <v>159.22</v>
      </c>
      <c r="T894">
        <v>98.89</v>
      </c>
      <c r="U894">
        <v>37.89</v>
      </c>
      <c r="V894" t="str">
        <f>VLOOKUP(L894,'[2]tabela de preços'!$A:$D,4,0)</f>
        <v>SIKKENS</v>
      </c>
      <c r="W894" t="str">
        <f>VLOOKUP(L894,'[2]tabela de preços'!$A:$F,6,0)</f>
        <v>PRIMER AUTOMOTIVO</v>
      </c>
      <c r="X894" t="str">
        <f>VLOOKUP(L894,'[2]tabela de preços'!$A:$G,7,0)</f>
        <v>AUTOMOTIVO</v>
      </c>
    </row>
    <row r="895" spans="1:24" x14ac:dyDescent="0.3">
      <c r="A895" t="s">
        <v>923</v>
      </c>
      <c r="C895" t="s">
        <v>934</v>
      </c>
      <c r="D895" s="1">
        <v>46051</v>
      </c>
      <c r="E895" t="s">
        <v>935</v>
      </c>
      <c r="F895">
        <v>9</v>
      </c>
      <c r="G895">
        <v>236</v>
      </c>
      <c r="H895" t="str">
        <f>VLOOKUP(G895,[1]OPERADORES!$A:$B,2,0)</f>
        <v>DANIEL</v>
      </c>
      <c r="I895" t="s">
        <v>21</v>
      </c>
      <c r="J895" t="s">
        <v>211</v>
      </c>
      <c r="K895" t="s">
        <v>926</v>
      </c>
      <c r="L895">
        <v>85352</v>
      </c>
      <c r="M895" t="s">
        <v>936</v>
      </c>
      <c r="O895" t="s">
        <v>11</v>
      </c>
      <c r="P895">
        <v>5102</v>
      </c>
      <c r="Q895">
        <v>1</v>
      </c>
      <c r="R895">
        <v>50.48</v>
      </c>
      <c r="S895">
        <v>50.48</v>
      </c>
      <c r="T895">
        <v>36.19</v>
      </c>
      <c r="U895">
        <v>28.31</v>
      </c>
      <c r="V895" t="str">
        <f>VLOOKUP(L895,'[2]tabela de preços'!$A:$D,4,0)</f>
        <v>VONIXX</v>
      </c>
      <c r="W895" t="str">
        <f>VLOOKUP(L895,'[2]tabela de preços'!$A:$F,6,0)</f>
        <v>BOINAS PARA POLIMENTO</v>
      </c>
      <c r="X895" t="str">
        <f>VLOOKUP(L895,'[2]tabela de preços'!$A:$G,7,0)</f>
        <v>AUTOMOTIVO</v>
      </c>
    </row>
    <row r="896" spans="1:24" x14ac:dyDescent="0.3">
      <c r="A896" t="s">
        <v>923</v>
      </c>
      <c r="C896" t="s">
        <v>934</v>
      </c>
      <c r="D896" s="1">
        <v>46051</v>
      </c>
      <c r="E896" t="s">
        <v>935</v>
      </c>
      <c r="F896">
        <v>9</v>
      </c>
      <c r="G896">
        <v>236</v>
      </c>
      <c r="H896" t="str">
        <f>VLOOKUP(G896,[1]OPERADORES!$A:$B,2,0)</f>
        <v>DANIEL</v>
      </c>
      <c r="I896" t="s">
        <v>21</v>
      </c>
      <c r="J896" t="s">
        <v>211</v>
      </c>
      <c r="K896" t="s">
        <v>926</v>
      </c>
      <c r="L896">
        <v>85353</v>
      </c>
      <c r="M896" t="s">
        <v>937</v>
      </c>
      <c r="O896" t="s">
        <v>11</v>
      </c>
      <c r="P896">
        <v>5102</v>
      </c>
      <c r="Q896">
        <v>1</v>
      </c>
      <c r="R896">
        <v>50.48</v>
      </c>
      <c r="S896">
        <v>50.48</v>
      </c>
      <c r="T896">
        <v>36.19</v>
      </c>
      <c r="U896">
        <v>28.31</v>
      </c>
      <c r="V896" t="str">
        <f>VLOOKUP(L896,'[2]tabela de preços'!$A:$D,4,0)</f>
        <v>VONIXX</v>
      </c>
      <c r="W896" t="str">
        <f>VLOOKUP(L896,'[2]tabela de preços'!$A:$F,6,0)</f>
        <v>BOINAS PARA POLIMENTO</v>
      </c>
      <c r="X896" t="str">
        <f>VLOOKUP(L896,'[2]tabela de preços'!$A:$G,7,0)</f>
        <v>AUTOMOTIVO</v>
      </c>
    </row>
    <row r="897" spans="1:24" x14ac:dyDescent="0.3">
      <c r="A897" t="s">
        <v>938</v>
      </c>
      <c r="C897" t="s">
        <v>939</v>
      </c>
      <c r="D897" s="1">
        <v>46037</v>
      </c>
      <c r="E897" t="s">
        <v>940</v>
      </c>
      <c r="F897">
        <v>9</v>
      </c>
      <c r="G897">
        <v>197</v>
      </c>
      <c r="H897" t="str">
        <f>VLOOKUP(G897,[1]OPERADORES!$A:$B,2,0)</f>
        <v xml:space="preserve">POLIANA LORRANE DE AMORIM </v>
      </c>
      <c r="I897" t="s">
        <v>21</v>
      </c>
      <c r="J897" t="s">
        <v>424</v>
      </c>
      <c r="K897" t="s">
        <v>941</v>
      </c>
      <c r="L897">
        <v>85135</v>
      </c>
      <c r="M897" t="s">
        <v>942</v>
      </c>
      <c r="O897" t="s">
        <v>11</v>
      </c>
      <c r="P897">
        <v>5403</v>
      </c>
      <c r="Q897">
        <v>1</v>
      </c>
      <c r="R897">
        <v>147.57</v>
      </c>
      <c r="S897">
        <v>147.57</v>
      </c>
      <c r="T897">
        <v>89.44</v>
      </c>
      <c r="U897">
        <v>39.39</v>
      </c>
      <c r="V897" t="str">
        <f>VLOOKUP(L897,'[2]tabela de preços'!$A:$D,4,0)</f>
        <v>BRASILUX</v>
      </c>
      <c r="W897" t="str">
        <f>VLOOKUP(L897,'[2]tabela de preços'!$A:$F,6,0)</f>
        <v>TINTA DE LABORATÓRIO</v>
      </c>
      <c r="X897" t="str">
        <f>VLOOKUP(L897,'[2]tabela de preços'!$A:$G,7,0)</f>
        <v>AUTOMOTIVO</v>
      </c>
    </row>
    <row r="898" spans="1:24" x14ac:dyDescent="0.3">
      <c r="A898" t="s">
        <v>938</v>
      </c>
      <c r="C898" t="s">
        <v>939</v>
      </c>
      <c r="D898" s="1">
        <v>46037</v>
      </c>
      <c r="E898" t="s">
        <v>940</v>
      </c>
      <c r="F898">
        <v>9</v>
      </c>
      <c r="G898">
        <v>197</v>
      </c>
      <c r="H898" t="str">
        <f>VLOOKUP(G898,[1]OPERADORES!$A:$B,2,0)</f>
        <v xml:space="preserve">POLIANA LORRANE DE AMORIM </v>
      </c>
      <c r="I898" t="s">
        <v>21</v>
      </c>
      <c r="J898" t="s">
        <v>424</v>
      </c>
      <c r="K898" t="s">
        <v>941</v>
      </c>
      <c r="L898">
        <v>85280</v>
      </c>
      <c r="M898" t="s">
        <v>943</v>
      </c>
      <c r="O898" t="s">
        <v>11</v>
      </c>
      <c r="P898">
        <v>5102</v>
      </c>
      <c r="Q898">
        <v>1</v>
      </c>
      <c r="R898">
        <v>55.72</v>
      </c>
      <c r="S898">
        <v>55.72</v>
      </c>
      <c r="T898">
        <v>42.29</v>
      </c>
      <c r="U898">
        <v>24.1</v>
      </c>
      <c r="V898" t="str">
        <f>VLOOKUP(L898,'[2]tabela de preços'!$A:$D,4,0)</f>
        <v>BRASILUX</v>
      </c>
      <c r="W898" t="str">
        <f>VLOOKUP(L898,'[2]tabela de preços'!$A:$F,6,0)</f>
        <v>CATALISADORES INDIVIDUAIS</v>
      </c>
      <c r="X898" t="str">
        <f>VLOOKUP(L898,'[2]tabela de preços'!$A:$G,7,0)</f>
        <v>IMOBILIÁRIO</v>
      </c>
    </row>
    <row r="899" spans="1:24" x14ac:dyDescent="0.3">
      <c r="A899" t="s">
        <v>938</v>
      </c>
      <c r="C899" t="s">
        <v>939</v>
      </c>
      <c r="D899" s="1">
        <v>46037</v>
      </c>
      <c r="E899" t="s">
        <v>940</v>
      </c>
      <c r="F899">
        <v>9</v>
      </c>
      <c r="G899">
        <v>197</v>
      </c>
      <c r="H899" t="str">
        <f>VLOOKUP(G899,[1]OPERADORES!$A:$B,2,0)</f>
        <v xml:space="preserve">POLIANA LORRANE DE AMORIM </v>
      </c>
      <c r="I899" t="s">
        <v>21</v>
      </c>
      <c r="J899" t="s">
        <v>424</v>
      </c>
      <c r="K899" t="s">
        <v>941</v>
      </c>
      <c r="L899">
        <v>84785</v>
      </c>
      <c r="M899" t="s">
        <v>944</v>
      </c>
      <c r="O899" t="s">
        <v>11</v>
      </c>
      <c r="P899">
        <v>5403</v>
      </c>
      <c r="Q899">
        <v>10</v>
      </c>
      <c r="R899">
        <v>172.23</v>
      </c>
      <c r="S899" s="2">
        <v>1722.3</v>
      </c>
      <c r="T899" s="2">
        <v>1307.2</v>
      </c>
      <c r="U899">
        <v>24.1</v>
      </c>
      <c r="V899" t="str">
        <f>VLOOKUP(L899,'[2]tabela de preços'!$A:$D,4,0)</f>
        <v>BRASILUX</v>
      </c>
      <c r="W899" t="str">
        <f>VLOOKUP(L899,'[2]tabela de preços'!$A:$F,6,0)</f>
        <v>EPOXI</v>
      </c>
      <c r="X899" t="str">
        <f>VLOOKUP(L899,'[2]tabela de preços'!$A:$G,7,0)</f>
        <v>INDUSTRIAL</v>
      </c>
    </row>
    <row r="900" spans="1:24" x14ac:dyDescent="0.3">
      <c r="A900" t="s">
        <v>938</v>
      </c>
      <c r="C900" t="s">
        <v>945</v>
      </c>
      <c r="D900" s="1">
        <v>46038</v>
      </c>
      <c r="E900" t="s">
        <v>946</v>
      </c>
      <c r="F900">
        <v>9</v>
      </c>
      <c r="G900">
        <v>197</v>
      </c>
      <c r="H900" t="str">
        <f>VLOOKUP(G900,[1]OPERADORES!$A:$B,2,0)</f>
        <v xml:space="preserve">POLIANA LORRANE DE AMORIM </v>
      </c>
      <c r="I900" t="s">
        <v>21</v>
      </c>
      <c r="J900" t="s">
        <v>424</v>
      </c>
      <c r="K900" t="s">
        <v>941</v>
      </c>
      <c r="L900">
        <v>85135</v>
      </c>
      <c r="M900" t="s">
        <v>942</v>
      </c>
      <c r="O900" t="s">
        <v>11</v>
      </c>
      <c r="P900">
        <v>5403</v>
      </c>
      <c r="Q900">
        <v>11</v>
      </c>
      <c r="R900">
        <v>147.57</v>
      </c>
      <c r="S900" s="2">
        <v>1623.27</v>
      </c>
      <c r="T900">
        <v>983.79</v>
      </c>
      <c r="U900">
        <v>39.39</v>
      </c>
      <c r="V900" t="str">
        <f>VLOOKUP(L900,'[2]tabela de preços'!$A:$D,4,0)</f>
        <v>BRASILUX</v>
      </c>
      <c r="W900" t="str">
        <f>VLOOKUP(L900,'[2]tabela de preços'!$A:$F,6,0)</f>
        <v>TINTA DE LABORATÓRIO</v>
      </c>
      <c r="X900" t="str">
        <f>VLOOKUP(L900,'[2]tabela de preços'!$A:$G,7,0)</f>
        <v>AUTOMOTIVO</v>
      </c>
    </row>
    <row r="901" spans="1:24" x14ac:dyDescent="0.3">
      <c r="A901" t="s">
        <v>938</v>
      </c>
      <c r="C901" t="s">
        <v>945</v>
      </c>
      <c r="D901" s="1">
        <v>46038</v>
      </c>
      <c r="E901" t="s">
        <v>946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424</v>
      </c>
      <c r="K901" t="s">
        <v>941</v>
      </c>
      <c r="L901">
        <v>85280</v>
      </c>
      <c r="M901" t="s">
        <v>943</v>
      </c>
      <c r="O901" t="s">
        <v>11</v>
      </c>
      <c r="P901">
        <v>5102</v>
      </c>
      <c r="Q901">
        <v>11</v>
      </c>
      <c r="R901">
        <v>55.72</v>
      </c>
      <c r="S901">
        <v>612.91999999999996</v>
      </c>
      <c r="T901">
        <v>465.19</v>
      </c>
      <c r="U901">
        <v>24.1</v>
      </c>
      <c r="V901" t="str">
        <f>VLOOKUP(L901,'[2]tabela de preços'!$A:$D,4,0)</f>
        <v>BRASILUX</v>
      </c>
      <c r="W901" t="str">
        <f>VLOOKUP(L901,'[2]tabela de preços'!$A:$F,6,0)</f>
        <v>CATALISADORES INDIVIDUAIS</v>
      </c>
      <c r="X901" t="str">
        <f>VLOOKUP(L901,'[2]tabela de preços'!$A:$G,7,0)</f>
        <v>IMOBILIÁRIO</v>
      </c>
    </row>
    <row r="902" spans="1:24" x14ac:dyDescent="0.3">
      <c r="A902" t="s">
        <v>938</v>
      </c>
      <c r="C902" t="s">
        <v>947</v>
      </c>
      <c r="D902" s="1">
        <v>46041</v>
      </c>
      <c r="E902" t="s">
        <v>948</v>
      </c>
      <c r="F902">
        <v>9</v>
      </c>
      <c r="G902">
        <v>197</v>
      </c>
      <c r="H902" t="str">
        <f>VLOOKUP(G902,[1]OPERADORES!$A:$B,2,0)</f>
        <v xml:space="preserve">POLIANA LORRANE DE AMORIM </v>
      </c>
      <c r="I902" t="s">
        <v>21</v>
      </c>
      <c r="J902" t="s">
        <v>424</v>
      </c>
      <c r="K902" t="s">
        <v>941</v>
      </c>
      <c r="L902">
        <v>84815</v>
      </c>
      <c r="M902" t="s">
        <v>949</v>
      </c>
      <c r="O902" t="s">
        <v>11</v>
      </c>
      <c r="P902">
        <v>5403</v>
      </c>
      <c r="Q902">
        <v>20</v>
      </c>
      <c r="R902">
        <v>33.49</v>
      </c>
      <c r="S902">
        <v>669.8</v>
      </c>
      <c r="T902">
        <v>491</v>
      </c>
      <c r="U902">
        <v>26.69</v>
      </c>
      <c r="V902" t="str">
        <f>VLOOKUP(L902,'[2]tabela de preços'!$A:$D,4,0)</f>
        <v>BRASILUX</v>
      </c>
      <c r="W902" t="str">
        <f>VLOOKUP(L902,'[2]tabela de preços'!$A:$F,6,0)</f>
        <v>KIT BRASCORTEN</v>
      </c>
      <c r="X902" t="str">
        <f>VLOOKUP(L902,'[2]tabela de preços'!$A:$G,7,0)</f>
        <v>IMOBILIÁRIO</v>
      </c>
    </row>
    <row r="903" spans="1:24" x14ac:dyDescent="0.3">
      <c r="A903" t="s">
        <v>938</v>
      </c>
      <c r="C903" t="s">
        <v>947</v>
      </c>
      <c r="D903" s="1">
        <v>46041</v>
      </c>
      <c r="E903" t="s">
        <v>948</v>
      </c>
      <c r="F903">
        <v>9</v>
      </c>
      <c r="G903">
        <v>197</v>
      </c>
      <c r="H903" t="str">
        <f>VLOOKUP(G903,[1]OPERADORES!$A:$B,2,0)</f>
        <v xml:space="preserve">POLIANA LORRANE DE AMORIM </v>
      </c>
      <c r="I903" t="s">
        <v>21</v>
      </c>
      <c r="J903" t="s">
        <v>424</v>
      </c>
      <c r="K903" t="s">
        <v>941</v>
      </c>
      <c r="L903">
        <v>84814</v>
      </c>
      <c r="M903" t="s">
        <v>950</v>
      </c>
      <c r="O903" t="s">
        <v>11</v>
      </c>
      <c r="P903">
        <v>5403</v>
      </c>
      <c r="Q903">
        <v>20</v>
      </c>
      <c r="R903">
        <v>123.13</v>
      </c>
      <c r="S903" s="2">
        <v>2462.6</v>
      </c>
      <c r="T903" s="2">
        <v>1805.4</v>
      </c>
      <c r="U903">
        <v>26.69</v>
      </c>
      <c r="V903" t="str">
        <f>VLOOKUP(L903,'[2]tabela de preços'!$A:$D,4,0)</f>
        <v>BRASILUX</v>
      </c>
      <c r="W903" t="str">
        <f>VLOOKUP(L903,'[2]tabela de preços'!$A:$F,6,0)</f>
        <v>KIT BRASCORTEN</v>
      </c>
      <c r="X903" t="str">
        <f>VLOOKUP(L903,'[2]tabela de preços'!$A:$G,7,0)</f>
        <v>IMOBILIÁRIO</v>
      </c>
    </row>
    <row r="904" spans="1:24" x14ac:dyDescent="0.3">
      <c r="A904" t="s">
        <v>938</v>
      </c>
      <c r="C904" t="s">
        <v>951</v>
      </c>
      <c r="D904" s="1">
        <v>46051</v>
      </c>
      <c r="E904" t="s">
        <v>952</v>
      </c>
      <c r="F904">
        <v>9</v>
      </c>
      <c r="G904">
        <v>197</v>
      </c>
      <c r="H904" t="str">
        <f>VLOOKUP(G904,[1]OPERADORES!$A:$B,2,0)</f>
        <v xml:space="preserve">POLIANA LORRANE DE AMORIM </v>
      </c>
      <c r="I904" t="s">
        <v>21</v>
      </c>
      <c r="J904" t="s">
        <v>424</v>
      </c>
      <c r="K904" t="s">
        <v>941</v>
      </c>
      <c r="L904">
        <v>85649</v>
      </c>
      <c r="M904" t="s">
        <v>478</v>
      </c>
      <c r="O904" t="s">
        <v>11</v>
      </c>
      <c r="P904">
        <v>5403</v>
      </c>
      <c r="Q904">
        <v>24</v>
      </c>
      <c r="R904">
        <v>9.1199999999999992</v>
      </c>
      <c r="S904">
        <v>218.88</v>
      </c>
      <c r="T904">
        <v>166.08</v>
      </c>
      <c r="U904">
        <v>24.12</v>
      </c>
      <c r="V904" t="str">
        <f>VLOOKUP(L904,'[2]tabela de preços'!$A:$D,4,0)</f>
        <v>UNIPEGA</v>
      </c>
      <c r="W904" t="str">
        <f>VLOOKUP(L904,'[2]tabela de preços'!$A:$F,6,0)</f>
        <v xml:space="preserve">SPRAYS </v>
      </c>
      <c r="X904" t="str">
        <f>VLOOKUP(L904,'[2]tabela de preços'!$A:$G,7,0)</f>
        <v>AUTOMOTIVO</v>
      </c>
    </row>
    <row r="905" spans="1:24" x14ac:dyDescent="0.3">
      <c r="A905" t="s">
        <v>953</v>
      </c>
      <c r="C905" t="s">
        <v>954</v>
      </c>
      <c r="D905" s="1">
        <v>46028</v>
      </c>
      <c r="E905" t="s">
        <v>955</v>
      </c>
      <c r="F905">
        <v>9</v>
      </c>
      <c r="G905">
        <v>231</v>
      </c>
      <c r="H905" t="str">
        <f>VLOOKUP(G905,[1]OPERADORES!$A:$B,2,0)</f>
        <v>EDIJANE</v>
      </c>
      <c r="I905" t="s">
        <v>21</v>
      </c>
      <c r="J905" t="s">
        <v>550</v>
      </c>
      <c r="K905" t="s">
        <v>956</v>
      </c>
      <c r="L905">
        <v>10236</v>
      </c>
      <c r="M905" t="s">
        <v>133</v>
      </c>
      <c r="O905" t="s">
        <v>11</v>
      </c>
      <c r="P905">
        <v>5102</v>
      </c>
      <c r="Q905">
        <v>50</v>
      </c>
      <c r="R905">
        <v>2.79</v>
      </c>
      <c r="S905">
        <v>139.5</v>
      </c>
      <c r="T905">
        <v>118.5</v>
      </c>
      <c r="U905">
        <v>15.05</v>
      </c>
      <c r="V905" t="str">
        <f>VLOOKUP(L905,'[2]tabela de preços'!$A:$D,4,0)</f>
        <v>NORTON</v>
      </c>
      <c r="W905" t="str">
        <f>VLOOKUP(L905,'[2]tabela de preços'!$A:$F,6,0)</f>
        <v xml:space="preserve">DISCOS / LIXAS / ABRASIVOS </v>
      </c>
      <c r="X905" t="str">
        <f>VLOOKUP(L905,'[2]tabela de preços'!$A:$G,7,0)</f>
        <v>AUTOMOTIVO</v>
      </c>
    </row>
    <row r="906" spans="1:24" x14ac:dyDescent="0.3">
      <c r="A906" t="s">
        <v>953</v>
      </c>
      <c r="C906" t="s">
        <v>954</v>
      </c>
      <c r="D906" s="1">
        <v>46028</v>
      </c>
      <c r="E906" t="s">
        <v>955</v>
      </c>
      <c r="F906">
        <v>9</v>
      </c>
      <c r="G906">
        <v>231</v>
      </c>
      <c r="H906" t="str">
        <f>VLOOKUP(G906,[1]OPERADORES!$A:$B,2,0)</f>
        <v>EDIJANE</v>
      </c>
      <c r="I906" t="s">
        <v>21</v>
      </c>
      <c r="J906" t="s">
        <v>550</v>
      </c>
      <c r="K906" t="s">
        <v>956</v>
      </c>
      <c r="L906">
        <v>24248</v>
      </c>
      <c r="M906" t="s">
        <v>107</v>
      </c>
      <c r="O906" t="s">
        <v>11</v>
      </c>
      <c r="P906">
        <v>5102</v>
      </c>
      <c r="Q906">
        <v>6</v>
      </c>
      <c r="R906">
        <v>9.9</v>
      </c>
      <c r="S906">
        <v>59.4</v>
      </c>
      <c r="T906">
        <v>38.46</v>
      </c>
      <c r="U906">
        <v>35.25</v>
      </c>
      <c r="V906" t="str">
        <f>VLOOKUP(L906,'[2]tabela de preços'!$A:$D,4,0)</f>
        <v>SHERWIN WILLIAMS</v>
      </c>
      <c r="W906" t="str">
        <f>VLOOKUP(L906,'[2]tabela de preços'!$A:$F,6,0)</f>
        <v>PRIMER AUTOMOTIVO</v>
      </c>
      <c r="X906" t="str">
        <f>VLOOKUP(L906,'[2]tabela de preços'!$A:$G,7,0)</f>
        <v>AUTOMOTIVO</v>
      </c>
    </row>
    <row r="907" spans="1:24" x14ac:dyDescent="0.3">
      <c r="A907" t="s">
        <v>953</v>
      </c>
      <c r="C907" t="s">
        <v>954</v>
      </c>
      <c r="D907" s="1">
        <v>46028</v>
      </c>
      <c r="E907" t="s">
        <v>955</v>
      </c>
      <c r="F907">
        <v>9</v>
      </c>
      <c r="G907">
        <v>231</v>
      </c>
      <c r="H907" t="str">
        <f>VLOOKUP(G907,[1]OPERADORES!$A:$B,2,0)</f>
        <v>EDIJANE</v>
      </c>
      <c r="I907" t="s">
        <v>21</v>
      </c>
      <c r="J907" t="s">
        <v>550</v>
      </c>
      <c r="K907" t="s">
        <v>956</v>
      </c>
      <c r="L907">
        <v>84011</v>
      </c>
      <c r="M907" t="s">
        <v>957</v>
      </c>
      <c r="O907" t="s">
        <v>11</v>
      </c>
      <c r="P907">
        <v>5102</v>
      </c>
      <c r="Q907">
        <v>50</v>
      </c>
      <c r="R907">
        <v>2.62</v>
      </c>
      <c r="S907">
        <v>131</v>
      </c>
      <c r="T907">
        <v>84.5</v>
      </c>
      <c r="U907">
        <v>35.5</v>
      </c>
      <c r="V907" t="str">
        <f>VLOOKUP(L907,'[2]tabela de preços'!$A:$D,4,0)</f>
        <v>3M</v>
      </c>
      <c r="W907" t="str">
        <f>VLOOKUP(L907,'[2]tabela de preços'!$A:$F,6,0)</f>
        <v>LIXA FERRO</v>
      </c>
      <c r="X907" t="str">
        <f>VLOOKUP(L907,'[2]tabela de preços'!$A:$G,7,0)</f>
        <v>IMOBILIÁRIO</v>
      </c>
    </row>
    <row r="908" spans="1:24" x14ac:dyDescent="0.3">
      <c r="A908" t="s">
        <v>953</v>
      </c>
      <c r="C908" t="s">
        <v>954</v>
      </c>
      <c r="D908" s="1">
        <v>46028</v>
      </c>
      <c r="E908" t="s">
        <v>955</v>
      </c>
      <c r="F908">
        <v>9</v>
      </c>
      <c r="G908">
        <v>231</v>
      </c>
      <c r="H908" t="str">
        <f>VLOOKUP(G908,[1]OPERADORES!$A:$B,2,0)</f>
        <v>EDIJANE</v>
      </c>
      <c r="I908" t="s">
        <v>21</v>
      </c>
      <c r="J908" t="s">
        <v>550</v>
      </c>
      <c r="K908" t="s">
        <v>956</v>
      </c>
      <c r="L908">
        <v>20817</v>
      </c>
      <c r="M908" t="s">
        <v>153</v>
      </c>
      <c r="O908" t="s">
        <v>11</v>
      </c>
      <c r="P908">
        <v>5102</v>
      </c>
      <c r="Q908">
        <v>6</v>
      </c>
      <c r="R908">
        <v>22.89</v>
      </c>
      <c r="S908">
        <v>137.34</v>
      </c>
      <c r="T908">
        <v>111.72</v>
      </c>
      <c r="U908">
        <v>18.649999999999999</v>
      </c>
      <c r="V908" t="str">
        <f>VLOOKUP(L908,'[2]tabela de preços'!$A:$D,4,0)</f>
        <v>AUTO AMERICA</v>
      </c>
      <c r="W908" t="str">
        <f>VLOOKUP(L908,'[2]tabela de preços'!$A:$F,6,0)</f>
        <v>MASSA DE POLIR</v>
      </c>
      <c r="X908" t="str">
        <f>VLOOKUP(L908,'[2]tabela de preços'!$A:$G,7,0)</f>
        <v>AUTOMOTIVO</v>
      </c>
    </row>
    <row r="909" spans="1:24" x14ac:dyDescent="0.3">
      <c r="A909" t="s">
        <v>953</v>
      </c>
      <c r="C909" t="s">
        <v>954</v>
      </c>
      <c r="D909" s="1">
        <v>46028</v>
      </c>
      <c r="E909" t="s">
        <v>955</v>
      </c>
      <c r="F909">
        <v>9</v>
      </c>
      <c r="G909">
        <v>231</v>
      </c>
      <c r="H909" t="str">
        <f>VLOOKUP(G909,[1]OPERADORES!$A:$B,2,0)</f>
        <v>EDIJANE</v>
      </c>
      <c r="I909" t="s">
        <v>21</v>
      </c>
      <c r="J909" t="s">
        <v>550</v>
      </c>
      <c r="K909" t="s">
        <v>956</v>
      </c>
      <c r="L909">
        <v>24247</v>
      </c>
      <c r="M909" t="s">
        <v>111</v>
      </c>
      <c r="O909" t="s">
        <v>11</v>
      </c>
      <c r="P909">
        <v>5403</v>
      </c>
      <c r="Q909">
        <v>6</v>
      </c>
      <c r="R909">
        <v>19.899999999999999</v>
      </c>
      <c r="S909">
        <v>119.4</v>
      </c>
      <c r="T909">
        <v>99.6</v>
      </c>
      <c r="U909">
        <v>16.579999999999998</v>
      </c>
      <c r="V909" t="str">
        <f>VLOOKUP(L909,'[2]tabela de preços'!$A:$D,4,0)</f>
        <v>SHERWIN WILLIAMS</v>
      </c>
      <c r="W909" t="str">
        <f>VLOOKUP(L909,'[2]tabela de preços'!$A:$F,6,0)</f>
        <v>PRIMER AUTOMOTIVO</v>
      </c>
      <c r="X909" t="str">
        <f>VLOOKUP(L909,'[2]tabela de preços'!$A:$G,7,0)</f>
        <v>AUTOMOTIVO</v>
      </c>
    </row>
    <row r="910" spans="1:24" x14ac:dyDescent="0.3">
      <c r="A910" t="s">
        <v>953</v>
      </c>
      <c r="C910" t="s">
        <v>958</v>
      </c>
      <c r="D910" s="1">
        <v>46030</v>
      </c>
      <c r="F910">
        <v>9</v>
      </c>
      <c r="G910">
        <v>231</v>
      </c>
      <c r="H910" t="str">
        <f>VLOOKUP(G910,[1]OPERADORES!$A:$B,2,0)</f>
        <v>EDIJANE</v>
      </c>
      <c r="I910" t="s">
        <v>21</v>
      </c>
      <c r="J910" t="s">
        <v>550</v>
      </c>
      <c r="K910" t="s">
        <v>956</v>
      </c>
      <c r="L910">
        <v>84011</v>
      </c>
      <c r="M910" t="s">
        <v>957</v>
      </c>
      <c r="N910" t="s">
        <v>959</v>
      </c>
      <c r="O910" t="s">
        <v>11</v>
      </c>
      <c r="P910">
        <v>1202</v>
      </c>
      <c r="Q910">
        <v>-50</v>
      </c>
      <c r="R910">
        <v>2.62</v>
      </c>
      <c r="S910">
        <v>-131</v>
      </c>
      <c r="T910">
        <v>-84.5</v>
      </c>
      <c r="U910">
        <v>35.5</v>
      </c>
      <c r="V910" t="str">
        <f>VLOOKUP(L910,'[2]tabela de preços'!$A:$D,4,0)</f>
        <v>3M</v>
      </c>
      <c r="W910" t="str">
        <f>VLOOKUP(L910,'[2]tabela de preços'!$A:$F,6,0)</f>
        <v>LIXA FERRO</v>
      </c>
      <c r="X910" t="str">
        <f>VLOOKUP(L910,'[2]tabela de preços'!$A:$G,7,0)</f>
        <v>IMOBILIÁRIO</v>
      </c>
    </row>
    <row r="911" spans="1:24" x14ac:dyDescent="0.3">
      <c r="A911" t="s">
        <v>953</v>
      </c>
      <c r="C911" t="s">
        <v>960</v>
      </c>
      <c r="D911" s="1">
        <v>46037</v>
      </c>
      <c r="E911" t="s">
        <v>961</v>
      </c>
      <c r="F911">
        <v>9</v>
      </c>
      <c r="G911">
        <v>231</v>
      </c>
      <c r="H911" t="str">
        <f>VLOOKUP(G911,[1]OPERADORES!$A:$B,2,0)</f>
        <v>EDIJANE</v>
      </c>
      <c r="I911" t="s">
        <v>21</v>
      </c>
      <c r="J911" t="s">
        <v>550</v>
      </c>
      <c r="K911" t="s">
        <v>956</v>
      </c>
      <c r="L911">
        <v>84216</v>
      </c>
      <c r="M911" t="s">
        <v>962</v>
      </c>
      <c r="O911" t="s">
        <v>11</v>
      </c>
      <c r="P911">
        <v>5403</v>
      </c>
      <c r="Q911">
        <v>3</v>
      </c>
      <c r="R911">
        <v>216.62</v>
      </c>
      <c r="S911">
        <v>649.86</v>
      </c>
      <c r="T911">
        <v>493.26</v>
      </c>
      <c r="U911">
        <v>24.1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953</v>
      </c>
      <c r="C912" t="s">
        <v>960</v>
      </c>
      <c r="D912" s="1">
        <v>46037</v>
      </c>
      <c r="E912" t="s">
        <v>961</v>
      </c>
      <c r="F912">
        <v>9</v>
      </c>
      <c r="G912">
        <v>231</v>
      </c>
      <c r="H912" t="str">
        <f>VLOOKUP(G912,[1]OPERADORES!$A:$B,2,0)</f>
        <v>EDIJANE</v>
      </c>
      <c r="I912" t="s">
        <v>21</v>
      </c>
      <c r="J912" t="s">
        <v>550</v>
      </c>
      <c r="K912" t="s">
        <v>956</v>
      </c>
      <c r="L912">
        <v>10277</v>
      </c>
      <c r="M912" t="s">
        <v>135</v>
      </c>
      <c r="O912" t="s">
        <v>11</v>
      </c>
      <c r="P912">
        <v>5102</v>
      </c>
      <c r="Q912">
        <v>4</v>
      </c>
      <c r="R912">
        <v>15.89</v>
      </c>
      <c r="S912">
        <v>63.56</v>
      </c>
      <c r="T912">
        <v>51.52</v>
      </c>
      <c r="U912">
        <v>18.940000000000001</v>
      </c>
      <c r="V912" t="str">
        <f>VLOOKUP(L912,'[2]tabela de preços'!$A:$D,4,0)</f>
        <v>RETOQUE</v>
      </c>
      <c r="W912" t="str">
        <f>VLOOKUP(L912,'[2]tabela de preços'!$A:$F,6,0)</f>
        <v xml:space="preserve">COLA  PLÁSTICA </v>
      </c>
      <c r="X912" t="str">
        <f>VLOOKUP(L912,'[2]tabela de preços'!$A:$G,7,0)</f>
        <v>AUTOMOTIVO</v>
      </c>
    </row>
    <row r="913" spans="1:24" x14ac:dyDescent="0.3">
      <c r="A913" t="s">
        <v>953</v>
      </c>
      <c r="C913" t="s">
        <v>960</v>
      </c>
      <c r="D913" s="1">
        <v>46037</v>
      </c>
      <c r="E913" t="s">
        <v>961</v>
      </c>
      <c r="F913">
        <v>9</v>
      </c>
      <c r="G913">
        <v>231</v>
      </c>
      <c r="H913" t="str">
        <f>VLOOKUP(G913,[1]OPERADORES!$A:$B,2,0)</f>
        <v>EDIJANE</v>
      </c>
      <c r="I913" t="s">
        <v>21</v>
      </c>
      <c r="J913" t="s">
        <v>550</v>
      </c>
      <c r="K913" t="s">
        <v>956</v>
      </c>
      <c r="L913">
        <v>10241</v>
      </c>
      <c r="M913" t="s">
        <v>819</v>
      </c>
      <c r="O913" t="s">
        <v>11</v>
      </c>
      <c r="P913">
        <v>5102</v>
      </c>
      <c r="Q913">
        <v>50</v>
      </c>
      <c r="R913">
        <v>2.79</v>
      </c>
      <c r="S913">
        <v>139.5</v>
      </c>
      <c r="T913">
        <v>114</v>
      </c>
      <c r="U913">
        <v>18.28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963</v>
      </c>
      <c r="B914" t="s">
        <v>964</v>
      </c>
      <c r="C914" t="s">
        <v>965</v>
      </c>
      <c r="D914" s="1">
        <v>46035</v>
      </c>
      <c r="E914" t="s">
        <v>966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244</v>
      </c>
      <c r="J914" t="s">
        <v>967</v>
      </c>
      <c r="K914" t="s">
        <v>968</v>
      </c>
      <c r="L914">
        <v>85692</v>
      </c>
      <c r="M914" t="s">
        <v>969</v>
      </c>
      <c r="O914" t="s">
        <v>11</v>
      </c>
      <c r="P914">
        <v>6102</v>
      </c>
      <c r="Q914">
        <v>5</v>
      </c>
      <c r="R914">
        <v>7.89</v>
      </c>
      <c r="S914">
        <v>39.450000000000003</v>
      </c>
      <c r="T914">
        <v>32.549999999999997</v>
      </c>
      <c r="U914">
        <v>17.489999999999998</v>
      </c>
      <c r="V914" t="str">
        <f>VLOOKUP(L914,'[2]tabela de preços'!$A:$D,4,0)</f>
        <v>UNIPEGA</v>
      </c>
      <c r="W914" t="str">
        <f>VLOOKUP(L914,'[2]tabela de preços'!$A:$F,6,0)</f>
        <v>PU 40</v>
      </c>
      <c r="X914" t="str">
        <f>VLOOKUP(L914,'[2]tabela de preços'!$A:$G,7,0)</f>
        <v>IMOBILIÁRIO</v>
      </c>
    </row>
    <row r="915" spans="1:24" x14ac:dyDescent="0.3">
      <c r="A915" t="s">
        <v>963</v>
      </c>
      <c r="B915" t="s">
        <v>964</v>
      </c>
      <c r="C915" t="s">
        <v>965</v>
      </c>
      <c r="D915" s="1">
        <v>46035</v>
      </c>
      <c r="E915" t="s">
        <v>966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244</v>
      </c>
      <c r="J915" t="s">
        <v>967</v>
      </c>
      <c r="K915" t="s">
        <v>968</v>
      </c>
      <c r="L915">
        <v>85693</v>
      </c>
      <c r="M915" t="s">
        <v>526</v>
      </c>
      <c r="O915" t="s">
        <v>11</v>
      </c>
      <c r="P915">
        <v>6102</v>
      </c>
      <c r="Q915">
        <v>5</v>
      </c>
      <c r="R915">
        <v>7.89</v>
      </c>
      <c r="S915">
        <v>39.450000000000003</v>
      </c>
      <c r="T915">
        <v>32.549999999999997</v>
      </c>
      <c r="U915">
        <v>17.489999999999998</v>
      </c>
      <c r="V915" t="str">
        <f>VLOOKUP(L915,'[2]tabela de preços'!$A:$D,4,0)</f>
        <v>UNIPEGA</v>
      </c>
      <c r="W915" t="str">
        <f>VLOOKUP(L915,'[2]tabela de preços'!$A:$F,6,0)</f>
        <v>PU 40</v>
      </c>
      <c r="X915" t="str">
        <f>VLOOKUP(L915,'[2]tabela de preços'!$A:$G,7,0)</f>
        <v>IMOBILIÁRIO</v>
      </c>
    </row>
    <row r="916" spans="1:24" x14ac:dyDescent="0.3">
      <c r="A916" t="s">
        <v>963</v>
      </c>
      <c r="B916" t="s">
        <v>964</v>
      </c>
      <c r="C916" t="s">
        <v>965</v>
      </c>
      <c r="D916" s="1">
        <v>46035</v>
      </c>
      <c r="E916" t="s">
        <v>966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244</v>
      </c>
      <c r="J916" t="s">
        <v>967</v>
      </c>
      <c r="K916" t="s">
        <v>968</v>
      </c>
      <c r="L916">
        <v>85583</v>
      </c>
      <c r="M916" t="s">
        <v>970</v>
      </c>
      <c r="O916" t="s">
        <v>11</v>
      </c>
      <c r="P916">
        <v>6102</v>
      </c>
      <c r="Q916">
        <v>6</v>
      </c>
      <c r="R916">
        <v>29.9</v>
      </c>
      <c r="S916">
        <v>179.4</v>
      </c>
      <c r="T916">
        <v>162.78</v>
      </c>
      <c r="U916">
        <v>9.26</v>
      </c>
      <c r="V916" t="str">
        <f>VLOOKUP(L916,'[2]tabela de preços'!$A:$D,4,0)</f>
        <v>DÁVILA  INOVE</v>
      </c>
      <c r="W916" t="str">
        <f>VLOOKUP(L916,'[2]tabela de preços'!$A:$F,6,0)</f>
        <v>MASSA CORRIDA / ACRÍLICA</v>
      </c>
      <c r="X916" t="str">
        <f>VLOOKUP(L916,'[2]tabela de preços'!$A:$G,7,0)</f>
        <v>IMOBILIÁRIO</v>
      </c>
    </row>
    <row r="917" spans="1:24" x14ac:dyDescent="0.3">
      <c r="A917" t="s">
        <v>963</v>
      </c>
      <c r="B917" t="s">
        <v>964</v>
      </c>
      <c r="C917" t="s">
        <v>965</v>
      </c>
      <c r="D917" s="1">
        <v>46035</v>
      </c>
      <c r="E917" t="s">
        <v>966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244</v>
      </c>
      <c r="J917" t="s">
        <v>967</v>
      </c>
      <c r="K917" t="s">
        <v>968</v>
      </c>
      <c r="L917">
        <v>87043</v>
      </c>
      <c r="M917" t="s">
        <v>217</v>
      </c>
      <c r="O917" t="s">
        <v>11</v>
      </c>
      <c r="P917">
        <v>6102</v>
      </c>
      <c r="Q917">
        <v>64</v>
      </c>
      <c r="R917">
        <v>21.95</v>
      </c>
      <c r="S917" s="2">
        <v>1404.8</v>
      </c>
      <c r="T917" s="2">
        <v>1153.28</v>
      </c>
      <c r="U917">
        <v>17.899999999999999</v>
      </c>
      <c r="V917" t="str">
        <f>VLOOKUP(L917,'[2]tabela de preços'!$A:$D,4,0)</f>
        <v>ROBERLO</v>
      </c>
      <c r="W917" t="str">
        <f>VLOOKUP(L917,'[2]tabela de preços'!$A:$F,6,0)</f>
        <v>MASSA POLIÉSTER</v>
      </c>
      <c r="X917" t="str">
        <f>VLOOKUP(L917,'[2]tabela de preços'!$A:$G,7,0)</f>
        <v>AUTOMOTIVO</v>
      </c>
    </row>
    <row r="918" spans="1:24" x14ac:dyDescent="0.3">
      <c r="A918" t="s">
        <v>963</v>
      </c>
      <c r="B918" t="s">
        <v>964</v>
      </c>
      <c r="C918" t="s">
        <v>965</v>
      </c>
      <c r="D918" s="1">
        <v>46035</v>
      </c>
      <c r="E918" t="s">
        <v>966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244</v>
      </c>
      <c r="J918" t="s">
        <v>967</v>
      </c>
      <c r="K918" t="s">
        <v>968</v>
      </c>
      <c r="L918">
        <v>85660</v>
      </c>
      <c r="M918" t="s">
        <v>971</v>
      </c>
      <c r="O918" t="s">
        <v>11</v>
      </c>
      <c r="P918">
        <v>6403</v>
      </c>
      <c r="Q918">
        <v>3</v>
      </c>
      <c r="R918">
        <v>13.89</v>
      </c>
      <c r="S918">
        <v>41.67</v>
      </c>
      <c r="T918">
        <v>33</v>
      </c>
      <c r="U918">
        <v>20.81</v>
      </c>
      <c r="V918" t="str">
        <f>VLOOKUP(L918,'[2]tabela de preços'!$A:$D,4,0)</f>
        <v>UNIPEGA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963</v>
      </c>
      <c r="B919" t="s">
        <v>964</v>
      </c>
      <c r="C919" t="s">
        <v>965</v>
      </c>
      <c r="D919" s="1">
        <v>46035</v>
      </c>
      <c r="E919" t="s">
        <v>966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244</v>
      </c>
      <c r="J919" t="s">
        <v>967</v>
      </c>
      <c r="K919" t="s">
        <v>968</v>
      </c>
      <c r="L919">
        <v>85662</v>
      </c>
      <c r="M919" t="s">
        <v>972</v>
      </c>
      <c r="O919" t="s">
        <v>11</v>
      </c>
      <c r="P919">
        <v>6403</v>
      </c>
      <c r="Q919">
        <v>4</v>
      </c>
      <c r="R919">
        <v>13.89</v>
      </c>
      <c r="S919">
        <v>55.56</v>
      </c>
      <c r="T919">
        <v>44</v>
      </c>
      <c r="U919">
        <v>20.81</v>
      </c>
      <c r="V919" t="str">
        <f>VLOOKUP(L919,'[2]tabela de preços'!$A:$D,4,0)</f>
        <v>UNIPEGA</v>
      </c>
      <c r="W919" t="str">
        <f>VLOOKUP(L919,'[2]tabela de preços'!$A:$F,6,0)</f>
        <v xml:space="preserve">SPRAYS </v>
      </c>
      <c r="X919" t="str">
        <f>VLOOKUP(L919,'[2]tabela de preços'!$A:$G,7,0)</f>
        <v>AUTOMOTIVO</v>
      </c>
    </row>
    <row r="920" spans="1:24" x14ac:dyDescent="0.3">
      <c r="A920" t="s">
        <v>963</v>
      </c>
      <c r="B920" t="s">
        <v>964</v>
      </c>
      <c r="C920" t="s">
        <v>965</v>
      </c>
      <c r="D920" s="1">
        <v>46035</v>
      </c>
      <c r="E920" t="s">
        <v>966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244</v>
      </c>
      <c r="J920" t="s">
        <v>967</v>
      </c>
      <c r="K920" t="s">
        <v>968</v>
      </c>
      <c r="L920">
        <v>85663</v>
      </c>
      <c r="M920" t="s">
        <v>973</v>
      </c>
      <c r="O920" t="s">
        <v>11</v>
      </c>
      <c r="P920">
        <v>6403</v>
      </c>
      <c r="Q920">
        <v>4</v>
      </c>
      <c r="R920">
        <v>13.89</v>
      </c>
      <c r="S920">
        <v>55.56</v>
      </c>
      <c r="T920">
        <v>44</v>
      </c>
      <c r="U920">
        <v>20.81</v>
      </c>
      <c r="V920" t="str">
        <f>VLOOKUP(L920,'[2]tabela de preços'!$A:$D,4,0)</f>
        <v>UNIPEGA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974</v>
      </c>
      <c r="C921" t="s">
        <v>975</v>
      </c>
      <c r="D921" s="1">
        <v>46029</v>
      </c>
      <c r="E921" t="s">
        <v>976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397</v>
      </c>
      <c r="K921" t="s">
        <v>977</v>
      </c>
      <c r="L921">
        <v>23715</v>
      </c>
      <c r="M921" t="s">
        <v>978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61.8</v>
      </c>
      <c r="U921">
        <v>18.47</v>
      </c>
      <c r="V921" t="str">
        <f>VLOOKUP(L921,'[2]tabela de preços'!$A:$D,4,0)</f>
        <v>NEW PAD</v>
      </c>
      <c r="W921" t="str">
        <f>VLOOKUP(L921,'[2]tabela de preços'!$A:$F,6,0)</f>
        <v>BOINAS PARA POLIMENTO</v>
      </c>
      <c r="X921" t="str">
        <f>VLOOKUP(L921,'[2]tabela de preços'!$A:$G,7,0)</f>
        <v>AUTOMOTIVO</v>
      </c>
    </row>
    <row r="922" spans="1:24" x14ac:dyDescent="0.3">
      <c r="A922" t="s">
        <v>974</v>
      </c>
      <c r="C922" t="s">
        <v>975</v>
      </c>
      <c r="D922" s="1">
        <v>46029</v>
      </c>
      <c r="E922" t="s">
        <v>976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21</v>
      </c>
      <c r="J922" t="s">
        <v>397</v>
      </c>
      <c r="K922" t="s">
        <v>977</v>
      </c>
      <c r="L922">
        <v>84557</v>
      </c>
      <c r="M922" t="s">
        <v>116</v>
      </c>
      <c r="O922" t="s">
        <v>11</v>
      </c>
      <c r="P922">
        <v>5102</v>
      </c>
      <c r="Q922">
        <v>12</v>
      </c>
      <c r="R922">
        <v>18.39</v>
      </c>
      <c r="S922">
        <v>220.68</v>
      </c>
      <c r="T922">
        <v>167.52</v>
      </c>
      <c r="U922">
        <v>24.09</v>
      </c>
      <c r="V922" t="str">
        <f>VLOOKUP(L922,'[2]tabela de preços'!$A:$D,4,0)</f>
        <v>BRASILUX</v>
      </c>
      <c r="W922" t="str">
        <f>VLOOKUP(L922,'[2]tabela de preços'!$A:$F,6,0)</f>
        <v>DILUENTE</v>
      </c>
      <c r="X922" t="str">
        <f>VLOOKUP(L922,'[2]tabela de preços'!$A:$G,7,0)</f>
        <v>AUTOMOTIVO</v>
      </c>
    </row>
    <row r="923" spans="1:24" x14ac:dyDescent="0.3">
      <c r="A923" t="s">
        <v>974</v>
      </c>
      <c r="C923" t="s">
        <v>975</v>
      </c>
      <c r="D923" s="1">
        <v>46029</v>
      </c>
      <c r="E923" t="s">
        <v>976</v>
      </c>
      <c r="F923">
        <v>9</v>
      </c>
      <c r="G923">
        <v>197</v>
      </c>
      <c r="H923" t="str">
        <f>VLOOKUP(G923,[1]OPERADORES!$A:$B,2,0)</f>
        <v xml:space="preserve">POLIANA LORRANE DE AMORIM </v>
      </c>
      <c r="I923" t="s">
        <v>21</v>
      </c>
      <c r="J923" t="s">
        <v>397</v>
      </c>
      <c r="K923" t="s">
        <v>977</v>
      </c>
      <c r="L923">
        <v>85164</v>
      </c>
      <c r="M923" t="s">
        <v>278</v>
      </c>
      <c r="O923" t="s">
        <v>11</v>
      </c>
      <c r="P923">
        <v>5102</v>
      </c>
      <c r="Q923">
        <v>12</v>
      </c>
      <c r="R923">
        <v>13.29</v>
      </c>
      <c r="S923">
        <v>159.47999999999999</v>
      </c>
      <c r="T923">
        <v>121.08</v>
      </c>
      <c r="U923">
        <v>24.08</v>
      </c>
      <c r="V923" t="str">
        <f>VLOOKUP(L923,'[2]tabela de preços'!$A:$D,4,0)</f>
        <v>BRASILUX</v>
      </c>
      <c r="W923" t="str">
        <f>VLOOKUP(L923,'[2]tabela de preços'!$A:$F,6,0)</f>
        <v>QUEROSENE</v>
      </c>
      <c r="X923" t="str">
        <f>VLOOKUP(L923,'[2]tabela de preços'!$A:$G,7,0)</f>
        <v>AUTOMOTIVO</v>
      </c>
    </row>
    <row r="924" spans="1:24" x14ac:dyDescent="0.3">
      <c r="A924" t="s">
        <v>974</v>
      </c>
      <c r="C924" t="s">
        <v>979</v>
      </c>
      <c r="D924" s="1">
        <v>46029</v>
      </c>
      <c r="E924" t="s">
        <v>980</v>
      </c>
      <c r="F924">
        <v>9</v>
      </c>
      <c r="G924">
        <v>197</v>
      </c>
      <c r="H924" t="str">
        <f>VLOOKUP(G924,[1]OPERADORES!$A:$B,2,0)</f>
        <v xml:space="preserve">POLIANA LORRANE DE AMORIM </v>
      </c>
      <c r="I924" t="s">
        <v>21</v>
      </c>
      <c r="J924" t="s">
        <v>397</v>
      </c>
      <c r="K924" t="s">
        <v>977</v>
      </c>
      <c r="L924">
        <v>85670</v>
      </c>
      <c r="M924" t="s">
        <v>981</v>
      </c>
      <c r="O924" t="s">
        <v>11</v>
      </c>
      <c r="P924">
        <v>5102</v>
      </c>
      <c r="Q924">
        <v>8</v>
      </c>
      <c r="R924">
        <v>12.2</v>
      </c>
      <c r="S924">
        <v>97.6</v>
      </c>
      <c r="T924">
        <v>74.08</v>
      </c>
      <c r="U924">
        <v>24.1</v>
      </c>
      <c r="V924" t="str">
        <f>VLOOKUP(L924,'[2]tabela de preços'!$A:$D,4,0)</f>
        <v>UNIPEGA</v>
      </c>
      <c r="W924" t="str">
        <f>VLOOKUP(L924,'[2]tabela de preços'!$A:$F,6,0)</f>
        <v>ESPUMA EXPANSIVA</v>
      </c>
      <c r="X924" t="str">
        <f>VLOOKUP(L924,'[2]tabela de preços'!$A:$G,7,0)</f>
        <v>IMOBILIÁRIO</v>
      </c>
    </row>
    <row r="925" spans="1:24" x14ac:dyDescent="0.3">
      <c r="A925" t="s">
        <v>974</v>
      </c>
      <c r="C925" t="s">
        <v>979</v>
      </c>
      <c r="D925" s="1">
        <v>46029</v>
      </c>
      <c r="E925" t="s">
        <v>980</v>
      </c>
      <c r="F925">
        <v>9</v>
      </c>
      <c r="G925">
        <v>197</v>
      </c>
      <c r="H925" t="str">
        <f>VLOOKUP(G925,[1]OPERADORES!$A:$B,2,0)</f>
        <v xml:space="preserve">POLIANA LORRANE DE AMORIM </v>
      </c>
      <c r="I925" t="s">
        <v>21</v>
      </c>
      <c r="J925" t="s">
        <v>397</v>
      </c>
      <c r="K925" t="s">
        <v>977</v>
      </c>
      <c r="L925">
        <v>15</v>
      </c>
      <c r="M925" t="s">
        <v>205</v>
      </c>
      <c r="O925" t="s">
        <v>11</v>
      </c>
      <c r="P925">
        <v>5102</v>
      </c>
      <c r="Q925">
        <v>50</v>
      </c>
      <c r="R925">
        <v>5.65</v>
      </c>
      <c r="S925">
        <v>282.5</v>
      </c>
      <c r="T925">
        <v>208</v>
      </c>
      <c r="U925">
        <v>26.37</v>
      </c>
      <c r="V925" t="str">
        <f>VLOOKUP(L925,'[2]tabela de preços'!$A:$D,4,0)</f>
        <v>3M</v>
      </c>
      <c r="W925" t="str">
        <f>VLOOKUP(L925,'[2]tabela de preços'!$A:$F,6,0)</f>
        <v>LIXA DÁGUA</v>
      </c>
      <c r="X925" t="str">
        <f>VLOOKUP(L925,'[2]tabela de preços'!$A:$G,7,0)</f>
        <v>AUTOMOTIVO</v>
      </c>
    </row>
    <row r="926" spans="1:24" x14ac:dyDescent="0.3">
      <c r="A926" t="s">
        <v>974</v>
      </c>
      <c r="C926" t="s">
        <v>979</v>
      </c>
      <c r="D926" s="1">
        <v>46029</v>
      </c>
      <c r="E926" t="s">
        <v>980</v>
      </c>
      <c r="F926">
        <v>9</v>
      </c>
      <c r="G926">
        <v>197</v>
      </c>
      <c r="H926" t="str">
        <f>VLOOKUP(G926,[1]OPERADORES!$A:$B,2,0)</f>
        <v xml:space="preserve">POLIANA LORRANE DE AMORIM </v>
      </c>
      <c r="I926" t="s">
        <v>21</v>
      </c>
      <c r="J926" t="s">
        <v>397</v>
      </c>
      <c r="K926" t="s">
        <v>977</v>
      </c>
      <c r="L926">
        <v>84047</v>
      </c>
      <c r="M926" t="s">
        <v>222</v>
      </c>
      <c r="O926" t="s">
        <v>11</v>
      </c>
      <c r="P926">
        <v>5102</v>
      </c>
      <c r="Q926">
        <v>4</v>
      </c>
      <c r="R926">
        <v>20.149999999999999</v>
      </c>
      <c r="S926">
        <v>80.599999999999994</v>
      </c>
      <c r="T926">
        <v>61.2</v>
      </c>
      <c r="U926">
        <v>24.07</v>
      </c>
      <c r="V926" t="str">
        <f>VLOOKUP(L926,'[2]tabela de preços'!$A:$D,4,0)</f>
        <v>BRASILUX</v>
      </c>
      <c r="W926" t="str">
        <f>VLOOKUP(L926,'[2]tabela de preços'!$A:$F,6,0)</f>
        <v>MASSA DE POLIR</v>
      </c>
      <c r="X926" t="str">
        <f>VLOOKUP(L926,'[2]tabela de preços'!$A:$G,7,0)</f>
        <v>AUTOMOTIVO</v>
      </c>
    </row>
    <row r="927" spans="1:24" x14ac:dyDescent="0.3">
      <c r="A927" t="s">
        <v>974</v>
      </c>
      <c r="C927" t="s">
        <v>979</v>
      </c>
      <c r="D927" s="1">
        <v>46029</v>
      </c>
      <c r="E927" t="s">
        <v>980</v>
      </c>
      <c r="F927">
        <v>9</v>
      </c>
      <c r="G927">
        <v>197</v>
      </c>
      <c r="H927" t="str">
        <f>VLOOKUP(G927,[1]OPERADORES!$A:$B,2,0)</f>
        <v xml:space="preserve">POLIANA LORRANE DE AMORIM </v>
      </c>
      <c r="I927" t="s">
        <v>21</v>
      </c>
      <c r="J927" t="s">
        <v>397</v>
      </c>
      <c r="K927" t="s">
        <v>977</v>
      </c>
      <c r="L927">
        <v>84046</v>
      </c>
      <c r="M927" t="s">
        <v>754</v>
      </c>
      <c r="O927" t="s">
        <v>11</v>
      </c>
      <c r="P927">
        <v>5102</v>
      </c>
      <c r="Q927">
        <v>4</v>
      </c>
      <c r="R927">
        <v>11.84</v>
      </c>
      <c r="S927">
        <v>47.36</v>
      </c>
      <c r="T927">
        <v>35.96</v>
      </c>
      <c r="U927">
        <v>24.07</v>
      </c>
      <c r="V927" t="str">
        <f>VLOOKUP(L927,'[2]tabela de preços'!$A:$D,4,0)</f>
        <v>BRASILUX</v>
      </c>
      <c r="W927" t="str">
        <f>VLOOKUP(L927,'[2]tabela de preços'!$A:$F,6,0)</f>
        <v>MASSA DE POLIR</v>
      </c>
      <c r="X927" t="str">
        <f>VLOOKUP(L927,'[2]tabela de preços'!$A:$G,7,0)</f>
        <v>AUTOMOTIVO</v>
      </c>
    </row>
    <row r="928" spans="1:24" x14ac:dyDescent="0.3">
      <c r="A928" t="s">
        <v>974</v>
      </c>
      <c r="C928" t="s">
        <v>979</v>
      </c>
      <c r="D928" s="1">
        <v>46029</v>
      </c>
      <c r="E928" t="s">
        <v>980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397</v>
      </c>
      <c r="K928" t="s">
        <v>977</v>
      </c>
      <c r="L928">
        <v>85687</v>
      </c>
      <c r="M928" t="s">
        <v>982</v>
      </c>
      <c r="O928" t="s">
        <v>11</v>
      </c>
      <c r="P928">
        <v>5102</v>
      </c>
      <c r="Q928">
        <v>8</v>
      </c>
      <c r="R928">
        <v>9.06</v>
      </c>
      <c r="S928">
        <v>72.48</v>
      </c>
      <c r="T928">
        <v>55.04</v>
      </c>
      <c r="U928">
        <v>24.06</v>
      </c>
      <c r="V928" t="str">
        <f>VLOOKUP(L928,'[2]tabela de preços'!$A:$D,4,0)</f>
        <v>UNIPEGA</v>
      </c>
      <c r="W928" t="str">
        <f>VLOOKUP(L928,'[2]tabela de preços'!$A:$F,6,0)</f>
        <v>SILICONE</v>
      </c>
      <c r="X928" t="str">
        <f>VLOOKUP(L928,'[2]tabela de preços'!$A:$G,7,0)</f>
        <v>IMOBILIÁRIO</v>
      </c>
    </row>
    <row r="929" spans="1:24" x14ac:dyDescent="0.3">
      <c r="A929" t="s">
        <v>974</v>
      </c>
      <c r="C929" t="s">
        <v>979</v>
      </c>
      <c r="D929" s="1">
        <v>46029</v>
      </c>
      <c r="E929" t="s">
        <v>980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397</v>
      </c>
      <c r="K929" t="s">
        <v>977</v>
      </c>
      <c r="L929">
        <v>10404</v>
      </c>
      <c r="M929" t="s">
        <v>130</v>
      </c>
      <c r="O929" t="s">
        <v>11</v>
      </c>
      <c r="P929">
        <v>5102</v>
      </c>
      <c r="Q929">
        <v>8</v>
      </c>
      <c r="R929">
        <v>16.09</v>
      </c>
      <c r="S929">
        <v>128.72</v>
      </c>
      <c r="T929">
        <v>106.56</v>
      </c>
      <c r="U929">
        <v>17.22</v>
      </c>
      <c r="V929" t="str">
        <f>VLOOKUP(L929,'[2]tabela de preços'!$A:$D,4,0)</f>
        <v>MAXI RUBBER</v>
      </c>
      <c r="W929" t="str">
        <f>VLOOKUP(L929,'[2]tabela de preços'!$A:$F,6,0)</f>
        <v>VEDADORES / SELANTES</v>
      </c>
      <c r="X929" t="str">
        <f>VLOOKUP(L929,'[2]tabela de preços'!$A:$G,7,0)</f>
        <v>AUTOMOTIVO</v>
      </c>
    </row>
    <row r="930" spans="1:24" x14ac:dyDescent="0.3">
      <c r="A930" t="s">
        <v>974</v>
      </c>
      <c r="C930" t="s">
        <v>983</v>
      </c>
      <c r="D930" s="1">
        <v>46031</v>
      </c>
      <c r="E930" t="s">
        <v>984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397</v>
      </c>
      <c r="K930" t="s">
        <v>977</v>
      </c>
      <c r="L930">
        <v>85622</v>
      </c>
      <c r="M930" t="s">
        <v>985</v>
      </c>
      <c r="O930" t="s">
        <v>11</v>
      </c>
      <c r="P930">
        <v>5102</v>
      </c>
      <c r="Q930">
        <v>4</v>
      </c>
      <c r="R930">
        <v>25.06</v>
      </c>
      <c r="S930">
        <v>100.24</v>
      </c>
      <c r="T930">
        <v>76.08</v>
      </c>
      <c r="U930">
        <v>24.1</v>
      </c>
      <c r="V930" t="str">
        <f>VLOOKUP(L930,'[2]tabela de preços'!$A:$D,4,0)</f>
        <v>TEK BOND</v>
      </c>
      <c r="W930" t="str">
        <f>VLOOKUP(L930,'[2]tabela de preços'!$A:$F,6,0)</f>
        <v>COLA INST./ ADESIVOS COLANTES</v>
      </c>
      <c r="X930" t="str">
        <f>VLOOKUP(L930,'[2]tabela de preços'!$A:$G,7,0)</f>
        <v>AUTOMOTIVO</v>
      </c>
    </row>
    <row r="931" spans="1:24" x14ac:dyDescent="0.3">
      <c r="A931" t="s">
        <v>974</v>
      </c>
      <c r="C931" t="s">
        <v>983</v>
      </c>
      <c r="D931" s="1">
        <v>46031</v>
      </c>
      <c r="E931" t="s">
        <v>984</v>
      </c>
      <c r="F931">
        <v>9</v>
      </c>
      <c r="G931">
        <v>197</v>
      </c>
      <c r="H931" t="str">
        <f>VLOOKUP(G931,[1]OPERADORES!$A:$B,2,0)</f>
        <v xml:space="preserve">POLIANA LORRANE DE AMORIM </v>
      </c>
      <c r="I931" t="s">
        <v>21</v>
      </c>
      <c r="J931" t="s">
        <v>397</v>
      </c>
      <c r="K931" t="s">
        <v>977</v>
      </c>
      <c r="L931">
        <v>84101</v>
      </c>
      <c r="M931" t="s">
        <v>986</v>
      </c>
      <c r="O931" t="s">
        <v>11</v>
      </c>
      <c r="P931">
        <v>5403</v>
      </c>
      <c r="Q931">
        <v>1</v>
      </c>
      <c r="R931">
        <v>79.63</v>
      </c>
      <c r="S931">
        <v>79.63</v>
      </c>
      <c r="T931">
        <v>58.38</v>
      </c>
      <c r="U931">
        <v>26.69</v>
      </c>
      <c r="V931" t="str">
        <f>VLOOKUP(L931,'[2]tabela de preços'!$A:$D,4,0)</f>
        <v>BRASILUX</v>
      </c>
      <c r="W931" t="str">
        <f>VLOOKUP(L931,'[2]tabela de preços'!$A:$F,6,0)</f>
        <v>ESMALTES</v>
      </c>
      <c r="X931" t="str">
        <f>VLOOKUP(L931,'[2]tabela de preços'!$A:$G,7,0)</f>
        <v>INDUSTRIAL</v>
      </c>
    </row>
    <row r="932" spans="1:24" x14ac:dyDescent="0.3">
      <c r="A932" t="s">
        <v>974</v>
      </c>
      <c r="C932" t="s">
        <v>983</v>
      </c>
      <c r="D932" s="1">
        <v>46031</v>
      </c>
      <c r="E932" t="s">
        <v>984</v>
      </c>
      <c r="F932">
        <v>9</v>
      </c>
      <c r="G932">
        <v>197</v>
      </c>
      <c r="H932" t="str">
        <f>VLOOKUP(G932,[1]OPERADORES!$A:$B,2,0)</f>
        <v xml:space="preserve">POLIANA LORRANE DE AMORIM </v>
      </c>
      <c r="I932" t="s">
        <v>21</v>
      </c>
      <c r="J932" t="s">
        <v>397</v>
      </c>
      <c r="K932" t="s">
        <v>977</v>
      </c>
      <c r="L932">
        <v>85670</v>
      </c>
      <c r="M932" t="s">
        <v>981</v>
      </c>
      <c r="O932" t="s">
        <v>11</v>
      </c>
      <c r="P932">
        <v>5102</v>
      </c>
      <c r="Q932">
        <v>6</v>
      </c>
      <c r="R932">
        <v>12.2</v>
      </c>
      <c r="S932">
        <v>73.2</v>
      </c>
      <c r="T932">
        <v>55.56</v>
      </c>
      <c r="U932">
        <v>24.1</v>
      </c>
      <c r="V932" t="str">
        <f>VLOOKUP(L932,'[2]tabela de preços'!$A:$D,4,0)</f>
        <v>UNIPEGA</v>
      </c>
      <c r="W932" t="str">
        <f>VLOOKUP(L932,'[2]tabela de preços'!$A:$F,6,0)</f>
        <v>ESPUMA EXPANSIVA</v>
      </c>
      <c r="X932" t="str">
        <f>VLOOKUP(L932,'[2]tabela de preços'!$A:$G,7,0)</f>
        <v>IMOBILIÁRIO</v>
      </c>
    </row>
    <row r="933" spans="1:24" x14ac:dyDescent="0.3">
      <c r="A933" t="s">
        <v>974</v>
      </c>
      <c r="C933" t="s">
        <v>983</v>
      </c>
      <c r="D933" s="1">
        <v>46031</v>
      </c>
      <c r="E933" t="s">
        <v>984</v>
      </c>
      <c r="F933">
        <v>9</v>
      </c>
      <c r="G933">
        <v>197</v>
      </c>
      <c r="H933" t="str">
        <f>VLOOKUP(G933,[1]OPERADORES!$A:$B,2,0)</f>
        <v xml:space="preserve">POLIANA LORRANE DE AMORIM </v>
      </c>
      <c r="I933" t="s">
        <v>21</v>
      </c>
      <c r="J933" t="s">
        <v>397</v>
      </c>
      <c r="K933" t="s">
        <v>977</v>
      </c>
      <c r="L933">
        <v>86873</v>
      </c>
      <c r="M933" t="s">
        <v>987</v>
      </c>
      <c r="O933" t="s">
        <v>11</v>
      </c>
      <c r="P933">
        <v>5102</v>
      </c>
      <c r="Q933">
        <v>40</v>
      </c>
      <c r="R933">
        <v>1.06</v>
      </c>
      <c r="S933">
        <v>42.4</v>
      </c>
      <c r="T933">
        <v>31.2</v>
      </c>
      <c r="U933">
        <v>26.42</v>
      </c>
      <c r="V933" t="str">
        <f>VLOOKUP(L933,'[2]tabela de preços'!$A:$D,4,0)</f>
        <v>AÇO BOM</v>
      </c>
      <c r="W933" t="str">
        <f>VLOOKUP(L933,'[2]tabela de preços'!$A:$F,6,0)</f>
        <v>PALHA DE AÇO</v>
      </c>
      <c r="X933" t="str">
        <f>VLOOKUP(L933,'[2]tabela de preços'!$A:$G,7,0)</f>
        <v>IMOBILIÁRIO</v>
      </c>
    </row>
    <row r="934" spans="1:24" x14ac:dyDescent="0.3">
      <c r="A934" t="s">
        <v>974</v>
      </c>
      <c r="C934" t="s">
        <v>988</v>
      </c>
      <c r="D934" s="1">
        <v>46035</v>
      </c>
      <c r="E934" t="s">
        <v>989</v>
      </c>
      <c r="F934">
        <v>9</v>
      </c>
      <c r="G934">
        <v>197</v>
      </c>
      <c r="H934" t="str">
        <f>VLOOKUP(G934,[1]OPERADORES!$A:$B,2,0)</f>
        <v xml:space="preserve">POLIANA LORRANE DE AMORIM </v>
      </c>
      <c r="I934" t="s">
        <v>21</v>
      </c>
      <c r="J934" t="s">
        <v>397</v>
      </c>
      <c r="K934" t="s">
        <v>977</v>
      </c>
      <c r="L934">
        <v>84084</v>
      </c>
      <c r="M934" t="s">
        <v>990</v>
      </c>
      <c r="O934" t="s">
        <v>11</v>
      </c>
      <c r="P934">
        <v>5403</v>
      </c>
      <c r="Q934">
        <v>34</v>
      </c>
      <c r="R934">
        <v>79.63</v>
      </c>
      <c r="S934" s="2">
        <v>2707.42</v>
      </c>
      <c r="T934" s="2">
        <v>1984.92</v>
      </c>
      <c r="U934">
        <v>26.69</v>
      </c>
      <c r="V934" t="str">
        <f>VLOOKUP(L934,'[2]tabela de preços'!$A:$D,4,0)</f>
        <v>BRASILUX</v>
      </c>
      <c r="W934" t="str">
        <f>VLOOKUP(L934,'[2]tabela de preços'!$A:$F,6,0)</f>
        <v>ESMALTES</v>
      </c>
      <c r="X934" t="str">
        <f>VLOOKUP(L934,'[2]tabela de preços'!$A:$G,7,0)</f>
        <v>INDUSTRIAL</v>
      </c>
    </row>
    <row r="935" spans="1:24" x14ac:dyDescent="0.3">
      <c r="A935" t="s">
        <v>974</v>
      </c>
      <c r="C935" t="s">
        <v>991</v>
      </c>
      <c r="D935" s="1">
        <v>46035</v>
      </c>
      <c r="E935" t="s">
        <v>992</v>
      </c>
      <c r="F935">
        <v>9</v>
      </c>
      <c r="G935">
        <v>197</v>
      </c>
      <c r="H935" t="str">
        <f>VLOOKUP(G935,[1]OPERADORES!$A:$B,2,0)</f>
        <v xml:space="preserve">POLIANA LORRANE DE AMORIM </v>
      </c>
      <c r="I935" t="s">
        <v>21</v>
      </c>
      <c r="J935" t="s">
        <v>397</v>
      </c>
      <c r="K935" t="s">
        <v>977</v>
      </c>
      <c r="L935">
        <v>84084</v>
      </c>
      <c r="M935" t="s">
        <v>990</v>
      </c>
      <c r="O935" t="s">
        <v>11</v>
      </c>
      <c r="P935">
        <v>5403</v>
      </c>
      <c r="Q935">
        <v>34</v>
      </c>
      <c r="R935">
        <v>79.63</v>
      </c>
      <c r="S935" s="2">
        <v>2707.42</v>
      </c>
      <c r="T935" s="2">
        <v>1984.92</v>
      </c>
      <c r="U935">
        <v>26.69</v>
      </c>
      <c r="V935" t="str">
        <f>VLOOKUP(L935,'[2]tabela de preços'!$A:$D,4,0)</f>
        <v>BRASILUX</v>
      </c>
      <c r="W935" t="str">
        <f>VLOOKUP(L935,'[2]tabela de preços'!$A:$F,6,0)</f>
        <v>ESMALTES</v>
      </c>
      <c r="X935" t="str">
        <f>VLOOKUP(L935,'[2]tabela de preços'!$A:$G,7,0)</f>
        <v>INDUSTRIAL</v>
      </c>
    </row>
    <row r="936" spans="1:24" x14ac:dyDescent="0.3">
      <c r="A936" t="s">
        <v>974</v>
      </c>
      <c r="C936" t="s">
        <v>993</v>
      </c>
      <c r="D936" s="1">
        <v>46036</v>
      </c>
      <c r="E936" t="s">
        <v>994</v>
      </c>
      <c r="F936">
        <v>9</v>
      </c>
      <c r="G936">
        <v>197</v>
      </c>
      <c r="H936" t="str">
        <f>VLOOKUP(G936,[1]OPERADORES!$A:$B,2,0)</f>
        <v xml:space="preserve">POLIANA LORRANE DE AMORIM </v>
      </c>
      <c r="I936" t="s">
        <v>21</v>
      </c>
      <c r="J936" t="s">
        <v>397</v>
      </c>
      <c r="K936" t="s">
        <v>977</v>
      </c>
      <c r="L936">
        <v>84910</v>
      </c>
      <c r="M936" t="s">
        <v>995</v>
      </c>
      <c r="O936" t="s">
        <v>11</v>
      </c>
      <c r="P936">
        <v>5403</v>
      </c>
      <c r="Q936">
        <v>1</v>
      </c>
      <c r="R936">
        <v>79.63</v>
      </c>
      <c r="S936">
        <v>79.63</v>
      </c>
      <c r="T936">
        <v>58.38</v>
      </c>
      <c r="U936">
        <v>26.69</v>
      </c>
      <c r="V936" t="str">
        <f>VLOOKUP(L936,'[2]tabela de preços'!$A:$D,4,0)</f>
        <v>BRASILUX</v>
      </c>
      <c r="W936" t="str">
        <f>VLOOKUP(L936,'[2]tabela de preços'!$A:$F,6,0)</f>
        <v>ESMALTES</v>
      </c>
      <c r="X936" t="str">
        <f>VLOOKUP(L936,'[2]tabela de preços'!$A:$G,7,0)</f>
        <v>INDUSTRIAL</v>
      </c>
    </row>
    <row r="937" spans="1:24" x14ac:dyDescent="0.3">
      <c r="A937" t="s">
        <v>974</v>
      </c>
      <c r="C937" t="s">
        <v>993</v>
      </c>
      <c r="D937" s="1">
        <v>46036</v>
      </c>
      <c r="E937" t="s">
        <v>994</v>
      </c>
      <c r="F937">
        <v>9</v>
      </c>
      <c r="G937">
        <v>197</v>
      </c>
      <c r="H937" t="str">
        <f>VLOOKUP(G937,[1]OPERADORES!$A:$B,2,0)</f>
        <v xml:space="preserve">POLIANA LORRANE DE AMORIM </v>
      </c>
      <c r="I937" t="s">
        <v>21</v>
      </c>
      <c r="J937" t="s">
        <v>397</v>
      </c>
      <c r="K937" t="s">
        <v>977</v>
      </c>
      <c r="L937">
        <v>24372</v>
      </c>
      <c r="M937" t="s">
        <v>996</v>
      </c>
      <c r="O937" t="s">
        <v>11</v>
      </c>
      <c r="P937">
        <v>5102</v>
      </c>
      <c r="Q937">
        <v>6</v>
      </c>
      <c r="R937">
        <v>15.61</v>
      </c>
      <c r="S937">
        <v>93.66</v>
      </c>
      <c r="T937">
        <v>71.099999999999994</v>
      </c>
      <c r="U937">
        <v>24.09</v>
      </c>
      <c r="V937" t="str">
        <f>VLOOKUP(L937,'[2]tabela de preços'!$A:$D,4,0)</f>
        <v>BRASILUX</v>
      </c>
      <c r="W937" t="str">
        <f>VLOOKUP(L937,'[2]tabela de preços'!$A:$F,6,0)</f>
        <v>EMBALAGEM</v>
      </c>
      <c r="X937" t="str">
        <f>VLOOKUP(L937,'[2]tabela de preços'!$A:$G,7,0)</f>
        <v>AUTOMOTIVO</v>
      </c>
    </row>
    <row r="938" spans="1:24" x14ac:dyDescent="0.3">
      <c r="A938" t="s">
        <v>974</v>
      </c>
      <c r="C938" t="s">
        <v>993</v>
      </c>
      <c r="D938" s="1">
        <v>46036</v>
      </c>
      <c r="E938" t="s">
        <v>994</v>
      </c>
      <c r="F938">
        <v>9</v>
      </c>
      <c r="G938">
        <v>197</v>
      </c>
      <c r="H938" t="str">
        <f>VLOOKUP(G938,[1]OPERADORES!$A:$B,2,0)</f>
        <v xml:space="preserve">POLIANA LORRANE DE AMORIM </v>
      </c>
      <c r="I938" t="s">
        <v>21</v>
      </c>
      <c r="J938" t="s">
        <v>397</v>
      </c>
      <c r="K938" t="s">
        <v>977</v>
      </c>
      <c r="L938">
        <v>85280</v>
      </c>
      <c r="M938" t="s">
        <v>943</v>
      </c>
      <c r="O938" t="s">
        <v>11</v>
      </c>
      <c r="P938">
        <v>5102</v>
      </c>
      <c r="Q938">
        <v>6</v>
      </c>
      <c r="R938">
        <v>55.72</v>
      </c>
      <c r="S938">
        <v>334.32</v>
      </c>
      <c r="T938">
        <v>253.74</v>
      </c>
      <c r="U938">
        <v>24.1</v>
      </c>
      <c r="V938" t="str">
        <f>VLOOKUP(L938,'[2]tabela de preços'!$A:$D,4,0)</f>
        <v>BRASILUX</v>
      </c>
      <c r="W938" t="str">
        <f>VLOOKUP(L938,'[2]tabela de preços'!$A:$F,6,0)</f>
        <v>CATALISADORES INDIVIDUAIS</v>
      </c>
      <c r="X938" t="str">
        <f>VLOOKUP(L938,'[2]tabela de preços'!$A:$G,7,0)</f>
        <v>IMOBILIÁRIO</v>
      </c>
    </row>
    <row r="939" spans="1:24" x14ac:dyDescent="0.3">
      <c r="A939" t="s">
        <v>974</v>
      </c>
      <c r="C939" t="s">
        <v>993</v>
      </c>
      <c r="D939" s="1">
        <v>46036</v>
      </c>
      <c r="E939" t="s">
        <v>994</v>
      </c>
      <c r="F939">
        <v>9</v>
      </c>
      <c r="G939">
        <v>197</v>
      </c>
      <c r="H939" t="str">
        <f>VLOOKUP(G939,[1]OPERADORES!$A:$B,2,0)</f>
        <v xml:space="preserve">POLIANA LORRANE DE AMORIM </v>
      </c>
      <c r="I939" t="s">
        <v>21</v>
      </c>
      <c r="J939" t="s">
        <v>397</v>
      </c>
      <c r="K939" t="s">
        <v>977</v>
      </c>
      <c r="L939">
        <v>84823</v>
      </c>
      <c r="M939" t="s">
        <v>331</v>
      </c>
      <c r="O939" t="s">
        <v>11</v>
      </c>
      <c r="P939">
        <v>5102</v>
      </c>
      <c r="Q939">
        <v>1</v>
      </c>
      <c r="R939">
        <v>94.64</v>
      </c>
      <c r="S939">
        <v>94.64</v>
      </c>
      <c r="T939">
        <v>71.83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DILUENTE</v>
      </c>
      <c r="X939" t="str">
        <f>VLOOKUP(L939,'[2]tabela de preços'!$A:$G,7,0)</f>
        <v>AUTOMOTIVO</v>
      </c>
    </row>
    <row r="940" spans="1:24" x14ac:dyDescent="0.3">
      <c r="A940" t="s">
        <v>974</v>
      </c>
      <c r="C940" t="s">
        <v>997</v>
      </c>
      <c r="D940" s="1">
        <v>46041</v>
      </c>
      <c r="E940" t="s">
        <v>998</v>
      </c>
      <c r="F940">
        <v>9</v>
      </c>
      <c r="G940">
        <v>197</v>
      </c>
      <c r="H940" t="str">
        <f>VLOOKUP(G940,[1]OPERADORES!$A:$B,2,0)</f>
        <v xml:space="preserve">POLIANA LORRANE DE AMORIM </v>
      </c>
      <c r="I940" t="s">
        <v>21</v>
      </c>
      <c r="J940" t="s">
        <v>397</v>
      </c>
      <c r="K940" t="s">
        <v>977</v>
      </c>
      <c r="L940">
        <v>23716</v>
      </c>
      <c r="M940" t="s">
        <v>220</v>
      </c>
      <c r="O940" t="s">
        <v>11</v>
      </c>
      <c r="P940">
        <v>5102</v>
      </c>
      <c r="Q940">
        <v>2</v>
      </c>
      <c r="R940">
        <v>40.71</v>
      </c>
      <c r="S940">
        <v>81.42</v>
      </c>
      <c r="T940">
        <v>61.8</v>
      </c>
      <c r="U940">
        <v>24.1</v>
      </c>
      <c r="V940" t="str">
        <f>VLOOKUP(L940,'[2]tabela de preços'!$A:$D,4,0)</f>
        <v>NEW PAD</v>
      </c>
      <c r="W940" t="str">
        <f>VLOOKUP(L940,'[2]tabela de preços'!$A:$F,6,0)</f>
        <v>BOINAS PARA POLIMENTO</v>
      </c>
      <c r="X940" t="str">
        <f>VLOOKUP(L940,'[2]tabela de preços'!$A:$G,7,0)</f>
        <v>AUTOMOTIVO</v>
      </c>
    </row>
    <row r="941" spans="1:24" x14ac:dyDescent="0.3">
      <c r="A941" t="s">
        <v>974</v>
      </c>
      <c r="C941" t="s">
        <v>997</v>
      </c>
      <c r="D941" s="1">
        <v>46041</v>
      </c>
      <c r="E941" t="s">
        <v>998</v>
      </c>
      <c r="F941">
        <v>9</v>
      </c>
      <c r="G941">
        <v>197</v>
      </c>
      <c r="H941" t="str">
        <f>VLOOKUP(G941,[1]OPERADORES!$A:$B,2,0)</f>
        <v xml:space="preserve">POLIANA LORRANE DE AMORIM </v>
      </c>
      <c r="I941" t="s">
        <v>21</v>
      </c>
      <c r="J941" t="s">
        <v>397</v>
      </c>
      <c r="K941" t="s">
        <v>977</v>
      </c>
      <c r="L941">
        <v>84239</v>
      </c>
      <c r="M941" t="s">
        <v>999</v>
      </c>
      <c r="O941" t="s">
        <v>11</v>
      </c>
      <c r="P941">
        <v>5403</v>
      </c>
      <c r="Q941">
        <v>2</v>
      </c>
      <c r="R941">
        <v>33.659999999999997</v>
      </c>
      <c r="S941">
        <v>67.319999999999993</v>
      </c>
      <c r="T941">
        <v>51.1</v>
      </c>
      <c r="U941">
        <v>24.09</v>
      </c>
      <c r="V941" t="str">
        <f>VLOOKUP(L941,'[2]tabela de preços'!$A:$D,4,0)</f>
        <v>BRASILUX</v>
      </c>
      <c r="W941" t="str">
        <f>VLOOKUP(L941,'[2]tabela de preços'!$A:$F,6,0)</f>
        <v>IMPERMEABILIZANTES</v>
      </c>
      <c r="X941" t="str">
        <f>VLOOKUP(L941,'[2]tabela de preços'!$A:$G,7,0)</f>
        <v>IMOBILIÁRIO</v>
      </c>
    </row>
    <row r="942" spans="1:24" x14ac:dyDescent="0.3">
      <c r="A942" t="s">
        <v>974</v>
      </c>
      <c r="C942" t="s">
        <v>997</v>
      </c>
      <c r="D942" s="1">
        <v>46041</v>
      </c>
      <c r="E942" t="s">
        <v>998</v>
      </c>
      <c r="F942">
        <v>9</v>
      </c>
      <c r="G942">
        <v>197</v>
      </c>
      <c r="H942" t="str">
        <f>VLOOKUP(G942,[1]OPERADORES!$A:$B,2,0)</f>
        <v xml:space="preserve">POLIANA LORRANE DE AMORIM </v>
      </c>
      <c r="I942" t="s">
        <v>21</v>
      </c>
      <c r="J942" t="s">
        <v>397</v>
      </c>
      <c r="K942" t="s">
        <v>977</v>
      </c>
      <c r="L942">
        <v>84344</v>
      </c>
      <c r="M942" t="s">
        <v>1000</v>
      </c>
      <c r="O942" t="s">
        <v>11</v>
      </c>
      <c r="P942">
        <v>5403</v>
      </c>
      <c r="Q942">
        <v>1</v>
      </c>
      <c r="R942">
        <v>59.98</v>
      </c>
      <c r="S942">
        <v>59.98</v>
      </c>
      <c r="T942">
        <v>49.66</v>
      </c>
      <c r="U942">
        <v>17.21</v>
      </c>
      <c r="V942" t="str">
        <f>VLOOKUP(L942,'[2]tabela de preços'!$A:$D,4,0)</f>
        <v>BRASILUX</v>
      </c>
      <c r="W942" t="str">
        <f>VLOOKUP(L942,'[2]tabela de preços'!$A:$F,6,0)</f>
        <v>ESMALTES</v>
      </c>
      <c r="X942" t="str">
        <f>VLOOKUP(L942,'[2]tabela de preços'!$A:$G,7,0)</f>
        <v>INDUSTRIAL</v>
      </c>
    </row>
    <row r="943" spans="1:24" x14ac:dyDescent="0.3">
      <c r="A943" t="s">
        <v>974</v>
      </c>
      <c r="C943" t="s">
        <v>997</v>
      </c>
      <c r="D943" s="1">
        <v>46041</v>
      </c>
      <c r="E943" t="s">
        <v>998</v>
      </c>
      <c r="F943">
        <v>9</v>
      </c>
      <c r="G943">
        <v>197</v>
      </c>
      <c r="H943" t="str">
        <f>VLOOKUP(G943,[1]OPERADORES!$A:$B,2,0)</f>
        <v xml:space="preserve">POLIANA LORRANE DE AMORIM </v>
      </c>
      <c r="I943" t="s">
        <v>21</v>
      </c>
      <c r="J943" t="s">
        <v>397</v>
      </c>
      <c r="K943" t="s">
        <v>977</v>
      </c>
      <c r="L943">
        <v>85416</v>
      </c>
      <c r="M943" t="s">
        <v>756</v>
      </c>
      <c r="O943" t="s">
        <v>11</v>
      </c>
      <c r="P943">
        <v>5102</v>
      </c>
      <c r="Q943">
        <v>4</v>
      </c>
      <c r="R943">
        <v>8.9</v>
      </c>
      <c r="S943">
        <v>35.6</v>
      </c>
      <c r="T943">
        <v>29.28</v>
      </c>
      <c r="U943">
        <v>17.75</v>
      </c>
      <c r="V943" t="str">
        <f>VLOOKUP(L943,'[2]tabela de preços'!$A:$D,4,0)</f>
        <v>IBERÊ</v>
      </c>
      <c r="W943" t="str">
        <f>VLOOKUP(L943,'[2]tabela de preços'!$A:$F,6,0)</f>
        <v xml:space="preserve">COLA  PLÁSTICA </v>
      </c>
      <c r="X943" t="str">
        <f>VLOOKUP(L943,'[2]tabela de preços'!$A:$G,7,0)</f>
        <v>AUTOMOTIVO</v>
      </c>
    </row>
    <row r="944" spans="1:24" x14ac:dyDescent="0.3">
      <c r="A944" t="s">
        <v>974</v>
      </c>
      <c r="C944" t="s">
        <v>997</v>
      </c>
      <c r="D944" s="1">
        <v>46041</v>
      </c>
      <c r="E944" t="s">
        <v>998</v>
      </c>
      <c r="F944">
        <v>9</v>
      </c>
      <c r="G944">
        <v>197</v>
      </c>
      <c r="H944" t="str">
        <f>VLOOKUP(G944,[1]OPERADORES!$A:$B,2,0)</f>
        <v xml:space="preserve">POLIANA LORRANE DE AMORIM </v>
      </c>
      <c r="I944" t="s">
        <v>21</v>
      </c>
      <c r="J944" t="s">
        <v>397</v>
      </c>
      <c r="K944" t="s">
        <v>977</v>
      </c>
      <c r="L944">
        <v>84202</v>
      </c>
      <c r="M944" t="s">
        <v>1001</v>
      </c>
      <c r="O944" t="s">
        <v>11</v>
      </c>
      <c r="P944">
        <v>5403</v>
      </c>
      <c r="Q944">
        <v>4</v>
      </c>
      <c r="R944">
        <v>21.13</v>
      </c>
      <c r="S944">
        <v>84.52</v>
      </c>
      <c r="T944">
        <v>64.16</v>
      </c>
      <c r="U944">
        <v>24.09</v>
      </c>
      <c r="V944" t="str">
        <f>VLOOKUP(L944,'[2]tabela de preços'!$A:$D,4,0)</f>
        <v>BRASILUX</v>
      </c>
      <c r="W944" t="str">
        <f>VLOOKUP(L944,'[2]tabela de preços'!$A:$F,6,0)</f>
        <v>SELADOR ACRÍLICO</v>
      </c>
      <c r="X944" t="str">
        <f>VLOOKUP(L944,'[2]tabela de preços'!$A:$G,7,0)</f>
        <v>IMOBILIÁRIO</v>
      </c>
    </row>
    <row r="945" spans="1:24" x14ac:dyDescent="0.3">
      <c r="A945" t="s">
        <v>974</v>
      </c>
      <c r="C945" t="s">
        <v>997</v>
      </c>
      <c r="D945" s="1">
        <v>46041</v>
      </c>
      <c r="E945" t="s">
        <v>998</v>
      </c>
      <c r="F945">
        <v>9</v>
      </c>
      <c r="G945">
        <v>197</v>
      </c>
      <c r="H945" t="str">
        <f>VLOOKUP(G945,[1]OPERADORES!$A:$B,2,0)</f>
        <v xml:space="preserve">POLIANA LORRANE DE AMORIM </v>
      </c>
      <c r="I945" t="s">
        <v>21</v>
      </c>
      <c r="J945" t="s">
        <v>397</v>
      </c>
      <c r="K945" t="s">
        <v>977</v>
      </c>
      <c r="L945">
        <v>10298</v>
      </c>
      <c r="M945" t="s">
        <v>85</v>
      </c>
      <c r="O945" t="s">
        <v>11</v>
      </c>
      <c r="P945">
        <v>5102</v>
      </c>
      <c r="Q945">
        <v>16</v>
      </c>
      <c r="R945">
        <v>56.89</v>
      </c>
      <c r="S945">
        <v>910.24</v>
      </c>
      <c r="T945">
        <v>758.08</v>
      </c>
      <c r="U945">
        <v>16.72</v>
      </c>
      <c r="V945" t="str">
        <f>VLOOKUP(L945,'[2]tabela de preços'!$A:$D,4,0)</f>
        <v>ANJO</v>
      </c>
      <c r="W945" t="str">
        <f>VLOOKUP(L945,'[2]tabela de preços'!$A:$F,6,0)</f>
        <v>THINNER DE LIMPEZA</v>
      </c>
      <c r="X945" t="str">
        <f>VLOOKUP(L945,'[2]tabela de preços'!$A:$G,7,0)</f>
        <v>THINNER</v>
      </c>
    </row>
    <row r="946" spans="1:24" x14ac:dyDescent="0.3">
      <c r="A946" t="s">
        <v>974</v>
      </c>
      <c r="C946" t="s">
        <v>1002</v>
      </c>
      <c r="D946" s="1">
        <v>46043</v>
      </c>
      <c r="E946" t="s">
        <v>1003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84960</v>
      </c>
      <c r="M946" t="s">
        <v>1004</v>
      </c>
      <c r="O946" t="s">
        <v>11</v>
      </c>
      <c r="P946">
        <v>5403</v>
      </c>
      <c r="Q946">
        <v>2</v>
      </c>
      <c r="R946">
        <v>78.31</v>
      </c>
      <c r="S946">
        <v>156.62</v>
      </c>
      <c r="T946">
        <v>118.88</v>
      </c>
      <c r="U946">
        <v>24.1</v>
      </c>
      <c r="V946" t="str">
        <f>VLOOKUP(L946,'[2]tabela de preços'!$A:$D,4,0)</f>
        <v>BRASILUX</v>
      </c>
      <c r="W946" t="str">
        <f>VLOOKUP(L946,'[2]tabela de preços'!$A:$F,6,0)</f>
        <v>IMPERMEABILIZANTES</v>
      </c>
      <c r="X946" t="str">
        <f>VLOOKUP(L946,'[2]tabela de preços'!$A:$G,7,0)</f>
        <v>IMOBILIÁRIO</v>
      </c>
    </row>
    <row r="947" spans="1:24" x14ac:dyDescent="0.3">
      <c r="A947" t="s">
        <v>974</v>
      </c>
      <c r="C947" t="s">
        <v>1002</v>
      </c>
      <c r="D947" s="1">
        <v>46043</v>
      </c>
      <c r="E947" t="s">
        <v>1003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85280</v>
      </c>
      <c r="M947" t="s">
        <v>943</v>
      </c>
      <c r="O947" t="s">
        <v>11</v>
      </c>
      <c r="P947">
        <v>5102</v>
      </c>
      <c r="Q947">
        <v>8</v>
      </c>
      <c r="R947">
        <v>55.72</v>
      </c>
      <c r="S947">
        <v>445.76</v>
      </c>
      <c r="T947">
        <v>338.32</v>
      </c>
      <c r="U947">
        <v>24.1</v>
      </c>
      <c r="V947" t="str">
        <f>VLOOKUP(L947,'[2]tabela de preços'!$A:$D,4,0)</f>
        <v>BRASILUX</v>
      </c>
      <c r="W947" t="str">
        <f>VLOOKUP(L947,'[2]tabela de preços'!$A:$F,6,0)</f>
        <v>CATALISADORES INDIVIDUAIS</v>
      </c>
      <c r="X947" t="str">
        <f>VLOOKUP(L947,'[2]tabela de preços'!$A:$G,7,0)</f>
        <v>IMOBILIÁRIO</v>
      </c>
    </row>
    <row r="948" spans="1:24" x14ac:dyDescent="0.3">
      <c r="A948" t="s">
        <v>974</v>
      </c>
      <c r="C948" t="s">
        <v>1002</v>
      </c>
      <c r="D948" s="1">
        <v>46043</v>
      </c>
      <c r="E948" t="s">
        <v>1003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84201</v>
      </c>
      <c r="M948" t="s">
        <v>1005</v>
      </c>
      <c r="O948" t="s">
        <v>11</v>
      </c>
      <c r="P948">
        <v>5403</v>
      </c>
      <c r="Q948">
        <v>2</v>
      </c>
      <c r="R948">
        <v>86.72</v>
      </c>
      <c r="S948">
        <v>173.44</v>
      </c>
      <c r="T948">
        <v>131.63999999999999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SELADOR ACRÍLICO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1006</v>
      </c>
      <c r="D949" s="1">
        <v>46045</v>
      </c>
      <c r="E949" t="s">
        <v>1007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84960</v>
      </c>
      <c r="M949" t="s">
        <v>1004</v>
      </c>
      <c r="O949" t="s">
        <v>11</v>
      </c>
      <c r="P949">
        <v>5403</v>
      </c>
      <c r="Q949">
        <v>2</v>
      </c>
      <c r="R949">
        <v>78.31</v>
      </c>
      <c r="S949">
        <v>156.62</v>
      </c>
      <c r="T949">
        <v>118.88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IMPERMEABILIZANTES</v>
      </c>
      <c r="X949" t="str">
        <f>VLOOKUP(L949,'[2]tabela de preços'!$A:$G,7,0)</f>
        <v>IMOBILIÁRIO</v>
      </c>
    </row>
    <row r="950" spans="1:24" x14ac:dyDescent="0.3">
      <c r="A950" t="s">
        <v>974</v>
      </c>
      <c r="C950" t="s">
        <v>1006</v>
      </c>
      <c r="D950" s="1">
        <v>46045</v>
      </c>
      <c r="E950" t="s">
        <v>1007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21</v>
      </c>
      <c r="J950" t="s">
        <v>397</v>
      </c>
      <c r="K950" t="s">
        <v>977</v>
      </c>
      <c r="L950">
        <v>22180</v>
      </c>
      <c r="M950" t="s">
        <v>404</v>
      </c>
      <c r="O950" t="s">
        <v>11</v>
      </c>
      <c r="P950">
        <v>5102</v>
      </c>
      <c r="Q950">
        <v>10</v>
      </c>
      <c r="R950">
        <v>19.97</v>
      </c>
      <c r="S950">
        <v>199.7</v>
      </c>
      <c r="T950">
        <v>146.4</v>
      </c>
      <c r="U950">
        <v>26.69</v>
      </c>
      <c r="V950" t="str">
        <f>VLOOKUP(L950,'[2]tabela de preços'!$A:$D,4,0)</f>
        <v>MADRUGA</v>
      </c>
      <c r="W950" t="str">
        <f>VLOOKUP(L950,'[2]tabela de preços'!$A:$F,6,0)</f>
        <v>PAPEL DE MASCARAMENTO</v>
      </c>
      <c r="X950" t="str">
        <f>VLOOKUP(L950,'[2]tabela de preços'!$A:$G,7,0)</f>
        <v>AUTOMOTIVO</v>
      </c>
    </row>
    <row r="951" spans="1:24" x14ac:dyDescent="0.3">
      <c r="A951" t="s">
        <v>974</v>
      </c>
      <c r="C951" t="s">
        <v>1006</v>
      </c>
      <c r="D951" s="1">
        <v>46045</v>
      </c>
      <c r="E951" t="s">
        <v>1007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21</v>
      </c>
      <c r="J951" t="s">
        <v>397</v>
      </c>
      <c r="K951" t="s">
        <v>977</v>
      </c>
      <c r="L951">
        <v>85683</v>
      </c>
      <c r="M951" t="s">
        <v>521</v>
      </c>
      <c r="O951" t="s">
        <v>11</v>
      </c>
      <c r="P951">
        <v>5102</v>
      </c>
      <c r="Q951">
        <v>12</v>
      </c>
      <c r="R951">
        <v>8.2899999999999991</v>
      </c>
      <c r="S951">
        <v>99.48</v>
      </c>
      <c r="T951">
        <v>74.040000000000006</v>
      </c>
      <c r="U951">
        <v>25.57</v>
      </c>
      <c r="V951" t="str">
        <f>VLOOKUP(L951,'[2]tabela de preços'!$A:$D,4,0)</f>
        <v>UNIPEGA</v>
      </c>
      <c r="W951" t="str">
        <f>VLOOKUP(L951,'[2]tabela de preços'!$A:$F,6,0)</f>
        <v>SILICONE</v>
      </c>
      <c r="X951" t="str">
        <f>VLOOKUP(L951,'[2]tabela de preços'!$A:$G,7,0)</f>
        <v>IMOBILIÁRIO</v>
      </c>
    </row>
    <row r="952" spans="1:24" x14ac:dyDescent="0.3">
      <c r="A952" t="s">
        <v>974</v>
      </c>
      <c r="C952" t="s">
        <v>1008</v>
      </c>
      <c r="D952" s="1">
        <v>46051</v>
      </c>
      <c r="E952" t="s">
        <v>1009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21</v>
      </c>
      <c r="J952" t="s">
        <v>397</v>
      </c>
      <c r="K952" t="s">
        <v>977</v>
      </c>
      <c r="L952">
        <v>84029</v>
      </c>
      <c r="M952" t="s">
        <v>29</v>
      </c>
      <c r="O952" t="s">
        <v>11</v>
      </c>
      <c r="P952">
        <v>5102</v>
      </c>
      <c r="Q952">
        <v>6</v>
      </c>
      <c r="R952">
        <v>11.45</v>
      </c>
      <c r="S952">
        <v>68.7</v>
      </c>
      <c r="T952">
        <v>52.14</v>
      </c>
      <c r="U952">
        <v>24.1</v>
      </c>
      <c r="V952" t="str">
        <f>VLOOKUP(L952,'[2]tabela de preços'!$A:$D,4,0)</f>
        <v>BRASILUX</v>
      </c>
      <c r="W952" t="str">
        <f>VLOOKUP(L952,'[2]tabela de preços'!$A:$F,6,0)</f>
        <v>AGUARRAS</v>
      </c>
      <c r="X952" t="str">
        <f>VLOOKUP(L952,'[2]tabela de preços'!$A:$G,7,0)</f>
        <v>IMOBILIÁRIO</v>
      </c>
    </row>
    <row r="953" spans="1:24" x14ac:dyDescent="0.3">
      <c r="A953" t="s">
        <v>974</v>
      </c>
      <c r="C953" t="s">
        <v>1008</v>
      </c>
      <c r="D953" s="1">
        <v>46051</v>
      </c>
      <c r="E953" t="s">
        <v>1009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21</v>
      </c>
      <c r="J953" t="s">
        <v>397</v>
      </c>
      <c r="K953" t="s">
        <v>977</v>
      </c>
      <c r="L953">
        <v>84487</v>
      </c>
      <c r="M953" t="s">
        <v>633</v>
      </c>
      <c r="O953" t="s">
        <v>11</v>
      </c>
      <c r="P953">
        <v>5403</v>
      </c>
      <c r="Q953">
        <v>6</v>
      </c>
      <c r="R953">
        <v>28.84</v>
      </c>
      <c r="S953">
        <v>173.04</v>
      </c>
      <c r="T953">
        <v>131.34</v>
      </c>
      <c r="U953">
        <v>24.1</v>
      </c>
      <c r="V953" t="str">
        <f>VLOOKUP(L953,'[2]tabela de preços'!$A:$D,4,0)</f>
        <v>BRASILUX</v>
      </c>
      <c r="W953" t="str">
        <f>VLOOKUP(L953,'[2]tabela de preços'!$A:$F,6,0)</f>
        <v>TINTAS LACA</v>
      </c>
      <c r="X953" t="str">
        <f>VLOOKUP(L953,'[2]tabela de preços'!$A:$G,7,0)</f>
        <v>AUTOMOTIVO</v>
      </c>
    </row>
    <row r="954" spans="1:24" x14ac:dyDescent="0.3">
      <c r="A954" t="s">
        <v>974</v>
      </c>
      <c r="C954" t="s">
        <v>1008</v>
      </c>
      <c r="D954" s="1">
        <v>46051</v>
      </c>
      <c r="E954" t="s">
        <v>1009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21</v>
      </c>
      <c r="J954" t="s">
        <v>397</v>
      </c>
      <c r="K954" t="s">
        <v>977</v>
      </c>
      <c r="L954">
        <v>84357</v>
      </c>
      <c r="M954" t="s">
        <v>580</v>
      </c>
      <c r="O954" t="s">
        <v>11</v>
      </c>
      <c r="P954">
        <v>5403</v>
      </c>
      <c r="Q954">
        <v>4</v>
      </c>
      <c r="R954">
        <v>21.7</v>
      </c>
      <c r="S954">
        <v>86.8</v>
      </c>
      <c r="T954">
        <v>65.88</v>
      </c>
      <c r="U954">
        <v>24.1</v>
      </c>
      <c r="V954" t="str">
        <f>VLOOKUP(L954,'[2]tabela de preços'!$A:$D,4,0)</f>
        <v>BRASILUX</v>
      </c>
      <c r="W954" t="str">
        <f>VLOOKUP(L954,'[2]tabela de preços'!$A:$F,6,0)</f>
        <v>ESMALTES</v>
      </c>
      <c r="X954" t="str">
        <f>VLOOKUP(L954,'[2]tabela de preços'!$A:$G,7,0)</f>
        <v>INDUSTRIAL</v>
      </c>
    </row>
    <row r="955" spans="1:24" x14ac:dyDescent="0.3">
      <c r="A955" t="s">
        <v>974</v>
      </c>
      <c r="C955" t="s">
        <v>1008</v>
      </c>
      <c r="D955" s="1">
        <v>46051</v>
      </c>
      <c r="E955" t="s">
        <v>1009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21</v>
      </c>
      <c r="J955" t="s">
        <v>397</v>
      </c>
      <c r="K955" t="s">
        <v>977</v>
      </c>
      <c r="L955">
        <v>84139</v>
      </c>
      <c r="M955" t="s">
        <v>590</v>
      </c>
      <c r="O955" t="s">
        <v>11</v>
      </c>
      <c r="P955">
        <v>5403</v>
      </c>
      <c r="Q955">
        <v>6</v>
      </c>
      <c r="R955">
        <v>7.74</v>
      </c>
      <c r="S955">
        <v>46.44</v>
      </c>
      <c r="T955">
        <v>35.28</v>
      </c>
      <c r="U955">
        <v>24.03</v>
      </c>
      <c r="V955" t="str">
        <f>VLOOKUP(L955,'[2]tabela de preços'!$A:$D,4,0)</f>
        <v>BRASILUX</v>
      </c>
      <c r="W955" t="str">
        <f>VLOOKUP(L955,'[2]tabela de preços'!$A:$F,6,0)</f>
        <v>ESMALTES</v>
      </c>
      <c r="X955" t="str">
        <f>VLOOKUP(L955,'[2]tabela de preços'!$A:$G,7,0)</f>
        <v>INDUSTRIAL</v>
      </c>
    </row>
    <row r="956" spans="1:24" x14ac:dyDescent="0.3">
      <c r="A956" t="s">
        <v>974</v>
      </c>
      <c r="C956" t="s">
        <v>1010</v>
      </c>
      <c r="D956" s="1">
        <v>46051</v>
      </c>
      <c r="E956" t="s">
        <v>1011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21</v>
      </c>
      <c r="J956" t="s">
        <v>397</v>
      </c>
      <c r="K956" t="s">
        <v>977</v>
      </c>
      <c r="L956">
        <v>84217</v>
      </c>
      <c r="M956" t="s">
        <v>882</v>
      </c>
      <c r="O956" t="s">
        <v>11</v>
      </c>
      <c r="P956">
        <v>5403</v>
      </c>
      <c r="Q956">
        <v>2</v>
      </c>
      <c r="R956">
        <v>51.16</v>
      </c>
      <c r="S956">
        <v>102.32</v>
      </c>
      <c r="T956">
        <v>77.66</v>
      </c>
      <c r="U956">
        <v>24.1</v>
      </c>
      <c r="V956" t="str">
        <f>VLOOKUP(L956,'[2]tabela de preços'!$A:$D,4,0)</f>
        <v>BRASILUX</v>
      </c>
      <c r="W956" t="str">
        <f>VLOOKUP(L956,'[2]tabela de preços'!$A:$F,6,0)</f>
        <v>ESMALTES</v>
      </c>
      <c r="X956" t="str">
        <f>VLOOKUP(L956,'[2]tabela de preços'!$A:$G,7,0)</f>
        <v>INDUSTRIAL</v>
      </c>
    </row>
    <row r="957" spans="1:24" x14ac:dyDescent="0.3">
      <c r="A957" t="s">
        <v>974</v>
      </c>
      <c r="C957" t="s">
        <v>1012</v>
      </c>
      <c r="D957" s="1">
        <v>46051</v>
      </c>
      <c r="E957" t="s">
        <v>1013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21</v>
      </c>
      <c r="J957" t="s">
        <v>397</v>
      </c>
      <c r="K957" t="s">
        <v>977</v>
      </c>
      <c r="L957">
        <v>84762</v>
      </c>
      <c r="M957" t="s">
        <v>1014</v>
      </c>
      <c r="O957" t="s">
        <v>11</v>
      </c>
      <c r="P957">
        <v>5403</v>
      </c>
      <c r="Q957">
        <v>2</v>
      </c>
      <c r="R957">
        <v>153.99</v>
      </c>
      <c r="S957">
        <v>307.98</v>
      </c>
      <c r="T957">
        <v>233.76</v>
      </c>
      <c r="U957">
        <v>24.1</v>
      </c>
      <c r="V957" t="str">
        <f>VLOOKUP(L957,'[2]tabela de preços'!$A:$D,4,0)</f>
        <v>BRASILUX</v>
      </c>
      <c r="W957" t="str">
        <f>VLOOKUP(L957,'[2]tabela de preços'!$A:$F,6,0)</f>
        <v>EPOXI</v>
      </c>
      <c r="X957" t="str">
        <f>VLOOKUP(L957,'[2]tabela de preços'!$A:$G,7,0)</f>
        <v>INDUSTRIAL</v>
      </c>
    </row>
    <row r="958" spans="1:24" x14ac:dyDescent="0.3">
      <c r="A958" t="s">
        <v>974</v>
      </c>
      <c r="C958" t="s">
        <v>1012</v>
      </c>
      <c r="D958" s="1">
        <v>46051</v>
      </c>
      <c r="E958" t="s">
        <v>1013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21</v>
      </c>
      <c r="J958" t="s">
        <v>397</v>
      </c>
      <c r="K958" t="s">
        <v>977</v>
      </c>
      <c r="L958">
        <v>84460</v>
      </c>
      <c r="M958" t="s">
        <v>322</v>
      </c>
      <c r="O958" t="s">
        <v>11</v>
      </c>
      <c r="P958">
        <v>5102</v>
      </c>
      <c r="Q958">
        <v>6</v>
      </c>
      <c r="R958">
        <v>31.07</v>
      </c>
      <c r="S958">
        <v>186.42</v>
      </c>
      <c r="T958">
        <v>141.47999999999999</v>
      </c>
      <c r="U958">
        <v>24.11</v>
      </c>
      <c r="V958" t="str">
        <f>VLOOKUP(L958,'[2]tabela de preços'!$A:$D,4,0)</f>
        <v>BRASILUX</v>
      </c>
      <c r="W958" t="str">
        <f>VLOOKUP(L958,'[2]tabela de preços'!$A:$F,6,0)</f>
        <v>VEDADORES / SELANTES</v>
      </c>
      <c r="X958" t="str">
        <f>VLOOKUP(L958,'[2]tabela de preços'!$A:$G,7,0)</f>
        <v>AUTOMOTIVO</v>
      </c>
    </row>
    <row r="959" spans="1:24" x14ac:dyDescent="0.3">
      <c r="A959" t="s">
        <v>1015</v>
      </c>
      <c r="C959" t="s">
        <v>1016</v>
      </c>
      <c r="D959" s="1">
        <v>46038</v>
      </c>
      <c r="E959" t="s">
        <v>1017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21</v>
      </c>
      <c r="J959" t="s">
        <v>1018</v>
      </c>
      <c r="K959" t="s">
        <v>1019</v>
      </c>
      <c r="L959">
        <v>23716</v>
      </c>
      <c r="M959" t="s">
        <v>220</v>
      </c>
      <c r="O959" t="s">
        <v>11</v>
      </c>
      <c r="P959">
        <v>5102</v>
      </c>
      <c r="Q959">
        <v>1</v>
      </c>
      <c r="R959">
        <v>40.71</v>
      </c>
      <c r="S959">
        <v>40.71</v>
      </c>
      <c r="T959">
        <v>30.9</v>
      </c>
      <c r="U959">
        <v>24.1</v>
      </c>
      <c r="V959" t="str">
        <f>VLOOKUP(L959,'[2]tabela de preços'!$A:$D,4,0)</f>
        <v>NEW PAD</v>
      </c>
      <c r="W959" t="str">
        <f>VLOOKUP(L959,'[2]tabela de preços'!$A:$F,6,0)</f>
        <v>BOINAS PARA POLIMENTO</v>
      </c>
      <c r="X959" t="str">
        <f>VLOOKUP(L959,'[2]tabela de preços'!$A:$G,7,0)</f>
        <v>AUTOMOTIVO</v>
      </c>
    </row>
    <row r="960" spans="1:24" x14ac:dyDescent="0.3">
      <c r="A960" t="s">
        <v>1015</v>
      </c>
      <c r="C960" t="s">
        <v>1016</v>
      </c>
      <c r="D960" s="1">
        <v>46038</v>
      </c>
      <c r="E960" t="s">
        <v>1017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21</v>
      </c>
      <c r="J960" t="s">
        <v>1018</v>
      </c>
      <c r="K960" t="s">
        <v>1019</v>
      </c>
      <c r="L960">
        <v>84959</v>
      </c>
      <c r="M960" t="s">
        <v>214</v>
      </c>
      <c r="O960" t="s">
        <v>11</v>
      </c>
      <c r="P960">
        <v>5403</v>
      </c>
      <c r="Q960">
        <v>3</v>
      </c>
      <c r="R960">
        <v>18.600000000000001</v>
      </c>
      <c r="S960">
        <v>55.8</v>
      </c>
      <c r="T960">
        <v>42.36</v>
      </c>
      <c r="U960">
        <v>24.09</v>
      </c>
      <c r="V960" t="str">
        <f>VLOOKUP(L960,'[2]tabela de preços'!$A:$D,4,0)</f>
        <v>BRASILUX</v>
      </c>
      <c r="W960" t="str">
        <f>VLOOKUP(L960,'[2]tabela de preços'!$A:$F,6,0)</f>
        <v>BATIDA DE PEDRA</v>
      </c>
      <c r="X960" t="str">
        <f>VLOOKUP(L960,'[2]tabela de preços'!$A:$G,7,0)</f>
        <v>AUTOMOTIVO</v>
      </c>
    </row>
    <row r="961" spans="1:24" x14ac:dyDescent="0.3">
      <c r="A961" t="s">
        <v>1015</v>
      </c>
      <c r="C961" t="s">
        <v>1016</v>
      </c>
      <c r="D961" s="1">
        <v>46038</v>
      </c>
      <c r="E961" t="s">
        <v>1017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21</v>
      </c>
      <c r="J961" t="s">
        <v>1018</v>
      </c>
      <c r="K961" t="s">
        <v>1019</v>
      </c>
      <c r="L961">
        <v>84108</v>
      </c>
      <c r="M961" t="s">
        <v>144</v>
      </c>
      <c r="O961" t="s">
        <v>11</v>
      </c>
      <c r="P961">
        <v>5403</v>
      </c>
      <c r="Q961">
        <v>4</v>
      </c>
      <c r="R961">
        <v>27.29</v>
      </c>
      <c r="S961">
        <v>109.16</v>
      </c>
      <c r="T961">
        <v>82.84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TINTAS LACA</v>
      </c>
      <c r="X961" t="str">
        <f>VLOOKUP(L961,'[2]tabela de preços'!$A:$G,7,0)</f>
        <v>AUTOMOTIVO</v>
      </c>
    </row>
    <row r="962" spans="1:24" x14ac:dyDescent="0.3">
      <c r="A962" t="s">
        <v>1015</v>
      </c>
      <c r="C962" t="s">
        <v>1016</v>
      </c>
      <c r="D962" s="1">
        <v>46038</v>
      </c>
      <c r="E962" t="s">
        <v>1017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1018</v>
      </c>
      <c r="K962" t="s">
        <v>1019</v>
      </c>
      <c r="L962">
        <v>23580</v>
      </c>
      <c r="M962" t="s">
        <v>115</v>
      </c>
      <c r="O962" t="s">
        <v>11</v>
      </c>
      <c r="P962">
        <v>5102</v>
      </c>
      <c r="Q962">
        <v>150</v>
      </c>
      <c r="R962">
        <v>0.56000000000000005</v>
      </c>
      <c r="S962">
        <v>84</v>
      </c>
      <c r="T962">
        <v>54</v>
      </c>
      <c r="U962">
        <v>35.71</v>
      </c>
      <c r="V962" t="str">
        <f>VLOOKUP(L962,'[2]tabela de preços'!$A:$D,4,0)</f>
        <v>RENOVA COADORES</v>
      </c>
      <c r="W962" t="str">
        <f>VLOOKUP(L962,'[2]tabela de preços'!$A:$F,6,0)</f>
        <v>COADORES</v>
      </c>
      <c r="X962" t="str">
        <f>VLOOKUP(L962,'[2]tabela de preços'!$A:$G,7,0)</f>
        <v>AUTOMOTIVO</v>
      </c>
    </row>
    <row r="963" spans="1:24" x14ac:dyDescent="0.3">
      <c r="A963" t="s">
        <v>1015</v>
      </c>
      <c r="C963" t="s">
        <v>1016</v>
      </c>
      <c r="D963" s="1">
        <v>46038</v>
      </c>
      <c r="E963" t="s">
        <v>1017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1018</v>
      </c>
      <c r="K963" t="s">
        <v>1019</v>
      </c>
      <c r="L963">
        <v>24248</v>
      </c>
      <c r="M963" t="s">
        <v>107</v>
      </c>
      <c r="O963" t="s">
        <v>11</v>
      </c>
      <c r="P963">
        <v>5102</v>
      </c>
      <c r="Q963">
        <v>12</v>
      </c>
      <c r="R963">
        <v>8</v>
      </c>
      <c r="S963">
        <v>96</v>
      </c>
      <c r="T963">
        <v>76.92</v>
      </c>
      <c r="U963">
        <v>19.88</v>
      </c>
      <c r="V963" t="str">
        <f>VLOOKUP(L963,'[2]tabela de preços'!$A:$D,4,0)</f>
        <v>SHERWIN WILLIAMS</v>
      </c>
      <c r="W963" t="str">
        <f>VLOOKUP(L963,'[2]tabela de preços'!$A:$F,6,0)</f>
        <v>PRIMER AUTOMOTIVO</v>
      </c>
      <c r="X963" t="str">
        <f>VLOOKUP(L963,'[2]tabela de preços'!$A:$G,7,0)</f>
        <v>AUTOMOTIVO</v>
      </c>
    </row>
    <row r="964" spans="1:24" x14ac:dyDescent="0.3">
      <c r="A964" t="s">
        <v>1015</v>
      </c>
      <c r="C964" t="s">
        <v>1016</v>
      </c>
      <c r="D964" s="1">
        <v>46038</v>
      </c>
      <c r="E964" t="s">
        <v>1017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1018</v>
      </c>
      <c r="K964" t="s">
        <v>1019</v>
      </c>
      <c r="L964">
        <v>24240</v>
      </c>
      <c r="M964" t="s">
        <v>240</v>
      </c>
      <c r="O964" t="s">
        <v>11</v>
      </c>
      <c r="P964">
        <v>5102</v>
      </c>
      <c r="Q964">
        <v>64</v>
      </c>
      <c r="R964">
        <v>3.81</v>
      </c>
      <c r="S964">
        <v>243.84</v>
      </c>
      <c r="T964">
        <v>209.92</v>
      </c>
      <c r="U964">
        <v>13.91</v>
      </c>
      <c r="V964" t="str">
        <f>VLOOKUP(L964,'[2]tabela de preços'!$A:$D,4,0)</f>
        <v>ADERE</v>
      </c>
      <c r="W964" t="str">
        <f>VLOOKUP(L964,'[2]tabela de preços'!$A:$F,6,0)</f>
        <v>FITA AUTOMOTIVA</v>
      </c>
      <c r="X964" t="str">
        <f>VLOOKUP(L964,'[2]tabela de preços'!$A:$G,7,0)</f>
        <v>AUTOMOTIVO</v>
      </c>
    </row>
    <row r="965" spans="1:24" x14ac:dyDescent="0.3">
      <c r="A965" t="s">
        <v>1015</v>
      </c>
      <c r="C965" t="s">
        <v>1016</v>
      </c>
      <c r="D965" s="1">
        <v>46038</v>
      </c>
      <c r="E965" t="s">
        <v>1017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1018</v>
      </c>
      <c r="K965" t="s">
        <v>1019</v>
      </c>
      <c r="L965">
        <v>23602</v>
      </c>
      <c r="M965" t="s">
        <v>215</v>
      </c>
      <c r="O965" t="s">
        <v>11</v>
      </c>
      <c r="P965">
        <v>5403</v>
      </c>
      <c r="Q965">
        <v>18</v>
      </c>
      <c r="R965">
        <v>35.89</v>
      </c>
      <c r="S965">
        <v>646.02</v>
      </c>
      <c r="T965">
        <v>526.5</v>
      </c>
      <c r="U965">
        <v>18.5</v>
      </c>
      <c r="V965" t="str">
        <f>VLOOKUP(L965,'[2]tabela de preços'!$A:$D,4,0)</f>
        <v>SHERWIN WILLIAMS</v>
      </c>
      <c r="W965" t="str">
        <f>VLOOKUP(L965,'[2]tabela de preços'!$A:$F,6,0)</f>
        <v>VERNIZ AUTOMOTIVO</v>
      </c>
      <c r="X965" t="str">
        <f>VLOOKUP(L965,'[2]tabela de preços'!$A:$G,7,0)</f>
        <v>AUTOMOTIVO</v>
      </c>
    </row>
    <row r="966" spans="1:24" x14ac:dyDescent="0.3">
      <c r="A966" t="s">
        <v>1015</v>
      </c>
      <c r="C966" t="s">
        <v>1016</v>
      </c>
      <c r="D966" s="1">
        <v>46038</v>
      </c>
      <c r="E966" t="s">
        <v>1017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1018</v>
      </c>
      <c r="K966" t="s">
        <v>1019</v>
      </c>
      <c r="L966">
        <v>20431</v>
      </c>
      <c r="M966" t="s">
        <v>202</v>
      </c>
      <c r="O966" t="s">
        <v>11</v>
      </c>
      <c r="P966">
        <v>5403</v>
      </c>
      <c r="Q966">
        <v>9</v>
      </c>
      <c r="R966">
        <v>36.89</v>
      </c>
      <c r="S966">
        <v>332.01</v>
      </c>
      <c r="T966">
        <v>268.02</v>
      </c>
      <c r="U966">
        <v>19.27</v>
      </c>
      <c r="V966" t="str">
        <f>VLOOKUP(L966,'[2]tabela de preços'!$A:$D,4,0)</f>
        <v>SHERWIN WILLIAMS</v>
      </c>
      <c r="W966" t="str">
        <f>VLOOKUP(L966,'[2]tabela de preços'!$A:$F,6,0)</f>
        <v>VERNIZ AUTOMOTIVO</v>
      </c>
      <c r="X966" t="str">
        <f>VLOOKUP(L966,'[2]tabela de preços'!$A:$G,7,0)</f>
        <v>AUTOMOTIVO</v>
      </c>
    </row>
    <row r="967" spans="1:24" x14ac:dyDescent="0.3">
      <c r="A967" t="s">
        <v>1015</v>
      </c>
      <c r="C967" t="s">
        <v>1016</v>
      </c>
      <c r="D967" s="1">
        <v>46038</v>
      </c>
      <c r="E967" t="s">
        <v>1017</v>
      </c>
      <c r="F967">
        <v>9</v>
      </c>
      <c r="G967">
        <v>197</v>
      </c>
      <c r="H967" t="str">
        <f>VLOOKUP(G967,[1]OPERADORES!$A:$B,2,0)</f>
        <v xml:space="preserve">POLIANA LORRANE DE AMORIM </v>
      </c>
      <c r="I967" t="s">
        <v>21</v>
      </c>
      <c r="J967" t="s">
        <v>1018</v>
      </c>
      <c r="K967" t="s">
        <v>1019</v>
      </c>
      <c r="L967">
        <v>16</v>
      </c>
      <c r="M967" t="s">
        <v>122</v>
      </c>
      <c r="O967" t="s">
        <v>11</v>
      </c>
      <c r="P967">
        <v>5102</v>
      </c>
      <c r="Q967">
        <v>10</v>
      </c>
      <c r="R967">
        <v>2.9</v>
      </c>
      <c r="S967">
        <v>29</v>
      </c>
      <c r="T967">
        <v>22</v>
      </c>
      <c r="U967">
        <v>24.14</v>
      </c>
      <c r="V967" t="str">
        <f>VLOOKUP(L967,'[2]tabela de preços'!$A:$D,4,0)</f>
        <v>3M</v>
      </c>
      <c r="W967" t="str">
        <f>VLOOKUP(L967,'[2]tabela de preços'!$A:$F,6,0)</f>
        <v>LIXA DÁGUA</v>
      </c>
      <c r="X967" t="str">
        <f>VLOOKUP(L967,'[2]tabela de preços'!$A:$G,7,0)</f>
        <v>AUTOMOTIVO</v>
      </c>
    </row>
    <row r="968" spans="1:24" x14ac:dyDescent="0.3">
      <c r="A968" t="s">
        <v>1015</v>
      </c>
      <c r="C968" t="s">
        <v>1016</v>
      </c>
      <c r="D968" s="1">
        <v>46038</v>
      </c>
      <c r="E968" t="s">
        <v>1017</v>
      </c>
      <c r="F968">
        <v>9</v>
      </c>
      <c r="G968">
        <v>197</v>
      </c>
      <c r="H968" t="str">
        <f>VLOOKUP(G968,[1]OPERADORES!$A:$B,2,0)</f>
        <v xml:space="preserve">POLIANA LORRANE DE AMORIM </v>
      </c>
      <c r="I968" t="s">
        <v>21</v>
      </c>
      <c r="J968" t="s">
        <v>1018</v>
      </c>
      <c r="K968" t="s">
        <v>1019</v>
      </c>
      <c r="L968">
        <v>20817</v>
      </c>
      <c r="M968" t="s">
        <v>153</v>
      </c>
      <c r="O968" t="s">
        <v>11</v>
      </c>
      <c r="P968">
        <v>5102</v>
      </c>
      <c r="Q968">
        <v>6</v>
      </c>
      <c r="R968">
        <v>22.89</v>
      </c>
      <c r="S968">
        <v>137.34</v>
      </c>
      <c r="T968">
        <v>111.72</v>
      </c>
      <c r="U968">
        <v>18.649999999999999</v>
      </c>
      <c r="V968" t="str">
        <f>VLOOKUP(L968,'[2]tabela de preços'!$A:$D,4,0)</f>
        <v>AUTO AMERICA</v>
      </c>
      <c r="W968" t="str">
        <f>VLOOKUP(L968,'[2]tabela de preços'!$A:$F,6,0)</f>
        <v>MASSA DE POLIR</v>
      </c>
      <c r="X968" t="str">
        <f>VLOOKUP(L968,'[2]tabela de preços'!$A:$G,7,0)</f>
        <v>AUTOMOTIVO</v>
      </c>
    </row>
    <row r="969" spans="1:24" x14ac:dyDescent="0.3">
      <c r="A969" t="s">
        <v>1015</v>
      </c>
      <c r="C969" t="s">
        <v>1016</v>
      </c>
      <c r="D969" s="1">
        <v>46038</v>
      </c>
      <c r="E969" t="s">
        <v>1017</v>
      </c>
      <c r="F969">
        <v>9</v>
      </c>
      <c r="G969">
        <v>197</v>
      </c>
      <c r="H969" t="str">
        <f>VLOOKUP(G969,[1]OPERADORES!$A:$B,2,0)</f>
        <v xml:space="preserve">POLIANA LORRANE DE AMORIM </v>
      </c>
      <c r="I969" t="s">
        <v>21</v>
      </c>
      <c r="J969" t="s">
        <v>1018</v>
      </c>
      <c r="K969" t="s">
        <v>1019</v>
      </c>
      <c r="L969">
        <v>20525</v>
      </c>
      <c r="M969" t="s">
        <v>137</v>
      </c>
      <c r="O969" t="s">
        <v>11</v>
      </c>
      <c r="P969">
        <v>5102</v>
      </c>
      <c r="Q969">
        <v>6</v>
      </c>
      <c r="R969">
        <v>13.65</v>
      </c>
      <c r="S969">
        <v>81.900000000000006</v>
      </c>
      <c r="T969">
        <v>62.16</v>
      </c>
      <c r="U969">
        <v>24.1</v>
      </c>
      <c r="V969" t="str">
        <f>VLOOKUP(L969,'[2]tabela de preços'!$A:$D,4,0)</f>
        <v>SHERWIN WILLIAMS</v>
      </c>
      <c r="W969" t="str">
        <f>VLOOKUP(L969,'[2]tabela de preços'!$A:$F,6,0)</f>
        <v>MASSA DE PEQUENOS REPAROS</v>
      </c>
      <c r="X969" t="str">
        <f>VLOOKUP(L969,'[2]tabela de preços'!$A:$G,7,0)</f>
        <v>AUTOMOTIVO</v>
      </c>
    </row>
    <row r="970" spans="1:24" x14ac:dyDescent="0.3">
      <c r="A970" t="s">
        <v>1015</v>
      </c>
      <c r="C970" t="s">
        <v>1016</v>
      </c>
      <c r="D970" s="1">
        <v>46038</v>
      </c>
      <c r="E970" t="s">
        <v>1017</v>
      </c>
      <c r="F970">
        <v>9</v>
      </c>
      <c r="G970">
        <v>197</v>
      </c>
      <c r="H970" t="str">
        <f>VLOOKUP(G970,[1]OPERADORES!$A:$B,2,0)</f>
        <v xml:space="preserve">POLIANA LORRANE DE AMORIM </v>
      </c>
      <c r="I970" t="s">
        <v>21</v>
      </c>
      <c r="J970" t="s">
        <v>1018</v>
      </c>
      <c r="K970" t="s">
        <v>1019</v>
      </c>
      <c r="L970">
        <v>87043</v>
      </c>
      <c r="M970" t="s">
        <v>217</v>
      </c>
      <c r="O970" t="s">
        <v>11</v>
      </c>
      <c r="P970">
        <v>5102</v>
      </c>
      <c r="Q970">
        <v>8</v>
      </c>
      <c r="R970">
        <v>21.95</v>
      </c>
      <c r="S970">
        <v>175.6</v>
      </c>
      <c r="T970">
        <v>144.16</v>
      </c>
      <c r="U970">
        <v>17.899999999999999</v>
      </c>
      <c r="V970" t="str">
        <f>VLOOKUP(L970,'[2]tabela de preços'!$A:$D,4,0)</f>
        <v>ROBERLO</v>
      </c>
      <c r="W970" t="str">
        <f>VLOOKUP(L970,'[2]tabela de preços'!$A:$F,6,0)</f>
        <v>MASSA POLIÉSTER</v>
      </c>
      <c r="X970" t="str">
        <f>VLOOKUP(L970,'[2]tabela de preços'!$A:$G,7,0)</f>
        <v>AUTOMOTIVO</v>
      </c>
    </row>
    <row r="971" spans="1:24" x14ac:dyDescent="0.3">
      <c r="A971" t="s">
        <v>1015</v>
      </c>
      <c r="C971" t="s">
        <v>1016</v>
      </c>
      <c r="D971" s="1">
        <v>46038</v>
      </c>
      <c r="E971" t="s">
        <v>1017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1018</v>
      </c>
      <c r="K971" t="s">
        <v>1019</v>
      </c>
      <c r="L971">
        <v>24247</v>
      </c>
      <c r="M971" t="s">
        <v>111</v>
      </c>
      <c r="O971" t="s">
        <v>11</v>
      </c>
      <c r="P971">
        <v>5403</v>
      </c>
      <c r="Q971">
        <v>12</v>
      </c>
      <c r="R971">
        <v>21</v>
      </c>
      <c r="S971">
        <v>252</v>
      </c>
      <c r="T971">
        <v>199.2</v>
      </c>
      <c r="U971">
        <v>20.95</v>
      </c>
      <c r="V971" t="str">
        <f>VLOOKUP(L971,'[2]tabela de preços'!$A:$D,4,0)</f>
        <v>SHERWIN WILLIAMS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1015</v>
      </c>
      <c r="C972" t="s">
        <v>1016</v>
      </c>
      <c r="D972" s="1">
        <v>46038</v>
      </c>
      <c r="E972" t="s">
        <v>1017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1018</v>
      </c>
      <c r="K972" t="s">
        <v>1019</v>
      </c>
      <c r="L972">
        <v>10298</v>
      </c>
      <c r="M972" t="s">
        <v>85</v>
      </c>
      <c r="O972" t="s">
        <v>11</v>
      </c>
      <c r="P972">
        <v>5102</v>
      </c>
      <c r="Q972">
        <v>4</v>
      </c>
      <c r="R972">
        <v>56.89</v>
      </c>
      <c r="S972">
        <v>227.56</v>
      </c>
      <c r="T972">
        <v>189.52</v>
      </c>
      <c r="U972">
        <v>16.72</v>
      </c>
      <c r="V972" t="str">
        <f>VLOOKUP(L972,'[2]tabela de preços'!$A:$D,4,0)</f>
        <v>ANJO</v>
      </c>
      <c r="W972" t="str">
        <f>VLOOKUP(L972,'[2]tabela de preços'!$A:$F,6,0)</f>
        <v>THINNER DE LIMPEZA</v>
      </c>
      <c r="X972" t="str">
        <f>VLOOKUP(L972,'[2]tabela de preços'!$A:$G,7,0)</f>
        <v>THINNER</v>
      </c>
    </row>
    <row r="973" spans="1:24" x14ac:dyDescent="0.3">
      <c r="A973" t="s">
        <v>1015</v>
      </c>
      <c r="C973" t="s">
        <v>1016</v>
      </c>
      <c r="D973" s="1">
        <v>46038</v>
      </c>
      <c r="E973" t="s">
        <v>1017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1018</v>
      </c>
      <c r="K973" t="s">
        <v>1019</v>
      </c>
      <c r="L973">
        <v>10297</v>
      </c>
      <c r="M973" t="s">
        <v>41</v>
      </c>
      <c r="O973" t="s">
        <v>11</v>
      </c>
      <c r="P973">
        <v>5102</v>
      </c>
      <c r="Q973">
        <v>24</v>
      </c>
      <c r="R973">
        <v>10.89</v>
      </c>
      <c r="S973">
        <v>261.36</v>
      </c>
      <c r="T973">
        <v>220.08</v>
      </c>
      <c r="U973">
        <v>15.79</v>
      </c>
      <c r="V973" t="str">
        <f>VLOOKUP(L973,'[2]tabela de preços'!$A:$D,4,0)</f>
        <v>ANJO</v>
      </c>
      <c r="W973" t="str">
        <f>VLOOKUP(L973,'[2]tabela de preços'!$A:$F,6,0)</f>
        <v>THINNER DE LIMPEZA</v>
      </c>
      <c r="X973" t="str">
        <f>VLOOKUP(L973,'[2]tabela de preços'!$A:$G,7,0)</f>
        <v>THINNER</v>
      </c>
    </row>
    <row r="974" spans="1:24" x14ac:dyDescent="0.3">
      <c r="A974" t="s">
        <v>1015</v>
      </c>
      <c r="C974" t="s">
        <v>1016</v>
      </c>
      <c r="D974" s="1">
        <v>46038</v>
      </c>
      <c r="E974" t="s">
        <v>1017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1018</v>
      </c>
      <c r="K974" t="s">
        <v>1019</v>
      </c>
      <c r="L974">
        <v>20414</v>
      </c>
      <c r="M974" t="s">
        <v>112</v>
      </c>
      <c r="O974" t="s">
        <v>11</v>
      </c>
      <c r="P974">
        <v>5102</v>
      </c>
      <c r="Q974">
        <v>20</v>
      </c>
      <c r="R974">
        <v>21.89</v>
      </c>
      <c r="S974">
        <v>437.8</v>
      </c>
      <c r="T974">
        <v>360</v>
      </c>
      <c r="U974">
        <v>17.77</v>
      </c>
      <c r="V974" t="str">
        <f>VLOOKUP(L974,'[2]tabela de preços'!$A:$D,4,0)</f>
        <v>SHERWIN WILLIAMS</v>
      </c>
      <c r="W974" t="str">
        <f>VLOOKUP(L974,'[2]tabela de preços'!$A:$F,6,0)</f>
        <v>DILUENTE</v>
      </c>
      <c r="X974" t="str">
        <f>VLOOKUP(L974,'[2]tabela de preços'!$A:$G,7,0)</f>
        <v>AUTOMOTIVO</v>
      </c>
    </row>
    <row r="975" spans="1:24" x14ac:dyDescent="0.3">
      <c r="A975" t="s">
        <v>1015</v>
      </c>
      <c r="C975" t="s">
        <v>1016</v>
      </c>
      <c r="D975" s="1">
        <v>46038</v>
      </c>
      <c r="E975" t="s">
        <v>1017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1018</v>
      </c>
      <c r="K975" t="s">
        <v>1019</v>
      </c>
      <c r="L975">
        <v>21321</v>
      </c>
      <c r="M975" t="s">
        <v>272</v>
      </c>
      <c r="O975" t="s">
        <v>11</v>
      </c>
      <c r="P975">
        <v>5102</v>
      </c>
      <c r="Q975">
        <v>3</v>
      </c>
      <c r="R975">
        <v>20.239999999999998</v>
      </c>
      <c r="S975">
        <v>60.72</v>
      </c>
      <c r="T975">
        <v>46.08</v>
      </c>
      <c r="U975">
        <v>24.11</v>
      </c>
      <c r="V975" t="str">
        <f>VLOOKUP(L975,'[2]tabela de preços'!$A:$D,4,0)</f>
        <v>AUTO AMERICA</v>
      </c>
      <c r="W975" t="str">
        <f>VLOOKUP(L975,'[2]tabela de preços'!$A:$F,6,0)</f>
        <v>CERA  / LIMPEZA /  POLIMENTO VEICULAR</v>
      </c>
      <c r="X975" t="str">
        <f>VLOOKUP(L975,'[2]tabela de preços'!$A:$G,7,0)</f>
        <v>AUTOMOTIVO</v>
      </c>
    </row>
    <row r="976" spans="1:24" x14ac:dyDescent="0.3">
      <c r="A976" t="s">
        <v>1020</v>
      </c>
      <c r="C976" t="s">
        <v>1021</v>
      </c>
      <c r="D976" s="1">
        <v>46030</v>
      </c>
      <c r="E976" t="s">
        <v>1022</v>
      </c>
      <c r="F976">
        <v>9</v>
      </c>
      <c r="G976">
        <v>174</v>
      </c>
      <c r="H976" t="str">
        <f>VLOOKUP(G976,[1]OPERADORES!$A:$B,2,0)</f>
        <v>MIRIÃ LOBATO RODRIGUES</v>
      </c>
      <c r="I976" t="s">
        <v>21</v>
      </c>
      <c r="J976" t="s">
        <v>550</v>
      </c>
      <c r="K976" t="s">
        <v>1023</v>
      </c>
      <c r="L976">
        <v>84326</v>
      </c>
      <c r="M976" t="s">
        <v>1024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52</v>
      </c>
      <c r="U976">
        <v>14.6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1020</v>
      </c>
      <c r="C977" t="s">
        <v>1021</v>
      </c>
      <c r="D977" s="1">
        <v>46030</v>
      </c>
      <c r="E977" t="s">
        <v>1022</v>
      </c>
      <c r="F977">
        <v>9</v>
      </c>
      <c r="G977">
        <v>174</v>
      </c>
      <c r="H977" t="str">
        <f>VLOOKUP(G977,[1]OPERADORES!$A:$B,2,0)</f>
        <v>MIRIÃ LOBATO RODRIGUES</v>
      </c>
      <c r="I977" t="s">
        <v>21</v>
      </c>
      <c r="J977" t="s">
        <v>550</v>
      </c>
      <c r="K977" t="s">
        <v>1023</v>
      </c>
      <c r="L977">
        <v>84333</v>
      </c>
      <c r="M977" t="s">
        <v>1025</v>
      </c>
      <c r="O977" t="s">
        <v>11</v>
      </c>
      <c r="P977">
        <v>5403</v>
      </c>
      <c r="Q977">
        <v>1</v>
      </c>
      <c r="R977">
        <v>60.89</v>
      </c>
      <c r="S977">
        <v>60.89</v>
      </c>
      <c r="T977">
        <v>47.04</v>
      </c>
      <c r="U977">
        <v>22.75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1020</v>
      </c>
      <c r="C978" t="s">
        <v>1021</v>
      </c>
      <c r="D978" s="1">
        <v>46030</v>
      </c>
      <c r="E978" t="s">
        <v>1022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550</v>
      </c>
      <c r="K978" t="s">
        <v>1023</v>
      </c>
      <c r="L978">
        <v>84462</v>
      </c>
      <c r="M978" t="s">
        <v>1026</v>
      </c>
      <c r="O978" t="s">
        <v>11</v>
      </c>
      <c r="P978">
        <v>5403</v>
      </c>
      <c r="Q978">
        <v>1</v>
      </c>
      <c r="R978">
        <v>105.56</v>
      </c>
      <c r="S978">
        <v>105.56</v>
      </c>
      <c r="T978">
        <v>80.12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1020</v>
      </c>
      <c r="C979" t="s">
        <v>1027</v>
      </c>
      <c r="D979" s="1">
        <v>46035</v>
      </c>
      <c r="E979" t="s">
        <v>1028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550</v>
      </c>
      <c r="K979" t="s">
        <v>1023</v>
      </c>
      <c r="L979">
        <v>84334</v>
      </c>
      <c r="M979" t="s">
        <v>895</v>
      </c>
      <c r="O979" t="s">
        <v>11</v>
      </c>
      <c r="P979">
        <v>5403</v>
      </c>
      <c r="Q979">
        <v>1</v>
      </c>
      <c r="R979">
        <v>59.98</v>
      </c>
      <c r="S979">
        <v>59.98</v>
      </c>
      <c r="T979">
        <v>47.66</v>
      </c>
      <c r="U979">
        <v>20.54</v>
      </c>
      <c r="V979" t="str">
        <f>VLOOKUP(L979,'[2]tabela de preços'!$A:$D,4,0)</f>
        <v>BRASILUX</v>
      </c>
      <c r="W979" t="str">
        <f>VLOOKUP(L979,'[2]tabela de preços'!$A:$F,6,0)</f>
        <v>ESMALTES</v>
      </c>
      <c r="X979" t="str">
        <f>VLOOKUP(L979,'[2]tabela de preços'!$A:$G,7,0)</f>
        <v>INDUSTRIAL</v>
      </c>
    </row>
    <row r="980" spans="1:24" x14ac:dyDescent="0.3">
      <c r="A980" t="s">
        <v>1020</v>
      </c>
      <c r="C980" t="s">
        <v>1027</v>
      </c>
      <c r="D980" s="1">
        <v>46035</v>
      </c>
      <c r="E980" t="s">
        <v>1028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550</v>
      </c>
      <c r="K980" t="s">
        <v>1023</v>
      </c>
      <c r="L980">
        <v>85189</v>
      </c>
      <c r="M980" t="s">
        <v>197</v>
      </c>
      <c r="O980" t="s">
        <v>11</v>
      </c>
      <c r="P980">
        <v>5102</v>
      </c>
      <c r="Q980">
        <v>1</v>
      </c>
      <c r="R980">
        <v>177.9</v>
      </c>
      <c r="S980">
        <v>177.9</v>
      </c>
      <c r="T980">
        <v>138.15</v>
      </c>
      <c r="U980">
        <v>22.34</v>
      </c>
      <c r="V980" t="str">
        <f>VLOOKUP(L980,'[2]tabela de preços'!$A:$D,4,0)</f>
        <v>PDR</v>
      </c>
      <c r="W980" t="str">
        <f>VLOOKUP(L980,'[2]tabela de preços'!$A:$F,6,0)</f>
        <v>PISTOLAS</v>
      </c>
      <c r="X980" t="str">
        <f>VLOOKUP(L980,'[2]tabela de preços'!$A:$G,7,0)</f>
        <v>AUTOMOTIVO</v>
      </c>
    </row>
    <row r="981" spans="1:24" x14ac:dyDescent="0.3">
      <c r="A981" t="s">
        <v>1020</v>
      </c>
      <c r="C981" t="s">
        <v>1027</v>
      </c>
      <c r="D981" s="1">
        <v>46035</v>
      </c>
      <c r="E981" t="s">
        <v>1028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550</v>
      </c>
      <c r="K981" t="s">
        <v>1023</v>
      </c>
      <c r="L981">
        <v>10298</v>
      </c>
      <c r="M981" t="s">
        <v>85</v>
      </c>
      <c r="O981" t="s">
        <v>11</v>
      </c>
      <c r="P981">
        <v>5102</v>
      </c>
      <c r="Q981">
        <v>1</v>
      </c>
      <c r="R981">
        <v>56.89</v>
      </c>
      <c r="S981">
        <v>56.89</v>
      </c>
      <c r="T981">
        <v>47.38</v>
      </c>
      <c r="U981">
        <v>16.72</v>
      </c>
      <c r="V981" t="str">
        <f>VLOOKUP(L981,'[2]tabela de preços'!$A:$D,4,0)</f>
        <v>ANJO</v>
      </c>
      <c r="W981" t="str">
        <f>VLOOKUP(L981,'[2]tabela de preços'!$A:$F,6,0)</f>
        <v>THINNER DE LIMPEZA</v>
      </c>
      <c r="X981" t="str">
        <f>VLOOKUP(L981,'[2]tabela de preços'!$A:$G,7,0)</f>
        <v>THINNER</v>
      </c>
    </row>
    <row r="982" spans="1:24" x14ac:dyDescent="0.3">
      <c r="A982" t="s">
        <v>1020</v>
      </c>
      <c r="C982" t="s">
        <v>1029</v>
      </c>
      <c r="D982" s="1">
        <v>46049</v>
      </c>
      <c r="E982" t="s">
        <v>1030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550</v>
      </c>
      <c r="K982" t="s">
        <v>1023</v>
      </c>
      <c r="L982">
        <v>84334</v>
      </c>
      <c r="M982" t="s">
        <v>895</v>
      </c>
      <c r="O982" t="s">
        <v>11</v>
      </c>
      <c r="P982">
        <v>5403</v>
      </c>
      <c r="Q982">
        <v>1</v>
      </c>
      <c r="R982">
        <v>59.98</v>
      </c>
      <c r="S982">
        <v>59.98</v>
      </c>
      <c r="T982">
        <v>47.66</v>
      </c>
      <c r="U982">
        <v>20.54</v>
      </c>
      <c r="V982" t="str">
        <f>VLOOKUP(L982,'[2]tabela de preços'!$A:$D,4,0)</f>
        <v>BRASILUX</v>
      </c>
      <c r="W982" t="str">
        <f>VLOOKUP(L982,'[2]tabela de preços'!$A:$F,6,0)</f>
        <v>ESMALTES</v>
      </c>
      <c r="X982" t="str">
        <f>VLOOKUP(L982,'[2]tabela de preços'!$A:$G,7,0)</f>
        <v>INDUSTRIAL</v>
      </c>
    </row>
    <row r="983" spans="1:24" x14ac:dyDescent="0.3">
      <c r="A983" t="s">
        <v>1020</v>
      </c>
      <c r="C983" t="s">
        <v>1029</v>
      </c>
      <c r="D983" s="1">
        <v>46049</v>
      </c>
      <c r="E983" t="s">
        <v>1030</v>
      </c>
      <c r="F983">
        <v>9</v>
      </c>
      <c r="G983">
        <v>174</v>
      </c>
      <c r="H983" t="str">
        <f>VLOOKUP(G983,[1]OPERADORES!$A:$B,2,0)</f>
        <v>MIRIÃ LOBATO RODRIGUES</v>
      </c>
      <c r="I983" t="s">
        <v>21</v>
      </c>
      <c r="J983" t="s">
        <v>550</v>
      </c>
      <c r="K983" t="s">
        <v>1023</v>
      </c>
      <c r="L983">
        <v>84462</v>
      </c>
      <c r="M983" t="s">
        <v>1026</v>
      </c>
      <c r="O983" t="s">
        <v>11</v>
      </c>
      <c r="P983">
        <v>5403</v>
      </c>
      <c r="Q983">
        <v>3</v>
      </c>
      <c r="R983">
        <v>105.56</v>
      </c>
      <c r="S983">
        <v>316.68</v>
      </c>
      <c r="T983">
        <v>240.36</v>
      </c>
      <c r="U983">
        <v>24.1</v>
      </c>
      <c r="V983" t="str">
        <f>VLOOKUP(L983,'[2]tabela de preços'!$A:$D,4,0)</f>
        <v>BRASILUX</v>
      </c>
      <c r="W983" t="str">
        <f>VLOOKUP(L983,'[2]tabela de preços'!$A:$F,6,0)</f>
        <v>ESMALTES</v>
      </c>
      <c r="X983" t="str">
        <f>VLOOKUP(L983,'[2]tabela de preços'!$A:$G,7,0)</f>
        <v>INDUSTRIAL</v>
      </c>
    </row>
    <row r="984" spans="1:24" x14ac:dyDescent="0.3">
      <c r="A984" t="s">
        <v>1020</v>
      </c>
      <c r="C984" t="s">
        <v>1029</v>
      </c>
      <c r="D984" s="1">
        <v>46049</v>
      </c>
      <c r="E984" t="s">
        <v>1030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550</v>
      </c>
      <c r="K984" t="s">
        <v>1023</v>
      </c>
      <c r="L984">
        <v>10298</v>
      </c>
      <c r="M984" t="s">
        <v>85</v>
      </c>
      <c r="O984" t="s">
        <v>11</v>
      </c>
      <c r="P984">
        <v>5102</v>
      </c>
      <c r="Q984">
        <v>2</v>
      </c>
      <c r="R984">
        <v>56.89</v>
      </c>
      <c r="S984">
        <v>113.78</v>
      </c>
      <c r="T984">
        <v>94.76</v>
      </c>
      <c r="U984">
        <v>16.72</v>
      </c>
      <c r="V984" t="str">
        <f>VLOOKUP(L984,'[2]tabela de preços'!$A:$D,4,0)</f>
        <v>ANJO</v>
      </c>
      <c r="W984" t="str">
        <f>VLOOKUP(L984,'[2]tabela de preços'!$A:$F,6,0)</f>
        <v>THINNER DE LIMPEZA</v>
      </c>
      <c r="X984" t="str">
        <f>VLOOKUP(L984,'[2]tabela de preços'!$A:$G,7,0)</f>
        <v>THINNER</v>
      </c>
    </row>
    <row r="985" spans="1:24" x14ac:dyDescent="0.3">
      <c r="A985" t="s">
        <v>1031</v>
      </c>
      <c r="C985" t="s">
        <v>1032</v>
      </c>
      <c r="D985" s="1">
        <v>46041</v>
      </c>
      <c r="E985" t="s">
        <v>1033</v>
      </c>
      <c r="F985">
        <v>9</v>
      </c>
      <c r="G985">
        <v>230</v>
      </c>
      <c r="H985" t="str">
        <f>VLOOKUP(G985,[1]OPERADORES!$A:$B,2,0)</f>
        <v>SÔNIA</v>
      </c>
      <c r="I985" t="s">
        <v>168</v>
      </c>
      <c r="J985" t="s">
        <v>1034</v>
      </c>
      <c r="K985" t="s">
        <v>1035</v>
      </c>
      <c r="L985">
        <v>84030</v>
      </c>
      <c r="M985" t="s">
        <v>900</v>
      </c>
      <c r="O985" t="s">
        <v>11</v>
      </c>
      <c r="P985">
        <v>6108</v>
      </c>
      <c r="Q985">
        <v>2</v>
      </c>
      <c r="R985">
        <v>65.66</v>
      </c>
      <c r="S985">
        <v>131.32</v>
      </c>
      <c r="T985">
        <v>84.72</v>
      </c>
      <c r="U985">
        <v>35.49</v>
      </c>
      <c r="V985" t="str">
        <f>VLOOKUP(L985,'[2]tabela de preços'!$A:$D,4,0)</f>
        <v>BRASILUX</v>
      </c>
      <c r="W985" t="str">
        <f>VLOOKUP(L985,'[2]tabela de preços'!$A:$F,6,0)</f>
        <v>AGUARRAS</v>
      </c>
      <c r="X985" t="str">
        <f>VLOOKUP(L985,'[2]tabela de preços'!$A:$G,7,0)</f>
        <v>IMOBILIÁRIO</v>
      </c>
    </row>
    <row r="986" spans="1:24" x14ac:dyDescent="0.3">
      <c r="A986" t="s">
        <v>1031</v>
      </c>
      <c r="C986" t="s">
        <v>1032</v>
      </c>
      <c r="D986" s="1">
        <v>46041</v>
      </c>
      <c r="E986" t="s">
        <v>1033</v>
      </c>
      <c r="F986">
        <v>9</v>
      </c>
      <c r="G986">
        <v>230</v>
      </c>
      <c r="H986" t="str">
        <f>VLOOKUP(G986,[1]OPERADORES!$A:$B,2,0)</f>
        <v>SÔNIA</v>
      </c>
      <c r="I986" t="s">
        <v>168</v>
      </c>
      <c r="J986" t="s">
        <v>1034</v>
      </c>
      <c r="K986" t="s">
        <v>1035</v>
      </c>
      <c r="L986">
        <v>85246</v>
      </c>
      <c r="M986" t="s">
        <v>1036</v>
      </c>
      <c r="O986" t="s">
        <v>11</v>
      </c>
      <c r="P986">
        <v>6108</v>
      </c>
      <c r="Q986">
        <v>1</v>
      </c>
      <c r="R986">
        <v>121.98</v>
      </c>
      <c r="S986">
        <v>121.98</v>
      </c>
      <c r="T986">
        <v>92.59</v>
      </c>
      <c r="U986">
        <v>24.09</v>
      </c>
      <c r="V986" t="str">
        <f>VLOOKUP(L986,'[2]tabela de preços'!$A:$D,4,0)</f>
        <v>BRASILUX</v>
      </c>
      <c r="W986" t="str">
        <f>VLOOKUP(L986,'[2]tabela de preços'!$A:$F,6,0)</f>
        <v>TINTAS LACA</v>
      </c>
      <c r="X986" t="str">
        <f>VLOOKUP(L986,'[2]tabela de preços'!$A:$G,7,0)</f>
        <v>AUTOMOTIVO</v>
      </c>
    </row>
    <row r="987" spans="1:24" x14ac:dyDescent="0.3">
      <c r="A987" t="s">
        <v>1031</v>
      </c>
      <c r="C987" t="s">
        <v>1032</v>
      </c>
      <c r="D987" s="1">
        <v>46041</v>
      </c>
      <c r="E987" t="s">
        <v>1033</v>
      </c>
      <c r="F987">
        <v>9</v>
      </c>
      <c r="G987">
        <v>230</v>
      </c>
      <c r="H987" t="str">
        <f>VLOOKUP(G987,[1]OPERADORES!$A:$B,2,0)</f>
        <v>SÔNIA</v>
      </c>
      <c r="I987" t="s">
        <v>168</v>
      </c>
      <c r="J987" t="s">
        <v>1034</v>
      </c>
      <c r="K987" t="s">
        <v>1035</v>
      </c>
      <c r="L987">
        <v>84329</v>
      </c>
      <c r="M987" t="s">
        <v>285</v>
      </c>
      <c r="O987" t="s">
        <v>11</v>
      </c>
      <c r="P987">
        <v>6108</v>
      </c>
      <c r="Q987">
        <v>1</v>
      </c>
      <c r="R987">
        <v>59.98</v>
      </c>
      <c r="S987">
        <v>59.98</v>
      </c>
      <c r="T987">
        <v>48.27</v>
      </c>
      <c r="U987">
        <v>19.52</v>
      </c>
      <c r="V987" t="str">
        <f>VLOOKUP(L987,'[2]tabela de preços'!$A:$D,4,0)</f>
        <v>BRASILUX</v>
      </c>
      <c r="W987" t="str">
        <f>VLOOKUP(L987,'[2]tabela de preços'!$A:$F,6,0)</f>
        <v>ESMALTES</v>
      </c>
      <c r="X987" t="str">
        <f>VLOOKUP(L987,'[2]tabela de preços'!$A:$G,7,0)</f>
        <v>INDUSTRIAL</v>
      </c>
    </row>
    <row r="988" spans="1:24" x14ac:dyDescent="0.3">
      <c r="A988" t="s">
        <v>1031</v>
      </c>
      <c r="C988" t="s">
        <v>1032</v>
      </c>
      <c r="D988" s="1">
        <v>46041</v>
      </c>
      <c r="E988" t="s">
        <v>1033</v>
      </c>
      <c r="F988">
        <v>9</v>
      </c>
      <c r="G988">
        <v>230</v>
      </c>
      <c r="H988" t="str">
        <f>VLOOKUP(G988,[1]OPERADORES!$A:$B,2,0)</f>
        <v>SÔNIA</v>
      </c>
      <c r="I988" t="s">
        <v>168</v>
      </c>
      <c r="J988" t="s">
        <v>1034</v>
      </c>
      <c r="K988" t="s">
        <v>1035</v>
      </c>
      <c r="L988">
        <v>84331</v>
      </c>
      <c r="M988" t="s">
        <v>497</v>
      </c>
      <c r="O988" t="s">
        <v>11</v>
      </c>
      <c r="P988">
        <v>6108</v>
      </c>
      <c r="Q988">
        <v>2</v>
      </c>
      <c r="R988">
        <v>59.98</v>
      </c>
      <c r="S988">
        <v>119.96</v>
      </c>
      <c r="T988">
        <v>104</v>
      </c>
      <c r="U988">
        <v>13.3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1031</v>
      </c>
      <c r="C989" t="s">
        <v>1032</v>
      </c>
      <c r="D989" s="1">
        <v>46041</v>
      </c>
      <c r="E989" t="s">
        <v>1033</v>
      </c>
      <c r="F989">
        <v>9</v>
      </c>
      <c r="G989">
        <v>230</v>
      </c>
      <c r="H989" t="str">
        <f>VLOOKUP(G989,[1]OPERADORES!$A:$B,2,0)</f>
        <v>SÔNIA</v>
      </c>
      <c r="I989" t="s">
        <v>168</v>
      </c>
      <c r="J989" t="s">
        <v>1034</v>
      </c>
      <c r="K989" t="s">
        <v>1035</v>
      </c>
      <c r="L989">
        <v>10236</v>
      </c>
      <c r="M989" t="s">
        <v>133</v>
      </c>
      <c r="O989" t="s">
        <v>11</v>
      </c>
      <c r="P989">
        <v>6108</v>
      </c>
      <c r="Q989">
        <v>40</v>
      </c>
      <c r="R989">
        <v>2.79</v>
      </c>
      <c r="S989">
        <v>111.6</v>
      </c>
      <c r="T989">
        <v>92.8</v>
      </c>
      <c r="U989">
        <v>16.850000000000001</v>
      </c>
      <c r="V989" t="str">
        <f>VLOOKUP(L989,'[2]tabela de preços'!$A:$D,4,0)</f>
        <v>NORTON</v>
      </c>
      <c r="W989" t="str">
        <f>VLOOKUP(L989,'[2]tabela de preços'!$A:$F,6,0)</f>
        <v xml:space="preserve">DISCOS / LIXAS / ABRASIVOS </v>
      </c>
      <c r="X989" t="str">
        <f>VLOOKUP(L989,'[2]tabela de preços'!$A:$G,7,0)</f>
        <v>AUTOMOTIVO</v>
      </c>
    </row>
    <row r="990" spans="1:24" x14ac:dyDescent="0.3">
      <c r="A990" t="s">
        <v>1031</v>
      </c>
      <c r="C990" t="s">
        <v>1032</v>
      </c>
      <c r="D990" s="1">
        <v>46041</v>
      </c>
      <c r="E990" t="s">
        <v>1033</v>
      </c>
      <c r="F990">
        <v>9</v>
      </c>
      <c r="G990">
        <v>230</v>
      </c>
      <c r="H990" t="str">
        <f>VLOOKUP(G990,[1]OPERADORES!$A:$B,2,0)</f>
        <v>SÔNIA</v>
      </c>
      <c r="I990" t="s">
        <v>168</v>
      </c>
      <c r="J990" t="s">
        <v>1034</v>
      </c>
      <c r="K990" t="s">
        <v>1035</v>
      </c>
      <c r="L990">
        <v>84928</v>
      </c>
      <c r="M990" t="s">
        <v>36</v>
      </c>
      <c r="O990" t="s">
        <v>11</v>
      </c>
      <c r="P990">
        <v>6108</v>
      </c>
      <c r="Q990">
        <v>2</v>
      </c>
      <c r="R990">
        <v>9.39</v>
      </c>
      <c r="S990">
        <v>18.78</v>
      </c>
      <c r="T990">
        <v>14.26</v>
      </c>
      <c r="U990">
        <v>24.07</v>
      </c>
      <c r="V990" t="str">
        <f>VLOOKUP(L990,'[2]tabela de preços'!$A:$D,4,0)</f>
        <v>ADERE</v>
      </c>
      <c r="W990" t="str">
        <f>VLOOKUP(L990,'[2]tabela de preços'!$A:$F,6,0)</f>
        <v xml:space="preserve">FITA DE USO GERAL </v>
      </c>
      <c r="X990" t="str">
        <f>VLOOKUP(L990,'[2]tabela de preços'!$A:$G,7,0)</f>
        <v>IMOBILIÁRIO</v>
      </c>
    </row>
    <row r="991" spans="1:24" x14ac:dyDescent="0.3">
      <c r="A991" t="s">
        <v>1031</v>
      </c>
      <c r="C991" t="s">
        <v>1032</v>
      </c>
      <c r="D991" s="1">
        <v>46041</v>
      </c>
      <c r="E991" t="s">
        <v>1033</v>
      </c>
      <c r="F991">
        <v>9</v>
      </c>
      <c r="G991">
        <v>230</v>
      </c>
      <c r="H991" t="str">
        <f>VLOOKUP(G991,[1]OPERADORES!$A:$B,2,0)</f>
        <v>SÔNIA</v>
      </c>
      <c r="I991" t="s">
        <v>168</v>
      </c>
      <c r="J991" t="s">
        <v>1034</v>
      </c>
      <c r="K991" t="s">
        <v>1035</v>
      </c>
      <c r="L991">
        <v>84209</v>
      </c>
      <c r="M991" t="s">
        <v>1037</v>
      </c>
      <c r="O991" t="s">
        <v>11</v>
      </c>
      <c r="P991">
        <v>6108</v>
      </c>
      <c r="Q991">
        <v>2</v>
      </c>
      <c r="R991">
        <v>95.85</v>
      </c>
      <c r="S991">
        <v>191.7</v>
      </c>
      <c r="T991">
        <v>145.52000000000001</v>
      </c>
      <c r="U991">
        <v>24.09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1031</v>
      </c>
      <c r="C992" t="s">
        <v>1032</v>
      </c>
      <c r="D992" s="1">
        <v>46041</v>
      </c>
      <c r="E992" t="s">
        <v>1033</v>
      </c>
      <c r="F992">
        <v>9</v>
      </c>
      <c r="G992">
        <v>230</v>
      </c>
      <c r="H992" t="str">
        <f>VLOOKUP(G992,[1]OPERADORES!$A:$B,2,0)</f>
        <v>SÔNIA</v>
      </c>
      <c r="I992" t="s">
        <v>168</v>
      </c>
      <c r="J992" t="s">
        <v>1034</v>
      </c>
      <c r="K992" t="s">
        <v>1035</v>
      </c>
      <c r="L992">
        <v>83992</v>
      </c>
      <c r="M992" t="s">
        <v>1038</v>
      </c>
      <c r="O992" t="s">
        <v>11</v>
      </c>
      <c r="P992">
        <v>6108</v>
      </c>
      <c r="Q992">
        <v>8</v>
      </c>
      <c r="R992">
        <v>2.84</v>
      </c>
      <c r="S992">
        <v>22.72</v>
      </c>
      <c r="T992">
        <v>14.64</v>
      </c>
      <c r="U992">
        <v>35.56</v>
      </c>
      <c r="V992" t="str">
        <f>VLOOKUP(L992,'[2]tabela de preços'!$A:$D,4,0)</f>
        <v>3M</v>
      </c>
      <c r="W992" t="str">
        <f>VLOOKUP(L992,'[2]tabela de preços'!$A:$F,6,0)</f>
        <v>LIXA FERRO</v>
      </c>
      <c r="X992" t="str">
        <f>VLOOKUP(L992,'[2]tabela de preços'!$A:$G,7,0)</f>
        <v>IMOBILIÁRIO</v>
      </c>
    </row>
    <row r="993" spans="1:24" x14ac:dyDescent="0.3">
      <c r="A993" t="s">
        <v>1031</v>
      </c>
      <c r="C993" t="s">
        <v>1032</v>
      </c>
      <c r="D993" s="1">
        <v>46041</v>
      </c>
      <c r="E993" t="s">
        <v>1039</v>
      </c>
      <c r="F993">
        <v>9</v>
      </c>
      <c r="G993">
        <v>230</v>
      </c>
      <c r="H993" t="str">
        <f>VLOOKUP(G993,[1]OPERADORES!$A:$B,2,0)</f>
        <v>SÔNIA</v>
      </c>
      <c r="I993" t="s">
        <v>168</v>
      </c>
      <c r="J993" t="s">
        <v>1034</v>
      </c>
      <c r="K993" t="s">
        <v>1035</v>
      </c>
      <c r="L993">
        <v>85626</v>
      </c>
      <c r="M993" t="s">
        <v>1040</v>
      </c>
      <c r="O993" t="s">
        <v>11</v>
      </c>
      <c r="P993">
        <v>6108</v>
      </c>
      <c r="Q993">
        <v>1</v>
      </c>
      <c r="R993">
        <v>34.9</v>
      </c>
      <c r="S993">
        <v>34.9</v>
      </c>
      <c r="T993">
        <v>28.68</v>
      </c>
      <c r="U993">
        <v>17.82</v>
      </c>
      <c r="V993" t="str">
        <f>VLOOKUP(L993,'[2]tabela de preços'!$A:$D,4,0)</f>
        <v>WD-40</v>
      </c>
      <c r="W993" t="str">
        <f>VLOOKUP(L993,'[2]tabela de preços'!$A:$F,6,0)</f>
        <v>DESENGRIPANTE</v>
      </c>
      <c r="X993" t="str">
        <f>VLOOKUP(L993,'[2]tabela de preços'!$A:$G,7,0)</f>
        <v>AUTOMOTIVO</v>
      </c>
    </row>
    <row r="994" spans="1:24" x14ac:dyDescent="0.3">
      <c r="A994" t="s">
        <v>1031</v>
      </c>
      <c r="C994" t="s">
        <v>1032</v>
      </c>
      <c r="D994" s="1">
        <v>46041</v>
      </c>
      <c r="E994" t="s">
        <v>1033</v>
      </c>
      <c r="F994">
        <v>9</v>
      </c>
      <c r="G994">
        <v>230</v>
      </c>
      <c r="H994" t="str">
        <f>VLOOKUP(G994,[1]OPERADORES!$A:$B,2,0)</f>
        <v>SÔNIA</v>
      </c>
      <c r="I994" t="s">
        <v>168</v>
      </c>
      <c r="J994" t="s">
        <v>1034</v>
      </c>
      <c r="K994" t="s">
        <v>1035</v>
      </c>
      <c r="L994">
        <v>85228</v>
      </c>
      <c r="M994" t="s">
        <v>1041</v>
      </c>
      <c r="O994" t="s">
        <v>11</v>
      </c>
      <c r="P994">
        <v>6108</v>
      </c>
      <c r="Q994">
        <v>2</v>
      </c>
      <c r="R994">
        <v>7.84</v>
      </c>
      <c r="S994">
        <v>15.68</v>
      </c>
      <c r="T994">
        <v>11.9</v>
      </c>
      <c r="U994">
        <v>24.11</v>
      </c>
      <c r="V994" t="str">
        <f>VLOOKUP(L994,'[2]tabela de preços'!$A:$D,4,0)</f>
        <v>ATLAS</v>
      </c>
      <c r="W994" t="str">
        <f>VLOOKUP(L994,'[2]tabela de preços'!$A:$F,6,0)</f>
        <v>ROLOS / TRINCHAS / PINCÉIS / ESPÁTULAS</v>
      </c>
      <c r="X994" t="str">
        <f>VLOOKUP(L994,'[2]tabela de preços'!$A:$G,7,0)</f>
        <v>IMOBILIÁRIO</v>
      </c>
    </row>
    <row r="995" spans="1:24" x14ac:dyDescent="0.3">
      <c r="A995" t="s">
        <v>1031</v>
      </c>
      <c r="C995" t="s">
        <v>1032</v>
      </c>
      <c r="D995" s="1">
        <v>46041</v>
      </c>
      <c r="E995" t="s">
        <v>1033</v>
      </c>
      <c r="F995">
        <v>9</v>
      </c>
      <c r="G995">
        <v>230</v>
      </c>
      <c r="H995" t="str">
        <f>VLOOKUP(G995,[1]OPERADORES!$A:$B,2,0)</f>
        <v>SÔNIA</v>
      </c>
      <c r="I995" t="s">
        <v>168</v>
      </c>
      <c r="J995" t="s">
        <v>1034</v>
      </c>
      <c r="K995" t="s">
        <v>1035</v>
      </c>
      <c r="L995">
        <v>85227</v>
      </c>
      <c r="M995" t="s">
        <v>1042</v>
      </c>
      <c r="O995" t="s">
        <v>11</v>
      </c>
      <c r="P995">
        <v>6108</v>
      </c>
      <c r="Q995">
        <v>2</v>
      </c>
      <c r="R995">
        <v>6.06</v>
      </c>
      <c r="S995">
        <v>12.12</v>
      </c>
      <c r="T995">
        <v>9.1999999999999993</v>
      </c>
      <c r="U995">
        <v>24.09</v>
      </c>
      <c r="V995" t="str">
        <f>VLOOKUP(L995,'[2]tabela de preços'!$A:$D,4,0)</f>
        <v>ATLAS</v>
      </c>
      <c r="W995" t="str">
        <f>VLOOKUP(L995,'[2]tabela de preços'!$A:$F,6,0)</f>
        <v>ROLOS / TRINCHAS / PINCÉIS / ESPÁTULAS</v>
      </c>
      <c r="X995" t="str">
        <f>VLOOKUP(L995,'[2]tabela de preços'!$A:$G,7,0)</f>
        <v>IMOBILIÁRIO</v>
      </c>
    </row>
    <row r="996" spans="1:24" x14ac:dyDescent="0.3">
      <c r="A996" t="s">
        <v>1031</v>
      </c>
      <c r="C996" t="s">
        <v>1032</v>
      </c>
      <c r="D996" s="1">
        <v>46041</v>
      </c>
      <c r="E996" t="s">
        <v>1033</v>
      </c>
      <c r="F996">
        <v>9</v>
      </c>
      <c r="G996">
        <v>230</v>
      </c>
      <c r="H996" t="str">
        <f>VLOOKUP(G996,[1]OPERADORES!$A:$B,2,0)</f>
        <v>SÔNIA</v>
      </c>
      <c r="I996" t="s">
        <v>168</v>
      </c>
      <c r="J996" t="s">
        <v>1034</v>
      </c>
      <c r="K996" t="s">
        <v>1035</v>
      </c>
      <c r="L996">
        <v>84560</v>
      </c>
      <c r="M996" t="s">
        <v>118</v>
      </c>
      <c r="O996" t="s">
        <v>11</v>
      </c>
      <c r="P996">
        <v>6108</v>
      </c>
      <c r="Q996">
        <v>1</v>
      </c>
      <c r="R996">
        <v>47.89</v>
      </c>
      <c r="S996">
        <v>47.89</v>
      </c>
      <c r="T996">
        <v>39.159999999999997</v>
      </c>
      <c r="U996">
        <v>18.23</v>
      </c>
      <c r="V996" t="str">
        <f>VLOOKUP(L996,'[2]tabela de preços'!$A:$D,4,0)</f>
        <v>BRASILUX</v>
      </c>
      <c r="W996" t="str">
        <f>VLOOKUP(L996,'[2]tabela de preços'!$A:$F,6,0)</f>
        <v>THINNER DE LIMPEZA</v>
      </c>
      <c r="X996" t="str">
        <f>VLOOKUP(L996,'[2]tabela de preços'!$A:$G,7,0)</f>
        <v>THINNER</v>
      </c>
    </row>
    <row r="997" spans="1:24" x14ac:dyDescent="0.3">
      <c r="A997" t="s">
        <v>1031</v>
      </c>
      <c r="C997" t="s">
        <v>1032</v>
      </c>
      <c r="D997" s="1">
        <v>46041</v>
      </c>
      <c r="E997" t="s">
        <v>1033</v>
      </c>
      <c r="F997">
        <v>9</v>
      </c>
      <c r="G997">
        <v>230</v>
      </c>
      <c r="H997" t="str">
        <f>VLOOKUP(G997,[1]OPERADORES!$A:$B,2,0)</f>
        <v>SÔNIA</v>
      </c>
      <c r="I997" t="s">
        <v>168</v>
      </c>
      <c r="J997" t="s">
        <v>1034</v>
      </c>
      <c r="K997" t="s">
        <v>1035</v>
      </c>
      <c r="L997">
        <v>10117</v>
      </c>
      <c r="M997" t="s">
        <v>1043</v>
      </c>
      <c r="O997" t="s">
        <v>11</v>
      </c>
      <c r="P997">
        <v>6108</v>
      </c>
      <c r="Q997">
        <v>2</v>
      </c>
      <c r="R997">
        <v>6.52</v>
      </c>
      <c r="S997">
        <v>13.04</v>
      </c>
      <c r="T997">
        <v>9.9</v>
      </c>
      <c r="U997">
        <v>24.08</v>
      </c>
      <c r="V997" t="str">
        <f>VLOOKUP(L997,'[2]tabela de preços'!$A:$D,4,0)</f>
        <v>ATLAS</v>
      </c>
      <c r="W997" t="str">
        <f>VLOOKUP(L997,'[2]tabela de preços'!$A:$F,6,0)</f>
        <v>ROLOS / TRINCHAS / PINCÉIS / ESPÁTULAS</v>
      </c>
      <c r="X997" t="str">
        <f>VLOOKUP(L997,'[2]tabela de preços'!$A:$G,7,0)</f>
        <v>IMOBILIÁRIO</v>
      </c>
    </row>
    <row r="998" spans="1:24" x14ac:dyDescent="0.3">
      <c r="A998" t="s">
        <v>1031</v>
      </c>
      <c r="C998" t="s">
        <v>1044</v>
      </c>
      <c r="D998" s="1">
        <v>46041</v>
      </c>
      <c r="E998" t="s">
        <v>1045</v>
      </c>
      <c r="F998">
        <v>9</v>
      </c>
      <c r="G998">
        <v>230</v>
      </c>
      <c r="H998" t="str">
        <f>VLOOKUP(G998,[1]OPERADORES!$A:$B,2,0)</f>
        <v>SÔNIA</v>
      </c>
      <c r="I998" t="s">
        <v>168</v>
      </c>
      <c r="J998" t="s">
        <v>1034</v>
      </c>
      <c r="K998" t="s">
        <v>1035</v>
      </c>
      <c r="L998">
        <v>84560</v>
      </c>
      <c r="M998" t="s">
        <v>118</v>
      </c>
      <c r="O998" t="s">
        <v>11</v>
      </c>
      <c r="P998">
        <v>6108</v>
      </c>
      <c r="Q998">
        <v>1</v>
      </c>
      <c r="R998">
        <v>47.89</v>
      </c>
      <c r="S998">
        <v>47.89</v>
      </c>
      <c r="T998">
        <v>39.159999999999997</v>
      </c>
      <c r="U998">
        <v>18.23</v>
      </c>
      <c r="V998" t="str">
        <f>VLOOKUP(L998,'[2]tabela de preços'!$A:$D,4,0)</f>
        <v>BRASILUX</v>
      </c>
      <c r="W998" t="str">
        <f>VLOOKUP(L998,'[2]tabela de preços'!$A:$F,6,0)</f>
        <v>THINNER DE LIMPEZA</v>
      </c>
      <c r="X998" t="str">
        <f>VLOOKUP(L998,'[2]tabela de preços'!$A:$G,7,0)</f>
        <v>THINNER</v>
      </c>
    </row>
    <row r="999" spans="1:24" x14ac:dyDescent="0.3">
      <c r="A999" t="s">
        <v>1031</v>
      </c>
      <c r="C999" t="s">
        <v>1046</v>
      </c>
      <c r="D999" s="1">
        <v>46051</v>
      </c>
      <c r="E999" t="s">
        <v>1047</v>
      </c>
      <c r="F999">
        <v>9</v>
      </c>
      <c r="G999">
        <v>230</v>
      </c>
      <c r="H999" t="str">
        <f>VLOOKUP(G999,[1]OPERADORES!$A:$B,2,0)</f>
        <v>SÔNIA</v>
      </c>
      <c r="I999" t="s">
        <v>168</v>
      </c>
      <c r="J999" t="s">
        <v>1034</v>
      </c>
      <c r="K999" t="s">
        <v>1035</v>
      </c>
      <c r="L999">
        <v>85078</v>
      </c>
      <c r="M999" t="s">
        <v>1048</v>
      </c>
      <c r="O999" t="s">
        <v>11</v>
      </c>
      <c r="P999">
        <v>6108</v>
      </c>
      <c r="Q999">
        <v>1</v>
      </c>
      <c r="R999">
        <v>105.32</v>
      </c>
      <c r="S999">
        <v>105.32</v>
      </c>
      <c r="T999">
        <v>79.930000000000007</v>
      </c>
      <c r="U999">
        <v>24.11</v>
      </c>
      <c r="V999" t="str">
        <f>VLOOKUP(L999,'[2]tabela de preços'!$A:$D,4,0)</f>
        <v>BRASILUX</v>
      </c>
      <c r="W999" t="str">
        <f>VLOOKUP(L999,'[2]tabela de preços'!$A:$F,6,0)</f>
        <v>TINTAS LACA</v>
      </c>
      <c r="X999" t="str">
        <f>VLOOKUP(L999,'[2]tabela de preços'!$A:$G,7,0)</f>
        <v>AUTOMOTIVO</v>
      </c>
    </row>
    <row r="1000" spans="1:24" x14ac:dyDescent="0.3">
      <c r="A1000" t="s">
        <v>1031</v>
      </c>
      <c r="C1000" t="s">
        <v>1046</v>
      </c>
      <c r="D1000" s="1">
        <v>46051</v>
      </c>
      <c r="E1000" t="s">
        <v>1047</v>
      </c>
      <c r="F1000">
        <v>9</v>
      </c>
      <c r="G1000">
        <v>230</v>
      </c>
      <c r="H1000" t="str">
        <f>VLOOKUP(G1000,[1]OPERADORES!$A:$B,2,0)</f>
        <v>SÔNIA</v>
      </c>
      <c r="I1000" t="s">
        <v>168</v>
      </c>
      <c r="J1000" t="s">
        <v>1034</v>
      </c>
      <c r="K1000" t="s">
        <v>1035</v>
      </c>
      <c r="L1000">
        <v>84863</v>
      </c>
      <c r="M1000" t="s">
        <v>1049</v>
      </c>
      <c r="O1000" t="s">
        <v>11</v>
      </c>
      <c r="P1000">
        <v>6108</v>
      </c>
      <c r="Q1000">
        <v>2</v>
      </c>
      <c r="R1000">
        <v>113.35</v>
      </c>
      <c r="S1000">
        <v>226.7</v>
      </c>
      <c r="T1000">
        <v>172.06</v>
      </c>
      <c r="U1000">
        <v>24.1</v>
      </c>
      <c r="V1000" t="str">
        <f>VLOOKUP(L1000,'[2]tabela de preços'!$A:$D,4,0)</f>
        <v>BRASILUX</v>
      </c>
      <c r="W1000" t="str">
        <f>VLOOKUP(L1000,'[2]tabela de preços'!$A:$F,6,0)</f>
        <v>ESMALTES</v>
      </c>
      <c r="X1000" t="str">
        <f>VLOOKUP(L1000,'[2]tabela de preços'!$A:$G,7,0)</f>
        <v>INDUSTRIAL</v>
      </c>
    </row>
    <row r="1001" spans="1:24" x14ac:dyDescent="0.3">
      <c r="A1001" t="s">
        <v>1031</v>
      </c>
      <c r="C1001" t="s">
        <v>1046</v>
      </c>
      <c r="D1001" s="1">
        <v>46051</v>
      </c>
      <c r="E1001" t="s">
        <v>1047</v>
      </c>
      <c r="F1001">
        <v>9</v>
      </c>
      <c r="G1001">
        <v>230</v>
      </c>
      <c r="H1001" t="str">
        <f>VLOOKUP(G1001,[1]OPERADORES!$A:$B,2,0)</f>
        <v>SÔNIA</v>
      </c>
      <c r="I1001" t="s">
        <v>168</v>
      </c>
      <c r="J1001" t="s">
        <v>1034</v>
      </c>
      <c r="K1001" t="s">
        <v>1035</v>
      </c>
      <c r="L1001">
        <v>85310</v>
      </c>
      <c r="M1001" t="s">
        <v>1050</v>
      </c>
      <c r="O1001" t="s">
        <v>11</v>
      </c>
      <c r="P1001">
        <v>6108</v>
      </c>
      <c r="Q1001">
        <v>2</v>
      </c>
      <c r="R1001">
        <v>88.5</v>
      </c>
      <c r="S1001">
        <v>177</v>
      </c>
      <c r="T1001">
        <v>134.34</v>
      </c>
      <c r="U1001">
        <v>24.1</v>
      </c>
      <c r="V1001" t="str">
        <f>VLOOKUP(L1001,'[2]tabela de preços'!$A:$D,4,0)</f>
        <v>BRASILUX</v>
      </c>
      <c r="W1001" t="str">
        <f>VLOOKUP(L1001,'[2]tabela de preços'!$A:$F,6,0)</f>
        <v>ESMALTES</v>
      </c>
      <c r="X1001" t="str">
        <f>VLOOKUP(L1001,'[2]tabela de preços'!$A:$G,7,0)</f>
        <v>INDUSTRIAL</v>
      </c>
    </row>
    <row r="1002" spans="1:24" x14ac:dyDescent="0.3">
      <c r="A1002" t="s">
        <v>1031</v>
      </c>
      <c r="C1002" t="s">
        <v>1046</v>
      </c>
      <c r="D1002" s="1">
        <v>46051</v>
      </c>
      <c r="E1002" t="s">
        <v>1047</v>
      </c>
      <c r="F1002">
        <v>9</v>
      </c>
      <c r="G1002">
        <v>230</v>
      </c>
      <c r="H1002" t="str">
        <f>VLOOKUP(G1002,[1]OPERADORES!$A:$B,2,0)</f>
        <v>SÔNIA</v>
      </c>
      <c r="I1002" t="s">
        <v>168</v>
      </c>
      <c r="J1002" t="s">
        <v>1034</v>
      </c>
      <c r="K1002" t="s">
        <v>1035</v>
      </c>
      <c r="L1002">
        <v>83992</v>
      </c>
      <c r="M1002" t="s">
        <v>1038</v>
      </c>
      <c r="O1002" t="s">
        <v>11</v>
      </c>
      <c r="P1002">
        <v>6108</v>
      </c>
      <c r="Q1002">
        <v>20</v>
      </c>
      <c r="R1002">
        <v>2.41</v>
      </c>
      <c r="S1002">
        <v>48.2</v>
      </c>
      <c r="T1002">
        <v>36.6</v>
      </c>
      <c r="U1002">
        <v>24.07</v>
      </c>
      <c r="V1002" t="str">
        <f>VLOOKUP(L1002,'[2]tabela de preços'!$A:$D,4,0)</f>
        <v>3M</v>
      </c>
      <c r="W1002" t="str">
        <f>VLOOKUP(L1002,'[2]tabela de preços'!$A:$F,6,0)</f>
        <v>LIXA FERRO</v>
      </c>
      <c r="X1002" t="str">
        <f>VLOOKUP(L1002,'[2]tabela de preços'!$A:$G,7,0)</f>
        <v>IMOBILIÁRIO</v>
      </c>
    </row>
    <row r="1003" spans="1:24" x14ac:dyDescent="0.3">
      <c r="A1003" t="s">
        <v>1031</v>
      </c>
      <c r="C1003" t="s">
        <v>1046</v>
      </c>
      <c r="D1003" s="1">
        <v>46051</v>
      </c>
      <c r="E1003" t="s">
        <v>1047</v>
      </c>
      <c r="F1003">
        <v>9</v>
      </c>
      <c r="G1003">
        <v>230</v>
      </c>
      <c r="H1003" t="str">
        <f>VLOOKUP(G1003,[1]OPERADORES!$A:$B,2,0)</f>
        <v>SÔNIA</v>
      </c>
      <c r="I1003" t="s">
        <v>168</v>
      </c>
      <c r="J1003" t="s">
        <v>1034</v>
      </c>
      <c r="K1003" t="s">
        <v>1035</v>
      </c>
      <c r="L1003">
        <v>10298</v>
      </c>
      <c r="M1003" t="s">
        <v>85</v>
      </c>
      <c r="O1003" t="s">
        <v>11</v>
      </c>
      <c r="P1003">
        <v>6108</v>
      </c>
      <c r="Q1003">
        <v>3</v>
      </c>
      <c r="R1003">
        <v>56.89</v>
      </c>
      <c r="S1003">
        <v>170.67</v>
      </c>
      <c r="T1003">
        <v>142.13999999999999</v>
      </c>
      <c r="U1003">
        <v>16.72</v>
      </c>
      <c r="V1003" t="str">
        <f>VLOOKUP(L1003,'[2]tabela de preços'!$A:$D,4,0)</f>
        <v>ANJO</v>
      </c>
      <c r="W1003" t="str">
        <f>VLOOKUP(L1003,'[2]tabela de preços'!$A:$F,6,0)</f>
        <v>THINNER DE LIMPEZA</v>
      </c>
      <c r="X1003" t="str">
        <f>VLOOKUP(L1003,'[2]tabela de preços'!$A:$G,7,0)</f>
        <v>THINNER</v>
      </c>
    </row>
    <row r="1004" spans="1:24" x14ac:dyDescent="0.3">
      <c r="A1004" t="s">
        <v>1051</v>
      </c>
      <c r="C1004" t="s">
        <v>1052</v>
      </c>
      <c r="D1004" s="1">
        <v>46030</v>
      </c>
      <c r="E1004" t="s">
        <v>1053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602</v>
      </c>
      <c r="J1004" t="s">
        <v>1054</v>
      </c>
      <c r="K1004" t="s">
        <v>1055</v>
      </c>
      <c r="L1004">
        <v>84823</v>
      </c>
      <c r="M1004" t="s">
        <v>331</v>
      </c>
      <c r="O1004" t="s">
        <v>11</v>
      </c>
      <c r="P1004">
        <v>6102</v>
      </c>
      <c r="Q1004">
        <v>15</v>
      </c>
      <c r="R1004">
        <v>94.64</v>
      </c>
      <c r="S1004" s="2">
        <v>1419.6</v>
      </c>
      <c r="T1004" s="2">
        <v>1077.45</v>
      </c>
      <c r="U1004">
        <v>24.1</v>
      </c>
      <c r="V1004" t="str">
        <f>VLOOKUP(L1004,'[2]tabela de preços'!$A:$D,4,0)</f>
        <v>BRASILUX</v>
      </c>
      <c r="W1004" t="str">
        <f>VLOOKUP(L1004,'[2]tabela de preços'!$A:$F,6,0)</f>
        <v>DILUENTE</v>
      </c>
      <c r="X1004" t="str">
        <f>VLOOKUP(L1004,'[2]tabela de preços'!$A:$G,7,0)</f>
        <v>AUTOMOTIVO</v>
      </c>
    </row>
    <row r="1005" spans="1:24" x14ac:dyDescent="0.3">
      <c r="A1005" t="s">
        <v>1051</v>
      </c>
      <c r="C1005" t="s">
        <v>1052</v>
      </c>
      <c r="D1005" s="1">
        <v>46030</v>
      </c>
      <c r="E1005" t="s">
        <v>1053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602</v>
      </c>
      <c r="J1005" t="s">
        <v>1054</v>
      </c>
      <c r="K1005" t="s">
        <v>1055</v>
      </c>
      <c r="L1005">
        <v>84560</v>
      </c>
      <c r="M1005" t="s">
        <v>118</v>
      </c>
      <c r="O1005" t="s">
        <v>11</v>
      </c>
      <c r="P1005">
        <v>6102</v>
      </c>
      <c r="Q1005">
        <v>15</v>
      </c>
      <c r="R1005">
        <v>46.9</v>
      </c>
      <c r="S1005">
        <v>703.5</v>
      </c>
      <c r="T1005">
        <v>587.4</v>
      </c>
      <c r="U1005">
        <v>16.5</v>
      </c>
      <c r="V1005" t="str">
        <f>VLOOKUP(L1005,'[2]tabela de preços'!$A:$D,4,0)</f>
        <v>BRASILUX</v>
      </c>
      <c r="W1005" t="str">
        <f>VLOOKUP(L1005,'[2]tabela de preços'!$A:$F,6,0)</f>
        <v>THINNER DE LIMPEZA</v>
      </c>
      <c r="X1005" t="str">
        <f>VLOOKUP(L1005,'[2]tabela de preços'!$A:$G,7,0)</f>
        <v>THINNER</v>
      </c>
    </row>
    <row r="1006" spans="1:24" x14ac:dyDescent="0.3">
      <c r="A1006" t="s">
        <v>1051</v>
      </c>
      <c r="C1006" t="s">
        <v>1056</v>
      </c>
      <c r="D1006" s="1">
        <v>46050</v>
      </c>
      <c r="E1006" t="s">
        <v>1057</v>
      </c>
      <c r="F1006">
        <v>9</v>
      </c>
      <c r="G1006">
        <v>174</v>
      </c>
      <c r="H1006" t="str">
        <f>VLOOKUP(G1006,[1]OPERADORES!$A:$B,2,0)</f>
        <v>MIRIÃ LOBATO RODRIGUES</v>
      </c>
      <c r="I1006" t="s">
        <v>602</v>
      </c>
      <c r="J1006" t="s">
        <v>1054</v>
      </c>
      <c r="K1006" t="s">
        <v>1055</v>
      </c>
      <c r="L1006">
        <v>21078</v>
      </c>
      <c r="M1006" t="s">
        <v>141</v>
      </c>
      <c r="O1006" t="s">
        <v>11</v>
      </c>
      <c r="P1006">
        <v>6102</v>
      </c>
      <c r="Q1006">
        <v>12</v>
      </c>
      <c r="R1006">
        <v>22.89</v>
      </c>
      <c r="S1006">
        <v>274.68</v>
      </c>
      <c r="T1006">
        <v>223.92</v>
      </c>
      <c r="U1006">
        <v>18.48</v>
      </c>
      <c r="V1006" t="str">
        <f>VLOOKUP(L1006,'[2]tabela de preços'!$A:$D,4,0)</f>
        <v>SHERWIN WILLIAMS</v>
      </c>
      <c r="W1006" t="str">
        <f>VLOOKUP(L1006,'[2]tabela de preços'!$A:$F,6,0)</f>
        <v>MASSA POLIÉSTER</v>
      </c>
      <c r="X1006" t="str">
        <f>VLOOKUP(L1006,'[2]tabela de preços'!$A:$G,7,0)</f>
        <v>AUTOMOTIVO</v>
      </c>
    </row>
    <row r="1007" spans="1:24" x14ac:dyDescent="0.3">
      <c r="A1007" t="s">
        <v>1051</v>
      </c>
      <c r="C1007" t="s">
        <v>1056</v>
      </c>
      <c r="D1007" s="1">
        <v>46050</v>
      </c>
      <c r="E1007" t="s">
        <v>1057</v>
      </c>
      <c r="F1007">
        <v>9</v>
      </c>
      <c r="G1007">
        <v>174</v>
      </c>
      <c r="H1007" t="str">
        <f>VLOOKUP(G1007,[1]OPERADORES!$A:$B,2,0)</f>
        <v>MIRIÃ LOBATO RODRIGUES</v>
      </c>
      <c r="I1007" t="s">
        <v>602</v>
      </c>
      <c r="J1007" t="s">
        <v>1054</v>
      </c>
      <c r="K1007" t="s">
        <v>1055</v>
      </c>
      <c r="L1007">
        <v>23267</v>
      </c>
      <c r="M1007" t="s">
        <v>164</v>
      </c>
      <c r="O1007" t="s">
        <v>11</v>
      </c>
      <c r="P1007">
        <v>6102</v>
      </c>
      <c r="Q1007">
        <v>12</v>
      </c>
      <c r="R1007">
        <v>22.89</v>
      </c>
      <c r="S1007">
        <v>274.68</v>
      </c>
      <c r="T1007">
        <v>234.48</v>
      </c>
      <c r="U1007">
        <v>14.64</v>
      </c>
      <c r="V1007" t="str">
        <f>VLOOKUP(L1007,'[2]tabela de preços'!$A:$D,4,0)</f>
        <v>ANJO</v>
      </c>
      <c r="W1007" t="str">
        <f>VLOOKUP(L1007,'[2]tabela de preços'!$A:$F,6,0)</f>
        <v>MASSA POLIÉSTER</v>
      </c>
      <c r="X1007" t="str">
        <f>VLOOKUP(L1007,'[2]tabela de preços'!$A:$G,7,0)</f>
        <v>AUTOMOTIVO</v>
      </c>
    </row>
    <row r="1008" spans="1:24" x14ac:dyDescent="0.3">
      <c r="A1008" t="s">
        <v>1051</v>
      </c>
      <c r="C1008" t="s">
        <v>1056</v>
      </c>
      <c r="D1008" s="1">
        <v>46050</v>
      </c>
      <c r="E1008" t="s">
        <v>1057</v>
      </c>
      <c r="F1008">
        <v>9</v>
      </c>
      <c r="G1008">
        <v>174</v>
      </c>
      <c r="H1008" t="str">
        <f>VLOOKUP(G1008,[1]OPERADORES!$A:$B,2,0)</f>
        <v>MIRIÃ LOBATO RODRIGUES</v>
      </c>
      <c r="I1008" t="s">
        <v>602</v>
      </c>
      <c r="J1008" t="s">
        <v>1054</v>
      </c>
      <c r="K1008" t="s">
        <v>1055</v>
      </c>
      <c r="L1008">
        <v>84560</v>
      </c>
      <c r="M1008" t="s">
        <v>118</v>
      </c>
      <c r="O1008" t="s">
        <v>11</v>
      </c>
      <c r="P1008">
        <v>6102</v>
      </c>
      <c r="Q1008">
        <v>20</v>
      </c>
      <c r="R1008">
        <v>47.89</v>
      </c>
      <c r="S1008">
        <v>957.8</v>
      </c>
      <c r="T1008">
        <v>783.2</v>
      </c>
      <c r="U1008">
        <v>18.23</v>
      </c>
      <c r="V1008" t="str">
        <f>VLOOKUP(L1008,'[2]tabela de preços'!$A:$D,4,0)</f>
        <v>BRASILUX</v>
      </c>
      <c r="W1008" t="str">
        <f>VLOOKUP(L1008,'[2]tabela de preços'!$A:$F,6,0)</f>
        <v>THINNER DE LIMPEZA</v>
      </c>
      <c r="X1008" t="str">
        <f>VLOOKUP(L1008,'[2]tabela de preços'!$A:$G,7,0)</f>
        <v>THINNER</v>
      </c>
    </row>
    <row r="1009" spans="1:24" x14ac:dyDescent="0.3">
      <c r="A1009" t="s">
        <v>1058</v>
      </c>
      <c r="C1009" t="s">
        <v>1059</v>
      </c>
      <c r="D1009" s="1">
        <v>46041</v>
      </c>
      <c r="E1009" t="s">
        <v>1060</v>
      </c>
      <c r="F1009">
        <v>9</v>
      </c>
      <c r="G1009">
        <v>231</v>
      </c>
      <c r="H1009" t="str">
        <f>VLOOKUP(G1009,[1]OPERADORES!$A:$B,2,0)</f>
        <v>EDIJANE</v>
      </c>
      <c r="I1009" t="s">
        <v>244</v>
      </c>
      <c r="J1009" t="s">
        <v>1061</v>
      </c>
      <c r="K1009" t="s">
        <v>1062</v>
      </c>
      <c r="L1009">
        <v>85321</v>
      </c>
      <c r="M1009" t="s">
        <v>1063</v>
      </c>
      <c r="O1009" t="s">
        <v>11</v>
      </c>
      <c r="P1009">
        <v>6102</v>
      </c>
      <c r="Q1009">
        <v>4</v>
      </c>
      <c r="R1009">
        <v>614.41</v>
      </c>
      <c r="S1009" s="2">
        <v>2457.64</v>
      </c>
      <c r="T1009" s="2">
        <v>1752.32</v>
      </c>
      <c r="U1009">
        <v>28.7</v>
      </c>
      <c r="V1009" t="str">
        <f>VLOOKUP(L1009,'[2]tabela de preços'!$A:$D,4,0)</f>
        <v>BRASILUX</v>
      </c>
      <c r="W1009" t="str">
        <f>VLOOKUP(L1009,'[2]tabela de preços'!$A:$F,6,0)</f>
        <v>TINTA EM PÓ</v>
      </c>
      <c r="X1009" t="str">
        <f>VLOOKUP(L1009,'[2]tabela de preços'!$A:$G,7,0)</f>
        <v>INDUSTRIAL</v>
      </c>
    </row>
    <row r="1010" spans="1:24" x14ac:dyDescent="0.3">
      <c r="A1010" t="s">
        <v>1064</v>
      </c>
      <c r="C1010" t="s">
        <v>1065</v>
      </c>
      <c r="D1010" s="1">
        <v>46035</v>
      </c>
      <c r="E1010" t="s">
        <v>1066</v>
      </c>
      <c r="F1010">
        <v>9</v>
      </c>
      <c r="G1010">
        <v>231</v>
      </c>
      <c r="H1010" t="str">
        <f>VLOOKUP(G1010,[1]OPERADORES!$A:$B,2,0)</f>
        <v>EDIJANE</v>
      </c>
      <c r="I1010" t="s">
        <v>21</v>
      </c>
      <c r="J1010" t="s">
        <v>66</v>
      </c>
      <c r="K1010" t="s">
        <v>1067</v>
      </c>
      <c r="L1010">
        <v>24292</v>
      </c>
      <c r="M1010" t="s">
        <v>1068</v>
      </c>
      <c r="O1010" t="s">
        <v>11</v>
      </c>
      <c r="P1010">
        <v>5102</v>
      </c>
      <c r="Q1010">
        <v>3</v>
      </c>
      <c r="R1010">
        <v>41.3</v>
      </c>
      <c r="S1010">
        <v>123.9</v>
      </c>
      <c r="T1010">
        <v>94.05</v>
      </c>
      <c r="U1010">
        <v>24.09</v>
      </c>
      <c r="V1010" t="str">
        <f>VLOOKUP(L1010,'[2]tabela de preços'!$A:$D,4,0)</f>
        <v>VONIXX</v>
      </c>
      <c r="W1010" t="str">
        <f>VLOOKUP(L1010,'[2]tabela de preços'!$A:$F,6,0)</f>
        <v>LINHA DE HIGENIZAÇÃO E ESTÉTICA  AUTOMOTIVA</v>
      </c>
      <c r="X1010" t="str">
        <f>VLOOKUP(L1010,'[2]tabela de preços'!$A:$G,7,0)</f>
        <v>AUTOMOTIVO</v>
      </c>
    </row>
    <row r="1011" spans="1:24" x14ac:dyDescent="0.3">
      <c r="A1011" t="s">
        <v>1064</v>
      </c>
      <c r="C1011" t="s">
        <v>1065</v>
      </c>
      <c r="D1011" s="1">
        <v>46035</v>
      </c>
      <c r="E1011" t="s">
        <v>1066</v>
      </c>
      <c r="F1011">
        <v>9</v>
      </c>
      <c r="G1011">
        <v>231</v>
      </c>
      <c r="H1011" t="str">
        <f>VLOOKUP(G1011,[1]OPERADORES!$A:$B,2,0)</f>
        <v>EDIJANE</v>
      </c>
      <c r="I1011" t="s">
        <v>21</v>
      </c>
      <c r="J1011" t="s">
        <v>66</v>
      </c>
      <c r="K1011" t="s">
        <v>1067</v>
      </c>
      <c r="L1011">
        <v>20814</v>
      </c>
      <c r="M1011" t="s">
        <v>445</v>
      </c>
      <c r="O1011" t="s">
        <v>11</v>
      </c>
      <c r="P1011">
        <v>5102</v>
      </c>
      <c r="Q1011">
        <v>5</v>
      </c>
      <c r="R1011">
        <v>7.81</v>
      </c>
      <c r="S1011">
        <v>39.049999999999997</v>
      </c>
      <c r="T1011">
        <v>29.65</v>
      </c>
      <c r="U1011">
        <v>24.07</v>
      </c>
      <c r="V1011" t="str">
        <f>VLOOKUP(L1011,'[2]tabela de preços'!$A:$D,4,0)</f>
        <v>AUTO AMERICA</v>
      </c>
      <c r="W1011" t="str">
        <f>VLOOKUP(L1011,'[2]tabela de preços'!$A:$F,6,0)</f>
        <v>APLICADORES / ADAPTADORES / ENGATES / SUPORTES</v>
      </c>
      <c r="X1011" t="str">
        <f>VLOOKUP(L1011,'[2]tabela de preços'!$A:$G,7,0)</f>
        <v>AUTOMOTIVO</v>
      </c>
    </row>
    <row r="1012" spans="1:24" x14ac:dyDescent="0.3">
      <c r="A1012" t="s">
        <v>1064</v>
      </c>
      <c r="C1012" t="s">
        <v>1065</v>
      </c>
      <c r="D1012" s="1">
        <v>46035</v>
      </c>
      <c r="E1012" t="s">
        <v>1066</v>
      </c>
      <c r="F1012">
        <v>9</v>
      </c>
      <c r="G1012">
        <v>231</v>
      </c>
      <c r="H1012" t="str">
        <f>VLOOKUP(G1012,[1]OPERADORES!$A:$B,2,0)</f>
        <v>EDIJANE</v>
      </c>
      <c r="I1012" t="s">
        <v>21</v>
      </c>
      <c r="J1012" t="s">
        <v>66</v>
      </c>
      <c r="K1012" t="s">
        <v>1067</v>
      </c>
      <c r="L1012">
        <v>86965</v>
      </c>
      <c r="M1012" t="s">
        <v>1069</v>
      </c>
      <c r="O1012" t="s">
        <v>11</v>
      </c>
      <c r="P1012">
        <v>5102</v>
      </c>
      <c r="Q1012">
        <v>2</v>
      </c>
      <c r="R1012">
        <v>38.869999999999997</v>
      </c>
      <c r="S1012">
        <v>77.739999999999995</v>
      </c>
      <c r="T1012">
        <v>59</v>
      </c>
      <c r="U1012">
        <v>24.11</v>
      </c>
      <c r="V1012" t="str">
        <f>VLOOKUP(L1012,'[2]tabela de preços'!$A:$D,4,0)</f>
        <v>VONIXX</v>
      </c>
      <c r="W1012" t="str">
        <f>VLOOKUP(L1012,'[2]tabela de preços'!$A:$F,6,0)</f>
        <v>LINHA DE HIGENIZAÇÃO E ESTÉTICA  AUTOMOTIVA</v>
      </c>
      <c r="X1012" t="str">
        <f>VLOOKUP(L1012,'[2]tabela de preços'!$A:$G,7,0)</f>
        <v>AUTOMOTIVO</v>
      </c>
    </row>
    <row r="1013" spans="1:24" x14ac:dyDescent="0.3">
      <c r="A1013" t="s">
        <v>1064</v>
      </c>
      <c r="C1013" t="s">
        <v>1065</v>
      </c>
      <c r="D1013" s="1">
        <v>46035</v>
      </c>
      <c r="E1013" t="s">
        <v>1066</v>
      </c>
      <c r="F1013">
        <v>9</v>
      </c>
      <c r="G1013">
        <v>231</v>
      </c>
      <c r="H1013" t="str">
        <f>VLOOKUP(G1013,[1]OPERADORES!$A:$B,2,0)</f>
        <v>EDIJANE</v>
      </c>
      <c r="I1013" t="s">
        <v>21</v>
      </c>
      <c r="J1013" t="s">
        <v>66</v>
      </c>
      <c r="K1013" t="s">
        <v>1067</v>
      </c>
      <c r="L1013">
        <v>23444</v>
      </c>
      <c r="M1013" t="s">
        <v>1070</v>
      </c>
      <c r="O1013" t="s">
        <v>11</v>
      </c>
      <c r="P1013">
        <v>5102</v>
      </c>
      <c r="Q1013">
        <v>3</v>
      </c>
      <c r="R1013">
        <v>32.200000000000003</v>
      </c>
      <c r="S1013">
        <v>96.6</v>
      </c>
      <c r="T1013">
        <v>73.319999999999993</v>
      </c>
      <c r="U1013">
        <v>24.1</v>
      </c>
      <c r="V1013" t="str">
        <f>VLOOKUP(L1013,'[2]tabela de preços'!$A:$D,4,0)</f>
        <v>VONIXX</v>
      </c>
      <c r="W1013" t="str">
        <f>VLOOKUP(L1013,'[2]tabela de preços'!$A:$F,6,0)</f>
        <v>LINHA DE HIGENIZAÇÃO E ESTÉTICA  AUTOMOTIVA</v>
      </c>
      <c r="X1013" t="str">
        <f>VLOOKUP(L1013,'[2]tabela de preços'!$A:$G,7,0)</f>
        <v>AUTOMOTIVO</v>
      </c>
    </row>
    <row r="1014" spans="1:24" x14ac:dyDescent="0.3">
      <c r="A1014" t="s">
        <v>1064</v>
      </c>
      <c r="C1014" t="s">
        <v>1065</v>
      </c>
      <c r="D1014" s="1">
        <v>46035</v>
      </c>
      <c r="E1014" t="s">
        <v>1066</v>
      </c>
      <c r="F1014">
        <v>9</v>
      </c>
      <c r="G1014">
        <v>231</v>
      </c>
      <c r="H1014" t="str">
        <f>VLOOKUP(G1014,[1]OPERADORES!$A:$B,2,0)</f>
        <v>EDIJANE</v>
      </c>
      <c r="I1014" t="s">
        <v>21</v>
      </c>
      <c r="J1014" t="s">
        <v>66</v>
      </c>
      <c r="K1014" t="s">
        <v>1067</v>
      </c>
      <c r="L1014">
        <v>23443</v>
      </c>
      <c r="M1014" t="s">
        <v>1071</v>
      </c>
      <c r="O1014" t="s">
        <v>11</v>
      </c>
      <c r="P1014">
        <v>5102</v>
      </c>
      <c r="Q1014">
        <v>2</v>
      </c>
      <c r="R1014">
        <v>20.6</v>
      </c>
      <c r="S1014">
        <v>41.2</v>
      </c>
      <c r="T1014">
        <v>31.28</v>
      </c>
      <c r="U1014">
        <v>24.08</v>
      </c>
      <c r="V1014" t="str">
        <f>VLOOKUP(L1014,'[2]tabela de preços'!$A:$D,4,0)</f>
        <v>VONIXX</v>
      </c>
      <c r="W1014" t="str">
        <f>VLOOKUP(L1014,'[2]tabela de preços'!$A:$F,6,0)</f>
        <v>LINHA DE HIGENIZAÇÃO E ESTÉTICA  AUTOMOTIVA</v>
      </c>
      <c r="X1014" t="str">
        <f>VLOOKUP(L1014,'[2]tabela de preços'!$A:$G,7,0)</f>
        <v>AUTOMOTIVO</v>
      </c>
    </row>
    <row r="1015" spans="1:24" x14ac:dyDescent="0.3">
      <c r="A1015" t="s">
        <v>1064</v>
      </c>
      <c r="C1015" t="s">
        <v>1065</v>
      </c>
      <c r="D1015" s="1">
        <v>46035</v>
      </c>
      <c r="E1015" t="s">
        <v>1066</v>
      </c>
      <c r="F1015">
        <v>9</v>
      </c>
      <c r="G1015">
        <v>231</v>
      </c>
      <c r="H1015" t="str">
        <f>VLOOKUP(G1015,[1]OPERADORES!$A:$B,2,0)</f>
        <v>EDIJANE</v>
      </c>
      <c r="I1015" t="s">
        <v>21</v>
      </c>
      <c r="J1015" t="s">
        <v>66</v>
      </c>
      <c r="K1015" t="s">
        <v>1067</v>
      </c>
      <c r="L1015">
        <v>24296</v>
      </c>
      <c r="M1015" t="s">
        <v>446</v>
      </c>
      <c r="O1015" t="s">
        <v>11</v>
      </c>
      <c r="P1015">
        <v>5102</v>
      </c>
      <c r="Q1015">
        <v>3</v>
      </c>
      <c r="R1015">
        <v>29.71</v>
      </c>
      <c r="S1015">
        <v>89.13</v>
      </c>
      <c r="T1015">
        <v>67.650000000000006</v>
      </c>
      <c r="U1015">
        <v>24.1</v>
      </c>
      <c r="V1015" t="str">
        <f>VLOOKUP(L1015,'[2]tabela de preços'!$A:$D,4,0)</f>
        <v>VONIXX</v>
      </c>
      <c r="W1015" t="str">
        <f>VLOOKUP(L1015,'[2]tabela de preços'!$A:$F,6,0)</f>
        <v>LINHA DE HIGENIZAÇÃO E ESTÉTICA  AUTOMOTIVA</v>
      </c>
      <c r="X1015" t="str">
        <f>VLOOKUP(L1015,'[2]tabela de preços'!$A:$G,7,0)</f>
        <v>AUTOMOTIVO</v>
      </c>
    </row>
    <row r="1016" spans="1:24" x14ac:dyDescent="0.3">
      <c r="A1016" t="s">
        <v>1064</v>
      </c>
      <c r="C1016" t="s">
        <v>1065</v>
      </c>
      <c r="D1016" s="1">
        <v>46035</v>
      </c>
      <c r="E1016" t="s">
        <v>1066</v>
      </c>
      <c r="F1016">
        <v>9</v>
      </c>
      <c r="G1016">
        <v>231</v>
      </c>
      <c r="H1016" t="str">
        <f>VLOOKUP(G1016,[1]OPERADORES!$A:$B,2,0)</f>
        <v>EDIJANE</v>
      </c>
      <c r="I1016" t="s">
        <v>21</v>
      </c>
      <c r="J1016" t="s">
        <v>66</v>
      </c>
      <c r="K1016" t="s">
        <v>1067</v>
      </c>
      <c r="L1016">
        <v>85209</v>
      </c>
      <c r="M1016" t="s">
        <v>1072</v>
      </c>
      <c r="O1016" t="s">
        <v>11</v>
      </c>
      <c r="P1016">
        <v>5102</v>
      </c>
      <c r="Q1016">
        <v>1</v>
      </c>
      <c r="R1016">
        <v>20.6</v>
      </c>
      <c r="S1016">
        <v>20.6</v>
      </c>
      <c r="T1016">
        <v>15.64</v>
      </c>
      <c r="U1016">
        <v>24.08</v>
      </c>
      <c r="V1016" t="str">
        <f>VLOOKUP(L1016,'[2]tabela de preços'!$A:$D,4,0)</f>
        <v>VONIXX</v>
      </c>
      <c r="W1016" t="str">
        <f>VLOOKUP(L1016,'[2]tabela de preços'!$A:$F,6,0)</f>
        <v>LINHA DE HIGENIZAÇÃO E ESTÉTICA  AUTOMOTIVA</v>
      </c>
      <c r="X1016" t="str">
        <f>VLOOKUP(L1016,'[2]tabela de preços'!$A:$G,7,0)</f>
        <v>AUTOMOTIVO</v>
      </c>
    </row>
    <row r="1017" spans="1:24" x14ac:dyDescent="0.3">
      <c r="A1017" t="s">
        <v>1064</v>
      </c>
      <c r="C1017" t="s">
        <v>1065</v>
      </c>
      <c r="D1017" s="1">
        <v>46035</v>
      </c>
      <c r="E1017" t="s">
        <v>1066</v>
      </c>
      <c r="F1017">
        <v>9</v>
      </c>
      <c r="G1017">
        <v>231</v>
      </c>
      <c r="H1017" t="str">
        <f>VLOOKUP(G1017,[1]OPERADORES!$A:$B,2,0)</f>
        <v>EDIJANE</v>
      </c>
      <c r="I1017" t="s">
        <v>21</v>
      </c>
      <c r="J1017" t="s">
        <v>66</v>
      </c>
      <c r="K1017" t="s">
        <v>1067</v>
      </c>
      <c r="L1017">
        <v>23449</v>
      </c>
      <c r="M1017" t="s">
        <v>1073</v>
      </c>
      <c r="O1017" t="s">
        <v>11</v>
      </c>
      <c r="P1017">
        <v>5102</v>
      </c>
      <c r="Q1017">
        <v>4</v>
      </c>
      <c r="R1017">
        <v>47.1</v>
      </c>
      <c r="S1017">
        <v>188.4</v>
      </c>
      <c r="T1017">
        <v>143</v>
      </c>
      <c r="U1017">
        <v>24.1</v>
      </c>
      <c r="V1017" t="str">
        <f>VLOOKUP(L1017,'[2]tabela de preços'!$A:$D,4,0)</f>
        <v>VONIXX</v>
      </c>
      <c r="W1017" t="str">
        <f>VLOOKUP(L1017,'[2]tabela de preços'!$A:$F,6,0)</f>
        <v>LINHA DE HIGENIZAÇÃO E ESTÉTICA  AUTOMOTIVA</v>
      </c>
      <c r="X1017" t="str">
        <f>VLOOKUP(L1017,'[2]tabela de preços'!$A:$G,7,0)</f>
        <v>AUTOMOTIVO</v>
      </c>
    </row>
    <row r="1018" spans="1:24" x14ac:dyDescent="0.3">
      <c r="A1018" t="s">
        <v>1064</v>
      </c>
      <c r="C1018" t="s">
        <v>1065</v>
      </c>
      <c r="D1018" s="1">
        <v>46035</v>
      </c>
      <c r="E1018" t="s">
        <v>1066</v>
      </c>
      <c r="F1018">
        <v>9</v>
      </c>
      <c r="G1018">
        <v>231</v>
      </c>
      <c r="H1018" t="str">
        <f>VLOOKUP(G1018,[1]OPERADORES!$A:$B,2,0)</f>
        <v>EDIJANE</v>
      </c>
      <c r="I1018" t="s">
        <v>21</v>
      </c>
      <c r="J1018" t="s">
        <v>66</v>
      </c>
      <c r="K1018" t="s">
        <v>1067</v>
      </c>
      <c r="L1018">
        <v>24266</v>
      </c>
      <c r="M1018" t="s">
        <v>1074</v>
      </c>
      <c r="O1018" t="s">
        <v>11</v>
      </c>
      <c r="P1018">
        <v>5102</v>
      </c>
      <c r="Q1018">
        <v>1</v>
      </c>
      <c r="R1018">
        <v>53.71</v>
      </c>
      <c r="S1018">
        <v>53.71</v>
      </c>
      <c r="T1018">
        <v>40.770000000000003</v>
      </c>
      <c r="U1018">
        <v>24.09</v>
      </c>
      <c r="V1018" t="str">
        <f>VLOOKUP(L1018,'[2]tabela de preços'!$A:$D,4,0)</f>
        <v>VONIXX</v>
      </c>
      <c r="W1018" t="str">
        <f>VLOOKUP(L1018,'[2]tabela de preços'!$A:$F,6,0)</f>
        <v>LINHA DE HIGENIZAÇÃO E ESTÉTICA  AUTOMOTIVA</v>
      </c>
      <c r="X1018" t="str">
        <f>VLOOKUP(L1018,'[2]tabela de preços'!$A:$G,7,0)</f>
        <v>AUTOMOTIVO</v>
      </c>
    </row>
    <row r="1019" spans="1:24" x14ac:dyDescent="0.3">
      <c r="A1019" t="s">
        <v>1064</v>
      </c>
      <c r="C1019" t="s">
        <v>1065</v>
      </c>
      <c r="D1019" s="1">
        <v>46035</v>
      </c>
      <c r="E1019" t="s">
        <v>1066</v>
      </c>
      <c r="F1019">
        <v>9</v>
      </c>
      <c r="G1019">
        <v>231</v>
      </c>
      <c r="H1019" t="str">
        <f>VLOOKUP(G1019,[1]OPERADORES!$A:$B,2,0)</f>
        <v>EDIJANE</v>
      </c>
      <c r="I1019" t="s">
        <v>21</v>
      </c>
      <c r="J1019" t="s">
        <v>66</v>
      </c>
      <c r="K1019" t="s">
        <v>1067</v>
      </c>
      <c r="L1019">
        <v>24299</v>
      </c>
      <c r="M1019" t="s">
        <v>1075</v>
      </c>
      <c r="O1019" t="s">
        <v>11</v>
      </c>
      <c r="P1019">
        <v>5102</v>
      </c>
      <c r="Q1019">
        <v>1</v>
      </c>
      <c r="R1019">
        <v>52.9</v>
      </c>
      <c r="S1019">
        <v>52.9</v>
      </c>
      <c r="T1019">
        <v>40.15</v>
      </c>
      <c r="U1019">
        <v>24.1</v>
      </c>
      <c r="V1019" t="str">
        <f>VLOOKUP(L1019,'[2]tabela de preços'!$A:$D,4,0)</f>
        <v>VONIXX</v>
      </c>
      <c r="W1019" t="str">
        <f>VLOOKUP(L1019,'[2]tabela de preços'!$A:$F,6,0)</f>
        <v>LINHA DE HIGENIZAÇÃO E ESTÉTICA  AUTOMOTIVA</v>
      </c>
      <c r="X1019" t="str">
        <f>VLOOKUP(L1019,'[2]tabela de preços'!$A:$G,7,0)</f>
        <v>AUTOMOTIVO</v>
      </c>
    </row>
    <row r="1020" spans="1:24" x14ac:dyDescent="0.3">
      <c r="A1020" t="s">
        <v>1064</v>
      </c>
      <c r="C1020" t="s">
        <v>1065</v>
      </c>
      <c r="D1020" s="1">
        <v>46035</v>
      </c>
      <c r="E1020" t="s">
        <v>1066</v>
      </c>
      <c r="F1020">
        <v>9</v>
      </c>
      <c r="G1020">
        <v>231</v>
      </c>
      <c r="H1020" t="str">
        <f>VLOOKUP(G1020,[1]OPERADORES!$A:$B,2,0)</f>
        <v>EDIJANE</v>
      </c>
      <c r="I1020" t="s">
        <v>21</v>
      </c>
      <c r="J1020" t="s">
        <v>66</v>
      </c>
      <c r="K1020" t="s">
        <v>1067</v>
      </c>
      <c r="L1020">
        <v>83872</v>
      </c>
      <c r="M1020" t="s">
        <v>1076</v>
      </c>
      <c r="O1020" t="s">
        <v>11</v>
      </c>
      <c r="P1020">
        <v>5102</v>
      </c>
      <c r="Q1020">
        <v>2</v>
      </c>
      <c r="R1020">
        <v>22.26</v>
      </c>
      <c r="S1020">
        <v>44.52</v>
      </c>
      <c r="T1020">
        <v>33.799999999999997</v>
      </c>
      <c r="U1020">
        <v>24.08</v>
      </c>
      <c r="V1020" t="str">
        <f>VLOOKUP(L1020,'[2]tabela de preços'!$A:$D,4,0)</f>
        <v>VONIXX</v>
      </c>
      <c r="W1020" t="str">
        <f>VLOOKUP(L1020,'[2]tabela de preços'!$A:$F,6,0)</f>
        <v>LINHA DE HIGENIZAÇÃO E ESTÉTICA  AUTOMOTIVA</v>
      </c>
      <c r="X1020" t="str">
        <f>VLOOKUP(L1020,'[2]tabela de preços'!$A:$G,7,0)</f>
        <v>AUTOMOTIVO</v>
      </c>
    </row>
    <row r="1021" spans="1:24" x14ac:dyDescent="0.3">
      <c r="A1021" t="s">
        <v>1064</v>
      </c>
      <c r="C1021" t="s">
        <v>1065</v>
      </c>
      <c r="D1021" s="1">
        <v>46035</v>
      </c>
      <c r="E1021" t="s">
        <v>1066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66</v>
      </c>
      <c r="K1021" t="s">
        <v>1067</v>
      </c>
      <c r="L1021">
        <v>24267</v>
      </c>
      <c r="M1021" t="s">
        <v>442</v>
      </c>
      <c r="O1021" t="s">
        <v>11</v>
      </c>
      <c r="P1021">
        <v>5102</v>
      </c>
      <c r="Q1021">
        <v>4</v>
      </c>
      <c r="R1021">
        <v>30.54</v>
      </c>
      <c r="S1021">
        <v>122.16</v>
      </c>
      <c r="T1021">
        <v>92.72</v>
      </c>
      <c r="U1021">
        <v>24.1</v>
      </c>
      <c r="V1021" t="str">
        <f>VLOOKUP(L1021,'[2]tabela de preços'!$A:$D,4,0)</f>
        <v>VONIXX</v>
      </c>
      <c r="W1021" t="str">
        <f>VLOOKUP(L1021,'[2]tabela de preços'!$A:$F,6,0)</f>
        <v>LINHA DE HIGENIZAÇÃO E ESTÉTICA  AUTOMOTIVA</v>
      </c>
      <c r="X1021" t="str">
        <f>VLOOKUP(L1021,'[2]tabela de preços'!$A:$G,7,0)</f>
        <v>AUTOMOTIVO</v>
      </c>
    </row>
    <row r="1022" spans="1:24" x14ac:dyDescent="0.3">
      <c r="A1022" t="s">
        <v>1064</v>
      </c>
      <c r="C1022" t="s">
        <v>1065</v>
      </c>
      <c r="D1022" s="1">
        <v>46035</v>
      </c>
      <c r="E1022" t="s">
        <v>1066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66</v>
      </c>
      <c r="K1022" t="s">
        <v>1067</v>
      </c>
      <c r="L1022">
        <v>23447</v>
      </c>
      <c r="M1022" t="s">
        <v>1077</v>
      </c>
      <c r="O1022" t="s">
        <v>11</v>
      </c>
      <c r="P1022">
        <v>5102</v>
      </c>
      <c r="Q1022">
        <v>1</v>
      </c>
      <c r="R1022">
        <v>40.49</v>
      </c>
      <c r="S1022">
        <v>40.49</v>
      </c>
      <c r="T1022">
        <v>30.73</v>
      </c>
      <c r="U1022">
        <v>24.1</v>
      </c>
      <c r="V1022" t="str">
        <f>VLOOKUP(L1022,'[2]tabela de preços'!$A:$D,4,0)</f>
        <v>VONIXX</v>
      </c>
      <c r="W1022" t="str">
        <f>VLOOKUP(L1022,'[2]tabela de preços'!$A:$F,6,0)</f>
        <v>LINHA DE HIGENIZAÇÃO E ESTÉTICA  AUTOMOTIVA</v>
      </c>
      <c r="X1022" t="str">
        <f>VLOOKUP(L1022,'[2]tabela de preços'!$A:$G,7,0)</f>
        <v>AUTOMOTIVO</v>
      </c>
    </row>
    <row r="1023" spans="1:24" x14ac:dyDescent="0.3">
      <c r="A1023" t="s">
        <v>1064</v>
      </c>
      <c r="C1023" t="s">
        <v>1065</v>
      </c>
      <c r="D1023" s="1">
        <v>46035</v>
      </c>
      <c r="E1023" t="s">
        <v>1066</v>
      </c>
      <c r="F1023">
        <v>9</v>
      </c>
      <c r="G1023">
        <v>231</v>
      </c>
      <c r="H1023" t="str">
        <f>VLOOKUP(G1023,[1]OPERADORES!$A:$B,2,0)</f>
        <v>EDIJANE</v>
      </c>
      <c r="I1023" t="s">
        <v>21</v>
      </c>
      <c r="J1023" t="s">
        <v>66</v>
      </c>
      <c r="K1023" t="s">
        <v>1067</v>
      </c>
      <c r="L1023">
        <v>86962</v>
      </c>
      <c r="M1023" t="s">
        <v>1078</v>
      </c>
      <c r="O1023" t="s">
        <v>11</v>
      </c>
      <c r="P1023">
        <v>5102</v>
      </c>
      <c r="Q1023">
        <v>2</v>
      </c>
      <c r="R1023">
        <v>39.659999999999997</v>
      </c>
      <c r="S1023">
        <v>79.319999999999993</v>
      </c>
      <c r="T1023">
        <v>60.2</v>
      </c>
      <c r="U1023">
        <v>24.1</v>
      </c>
      <c r="V1023" t="str">
        <f>VLOOKUP(L1023,'[2]tabela de preços'!$A:$D,4,0)</f>
        <v>VONIXX</v>
      </c>
      <c r="W1023" t="str">
        <f>VLOOKUP(L1023,'[2]tabela de preços'!$A:$F,6,0)</f>
        <v>LINHA DE HIGENIZAÇÃO E ESTÉTICA  AUTOMOTIVA</v>
      </c>
      <c r="X1023" t="str">
        <f>VLOOKUP(L1023,'[2]tabela de preços'!$A:$G,7,0)</f>
        <v>AUTOMOTIVO</v>
      </c>
    </row>
    <row r="1024" spans="1:24" x14ac:dyDescent="0.3">
      <c r="A1024" t="s">
        <v>1064</v>
      </c>
      <c r="C1024" t="s">
        <v>1065</v>
      </c>
      <c r="D1024" s="1">
        <v>46035</v>
      </c>
      <c r="E1024" t="s">
        <v>1066</v>
      </c>
      <c r="F1024">
        <v>9</v>
      </c>
      <c r="G1024">
        <v>231</v>
      </c>
      <c r="H1024" t="str">
        <f>VLOOKUP(G1024,[1]OPERADORES!$A:$B,2,0)</f>
        <v>EDIJANE</v>
      </c>
      <c r="I1024" t="s">
        <v>21</v>
      </c>
      <c r="J1024" t="s">
        <v>66</v>
      </c>
      <c r="K1024" t="s">
        <v>1067</v>
      </c>
      <c r="L1024">
        <v>85211</v>
      </c>
      <c r="M1024" t="s">
        <v>1079</v>
      </c>
      <c r="O1024" t="s">
        <v>11</v>
      </c>
      <c r="P1024">
        <v>5102</v>
      </c>
      <c r="Q1024">
        <v>2</v>
      </c>
      <c r="R1024">
        <v>23.09</v>
      </c>
      <c r="S1024">
        <v>46.18</v>
      </c>
      <c r="T1024">
        <v>35.06</v>
      </c>
      <c r="U1024">
        <v>24.08</v>
      </c>
      <c r="V1024" t="str">
        <f>VLOOKUP(L1024,'[2]tabela de preços'!$A:$D,4,0)</f>
        <v>VONIXX</v>
      </c>
      <c r="W1024" t="str">
        <f>VLOOKUP(L1024,'[2]tabela de preços'!$A:$F,6,0)</f>
        <v>LINHA DE HIGENIZAÇÃO E ESTÉTICA  AUTOMOTIVA</v>
      </c>
      <c r="X1024" t="str">
        <f>VLOOKUP(L1024,'[2]tabela de preços'!$A:$G,7,0)</f>
        <v>AUTOMOTIVO</v>
      </c>
    </row>
    <row r="1025" spans="1:24" x14ac:dyDescent="0.3">
      <c r="A1025" t="s">
        <v>1080</v>
      </c>
      <c r="C1025" t="s">
        <v>1081</v>
      </c>
      <c r="D1025" s="1">
        <v>46027</v>
      </c>
      <c r="E1025" t="s">
        <v>1082</v>
      </c>
      <c r="F1025">
        <v>9</v>
      </c>
      <c r="G1025">
        <v>230</v>
      </c>
      <c r="H1025" t="str">
        <f>VLOOKUP(G1025,[1]OPERADORES!$A:$B,2,0)</f>
        <v>SÔNIA</v>
      </c>
      <c r="I1025" t="s">
        <v>715</v>
      </c>
      <c r="J1025" t="s">
        <v>1083</v>
      </c>
      <c r="K1025" t="s">
        <v>1084</v>
      </c>
      <c r="L1025">
        <v>20461</v>
      </c>
      <c r="M1025" t="s">
        <v>1085</v>
      </c>
      <c r="O1025" t="s">
        <v>11</v>
      </c>
      <c r="P1025">
        <v>6102</v>
      </c>
      <c r="Q1025">
        <v>9</v>
      </c>
      <c r="R1025">
        <v>56.32</v>
      </c>
      <c r="S1025">
        <v>506.88</v>
      </c>
      <c r="T1025">
        <v>384.75</v>
      </c>
      <c r="U1025">
        <v>24.09</v>
      </c>
      <c r="V1025" t="str">
        <f>VLOOKUP(L1025,'[2]tabela de preços'!$A:$D,4,0)</f>
        <v>SHERWIN WILLIAMS</v>
      </c>
      <c r="W1025" t="str">
        <f>VLOOKUP(L1025,'[2]tabela de preços'!$A:$F,6,0)</f>
        <v>VERNIZ AUTOMOTIVO</v>
      </c>
      <c r="X1025" t="str">
        <f>VLOOKUP(L1025,'[2]tabela de preços'!$A:$G,7,0)</f>
        <v>AUTOMOTIVO</v>
      </c>
    </row>
    <row r="1026" spans="1:24" x14ac:dyDescent="0.3">
      <c r="A1026" t="s">
        <v>1080</v>
      </c>
      <c r="C1026" t="s">
        <v>1081</v>
      </c>
      <c r="D1026" s="1">
        <v>46027</v>
      </c>
      <c r="E1026" t="s">
        <v>1082</v>
      </c>
      <c r="F1026">
        <v>9</v>
      </c>
      <c r="G1026">
        <v>230</v>
      </c>
      <c r="H1026" t="str">
        <f>VLOOKUP(G1026,[1]OPERADORES!$A:$B,2,0)</f>
        <v>SÔNIA</v>
      </c>
      <c r="I1026" t="s">
        <v>715</v>
      </c>
      <c r="J1026" t="s">
        <v>1083</v>
      </c>
      <c r="K1026" t="s">
        <v>1084</v>
      </c>
      <c r="L1026">
        <v>24248</v>
      </c>
      <c r="M1026" t="s">
        <v>107</v>
      </c>
      <c r="O1026" t="s">
        <v>11</v>
      </c>
      <c r="P1026">
        <v>6102</v>
      </c>
      <c r="Q1026">
        <v>12</v>
      </c>
      <c r="R1026">
        <v>9.9</v>
      </c>
      <c r="S1026">
        <v>118.8</v>
      </c>
      <c r="T1026">
        <v>76.92</v>
      </c>
      <c r="U1026">
        <v>35.25</v>
      </c>
      <c r="V1026" t="str">
        <f>VLOOKUP(L1026,'[2]tabela de preços'!$A:$D,4,0)</f>
        <v>SHERWIN WILLIAMS</v>
      </c>
      <c r="W1026" t="str">
        <f>VLOOKUP(L1026,'[2]tabela de preços'!$A:$F,6,0)</f>
        <v>PRIMER AUTOMOTIVO</v>
      </c>
      <c r="X1026" t="str">
        <f>VLOOKUP(L1026,'[2]tabela de preços'!$A:$G,7,0)</f>
        <v>AUTOMOTIVO</v>
      </c>
    </row>
    <row r="1027" spans="1:24" x14ac:dyDescent="0.3">
      <c r="A1027" t="s">
        <v>1080</v>
      </c>
      <c r="C1027" t="s">
        <v>1081</v>
      </c>
      <c r="D1027" s="1">
        <v>46027</v>
      </c>
      <c r="E1027" t="s">
        <v>1082</v>
      </c>
      <c r="F1027">
        <v>9</v>
      </c>
      <c r="G1027">
        <v>230</v>
      </c>
      <c r="H1027" t="str">
        <f>VLOOKUP(G1027,[1]OPERADORES!$A:$B,2,0)</f>
        <v>SÔNIA</v>
      </c>
      <c r="I1027" t="s">
        <v>715</v>
      </c>
      <c r="J1027" t="s">
        <v>1083</v>
      </c>
      <c r="K1027" t="s">
        <v>1084</v>
      </c>
      <c r="L1027">
        <v>24240</v>
      </c>
      <c r="M1027" t="s">
        <v>240</v>
      </c>
      <c r="O1027" t="s">
        <v>11</v>
      </c>
      <c r="P1027">
        <v>6102</v>
      </c>
      <c r="Q1027">
        <v>100</v>
      </c>
      <c r="R1027">
        <v>3.87</v>
      </c>
      <c r="S1027">
        <v>387</v>
      </c>
      <c r="T1027">
        <v>328</v>
      </c>
      <c r="U1027">
        <v>15.25</v>
      </c>
      <c r="V1027" t="str">
        <f>VLOOKUP(L1027,'[2]tabela de preços'!$A:$D,4,0)</f>
        <v>ADERE</v>
      </c>
      <c r="W1027" t="str">
        <f>VLOOKUP(L1027,'[2]tabela de preços'!$A:$F,6,0)</f>
        <v>FITA AUTOMOTIVA</v>
      </c>
      <c r="X1027" t="str">
        <f>VLOOKUP(L1027,'[2]tabela de preços'!$A:$G,7,0)</f>
        <v>AUTOMOTIVO</v>
      </c>
    </row>
    <row r="1028" spans="1:24" x14ac:dyDescent="0.3">
      <c r="A1028" t="s">
        <v>1080</v>
      </c>
      <c r="C1028" t="s">
        <v>1081</v>
      </c>
      <c r="D1028" s="1">
        <v>46027</v>
      </c>
      <c r="E1028" t="s">
        <v>1082</v>
      </c>
      <c r="F1028">
        <v>9</v>
      </c>
      <c r="G1028">
        <v>230</v>
      </c>
      <c r="H1028" t="str">
        <f>VLOOKUP(G1028,[1]OPERADORES!$A:$B,2,0)</f>
        <v>SÔNIA</v>
      </c>
      <c r="I1028" t="s">
        <v>715</v>
      </c>
      <c r="J1028" t="s">
        <v>1083</v>
      </c>
      <c r="K1028" t="s">
        <v>1084</v>
      </c>
      <c r="L1028">
        <v>21077</v>
      </c>
      <c r="M1028" t="s">
        <v>207</v>
      </c>
      <c r="O1028" t="s">
        <v>11</v>
      </c>
      <c r="P1028">
        <v>6102</v>
      </c>
      <c r="Q1028">
        <v>12</v>
      </c>
      <c r="R1028">
        <v>44.68</v>
      </c>
      <c r="S1028">
        <v>536.16</v>
      </c>
      <c r="T1028">
        <v>407.04</v>
      </c>
      <c r="U1028">
        <v>24.08</v>
      </c>
      <c r="V1028" t="str">
        <f>VLOOKUP(L1028,'[2]tabela de preços'!$A:$D,4,0)</f>
        <v>SHERWIN WILLIAMS</v>
      </c>
      <c r="W1028" t="str">
        <f>VLOOKUP(L1028,'[2]tabela de preços'!$A:$F,6,0)</f>
        <v>MASSA POLIÉSTER</v>
      </c>
      <c r="X1028" t="str">
        <f>VLOOKUP(L1028,'[2]tabela de preços'!$A:$G,7,0)</f>
        <v>AUTOMOTIVO</v>
      </c>
    </row>
    <row r="1029" spans="1:24" x14ac:dyDescent="0.3">
      <c r="A1029" t="s">
        <v>1080</v>
      </c>
      <c r="C1029" t="s">
        <v>1081</v>
      </c>
      <c r="D1029" s="1">
        <v>46027</v>
      </c>
      <c r="E1029" t="s">
        <v>1082</v>
      </c>
      <c r="F1029">
        <v>9</v>
      </c>
      <c r="G1029">
        <v>230</v>
      </c>
      <c r="H1029" t="str">
        <f>VLOOKUP(G1029,[1]OPERADORES!$A:$B,2,0)</f>
        <v>SÔNIA</v>
      </c>
      <c r="I1029" t="s">
        <v>715</v>
      </c>
      <c r="J1029" t="s">
        <v>1083</v>
      </c>
      <c r="K1029" t="s">
        <v>1084</v>
      </c>
      <c r="L1029">
        <v>22180</v>
      </c>
      <c r="M1029" t="s">
        <v>404</v>
      </c>
      <c r="O1029" t="s">
        <v>11</v>
      </c>
      <c r="P1029">
        <v>6102</v>
      </c>
      <c r="Q1029">
        <v>6</v>
      </c>
      <c r="R1029">
        <v>19.29</v>
      </c>
      <c r="S1029">
        <v>115.74</v>
      </c>
      <c r="T1029">
        <v>87.84</v>
      </c>
      <c r="U1029">
        <v>24.11</v>
      </c>
      <c r="V1029" t="str">
        <f>VLOOKUP(L1029,'[2]tabela de preços'!$A:$D,4,0)</f>
        <v>MADRUGA</v>
      </c>
      <c r="W1029" t="str">
        <f>VLOOKUP(L1029,'[2]tabela de preços'!$A:$F,6,0)</f>
        <v>PAPEL DE MASCARAMENTO</v>
      </c>
      <c r="X1029" t="str">
        <f>VLOOKUP(L1029,'[2]tabela de preços'!$A:$G,7,0)</f>
        <v>AUTOMOTIVO</v>
      </c>
    </row>
    <row r="1030" spans="1:24" x14ac:dyDescent="0.3">
      <c r="A1030" t="s">
        <v>1080</v>
      </c>
      <c r="C1030" t="s">
        <v>1081</v>
      </c>
      <c r="D1030" s="1">
        <v>46027</v>
      </c>
      <c r="E1030" t="s">
        <v>1082</v>
      </c>
      <c r="F1030">
        <v>9</v>
      </c>
      <c r="G1030">
        <v>230</v>
      </c>
      <c r="H1030" t="str">
        <f>VLOOKUP(G1030,[1]OPERADORES!$A:$B,2,0)</f>
        <v>SÔNIA</v>
      </c>
      <c r="I1030" t="s">
        <v>715</v>
      </c>
      <c r="J1030" t="s">
        <v>1083</v>
      </c>
      <c r="K1030" t="s">
        <v>1084</v>
      </c>
      <c r="L1030">
        <v>24247</v>
      </c>
      <c r="M1030" t="s">
        <v>111</v>
      </c>
      <c r="O1030" t="s">
        <v>11</v>
      </c>
      <c r="P1030">
        <v>6403</v>
      </c>
      <c r="Q1030">
        <v>12</v>
      </c>
      <c r="R1030">
        <v>19.899999999999999</v>
      </c>
      <c r="S1030">
        <v>238.8</v>
      </c>
      <c r="T1030">
        <v>199.2</v>
      </c>
      <c r="U1030">
        <v>16.579999999999998</v>
      </c>
      <c r="V1030" t="str">
        <f>VLOOKUP(L1030,'[2]tabela de preços'!$A:$D,4,0)</f>
        <v>SHERWIN WILLIAMS</v>
      </c>
      <c r="W1030" t="str">
        <f>VLOOKUP(L1030,'[2]tabela de preços'!$A:$F,6,0)</f>
        <v>PRIMER AUTOMOTIVO</v>
      </c>
      <c r="X1030" t="str">
        <f>VLOOKUP(L1030,'[2]tabela de preços'!$A:$G,7,0)</f>
        <v>AUTOMOTIVO</v>
      </c>
    </row>
    <row r="1031" spans="1:24" x14ac:dyDescent="0.3">
      <c r="A1031" t="s">
        <v>1080</v>
      </c>
      <c r="C1031" t="s">
        <v>1081</v>
      </c>
      <c r="D1031" s="1">
        <v>46027</v>
      </c>
      <c r="E1031" t="s">
        <v>1082</v>
      </c>
      <c r="F1031">
        <v>9</v>
      </c>
      <c r="G1031">
        <v>230</v>
      </c>
      <c r="H1031" t="str">
        <f>VLOOKUP(G1031,[1]OPERADORES!$A:$B,2,0)</f>
        <v>SÔNIA</v>
      </c>
      <c r="I1031" t="s">
        <v>715</v>
      </c>
      <c r="J1031" t="s">
        <v>1083</v>
      </c>
      <c r="K1031" t="s">
        <v>1084</v>
      </c>
      <c r="L1031">
        <v>10298</v>
      </c>
      <c r="M1031" t="s">
        <v>85</v>
      </c>
      <c r="O1031" t="s">
        <v>11</v>
      </c>
      <c r="P1031">
        <v>6102</v>
      </c>
      <c r="Q1031">
        <v>4</v>
      </c>
      <c r="R1031">
        <v>56.8</v>
      </c>
      <c r="S1031">
        <v>227.2</v>
      </c>
      <c r="T1031">
        <v>189.52</v>
      </c>
      <c r="U1031">
        <v>16.579999999999998</v>
      </c>
      <c r="V1031" t="str">
        <f>VLOOKUP(L1031,'[2]tabela de preços'!$A:$D,4,0)</f>
        <v>ANJO</v>
      </c>
      <c r="W1031" t="str">
        <f>VLOOKUP(L1031,'[2]tabela de preços'!$A:$F,6,0)</f>
        <v>THINNER DE LIMPEZA</v>
      </c>
      <c r="X1031" t="str">
        <f>VLOOKUP(L1031,'[2]tabela de preços'!$A:$G,7,0)</f>
        <v>THINNER</v>
      </c>
    </row>
    <row r="1032" spans="1:24" x14ac:dyDescent="0.3">
      <c r="A1032" t="s">
        <v>1080</v>
      </c>
      <c r="C1032" t="s">
        <v>1081</v>
      </c>
      <c r="D1032" s="1">
        <v>46027</v>
      </c>
      <c r="E1032" t="s">
        <v>1082</v>
      </c>
      <c r="F1032">
        <v>9</v>
      </c>
      <c r="G1032">
        <v>230</v>
      </c>
      <c r="H1032" t="str">
        <f>VLOOKUP(G1032,[1]OPERADORES!$A:$B,2,0)</f>
        <v>SÔNIA</v>
      </c>
      <c r="I1032" t="s">
        <v>715</v>
      </c>
      <c r="J1032" t="s">
        <v>1083</v>
      </c>
      <c r="K1032" t="s">
        <v>1084</v>
      </c>
      <c r="L1032">
        <v>20414</v>
      </c>
      <c r="M1032" t="s">
        <v>112</v>
      </c>
      <c r="O1032" t="s">
        <v>11</v>
      </c>
      <c r="P1032">
        <v>6102</v>
      </c>
      <c r="Q1032">
        <v>15</v>
      </c>
      <c r="R1032">
        <v>21.89</v>
      </c>
      <c r="S1032">
        <v>328.35</v>
      </c>
      <c r="T1032">
        <v>270</v>
      </c>
      <c r="U1032">
        <v>17.77</v>
      </c>
      <c r="V1032" t="str">
        <f>VLOOKUP(L1032,'[2]tabela de preços'!$A:$D,4,0)</f>
        <v>SHERWIN WILLIAMS</v>
      </c>
      <c r="W1032" t="str">
        <f>VLOOKUP(L1032,'[2]tabela de preços'!$A:$F,6,0)</f>
        <v>DILUENTE</v>
      </c>
      <c r="X1032" t="str">
        <f>VLOOKUP(L1032,'[2]tabela de preços'!$A:$G,7,0)</f>
        <v>AUTOMOTIVO</v>
      </c>
    </row>
    <row r="1033" spans="1:24" x14ac:dyDescent="0.3">
      <c r="A1033" t="s">
        <v>1080</v>
      </c>
      <c r="C1033" t="s">
        <v>1081</v>
      </c>
      <c r="D1033" s="1">
        <v>46027</v>
      </c>
      <c r="E1033" t="s">
        <v>1082</v>
      </c>
      <c r="F1033">
        <v>9</v>
      </c>
      <c r="G1033">
        <v>230</v>
      </c>
      <c r="H1033" t="str">
        <f>VLOOKUP(G1033,[1]OPERADORES!$A:$B,2,0)</f>
        <v>SÔNIA</v>
      </c>
      <c r="I1033" t="s">
        <v>715</v>
      </c>
      <c r="J1033" t="s">
        <v>1083</v>
      </c>
      <c r="K1033" t="s">
        <v>1084</v>
      </c>
      <c r="L1033">
        <v>20454</v>
      </c>
      <c r="M1033" t="s">
        <v>1086</v>
      </c>
      <c r="O1033" t="s">
        <v>11</v>
      </c>
      <c r="P1033">
        <v>6403</v>
      </c>
      <c r="Q1033">
        <v>3</v>
      </c>
      <c r="R1033">
        <v>181.24</v>
      </c>
      <c r="S1033">
        <v>543.72</v>
      </c>
      <c r="T1033">
        <v>412.68</v>
      </c>
      <c r="U1033">
        <v>24.1</v>
      </c>
      <c r="V1033" t="str">
        <f>VLOOKUP(L1033,'[2]tabela de preços'!$A:$D,4,0)</f>
        <v>SHERWIN WILLIAMS</v>
      </c>
      <c r="W1033" t="str">
        <f>VLOOKUP(L1033,'[2]tabela de preços'!$A:$F,6,0)</f>
        <v>VERNIZ AUTOMOTIVO</v>
      </c>
      <c r="X1033" t="str">
        <f>VLOOKUP(L1033,'[2]tabela de preços'!$A:$G,7,0)</f>
        <v>AUTOMOTIVO</v>
      </c>
    </row>
    <row r="1034" spans="1:24" x14ac:dyDescent="0.3">
      <c r="A1034" t="s">
        <v>1080</v>
      </c>
      <c r="C1034" t="s">
        <v>1087</v>
      </c>
      <c r="D1034" s="1">
        <v>46048</v>
      </c>
      <c r="E1034" t="s">
        <v>1088</v>
      </c>
      <c r="F1034">
        <v>9</v>
      </c>
      <c r="G1034">
        <v>230</v>
      </c>
      <c r="H1034" t="str">
        <f>VLOOKUP(G1034,[1]OPERADORES!$A:$B,2,0)</f>
        <v>SÔNIA</v>
      </c>
      <c r="I1034" t="s">
        <v>715</v>
      </c>
      <c r="J1034" t="s">
        <v>1083</v>
      </c>
      <c r="K1034" t="s">
        <v>1084</v>
      </c>
      <c r="L1034">
        <v>24248</v>
      </c>
      <c r="M1034" t="s">
        <v>107</v>
      </c>
      <c r="O1034" t="s">
        <v>11</v>
      </c>
      <c r="P1034">
        <v>6102</v>
      </c>
      <c r="Q1034">
        <v>12</v>
      </c>
      <c r="R1034">
        <v>8</v>
      </c>
      <c r="S1034">
        <v>96</v>
      </c>
      <c r="T1034">
        <v>78</v>
      </c>
      <c r="U1034">
        <v>18.75</v>
      </c>
      <c r="V1034" t="str">
        <f>VLOOKUP(L1034,'[2]tabela de preços'!$A:$D,4,0)</f>
        <v>SHERWIN WILLIAMS</v>
      </c>
      <c r="W1034" t="str">
        <f>VLOOKUP(L1034,'[2]tabela de preços'!$A:$F,6,0)</f>
        <v>PRIMER AUTOMOTIVO</v>
      </c>
      <c r="X1034" t="str">
        <f>VLOOKUP(L1034,'[2]tabela de preços'!$A:$G,7,0)</f>
        <v>AUTOMOTIVO</v>
      </c>
    </row>
    <row r="1035" spans="1:24" x14ac:dyDescent="0.3">
      <c r="A1035" t="s">
        <v>1080</v>
      </c>
      <c r="C1035" t="s">
        <v>1087</v>
      </c>
      <c r="D1035" s="1">
        <v>46048</v>
      </c>
      <c r="E1035" t="s">
        <v>1088</v>
      </c>
      <c r="F1035">
        <v>9</v>
      </c>
      <c r="G1035">
        <v>230</v>
      </c>
      <c r="H1035" t="str">
        <f>VLOOKUP(G1035,[1]OPERADORES!$A:$B,2,0)</f>
        <v>SÔNIA</v>
      </c>
      <c r="I1035" t="s">
        <v>715</v>
      </c>
      <c r="J1035" t="s">
        <v>1083</v>
      </c>
      <c r="K1035" t="s">
        <v>1084</v>
      </c>
      <c r="L1035">
        <v>24240</v>
      </c>
      <c r="M1035" t="s">
        <v>240</v>
      </c>
      <c r="O1035" t="s">
        <v>11</v>
      </c>
      <c r="P1035">
        <v>6102</v>
      </c>
      <c r="Q1035">
        <v>60</v>
      </c>
      <c r="R1035">
        <v>3.81</v>
      </c>
      <c r="S1035">
        <v>228.6</v>
      </c>
      <c r="T1035">
        <v>196.8</v>
      </c>
      <c r="U1035">
        <v>13.91</v>
      </c>
      <c r="V1035" t="str">
        <f>VLOOKUP(L1035,'[2]tabela de preços'!$A:$D,4,0)</f>
        <v>ADERE</v>
      </c>
      <c r="W1035" t="str">
        <f>VLOOKUP(L1035,'[2]tabela de preços'!$A:$F,6,0)</f>
        <v>FITA AUTOMOTIVA</v>
      </c>
      <c r="X1035" t="str">
        <f>VLOOKUP(L1035,'[2]tabela de preços'!$A:$G,7,0)</f>
        <v>AUTOMOTIVO</v>
      </c>
    </row>
    <row r="1036" spans="1:24" x14ac:dyDescent="0.3">
      <c r="A1036" t="s">
        <v>1080</v>
      </c>
      <c r="C1036" t="s">
        <v>1087</v>
      </c>
      <c r="D1036" s="1">
        <v>46048</v>
      </c>
      <c r="E1036" t="s">
        <v>1088</v>
      </c>
      <c r="F1036">
        <v>9</v>
      </c>
      <c r="G1036">
        <v>230</v>
      </c>
      <c r="H1036" t="str">
        <f>VLOOKUP(G1036,[1]OPERADORES!$A:$B,2,0)</f>
        <v>SÔNIA</v>
      </c>
      <c r="I1036" t="s">
        <v>715</v>
      </c>
      <c r="J1036" t="s">
        <v>1083</v>
      </c>
      <c r="K1036" t="s">
        <v>1084</v>
      </c>
      <c r="L1036">
        <v>57</v>
      </c>
      <c r="M1036" t="s">
        <v>1089</v>
      </c>
      <c r="O1036" t="s">
        <v>11</v>
      </c>
      <c r="P1036">
        <v>6102</v>
      </c>
      <c r="Q1036">
        <v>100</v>
      </c>
      <c r="R1036">
        <v>0.96</v>
      </c>
      <c r="S1036">
        <v>96</v>
      </c>
      <c r="T1036">
        <v>73</v>
      </c>
      <c r="U1036">
        <v>23.96</v>
      </c>
      <c r="V1036" t="str">
        <f>VLOOKUP(L1036,'[2]tabela de preços'!$A:$D,4,0)</f>
        <v>3M</v>
      </c>
      <c r="W1036" t="str">
        <f>VLOOKUP(L1036,'[2]tabela de preços'!$A:$F,6,0)</f>
        <v>LIXA DÁGUA</v>
      </c>
      <c r="X1036" t="str">
        <f>VLOOKUP(L1036,'[2]tabela de preços'!$A:$G,7,0)</f>
        <v>AUTOMOTIVO</v>
      </c>
    </row>
    <row r="1037" spans="1:24" x14ac:dyDescent="0.3">
      <c r="A1037" t="s">
        <v>1080</v>
      </c>
      <c r="C1037" t="s">
        <v>1087</v>
      </c>
      <c r="D1037" s="1">
        <v>46048</v>
      </c>
      <c r="E1037" t="s">
        <v>1088</v>
      </c>
      <c r="F1037">
        <v>9</v>
      </c>
      <c r="G1037">
        <v>230</v>
      </c>
      <c r="H1037" t="str">
        <f>VLOOKUP(G1037,[1]OPERADORES!$A:$B,2,0)</f>
        <v>SÔNIA</v>
      </c>
      <c r="I1037" t="s">
        <v>715</v>
      </c>
      <c r="J1037" t="s">
        <v>1083</v>
      </c>
      <c r="K1037" t="s">
        <v>1084</v>
      </c>
      <c r="L1037">
        <v>58</v>
      </c>
      <c r="M1037" t="s">
        <v>389</v>
      </c>
      <c r="O1037" t="s">
        <v>11</v>
      </c>
      <c r="P1037">
        <v>6102</v>
      </c>
      <c r="Q1037">
        <v>100</v>
      </c>
      <c r="R1037">
        <v>1.01</v>
      </c>
      <c r="S1037">
        <v>101</v>
      </c>
      <c r="T1037">
        <v>77</v>
      </c>
      <c r="U1037">
        <v>23.76</v>
      </c>
      <c r="V1037" t="str">
        <f>VLOOKUP(L1037,'[2]tabela de preços'!$A:$D,4,0)</f>
        <v>3M</v>
      </c>
      <c r="W1037" t="str">
        <f>VLOOKUP(L1037,'[2]tabela de preços'!$A:$F,6,0)</f>
        <v>LIXA DÁGUA</v>
      </c>
      <c r="X1037" t="str">
        <f>VLOOKUP(L1037,'[2]tabela de preços'!$A:$G,7,0)</f>
        <v>AUTOMOTIVO</v>
      </c>
    </row>
    <row r="1038" spans="1:24" x14ac:dyDescent="0.3">
      <c r="A1038" t="s">
        <v>1080</v>
      </c>
      <c r="C1038" t="s">
        <v>1087</v>
      </c>
      <c r="D1038" s="1">
        <v>46048</v>
      </c>
      <c r="E1038" t="s">
        <v>1088</v>
      </c>
      <c r="F1038">
        <v>9</v>
      </c>
      <c r="G1038">
        <v>230</v>
      </c>
      <c r="H1038" t="str">
        <f>VLOOKUP(G1038,[1]OPERADORES!$A:$B,2,0)</f>
        <v>SÔNIA</v>
      </c>
      <c r="I1038" t="s">
        <v>715</v>
      </c>
      <c r="J1038" t="s">
        <v>1083</v>
      </c>
      <c r="K1038" t="s">
        <v>1084</v>
      </c>
      <c r="L1038">
        <v>21077</v>
      </c>
      <c r="M1038" t="s">
        <v>207</v>
      </c>
      <c r="O1038" t="s">
        <v>11</v>
      </c>
      <c r="P1038">
        <v>6102</v>
      </c>
      <c r="Q1038">
        <v>12</v>
      </c>
      <c r="R1038">
        <v>44.68</v>
      </c>
      <c r="S1038">
        <v>536.16</v>
      </c>
      <c r="T1038">
        <v>407.04</v>
      </c>
      <c r="U1038">
        <v>24.08</v>
      </c>
      <c r="V1038" t="str">
        <f>VLOOKUP(L1038,'[2]tabela de preços'!$A:$D,4,0)</f>
        <v>SHERWIN WILLIAMS</v>
      </c>
      <c r="W1038" t="str">
        <f>VLOOKUP(L1038,'[2]tabela de preços'!$A:$F,6,0)</f>
        <v>MASSA POLIÉSTER</v>
      </c>
      <c r="X1038" t="str">
        <f>VLOOKUP(L1038,'[2]tabela de preços'!$A:$G,7,0)</f>
        <v>AUTOMOTIVO</v>
      </c>
    </row>
    <row r="1039" spans="1:24" x14ac:dyDescent="0.3">
      <c r="A1039" t="s">
        <v>1080</v>
      </c>
      <c r="C1039" t="s">
        <v>1087</v>
      </c>
      <c r="D1039" s="1">
        <v>46048</v>
      </c>
      <c r="E1039" t="s">
        <v>1088</v>
      </c>
      <c r="F1039">
        <v>9</v>
      </c>
      <c r="G1039">
        <v>230</v>
      </c>
      <c r="H1039" t="str">
        <f>VLOOKUP(G1039,[1]OPERADORES!$A:$B,2,0)</f>
        <v>SÔNIA</v>
      </c>
      <c r="I1039" t="s">
        <v>715</v>
      </c>
      <c r="J1039" t="s">
        <v>1083</v>
      </c>
      <c r="K1039" t="s">
        <v>1084</v>
      </c>
      <c r="L1039">
        <v>22180</v>
      </c>
      <c r="M1039" t="s">
        <v>404</v>
      </c>
      <c r="O1039" t="s">
        <v>11</v>
      </c>
      <c r="P1039">
        <v>6102</v>
      </c>
      <c r="Q1039">
        <v>10</v>
      </c>
      <c r="R1039">
        <v>19.29</v>
      </c>
      <c r="S1039">
        <v>192.9</v>
      </c>
      <c r="T1039">
        <v>146.4</v>
      </c>
      <c r="U1039">
        <v>24.11</v>
      </c>
      <c r="V1039" t="str">
        <f>VLOOKUP(L1039,'[2]tabela de preços'!$A:$D,4,0)</f>
        <v>MADRUGA</v>
      </c>
      <c r="W1039" t="str">
        <f>VLOOKUP(L1039,'[2]tabela de preços'!$A:$F,6,0)</f>
        <v>PAPEL DE MASCARAMENTO</v>
      </c>
      <c r="X1039" t="str">
        <f>VLOOKUP(L1039,'[2]tabela de preços'!$A:$G,7,0)</f>
        <v>AUTOMOTIVO</v>
      </c>
    </row>
    <row r="1040" spans="1:24" x14ac:dyDescent="0.3">
      <c r="A1040" t="s">
        <v>1080</v>
      </c>
      <c r="C1040" t="s">
        <v>1087</v>
      </c>
      <c r="D1040" s="1">
        <v>46048</v>
      </c>
      <c r="E1040" t="s">
        <v>1088</v>
      </c>
      <c r="F1040">
        <v>9</v>
      </c>
      <c r="G1040">
        <v>230</v>
      </c>
      <c r="H1040" t="str">
        <f>VLOOKUP(G1040,[1]OPERADORES!$A:$B,2,0)</f>
        <v>SÔNIA</v>
      </c>
      <c r="I1040" t="s">
        <v>715</v>
      </c>
      <c r="J1040" t="s">
        <v>1083</v>
      </c>
      <c r="K1040" t="s">
        <v>1084</v>
      </c>
      <c r="L1040">
        <v>24247</v>
      </c>
      <c r="M1040" t="s">
        <v>160</v>
      </c>
      <c r="O1040" t="s">
        <v>11</v>
      </c>
      <c r="P1040">
        <v>6403</v>
      </c>
      <c r="Q1040">
        <v>12</v>
      </c>
      <c r="R1040">
        <v>21</v>
      </c>
      <c r="S1040">
        <v>252</v>
      </c>
      <c r="T1040">
        <v>202.44</v>
      </c>
      <c r="U1040">
        <v>19.670000000000002</v>
      </c>
      <c r="V1040" t="str">
        <f>VLOOKUP(L1040,'[2]tabela de preços'!$A:$D,4,0)</f>
        <v>SHERWIN WILLIAMS</v>
      </c>
      <c r="W1040" t="str">
        <f>VLOOKUP(L1040,'[2]tabela de preços'!$A:$F,6,0)</f>
        <v>PRIMER AUTOMOTIVO</v>
      </c>
      <c r="X1040" t="str">
        <f>VLOOKUP(L1040,'[2]tabela de preços'!$A:$G,7,0)</f>
        <v>AUTOMOTIVO</v>
      </c>
    </row>
    <row r="1041" spans="1:24" x14ac:dyDescent="0.3">
      <c r="A1041" t="s">
        <v>1080</v>
      </c>
      <c r="C1041" t="s">
        <v>1087</v>
      </c>
      <c r="D1041" s="1">
        <v>46048</v>
      </c>
      <c r="E1041" t="s">
        <v>1088</v>
      </c>
      <c r="F1041">
        <v>9</v>
      </c>
      <c r="G1041">
        <v>230</v>
      </c>
      <c r="H1041" t="str">
        <f>VLOOKUP(G1041,[1]OPERADORES!$A:$B,2,0)</f>
        <v>SÔNIA</v>
      </c>
      <c r="I1041" t="s">
        <v>715</v>
      </c>
      <c r="J1041" t="s">
        <v>1083</v>
      </c>
      <c r="K1041" t="s">
        <v>1084</v>
      </c>
      <c r="L1041">
        <v>10298</v>
      </c>
      <c r="M1041" t="s">
        <v>85</v>
      </c>
      <c r="O1041" t="s">
        <v>11</v>
      </c>
      <c r="P1041">
        <v>6102</v>
      </c>
      <c r="Q1041">
        <v>5</v>
      </c>
      <c r="R1041">
        <v>56.89</v>
      </c>
      <c r="S1041">
        <v>284.45</v>
      </c>
      <c r="T1041">
        <v>236.9</v>
      </c>
      <c r="U1041">
        <v>16.72</v>
      </c>
      <c r="V1041" t="str">
        <f>VLOOKUP(L1041,'[2]tabela de preços'!$A:$D,4,0)</f>
        <v>ANJO</v>
      </c>
      <c r="W1041" t="str">
        <f>VLOOKUP(L1041,'[2]tabela de preços'!$A:$F,6,0)</f>
        <v>THINNER DE LIMPEZA</v>
      </c>
      <c r="X1041" t="str">
        <f>VLOOKUP(L1041,'[2]tabela de preços'!$A:$G,7,0)</f>
        <v>THINNER</v>
      </c>
    </row>
    <row r="1042" spans="1:24" x14ac:dyDescent="0.3">
      <c r="A1042" t="s">
        <v>1080</v>
      </c>
      <c r="C1042" t="s">
        <v>1087</v>
      </c>
      <c r="D1042" s="1">
        <v>46048</v>
      </c>
      <c r="E1042" t="s">
        <v>1088</v>
      </c>
      <c r="F1042">
        <v>9</v>
      </c>
      <c r="G1042">
        <v>230</v>
      </c>
      <c r="H1042" t="str">
        <f>VLOOKUP(G1042,[1]OPERADORES!$A:$B,2,0)</f>
        <v>SÔNIA</v>
      </c>
      <c r="I1042" t="s">
        <v>715</v>
      </c>
      <c r="J1042" t="s">
        <v>1083</v>
      </c>
      <c r="K1042" t="s">
        <v>1084</v>
      </c>
      <c r="L1042">
        <v>20414</v>
      </c>
      <c r="M1042" t="s">
        <v>112</v>
      </c>
      <c r="O1042" t="s">
        <v>11</v>
      </c>
      <c r="P1042">
        <v>6102</v>
      </c>
      <c r="Q1042">
        <v>10</v>
      </c>
      <c r="R1042">
        <v>21.89</v>
      </c>
      <c r="S1042">
        <v>218.9</v>
      </c>
      <c r="T1042">
        <v>180</v>
      </c>
      <c r="U1042">
        <v>17.77</v>
      </c>
      <c r="V1042" t="str">
        <f>VLOOKUP(L1042,'[2]tabela de preços'!$A:$D,4,0)</f>
        <v>SHERWIN WILLIAMS</v>
      </c>
      <c r="W1042" t="str">
        <f>VLOOKUP(L1042,'[2]tabela de preços'!$A:$F,6,0)</f>
        <v>DILUENTE</v>
      </c>
      <c r="X1042" t="str">
        <f>VLOOKUP(L1042,'[2]tabela de preços'!$A:$G,7,0)</f>
        <v>AUTOMOTIVO</v>
      </c>
    </row>
    <row r="1043" spans="1:24" x14ac:dyDescent="0.3">
      <c r="A1043" t="s">
        <v>1090</v>
      </c>
      <c r="C1043" t="s">
        <v>1091</v>
      </c>
      <c r="D1043" s="1">
        <v>46031</v>
      </c>
      <c r="E1043" t="s">
        <v>1092</v>
      </c>
      <c r="F1043">
        <v>9</v>
      </c>
      <c r="G1043">
        <v>236</v>
      </c>
      <c r="H1043" t="str">
        <f>VLOOKUP(G1043,[1]OPERADORES!$A:$B,2,0)</f>
        <v>DANIEL</v>
      </c>
      <c r="I1043" t="s">
        <v>21</v>
      </c>
      <c r="J1043" t="s">
        <v>450</v>
      </c>
      <c r="K1043" t="s">
        <v>1093</v>
      </c>
      <c r="L1043">
        <v>84030</v>
      </c>
      <c r="M1043" t="s">
        <v>900</v>
      </c>
      <c r="O1043" t="s">
        <v>11</v>
      </c>
      <c r="P1043">
        <v>5102</v>
      </c>
      <c r="Q1043">
        <v>1</v>
      </c>
      <c r="R1043">
        <v>57.12</v>
      </c>
      <c r="S1043">
        <v>57.12</v>
      </c>
      <c r="T1043">
        <v>42.36</v>
      </c>
      <c r="U1043">
        <v>25.84</v>
      </c>
      <c r="V1043" t="str">
        <f>VLOOKUP(L1043,'[2]tabela de preços'!$A:$D,4,0)</f>
        <v>BRASILUX</v>
      </c>
      <c r="W1043" t="str">
        <f>VLOOKUP(L1043,'[2]tabela de preços'!$A:$F,6,0)</f>
        <v>AGUARRAS</v>
      </c>
      <c r="X1043" t="str">
        <f>VLOOKUP(L1043,'[2]tabela de preços'!$A:$G,7,0)</f>
        <v>IMOBILIÁRIO</v>
      </c>
    </row>
    <row r="1044" spans="1:24" x14ac:dyDescent="0.3">
      <c r="A1044" t="s">
        <v>1090</v>
      </c>
      <c r="C1044" t="s">
        <v>1091</v>
      </c>
      <c r="D1044" s="1">
        <v>46031</v>
      </c>
      <c r="E1044" t="s">
        <v>1092</v>
      </c>
      <c r="F1044">
        <v>9</v>
      </c>
      <c r="G1044">
        <v>236</v>
      </c>
      <c r="H1044" t="str">
        <f>VLOOKUP(G1044,[1]OPERADORES!$A:$B,2,0)</f>
        <v>DANIEL</v>
      </c>
      <c r="I1044" t="s">
        <v>21</v>
      </c>
      <c r="J1044" t="s">
        <v>450</v>
      </c>
      <c r="K1044" t="s">
        <v>1093</v>
      </c>
      <c r="L1044">
        <v>85020</v>
      </c>
      <c r="M1044" t="s">
        <v>1094</v>
      </c>
      <c r="O1044" t="s">
        <v>11</v>
      </c>
      <c r="P1044">
        <v>5102</v>
      </c>
      <c r="Q1044">
        <v>20</v>
      </c>
      <c r="R1044">
        <v>1.26</v>
      </c>
      <c r="S1044">
        <v>25.2</v>
      </c>
      <c r="T1044">
        <v>16.2</v>
      </c>
      <c r="U1044">
        <v>35.71</v>
      </c>
      <c r="V1044" t="str">
        <f>VLOOKUP(L1044,'[2]tabela de preços'!$A:$D,4,0)</f>
        <v>.</v>
      </c>
      <c r="W1044" t="str">
        <f>VLOOKUP(L1044,'[2]tabela de preços'!$A:$F,6,0)</f>
        <v>PALHA DE AÇO</v>
      </c>
      <c r="X1044" t="str">
        <f>VLOOKUP(L1044,'[2]tabela de preços'!$A:$G,7,0)</f>
        <v>IMOBILIÁRIO</v>
      </c>
    </row>
    <row r="1045" spans="1:24" x14ac:dyDescent="0.3">
      <c r="A1045" t="s">
        <v>1090</v>
      </c>
      <c r="C1045" t="s">
        <v>1091</v>
      </c>
      <c r="D1045" s="1">
        <v>46031</v>
      </c>
      <c r="E1045" t="s">
        <v>1092</v>
      </c>
      <c r="F1045">
        <v>9</v>
      </c>
      <c r="G1045">
        <v>236</v>
      </c>
      <c r="H1045" t="str">
        <f>VLOOKUP(G1045,[1]OPERADORES!$A:$B,2,0)</f>
        <v>DANIEL</v>
      </c>
      <c r="I1045" t="s">
        <v>21</v>
      </c>
      <c r="J1045" t="s">
        <v>450</v>
      </c>
      <c r="K1045" t="s">
        <v>1093</v>
      </c>
      <c r="L1045">
        <v>10298</v>
      </c>
      <c r="M1045" t="s">
        <v>85</v>
      </c>
      <c r="O1045" t="s">
        <v>11</v>
      </c>
      <c r="P1045">
        <v>5102</v>
      </c>
      <c r="Q1045">
        <v>1</v>
      </c>
      <c r="R1045">
        <v>56.8</v>
      </c>
      <c r="S1045">
        <v>56.8</v>
      </c>
      <c r="T1045">
        <v>47.38</v>
      </c>
      <c r="U1045">
        <v>16.579999999999998</v>
      </c>
      <c r="V1045" t="str">
        <f>VLOOKUP(L1045,'[2]tabela de preços'!$A:$D,4,0)</f>
        <v>ANJO</v>
      </c>
      <c r="W1045" t="str">
        <f>VLOOKUP(L1045,'[2]tabela de preços'!$A:$F,6,0)</f>
        <v>THINNER DE LIMPEZA</v>
      </c>
      <c r="X1045" t="str">
        <f>VLOOKUP(L1045,'[2]tabela de preços'!$A:$G,7,0)</f>
        <v>THINNER</v>
      </c>
    </row>
    <row r="1046" spans="1:24" x14ac:dyDescent="0.3">
      <c r="A1046" t="s">
        <v>1095</v>
      </c>
      <c r="C1046" t="s">
        <v>1096</v>
      </c>
      <c r="D1046" s="1">
        <v>46044</v>
      </c>
      <c r="E1046" t="s">
        <v>1097</v>
      </c>
      <c r="F1046">
        <v>9</v>
      </c>
      <c r="G1046">
        <v>236</v>
      </c>
      <c r="H1046" t="str">
        <f>VLOOKUP(G1046,[1]OPERADORES!$A:$B,2,0)</f>
        <v>DANIEL</v>
      </c>
      <c r="I1046" t="s">
        <v>1098</v>
      </c>
      <c r="J1046" t="s">
        <v>1099</v>
      </c>
      <c r="K1046" t="s">
        <v>1100</v>
      </c>
      <c r="L1046">
        <v>85584</v>
      </c>
      <c r="M1046" t="s">
        <v>1101</v>
      </c>
      <c r="O1046" t="s">
        <v>11</v>
      </c>
      <c r="P1046">
        <v>6403</v>
      </c>
      <c r="Q1046">
        <v>100</v>
      </c>
      <c r="R1046">
        <v>67.11</v>
      </c>
      <c r="S1046" s="2">
        <v>6711</v>
      </c>
      <c r="T1046" s="2">
        <v>4920</v>
      </c>
      <c r="U1046">
        <v>26.69</v>
      </c>
      <c r="V1046" t="str">
        <f>VLOOKUP(L1046,'[2]tabela de preços'!$A:$D,4,0)</f>
        <v>DÁVILA  INOVE</v>
      </c>
      <c r="W1046" t="str">
        <f>VLOOKUP(L1046,'[2]tabela de preços'!$A:$F,6,0)</f>
        <v>TEXTURA</v>
      </c>
      <c r="X1046" t="str">
        <f>VLOOKUP(L1046,'[2]tabela de preços'!$A:$G,7,0)</f>
        <v>IMOBILIÁRIO</v>
      </c>
    </row>
    <row r="1047" spans="1:24" x14ac:dyDescent="0.3">
      <c r="A1047" t="s">
        <v>1095</v>
      </c>
      <c r="C1047" t="s">
        <v>1096</v>
      </c>
      <c r="D1047" s="1">
        <v>46044</v>
      </c>
      <c r="E1047" t="s">
        <v>1097</v>
      </c>
      <c r="F1047">
        <v>9</v>
      </c>
      <c r="G1047">
        <v>236</v>
      </c>
      <c r="H1047" t="str">
        <f>VLOOKUP(G1047,[1]OPERADORES!$A:$B,2,0)</f>
        <v>DANIEL</v>
      </c>
      <c r="I1047" t="s">
        <v>1098</v>
      </c>
      <c r="J1047" t="s">
        <v>1099</v>
      </c>
      <c r="K1047" t="s">
        <v>1100</v>
      </c>
      <c r="L1047">
        <v>87104</v>
      </c>
      <c r="M1047" t="s">
        <v>1102</v>
      </c>
      <c r="O1047" t="s">
        <v>11</v>
      </c>
      <c r="P1047">
        <v>6403</v>
      </c>
      <c r="Q1047">
        <v>20</v>
      </c>
      <c r="R1047">
        <v>67.11</v>
      </c>
      <c r="S1047" s="2">
        <v>1342.2</v>
      </c>
      <c r="T1047">
        <v>984</v>
      </c>
      <c r="U1047">
        <v>26.69</v>
      </c>
      <c r="V1047" t="str">
        <f>VLOOKUP(L1047,'[2]tabela de preços'!$A:$D,4,0)</f>
        <v>BRASILUX</v>
      </c>
      <c r="W1047" t="str">
        <f>VLOOKUP(L1047,'[2]tabela de preços'!$A:$F,6,0)</f>
        <v>TEXTURA</v>
      </c>
      <c r="X1047" t="str">
        <f>VLOOKUP(L1047,'[2]tabela de preços'!$A:$G,7,0)</f>
        <v>IMOBILIÁRIO</v>
      </c>
    </row>
    <row r="1048" spans="1:24" x14ac:dyDescent="0.3">
      <c r="A1048" t="s">
        <v>1095</v>
      </c>
      <c r="C1048" t="s">
        <v>1096</v>
      </c>
      <c r="D1048" s="1">
        <v>46044</v>
      </c>
      <c r="E1048" t="s">
        <v>1097</v>
      </c>
      <c r="F1048">
        <v>9</v>
      </c>
      <c r="G1048">
        <v>236</v>
      </c>
      <c r="H1048" t="str">
        <f>VLOOKUP(G1048,[1]OPERADORES!$A:$B,2,0)</f>
        <v>DANIEL</v>
      </c>
      <c r="I1048" t="s">
        <v>1098</v>
      </c>
      <c r="J1048" t="s">
        <v>1099</v>
      </c>
      <c r="K1048" t="s">
        <v>1100</v>
      </c>
      <c r="L1048">
        <v>85359</v>
      </c>
      <c r="M1048" t="s">
        <v>1103</v>
      </c>
      <c r="O1048" t="s">
        <v>11</v>
      </c>
      <c r="P1048">
        <v>6403</v>
      </c>
      <c r="Q1048">
        <v>30</v>
      </c>
      <c r="R1048">
        <v>67.11</v>
      </c>
      <c r="S1048" s="2">
        <v>2013.3</v>
      </c>
      <c r="T1048" s="2">
        <v>1476</v>
      </c>
      <c r="U1048">
        <v>26.69</v>
      </c>
      <c r="V1048" t="str">
        <f>VLOOKUP(L1048,'[2]tabela de preços'!$A:$D,4,0)</f>
        <v>DÁVILA  INOVE</v>
      </c>
      <c r="W1048" t="str">
        <f>VLOOKUP(L1048,'[2]tabela de preços'!$A:$F,6,0)</f>
        <v>TEXTURA</v>
      </c>
      <c r="X1048" t="str">
        <f>VLOOKUP(L1048,'[2]tabela de preços'!$A:$G,7,0)</f>
        <v>IMOBILIÁRIO</v>
      </c>
    </row>
    <row r="1049" spans="1:24" x14ac:dyDescent="0.3">
      <c r="A1049" t="s">
        <v>1104</v>
      </c>
      <c r="C1049" t="s">
        <v>1105</v>
      </c>
      <c r="D1049" s="1">
        <v>46043</v>
      </c>
      <c r="E1049" t="s">
        <v>1106</v>
      </c>
      <c r="F1049">
        <v>9</v>
      </c>
      <c r="G1049">
        <v>236</v>
      </c>
      <c r="H1049" t="str">
        <f>VLOOKUP(G1049,[1]OPERADORES!$A:$B,2,0)</f>
        <v>DANIEL</v>
      </c>
      <c r="I1049" t="s">
        <v>168</v>
      </c>
      <c r="J1049" t="s">
        <v>1107</v>
      </c>
      <c r="K1049" t="s">
        <v>1108</v>
      </c>
      <c r="L1049">
        <v>86542</v>
      </c>
      <c r="M1049" t="s">
        <v>352</v>
      </c>
      <c r="O1049" t="s">
        <v>11</v>
      </c>
      <c r="P1049">
        <v>6102</v>
      </c>
      <c r="Q1049">
        <v>40</v>
      </c>
      <c r="R1049">
        <v>77.900000000000006</v>
      </c>
      <c r="S1049" s="2">
        <v>3116</v>
      </c>
      <c r="T1049" s="2">
        <v>2766.4</v>
      </c>
      <c r="U1049">
        <v>11.22</v>
      </c>
      <c r="V1049" t="str">
        <f>VLOOKUP(L1049,'[2]tabela de preços'!$A:$D,4,0)</f>
        <v>CORAL</v>
      </c>
      <c r="W1049" t="str">
        <f>VLOOKUP(L1049,'[2]tabela de preços'!$A:$F,6,0)</f>
        <v>MASSA CORRIDA / ACRÍLICA</v>
      </c>
      <c r="X1049" t="str">
        <f>VLOOKUP(L1049,'[2]tabela de preços'!$A:$G,7,0)</f>
        <v>IMOBILIÁRIO</v>
      </c>
    </row>
    <row r="1050" spans="1:24" x14ac:dyDescent="0.3">
      <c r="A1050" t="s">
        <v>1104</v>
      </c>
      <c r="C1050" t="s">
        <v>1105</v>
      </c>
      <c r="D1050" s="1">
        <v>46043</v>
      </c>
      <c r="E1050" t="s">
        <v>1106</v>
      </c>
      <c r="F1050">
        <v>9</v>
      </c>
      <c r="G1050">
        <v>236</v>
      </c>
      <c r="H1050" t="str">
        <f>VLOOKUP(G1050,[1]OPERADORES!$A:$B,2,0)</f>
        <v>DANIEL</v>
      </c>
      <c r="I1050" t="s">
        <v>168</v>
      </c>
      <c r="J1050" t="s">
        <v>1107</v>
      </c>
      <c r="K1050" t="s">
        <v>1108</v>
      </c>
      <c r="L1050">
        <v>85486</v>
      </c>
      <c r="M1050" t="s">
        <v>1109</v>
      </c>
      <c r="O1050" t="s">
        <v>1110</v>
      </c>
      <c r="P1050">
        <v>6102</v>
      </c>
      <c r="Q1050">
        <v>19</v>
      </c>
      <c r="R1050">
        <v>5.22</v>
      </c>
      <c r="S1050">
        <v>99.18</v>
      </c>
      <c r="T1050">
        <v>75.239999999999995</v>
      </c>
      <c r="U1050">
        <v>24.14</v>
      </c>
      <c r="V1050" t="str">
        <f>VLOOKUP(L1050,'[2]tabela de preços'!$A:$D,4,0)</f>
        <v>ATLAS</v>
      </c>
      <c r="W1050" t="str">
        <f>VLOOKUP(L1050,'[2]tabela de preços'!$A:$F,6,0)</f>
        <v xml:space="preserve">OUTROS DISCOS </v>
      </c>
      <c r="X1050" t="str">
        <f>VLOOKUP(L1050,'[2]tabela de preços'!$A:$G,7,0)</f>
        <v>AUTOMOTIVO</v>
      </c>
    </row>
    <row r="1051" spans="1:24" x14ac:dyDescent="0.3">
      <c r="A1051" t="s">
        <v>1104</v>
      </c>
      <c r="C1051" t="s">
        <v>1105</v>
      </c>
      <c r="D1051" s="1">
        <v>46043</v>
      </c>
      <c r="E1051" t="s">
        <v>1106</v>
      </c>
      <c r="F1051">
        <v>9</v>
      </c>
      <c r="G1051">
        <v>236</v>
      </c>
      <c r="H1051" t="str">
        <f>VLOOKUP(G1051,[1]OPERADORES!$A:$B,2,0)</f>
        <v>DANIEL</v>
      </c>
      <c r="I1051" t="s">
        <v>168</v>
      </c>
      <c r="J1051" t="s">
        <v>1107</v>
      </c>
      <c r="K1051" t="s">
        <v>1108</v>
      </c>
      <c r="L1051">
        <v>84928</v>
      </c>
      <c r="M1051" t="s">
        <v>36</v>
      </c>
      <c r="O1051" t="s">
        <v>11</v>
      </c>
      <c r="P1051">
        <v>6102</v>
      </c>
      <c r="Q1051">
        <v>30</v>
      </c>
      <c r="R1051">
        <v>9.39</v>
      </c>
      <c r="S1051">
        <v>281.7</v>
      </c>
      <c r="T1051">
        <v>213.9</v>
      </c>
      <c r="U1051">
        <v>24.07</v>
      </c>
      <c r="V1051" t="str">
        <f>VLOOKUP(L1051,'[2]tabela de preços'!$A:$D,4,0)</f>
        <v>ADERE</v>
      </c>
      <c r="W1051" t="str">
        <f>VLOOKUP(L1051,'[2]tabela de preços'!$A:$F,6,0)</f>
        <v xml:space="preserve">FITA DE USO GERAL </v>
      </c>
      <c r="X1051" t="str">
        <f>VLOOKUP(L1051,'[2]tabela de preços'!$A:$G,7,0)</f>
        <v>IMOBILIÁRIO</v>
      </c>
    </row>
    <row r="1052" spans="1:24" x14ac:dyDescent="0.3">
      <c r="A1052" t="s">
        <v>1104</v>
      </c>
      <c r="C1052" t="s">
        <v>1105</v>
      </c>
      <c r="D1052" s="1">
        <v>46043</v>
      </c>
      <c r="E1052" t="s">
        <v>1106</v>
      </c>
      <c r="F1052">
        <v>9</v>
      </c>
      <c r="G1052">
        <v>236</v>
      </c>
      <c r="H1052" t="str">
        <f>VLOOKUP(G1052,[1]OPERADORES!$A:$B,2,0)</f>
        <v>DANIEL</v>
      </c>
      <c r="I1052" t="s">
        <v>168</v>
      </c>
      <c r="J1052" t="s">
        <v>1107</v>
      </c>
      <c r="K1052" t="s">
        <v>1108</v>
      </c>
      <c r="L1052">
        <v>86943</v>
      </c>
      <c r="M1052" t="s">
        <v>1111</v>
      </c>
      <c r="O1052" t="s">
        <v>11</v>
      </c>
      <c r="P1052">
        <v>6403</v>
      </c>
      <c r="Q1052">
        <v>4</v>
      </c>
      <c r="R1052">
        <v>119.29</v>
      </c>
      <c r="S1052">
        <v>477.16</v>
      </c>
      <c r="T1052">
        <v>362.16</v>
      </c>
      <c r="U1052">
        <v>24.1</v>
      </c>
      <c r="V1052" t="str">
        <f>VLOOKUP(L1052,'[2]tabela de preços'!$A:$D,4,0)</f>
        <v>BRASILUX</v>
      </c>
      <c r="W1052" t="str">
        <f>VLOOKUP(L1052,'[2]tabela de preços'!$A:$F,6,0)</f>
        <v>IMPERMEABILIZANTES</v>
      </c>
      <c r="X1052" t="str">
        <f>VLOOKUP(L1052,'[2]tabela de preços'!$A:$G,7,0)</f>
        <v>IMOBILIÁRIO</v>
      </c>
    </row>
    <row r="1053" spans="1:24" x14ac:dyDescent="0.3">
      <c r="A1053" t="s">
        <v>1104</v>
      </c>
      <c r="C1053" t="s">
        <v>1105</v>
      </c>
      <c r="D1053" s="1">
        <v>46043</v>
      </c>
      <c r="E1053" t="s">
        <v>1106</v>
      </c>
      <c r="F1053">
        <v>9</v>
      </c>
      <c r="G1053">
        <v>236</v>
      </c>
      <c r="H1053" t="str">
        <f>VLOOKUP(G1053,[1]OPERADORES!$A:$B,2,0)</f>
        <v>DANIEL</v>
      </c>
      <c r="I1053" t="s">
        <v>168</v>
      </c>
      <c r="J1053" t="s">
        <v>1107</v>
      </c>
      <c r="K1053" t="s">
        <v>1108</v>
      </c>
      <c r="L1053">
        <v>85139</v>
      </c>
      <c r="M1053" t="s">
        <v>45</v>
      </c>
      <c r="O1053" t="s">
        <v>46</v>
      </c>
      <c r="P1053">
        <v>6403</v>
      </c>
      <c r="Q1053">
        <v>1</v>
      </c>
      <c r="R1053">
        <v>103.27</v>
      </c>
      <c r="S1053">
        <v>103.27</v>
      </c>
      <c r="T1053">
        <v>78.38</v>
      </c>
      <c r="U1053">
        <v>24.1</v>
      </c>
      <c r="V1053" t="str">
        <f>VLOOKUP(L1053,'[2]tabela de preços'!$A:$D,4,0)</f>
        <v>MULTILONA</v>
      </c>
      <c r="W1053" t="str">
        <f>VLOOKUP(L1053,'[2]tabela de preços'!$A:$F,6,0)</f>
        <v>LONAS</v>
      </c>
      <c r="X1053" t="str">
        <f>VLOOKUP(L1053,'[2]tabela de preços'!$A:$G,7,0)</f>
        <v>IMOBILIÁRIO</v>
      </c>
    </row>
    <row r="1054" spans="1:24" x14ac:dyDescent="0.3">
      <c r="A1054" t="s">
        <v>1112</v>
      </c>
      <c r="C1054" t="s">
        <v>1113</v>
      </c>
      <c r="D1054" s="1">
        <v>46028</v>
      </c>
      <c r="E1054" t="s">
        <v>1114</v>
      </c>
      <c r="F1054">
        <v>9</v>
      </c>
      <c r="G1054">
        <v>236</v>
      </c>
      <c r="H1054" t="str">
        <f>VLOOKUP(G1054,[1]OPERADORES!$A:$B,2,0)</f>
        <v>DANIEL</v>
      </c>
      <c r="I1054" t="s">
        <v>21</v>
      </c>
      <c r="J1054" t="s">
        <v>211</v>
      </c>
      <c r="K1054" t="s">
        <v>1115</v>
      </c>
      <c r="L1054">
        <v>84107</v>
      </c>
      <c r="M1054" t="s">
        <v>1116</v>
      </c>
      <c r="O1054" t="s">
        <v>11</v>
      </c>
      <c r="P1054">
        <v>5403</v>
      </c>
      <c r="Q1054">
        <v>3</v>
      </c>
      <c r="R1054">
        <v>31.66</v>
      </c>
      <c r="S1054">
        <v>94.98</v>
      </c>
      <c r="T1054">
        <v>70.44</v>
      </c>
      <c r="U1054">
        <v>25.84</v>
      </c>
      <c r="V1054" t="str">
        <f>VLOOKUP(L1054,'[2]tabela de preços'!$A:$D,4,0)</f>
        <v>BRASILUX</v>
      </c>
      <c r="W1054" t="str">
        <f>VLOOKUP(L1054,'[2]tabela de preços'!$A:$F,6,0)</f>
        <v>TINTAS LACA</v>
      </c>
      <c r="X1054" t="str">
        <f>VLOOKUP(L1054,'[2]tabela de preços'!$A:$G,7,0)</f>
        <v>AUTOMOTIVO</v>
      </c>
    </row>
    <row r="1055" spans="1:24" x14ac:dyDescent="0.3">
      <c r="A1055" t="s">
        <v>1112</v>
      </c>
      <c r="C1055" t="s">
        <v>1113</v>
      </c>
      <c r="D1055" s="1">
        <v>46028</v>
      </c>
      <c r="E1055" t="s">
        <v>1114</v>
      </c>
      <c r="F1055">
        <v>9</v>
      </c>
      <c r="G1055">
        <v>236</v>
      </c>
      <c r="H1055" t="str">
        <f>VLOOKUP(G1055,[1]OPERADORES!$A:$B,2,0)</f>
        <v>DANIEL</v>
      </c>
      <c r="I1055" t="s">
        <v>21</v>
      </c>
      <c r="J1055" t="s">
        <v>211</v>
      </c>
      <c r="K1055" t="s">
        <v>1115</v>
      </c>
      <c r="L1055">
        <v>22180</v>
      </c>
      <c r="M1055" t="s">
        <v>404</v>
      </c>
      <c r="O1055" t="s">
        <v>11</v>
      </c>
      <c r="P1055">
        <v>5102</v>
      </c>
      <c r="Q1055">
        <v>3</v>
      </c>
      <c r="R1055">
        <v>19.97</v>
      </c>
      <c r="S1055">
        <v>59.91</v>
      </c>
      <c r="T1055">
        <v>43.92</v>
      </c>
      <c r="U1055">
        <v>26.69</v>
      </c>
      <c r="V1055" t="str">
        <f>VLOOKUP(L1055,'[2]tabela de preços'!$A:$D,4,0)</f>
        <v>MADRUGA</v>
      </c>
      <c r="W1055" t="str">
        <f>VLOOKUP(L1055,'[2]tabela de preços'!$A:$F,6,0)</f>
        <v>PAPEL DE MASCARAMENTO</v>
      </c>
      <c r="X1055" t="str">
        <f>VLOOKUP(L1055,'[2]tabela de preços'!$A:$G,7,0)</f>
        <v>AUTOMOTIVO</v>
      </c>
    </row>
    <row r="1056" spans="1:24" x14ac:dyDescent="0.3">
      <c r="A1056" t="s">
        <v>1112</v>
      </c>
      <c r="C1056" t="s">
        <v>1113</v>
      </c>
      <c r="D1056" s="1">
        <v>46028</v>
      </c>
      <c r="E1056" t="s">
        <v>1117</v>
      </c>
      <c r="F1056">
        <v>9</v>
      </c>
      <c r="G1056">
        <v>236</v>
      </c>
      <c r="H1056" t="str">
        <f>VLOOKUP(G1056,[1]OPERADORES!$A:$B,2,0)</f>
        <v>DANIEL</v>
      </c>
      <c r="I1056" t="s">
        <v>21</v>
      </c>
      <c r="J1056" t="s">
        <v>211</v>
      </c>
      <c r="K1056" t="s">
        <v>1115</v>
      </c>
      <c r="L1056">
        <v>10297</v>
      </c>
      <c r="M1056" t="s">
        <v>41</v>
      </c>
      <c r="O1056" t="s">
        <v>11</v>
      </c>
      <c r="P1056">
        <v>5102</v>
      </c>
      <c r="Q1056">
        <v>12</v>
      </c>
      <c r="R1056">
        <v>10.95</v>
      </c>
      <c r="S1056">
        <v>131.4</v>
      </c>
      <c r="T1056">
        <v>110.04</v>
      </c>
      <c r="U1056">
        <v>16.260000000000002</v>
      </c>
      <c r="V1056" t="str">
        <f>VLOOKUP(L1056,'[2]tabela de preços'!$A:$D,4,0)</f>
        <v>ANJO</v>
      </c>
      <c r="W1056" t="str">
        <f>VLOOKUP(L1056,'[2]tabela de preços'!$A:$F,6,0)</f>
        <v>THINNER DE LIMPEZA</v>
      </c>
      <c r="X1056" t="str">
        <f>VLOOKUP(L1056,'[2]tabela de preços'!$A:$G,7,0)</f>
        <v>THINNER</v>
      </c>
    </row>
    <row r="1057" spans="1:24" x14ac:dyDescent="0.3">
      <c r="A1057" t="s">
        <v>1112</v>
      </c>
      <c r="C1057" t="s">
        <v>1113</v>
      </c>
      <c r="D1057" s="1">
        <v>46028</v>
      </c>
      <c r="E1057" t="s">
        <v>1114</v>
      </c>
      <c r="F1057">
        <v>9</v>
      </c>
      <c r="G1057">
        <v>236</v>
      </c>
      <c r="H1057" t="str">
        <f>VLOOKUP(G1057,[1]OPERADORES!$A:$B,2,0)</f>
        <v>DANIEL</v>
      </c>
      <c r="I1057" t="s">
        <v>21</v>
      </c>
      <c r="J1057" t="s">
        <v>211</v>
      </c>
      <c r="K1057" t="s">
        <v>1115</v>
      </c>
      <c r="L1057">
        <v>84460</v>
      </c>
      <c r="M1057" t="s">
        <v>322</v>
      </c>
      <c r="O1057" t="s">
        <v>11</v>
      </c>
      <c r="P1057">
        <v>5102</v>
      </c>
      <c r="Q1057">
        <v>3</v>
      </c>
      <c r="R1057">
        <v>31.8</v>
      </c>
      <c r="S1057">
        <v>95.4</v>
      </c>
      <c r="T1057">
        <v>70.739999999999995</v>
      </c>
      <c r="U1057">
        <v>25.85</v>
      </c>
      <c r="V1057" t="str">
        <f>VLOOKUP(L1057,'[2]tabela de preços'!$A:$D,4,0)</f>
        <v>BRASILUX</v>
      </c>
      <c r="W1057" t="str">
        <f>VLOOKUP(L1057,'[2]tabela de preços'!$A:$F,6,0)</f>
        <v>VEDADORES / SELANTES</v>
      </c>
      <c r="X1057" t="str">
        <f>VLOOKUP(L1057,'[2]tabela de preços'!$A:$G,7,0)</f>
        <v>AUTOMOTIVO</v>
      </c>
    </row>
    <row r="1058" spans="1:24" x14ac:dyDescent="0.3">
      <c r="A1058" t="s">
        <v>1112</v>
      </c>
      <c r="C1058" t="s">
        <v>1118</v>
      </c>
      <c r="D1058" s="1">
        <v>46030</v>
      </c>
      <c r="E1058" t="s">
        <v>1119</v>
      </c>
      <c r="F1058">
        <v>9</v>
      </c>
      <c r="G1058">
        <v>236</v>
      </c>
      <c r="H1058" t="str">
        <f>VLOOKUP(G1058,[1]OPERADORES!$A:$B,2,0)</f>
        <v>DANIEL</v>
      </c>
      <c r="I1058" t="s">
        <v>21</v>
      </c>
      <c r="J1058" t="s">
        <v>211</v>
      </c>
      <c r="K1058" t="s">
        <v>1115</v>
      </c>
      <c r="L1058">
        <v>10277</v>
      </c>
      <c r="M1058" t="s">
        <v>135</v>
      </c>
      <c r="O1058" t="s">
        <v>11</v>
      </c>
      <c r="P1058">
        <v>5102</v>
      </c>
      <c r="Q1058">
        <v>3</v>
      </c>
      <c r="R1058">
        <v>16.97</v>
      </c>
      <c r="S1058">
        <v>50.91</v>
      </c>
      <c r="T1058">
        <v>38.64</v>
      </c>
      <c r="U1058">
        <v>24.1</v>
      </c>
      <c r="V1058" t="str">
        <f>VLOOKUP(L1058,'[2]tabela de preços'!$A:$D,4,0)</f>
        <v>RETOQUE</v>
      </c>
      <c r="W1058" t="str">
        <f>VLOOKUP(L1058,'[2]tabela de preços'!$A:$F,6,0)</f>
        <v xml:space="preserve">COLA  PLÁSTICA </v>
      </c>
      <c r="X1058" t="str">
        <f>VLOOKUP(L1058,'[2]tabela de preços'!$A:$G,7,0)</f>
        <v>AUTOMOTIVO</v>
      </c>
    </row>
    <row r="1059" spans="1:24" x14ac:dyDescent="0.3">
      <c r="A1059" t="s">
        <v>1112</v>
      </c>
      <c r="C1059" t="s">
        <v>1118</v>
      </c>
      <c r="D1059" s="1">
        <v>46030</v>
      </c>
      <c r="E1059" t="s">
        <v>1119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211</v>
      </c>
      <c r="K1059" t="s">
        <v>1115</v>
      </c>
      <c r="L1059">
        <v>21067</v>
      </c>
      <c r="M1059" t="s">
        <v>640</v>
      </c>
      <c r="O1059" t="s">
        <v>11</v>
      </c>
      <c r="P1059">
        <v>5102</v>
      </c>
      <c r="Q1059">
        <v>3</v>
      </c>
      <c r="R1059">
        <v>37.58</v>
      </c>
      <c r="S1059">
        <v>112.74</v>
      </c>
      <c r="T1059">
        <v>85.56</v>
      </c>
      <c r="U1059">
        <v>24.11</v>
      </c>
      <c r="V1059" t="str">
        <f>VLOOKUP(L1059,'[2]tabela de preços'!$A:$D,4,0)</f>
        <v>SIKKENS</v>
      </c>
      <c r="W1059" t="str">
        <f>VLOOKUP(L1059,'[2]tabela de preços'!$A:$F,6,0)</f>
        <v>DILUENTE</v>
      </c>
      <c r="X1059" t="str">
        <f>VLOOKUP(L1059,'[2]tabela de preços'!$A:$G,7,0)</f>
        <v>AUTOMOTIVO</v>
      </c>
    </row>
    <row r="1060" spans="1:24" x14ac:dyDescent="0.3">
      <c r="A1060" t="s">
        <v>1112</v>
      </c>
      <c r="C1060" t="s">
        <v>1120</v>
      </c>
      <c r="D1060" s="1">
        <v>46041</v>
      </c>
      <c r="E1060" t="s">
        <v>1121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211</v>
      </c>
      <c r="K1060" t="s">
        <v>1115</v>
      </c>
      <c r="L1060">
        <v>10298</v>
      </c>
      <c r="M1060" t="s">
        <v>85</v>
      </c>
      <c r="O1060" t="s">
        <v>11</v>
      </c>
      <c r="P1060">
        <v>5102</v>
      </c>
      <c r="Q1060">
        <v>4</v>
      </c>
      <c r="R1060">
        <v>56.89</v>
      </c>
      <c r="S1060">
        <v>227.56</v>
      </c>
      <c r="T1060">
        <v>189.52</v>
      </c>
      <c r="U1060">
        <v>16.72</v>
      </c>
      <c r="V1060" t="str">
        <f>VLOOKUP(L1060,'[2]tabela de preços'!$A:$D,4,0)</f>
        <v>ANJO</v>
      </c>
      <c r="W1060" t="str">
        <f>VLOOKUP(L1060,'[2]tabela de preços'!$A:$F,6,0)</f>
        <v>THINNER DE LIMPEZA</v>
      </c>
      <c r="X1060" t="str">
        <f>VLOOKUP(L1060,'[2]tabela de preços'!$A:$G,7,0)</f>
        <v>THINNER</v>
      </c>
    </row>
    <row r="1061" spans="1:24" x14ac:dyDescent="0.3">
      <c r="A1061" t="s">
        <v>1112</v>
      </c>
      <c r="C1061" t="s">
        <v>1122</v>
      </c>
      <c r="D1061" s="1">
        <v>46050</v>
      </c>
      <c r="E1061" t="s">
        <v>1123</v>
      </c>
      <c r="F1061">
        <v>9</v>
      </c>
      <c r="G1061">
        <v>236</v>
      </c>
      <c r="H1061" t="str">
        <f>VLOOKUP(G1061,[1]OPERADORES!$A:$B,2,0)</f>
        <v>DANIEL</v>
      </c>
      <c r="I1061" t="s">
        <v>21</v>
      </c>
      <c r="J1061" t="s">
        <v>211</v>
      </c>
      <c r="K1061" t="s">
        <v>1115</v>
      </c>
      <c r="L1061">
        <v>20817</v>
      </c>
      <c r="M1061" t="s">
        <v>153</v>
      </c>
      <c r="O1061" t="s">
        <v>11</v>
      </c>
      <c r="P1061">
        <v>5102</v>
      </c>
      <c r="Q1061">
        <v>3</v>
      </c>
      <c r="R1061">
        <v>22.89</v>
      </c>
      <c r="S1061">
        <v>68.67</v>
      </c>
      <c r="T1061">
        <v>55.86</v>
      </c>
      <c r="U1061">
        <v>18.649999999999999</v>
      </c>
      <c r="V1061" t="str">
        <f>VLOOKUP(L1061,'[2]tabela de preços'!$A:$D,4,0)</f>
        <v>AUTO AMERICA</v>
      </c>
      <c r="W1061" t="str">
        <f>VLOOKUP(L1061,'[2]tabela de preços'!$A:$F,6,0)</f>
        <v>MASSA DE POLIR</v>
      </c>
      <c r="X1061" t="str">
        <f>VLOOKUP(L1061,'[2]tabela de preços'!$A:$G,7,0)</f>
        <v>AUTOMOTIVO</v>
      </c>
    </row>
    <row r="1062" spans="1:24" x14ac:dyDescent="0.3">
      <c r="A1062" t="s">
        <v>1112</v>
      </c>
      <c r="C1062" t="s">
        <v>1122</v>
      </c>
      <c r="D1062" s="1">
        <v>46050</v>
      </c>
      <c r="E1062" t="s">
        <v>1124</v>
      </c>
      <c r="F1062">
        <v>9</v>
      </c>
      <c r="G1062">
        <v>236</v>
      </c>
      <c r="H1062" t="str">
        <f>VLOOKUP(G1062,[1]OPERADORES!$A:$B,2,0)</f>
        <v>DANIEL</v>
      </c>
      <c r="I1062" t="s">
        <v>21</v>
      </c>
      <c r="J1062" t="s">
        <v>211</v>
      </c>
      <c r="K1062" t="s">
        <v>1115</v>
      </c>
      <c r="L1062">
        <v>84460</v>
      </c>
      <c r="M1062" t="s">
        <v>322</v>
      </c>
      <c r="O1062" t="s">
        <v>11</v>
      </c>
      <c r="P1062">
        <v>5102</v>
      </c>
      <c r="Q1062">
        <v>3</v>
      </c>
      <c r="R1062">
        <v>31.07</v>
      </c>
      <c r="S1062">
        <v>93.21</v>
      </c>
      <c r="T1062">
        <v>70.739999999999995</v>
      </c>
      <c r="U1062">
        <v>24.11</v>
      </c>
      <c r="V1062" t="str">
        <f>VLOOKUP(L1062,'[2]tabela de preços'!$A:$D,4,0)</f>
        <v>BRASILUX</v>
      </c>
      <c r="W1062" t="str">
        <f>VLOOKUP(L1062,'[2]tabela de preços'!$A:$F,6,0)</f>
        <v>VEDADORES / SELANTES</v>
      </c>
      <c r="X1062" t="str">
        <f>VLOOKUP(L1062,'[2]tabela de preços'!$A:$G,7,0)</f>
        <v>AUTOMOTIVO</v>
      </c>
    </row>
    <row r="1063" spans="1:24" x14ac:dyDescent="0.3">
      <c r="A1063" t="s">
        <v>1125</v>
      </c>
      <c r="C1063" t="s">
        <v>1126</v>
      </c>
      <c r="D1063" s="1">
        <v>46049</v>
      </c>
      <c r="E1063" t="s">
        <v>1127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1128</v>
      </c>
      <c r="K1063" t="s">
        <v>1129</v>
      </c>
      <c r="L1063">
        <v>84344</v>
      </c>
      <c r="M1063" t="s">
        <v>1000</v>
      </c>
      <c r="O1063" t="s">
        <v>11</v>
      </c>
      <c r="P1063">
        <v>5403</v>
      </c>
      <c r="Q1063">
        <v>3</v>
      </c>
      <c r="R1063">
        <v>59.98</v>
      </c>
      <c r="S1063">
        <v>179.94</v>
      </c>
      <c r="T1063">
        <v>148.97999999999999</v>
      </c>
      <c r="U1063">
        <v>17.21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1125</v>
      </c>
      <c r="C1064" t="s">
        <v>1126</v>
      </c>
      <c r="D1064" s="1">
        <v>46049</v>
      </c>
      <c r="E1064" t="s">
        <v>1127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1128</v>
      </c>
      <c r="K1064" t="s">
        <v>1129</v>
      </c>
      <c r="L1064">
        <v>5</v>
      </c>
      <c r="M1064" t="s">
        <v>147</v>
      </c>
      <c r="O1064" t="s">
        <v>11</v>
      </c>
      <c r="P1064">
        <v>5102</v>
      </c>
      <c r="Q1064">
        <v>2</v>
      </c>
      <c r="R1064">
        <v>6.06</v>
      </c>
      <c r="S1064">
        <v>12.12</v>
      </c>
      <c r="T1064">
        <v>7.82</v>
      </c>
      <c r="U1064">
        <v>35.479999999999997</v>
      </c>
      <c r="V1064" t="str">
        <f>VLOOKUP(L1064,'[2]tabela de preços'!$A:$D,4,0)</f>
        <v>BRILHO ESTOPA</v>
      </c>
      <c r="W1064" t="str">
        <f>VLOOKUP(L1064,'[2]tabela de preços'!$A:$F,6,0)</f>
        <v>ESTOPAS</v>
      </c>
      <c r="X1064" t="str">
        <f>VLOOKUP(L1064,'[2]tabela de preços'!$A:$G,7,0)</f>
        <v>AUTOMOTIVO</v>
      </c>
    </row>
    <row r="1065" spans="1:24" x14ac:dyDescent="0.3">
      <c r="A1065" t="s">
        <v>1125</v>
      </c>
      <c r="C1065" t="s">
        <v>1126</v>
      </c>
      <c r="D1065" s="1">
        <v>46049</v>
      </c>
      <c r="E1065" t="s">
        <v>1127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1128</v>
      </c>
      <c r="K1065" t="s">
        <v>1129</v>
      </c>
      <c r="L1065">
        <v>84421</v>
      </c>
      <c r="M1065" t="s">
        <v>568</v>
      </c>
      <c r="O1065" t="s">
        <v>11</v>
      </c>
      <c r="P1065">
        <v>5102</v>
      </c>
      <c r="Q1065">
        <v>2</v>
      </c>
      <c r="R1065">
        <v>6.35</v>
      </c>
      <c r="S1065">
        <v>12.7</v>
      </c>
      <c r="T1065">
        <v>9.64</v>
      </c>
      <c r="U1065">
        <v>24.09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1125</v>
      </c>
      <c r="C1066" t="s">
        <v>1126</v>
      </c>
      <c r="D1066" s="1">
        <v>46049</v>
      </c>
      <c r="E1066" t="s">
        <v>1127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1128</v>
      </c>
      <c r="K1066" t="s">
        <v>1129</v>
      </c>
      <c r="L1066">
        <v>84422</v>
      </c>
      <c r="M1066" t="s">
        <v>569</v>
      </c>
      <c r="O1066" t="s">
        <v>11</v>
      </c>
      <c r="P1066">
        <v>5102</v>
      </c>
      <c r="Q1066">
        <v>2</v>
      </c>
      <c r="R1066">
        <v>9.32</v>
      </c>
      <c r="S1066">
        <v>18.64</v>
      </c>
      <c r="T1066">
        <v>14.16</v>
      </c>
      <c r="U1066">
        <v>24.03</v>
      </c>
      <c r="V1066" t="str">
        <f>VLOOKUP(L1066,'[2]tabela de preços'!$A:$D,4,0)</f>
        <v>ATLAS</v>
      </c>
      <c r="W1066" t="str">
        <f>VLOOKUP(L1066,'[2]tabela de preços'!$A:$F,6,0)</f>
        <v>ROLOS / TRINCHAS / PINCÉIS / ESPÁTULAS</v>
      </c>
      <c r="X1066" t="str">
        <f>VLOOKUP(L1066,'[2]tabela de preços'!$A:$G,7,0)</f>
        <v>IMOBILIÁRIO</v>
      </c>
    </row>
    <row r="1067" spans="1:24" x14ac:dyDescent="0.3">
      <c r="A1067" t="s">
        <v>1125</v>
      </c>
      <c r="C1067" t="s">
        <v>1126</v>
      </c>
      <c r="D1067" s="1">
        <v>46049</v>
      </c>
      <c r="E1067" t="s">
        <v>1127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1128</v>
      </c>
      <c r="K1067" t="s">
        <v>1129</v>
      </c>
      <c r="L1067">
        <v>84560</v>
      </c>
      <c r="M1067" t="s">
        <v>118</v>
      </c>
      <c r="O1067" t="s">
        <v>11</v>
      </c>
      <c r="P1067">
        <v>5102</v>
      </c>
      <c r="Q1067">
        <v>1</v>
      </c>
      <c r="R1067">
        <v>47.89</v>
      </c>
      <c r="S1067">
        <v>47.89</v>
      </c>
      <c r="T1067">
        <v>39.159999999999997</v>
      </c>
      <c r="U1067">
        <v>18.23</v>
      </c>
      <c r="V1067" t="str">
        <f>VLOOKUP(L1067,'[2]tabela de preços'!$A:$D,4,0)</f>
        <v>BRASILUX</v>
      </c>
      <c r="W1067" t="str">
        <f>VLOOKUP(L1067,'[2]tabela de preços'!$A:$F,6,0)</f>
        <v>THINNER DE LIMPEZA</v>
      </c>
      <c r="X1067" t="str">
        <f>VLOOKUP(L1067,'[2]tabela de preços'!$A:$G,7,0)</f>
        <v>THINNER</v>
      </c>
    </row>
    <row r="1068" spans="1:24" x14ac:dyDescent="0.3">
      <c r="A1068" t="s">
        <v>1125</v>
      </c>
      <c r="C1068" t="s">
        <v>1126</v>
      </c>
      <c r="D1068" s="1">
        <v>46049</v>
      </c>
      <c r="E1068" t="s">
        <v>1127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1128</v>
      </c>
      <c r="K1068" t="s">
        <v>1129</v>
      </c>
      <c r="L1068">
        <v>85037</v>
      </c>
      <c r="M1068" t="s">
        <v>60</v>
      </c>
      <c r="O1068" t="s">
        <v>11</v>
      </c>
      <c r="P1068">
        <v>5102</v>
      </c>
      <c r="Q1068">
        <v>2</v>
      </c>
      <c r="R1068">
        <v>7.04</v>
      </c>
      <c r="S1068">
        <v>14.08</v>
      </c>
      <c r="T1068">
        <v>9.08</v>
      </c>
      <c r="U1068">
        <v>35.51</v>
      </c>
      <c r="V1068" t="str">
        <f>VLOOKUP(L1068,'[2]tabela de preços'!$A:$D,4,0)</f>
        <v>ATLAS</v>
      </c>
      <c r="W1068" t="str">
        <f>VLOOKUP(L1068,'[2]tabela de preços'!$A:$F,6,0)</f>
        <v>ROLOS / TRINCHAS / PINCÉIS / ESPÁTULAS</v>
      </c>
      <c r="X1068" t="str">
        <f>VLOOKUP(L1068,'[2]tabela de preços'!$A:$G,7,0)</f>
        <v>IMOBILIÁRIO</v>
      </c>
    </row>
    <row r="1069" spans="1:24" x14ac:dyDescent="0.3">
      <c r="A1069" t="s">
        <v>1130</v>
      </c>
      <c r="C1069" t="s">
        <v>1131</v>
      </c>
      <c r="D1069" s="1">
        <v>46030</v>
      </c>
      <c r="E1069" t="s">
        <v>1132</v>
      </c>
      <c r="F1069">
        <v>9</v>
      </c>
      <c r="G1069">
        <v>174</v>
      </c>
      <c r="H1069" t="str">
        <f>VLOOKUP(G1069,[1]OPERADORES!$A:$B,2,0)</f>
        <v>MIRIÃ LOBATO RODRIGUES</v>
      </c>
      <c r="I1069" t="s">
        <v>21</v>
      </c>
      <c r="J1069" t="s">
        <v>621</v>
      </c>
      <c r="K1069" t="s">
        <v>1133</v>
      </c>
      <c r="L1069">
        <v>24240</v>
      </c>
      <c r="M1069" t="s">
        <v>240</v>
      </c>
      <c r="O1069" t="s">
        <v>11</v>
      </c>
      <c r="P1069">
        <v>5102</v>
      </c>
      <c r="Q1069">
        <v>5</v>
      </c>
      <c r="R1069">
        <v>3.87</v>
      </c>
      <c r="S1069">
        <v>19.350000000000001</v>
      </c>
      <c r="T1069">
        <v>16.399999999999999</v>
      </c>
      <c r="U1069">
        <v>15.25</v>
      </c>
      <c r="V1069" t="str">
        <f>VLOOKUP(L1069,'[2]tabela de preços'!$A:$D,4,0)</f>
        <v>ADERE</v>
      </c>
      <c r="W1069" t="str">
        <f>VLOOKUP(L1069,'[2]tabela de preços'!$A:$F,6,0)</f>
        <v>FITA AUTOMOTIVA</v>
      </c>
      <c r="X1069" t="str">
        <f>VLOOKUP(L1069,'[2]tabela de preços'!$A:$G,7,0)</f>
        <v>AUTOMOTIVO</v>
      </c>
    </row>
    <row r="1070" spans="1:24" x14ac:dyDescent="0.3">
      <c r="A1070" t="s">
        <v>1130</v>
      </c>
      <c r="C1070" t="s">
        <v>1131</v>
      </c>
      <c r="D1070" s="1">
        <v>46030</v>
      </c>
      <c r="E1070" t="s">
        <v>1132</v>
      </c>
      <c r="F1070">
        <v>9</v>
      </c>
      <c r="G1070">
        <v>174</v>
      </c>
      <c r="H1070" t="str">
        <f>VLOOKUP(G1070,[1]OPERADORES!$A:$B,2,0)</f>
        <v>MIRIÃ LOBATO RODRIGUES</v>
      </c>
      <c r="I1070" t="s">
        <v>21</v>
      </c>
      <c r="J1070" t="s">
        <v>621</v>
      </c>
      <c r="K1070" t="s">
        <v>1133</v>
      </c>
      <c r="L1070">
        <v>85297</v>
      </c>
      <c r="M1070" t="s">
        <v>1134</v>
      </c>
      <c r="O1070" t="s">
        <v>11</v>
      </c>
      <c r="P1070">
        <v>5403</v>
      </c>
      <c r="Q1070">
        <v>1</v>
      </c>
      <c r="R1070">
        <v>65.459999999999994</v>
      </c>
      <c r="S1070">
        <v>65.459999999999994</v>
      </c>
      <c r="T1070">
        <v>46.67</v>
      </c>
      <c r="U1070">
        <v>28.7</v>
      </c>
      <c r="V1070" t="str">
        <f>VLOOKUP(L1070,'[2]tabela de preços'!$A:$D,4,0)</f>
        <v>SHERWIN WILLIAMS</v>
      </c>
      <c r="W1070" t="str">
        <f>VLOOKUP(L1070,'[2]tabela de preços'!$A:$F,6,0)</f>
        <v>TINTAS POLIÉSTER</v>
      </c>
      <c r="X1070" t="str">
        <f>VLOOKUP(L1070,'[2]tabela de preços'!$A:$G,7,0)</f>
        <v>AUTOMOTIVO</v>
      </c>
    </row>
    <row r="1071" spans="1:24" x14ac:dyDescent="0.3">
      <c r="A1071" t="s">
        <v>1130</v>
      </c>
      <c r="C1071" t="s">
        <v>1131</v>
      </c>
      <c r="D1071" s="1">
        <v>46030</v>
      </c>
      <c r="E1071" t="s">
        <v>1132</v>
      </c>
      <c r="F1071">
        <v>9</v>
      </c>
      <c r="G1071">
        <v>174</v>
      </c>
      <c r="H1071" t="str">
        <f>VLOOKUP(G1071,[1]OPERADORES!$A:$B,2,0)</f>
        <v>MIRIÃ LOBATO RODRIGUES</v>
      </c>
      <c r="I1071" t="s">
        <v>21</v>
      </c>
      <c r="J1071" t="s">
        <v>621</v>
      </c>
      <c r="K1071" t="s">
        <v>1133</v>
      </c>
      <c r="L1071">
        <v>87043</v>
      </c>
      <c r="M1071" t="s">
        <v>217</v>
      </c>
      <c r="O1071" t="s">
        <v>11</v>
      </c>
      <c r="P1071">
        <v>5102</v>
      </c>
      <c r="Q1071">
        <v>1</v>
      </c>
      <c r="R1071">
        <v>22.89</v>
      </c>
      <c r="S1071">
        <v>22.89</v>
      </c>
      <c r="T1071">
        <v>18.02</v>
      </c>
      <c r="U1071">
        <v>21.28</v>
      </c>
      <c r="V1071" t="str">
        <f>VLOOKUP(L1071,'[2]tabela de preços'!$A:$D,4,0)</f>
        <v>ROBERLO</v>
      </c>
      <c r="W1071" t="str">
        <f>VLOOKUP(L1071,'[2]tabela de preços'!$A:$F,6,0)</f>
        <v>MASSA POLIÉSTER</v>
      </c>
      <c r="X1071" t="str">
        <f>VLOOKUP(L1071,'[2]tabela de preços'!$A:$G,7,0)</f>
        <v>AUTOMOTIVO</v>
      </c>
    </row>
    <row r="1072" spans="1:24" x14ac:dyDescent="0.3">
      <c r="A1072" t="s">
        <v>1135</v>
      </c>
      <c r="C1072" t="s">
        <v>1136</v>
      </c>
      <c r="D1072" s="1">
        <v>46027</v>
      </c>
      <c r="E1072" t="s">
        <v>1137</v>
      </c>
      <c r="F1072">
        <v>9</v>
      </c>
      <c r="G1072">
        <v>230</v>
      </c>
      <c r="H1072" t="str">
        <f>VLOOKUP(G1072,[1]OPERADORES!$A:$B,2,0)</f>
        <v>SÔNIA</v>
      </c>
      <c r="I1072" t="s">
        <v>1138</v>
      </c>
      <c r="J1072" t="s">
        <v>1139</v>
      </c>
      <c r="K1072" t="s">
        <v>1140</v>
      </c>
      <c r="L1072">
        <v>85135</v>
      </c>
      <c r="M1072" t="s">
        <v>1141</v>
      </c>
      <c r="O1072" t="s">
        <v>11</v>
      </c>
      <c r="P1072">
        <v>6403</v>
      </c>
      <c r="Q1072">
        <v>15</v>
      </c>
      <c r="R1072">
        <v>174.83</v>
      </c>
      <c r="S1072" s="2">
        <v>2622.45</v>
      </c>
      <c r="T1072" s="2">
        <v>1402.37</v>
      </c>
      <c r="U1072">
        <v>46.52</v>
      </c>
      <c r="V1072" t="str">
        <f>VLOOKUP(L1072,'[2]tabela de preços'!$A:$D,4,0)</f>
        <v>BRASILUX</v>
      </c>
      <c r="W1072" t="str">
        <f>VLOOKUP(L1072,'[2]tabela de preços'!$A:$F,6,0)</f>
        <v>TINTA DE LABORATÓRIO</v>
      </c>
      <c r="X1072" t="str">
        <f>VLOOKUP(L1072,'[2]tabela de preços'!$A:$G,7,0)</f>
        <v>AUTOMOTIVO</v>
      </c>
    </row>
    <row r="1073" spans="1:24" x14ac:dyDescent="0.3">
      <c r="A1073" t="s">
        <v>1135</v>
      </c>
      <c r="C1073" t="s">
        <v>1136</v>
      </c>
      <c r="D1073" s="1">
        <v>46027</v>
      </c>
      <c r="E1073" t="s">
        <v>1137</v>
      </c>
      <c r="F1073">
        <v>9</v>
      </c>
      <c r="G1073">
        <v>230</v>
      </c>
      <c r="H1073" t="str">
        <f>VLOOKUP(G1073,[1]OPERADORES!$A:$B,2,0)</f>
        <v>SÔNIA</v>
      </c>
      <c r="I1073" t="s">
        <v>1138</v>
      </c>
      <c r="J1073" t="s">
        <v>1139</v>
      </c>
      <c r="K1073" t="s">
        <v>1140</v>
      </c>
      <c r="L1073">
        <v>85280</v>
      </c>
      <c r="M1073" t="s">
        <v>943</v>
      </c>
      <c r="O1073" t="s">
        <v>11</v>
      </c>
      <c r="P1073">
        <v>6102</v>
      </c>
      <c r="Q1073">
        <v>15</v>
      </c>
      <c r="R1073">
        <v>55.72</v>
      </c>
      <c r="S1073">
        <v>835.8</v>
      </c>
      <c r="T1073">
        <v>634.35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CATALISADORES INDIVIDUAIS</v>
      </c>
      <c r="X1073" t="str">
        <f>VLOOKUP(L1073,'[2]tabela de preços'!$A:$G,7,0)</f>
        <v>IMOBILIÁRIO</v>
      </c>
    </row>
    <row r="1074" spans="1:24" x14ac:dyDescent="0.3">
      <c r="A1074" t="s">
        <v>1135</v>
      </c>
      <c r="C1074" t="s">
        <v>1136</v>
      </c>
      <c r="D1074" s="1">
        <v>46027</v>
      </c>
      <c r="E1074" t="s">
        <v>1137</v>
      </c>
      <c r="F1074">
        <v>9</v>
      </c>
      <c r="G1074">
        <v>230</v>
      </c>
      <c r="H1074" t="str">
        <f>VLOOKUP(G1074,[1]OPERADORES!$A:$B,2,0)</f>
        <v>SÔNIA</v>
      </c>
      <c r="I1074" t="s">
        <v>1138</v>
      </c>
      <c r="J1074" t="s">
        <v>1139</v>
      </c>
      <c r="K1074" t="s">
        <v>1140</v>
      </c>
      <c r="L1074">
        <v>21627</v>
      </c>
      <c r="M1074" t="s">
        <v>1142</v>
      </c>
      <c r="O1074" t="s">
        <v>11</v>
      </c>
      <c r="P1074">
        <v>6102</v>
      </c>
      <c r="Q1074">
        <v>6</v>
      </c>
      <c r="R1074">
        <v>33.58</v>
      </c>
      <c r="S1074">
        <v>201.48</v>
      </c>
      <c r="T1074">
        <v>152.94</v>
      </c>
      <c r="U1074">
        <v>24.09</v>
      </c>
      <c r="V1074" t="str">
        <f>VLOOKUP(L1074,'[2]tabela de preços'!$A:$D,4,0)</f>
        <v>SHERWIN WILLIAMS</v>
      </c>
      <c r="W1074" t="str">
        <f>VLOOKUP(L1074,'[2]tabela de preços'!$A:$F,6,0)</f>
        <v>VERNIZ AUTOMOTIVO</v>
      </c>
      <c r="X1074" t="str">
        <f>VLOOKUP(L1074,'[2]tabela de preços'!$A:$G,7,0)</f>
        <v>AUTOMOTIVO</v>
      </c>
    </row>
    <row r="1075" spans="1:24" x14ac:dyDescent="0.3">
      <c r="A1075" t="s">
        <v>1135</v>
      </c>
      <c r="C1075" t="s">
        <v>1136</v>
      </c>
      <c r="D1075" s="1">
        <v>46027</v>
      </c>
      <c r="E1075" t="s">
        <v>1137</v>
      </c>
      <c r="F1075">
        <v>9</v>
      </c>
      <c r="G1075">
        <v>230</v>
      </c>
      <c r="H1075" t="str">
        <f>VLOOKUP(G1075,[1]OPERADORES!$A:$B,2,0)</f>
        <v>SÔNIA</v>
      </c>
      <c r="I1075" t="s">
        <v>1138</v>
      </c>
      <c r="J1075" t="s">
        <v>1139</v>
      </c>
      <c r="K1075" t="s">
        <v>1140</v>
      </c>
      <c r="L1075">
        <v>84863</v>
      </c>
      <c r="M1075" t="s">
        <v>1049</v>
      </c>
      <c r="O1075" t="s">
        <v>11</v>
      </c>
      <c r="P1075">
        <v>6403</v>
      </c>
      <c r="Q1075">
        <v>10</v>
      </c>
      <c r="R1075">
        <v>117.04</v>
      </c>
      <c r="S1075" s="2">
        <v>1170.4000000000001</v>
      </c>
      <c r="T1075">
        <v>834.5</v>
      </c>
      <c r="U1075">
        <v>28.7</v>
      </c>
      <c r="V1075" t="str">
        <f>VLOOKUP(L1075,'[2]tabela de preços'!$A:$D,4,0)</f>
        <v>BRASILUX</v>
      </c>
      <c r="W1075" t="str">
        <f>VLOOKUP(L1075,'[2]tabela de preços'!$A:$F,6,0)</f>
        <v>ESMALTES</v>
      </c>
      <c r="X1075" t="str">
        <f>VLOOKUP(L1075,'[2]tabela de preços'!$A:$G,7,0)</f>
        <v>INDUSTRIAL</v>
      </c>
    </row>
    <row r="1076" spans="1:24" x14ac:dyDescent="0.3">
      <c r="A1076" t="s">
        <v>1135</v>
      </c>
      <c r="C1076" t="s">
        <v>1136</v>
      </c>
      <c r="D1076" s="1">
        <v>46027</v>
      </c>
      <c r="E1076" t="s">
        <v>1137</v>
      </c>
      <c r="F1076">
        <v>9</v>
      </c>
      <c r="G1076">
        <v>230</v>
      </c>
      <c r="H1076" t="str">
        <f>VLOOKUP(G1076,[1]OPERADORES!$A:$B,2,0)</f>
        <v>SÔNIA</v>
      </c>
      <c r="I1076" t="s">
        <v>1138</v>
      </c>
      <c r="J1076" t="s">
        <v>1139</v>
      </c>
      <c r="K1076" t="s">
        <v>1140</v>
      </c>
      <c r="L1076">
        <v>85178</v>
      </c>
      <c r="M1076" t="s">
        <v>1143</v>
      </c>
      <c r="O1076" t="s">
        <v>11</v>
      </c>
      <c r="P1076">
        <v>6403</v>
      </c>
      <c r="Q1076">
        <v>2</v>
      </c>
      <c r="R1076">
        <v>87.3</v>
      </c>
      <c r="S1076">
        <v>174.6</v>
      </c>
      <c r="T1076">
        <v>124.5</v>
      </c>
      <c r="U1076">
        <v>28.69</v>
      </c>
      <c r="V1076" t="str">
        <f>VLOOKUP(L1076,'[2]tabela de preços'!$A:$D,4,0)</f>
        <v>BRASILUX</v>
      </c>
      <c r="W1076" t="str">
        <f>VLOOKUP(L1076,'[2]tabela de preços'!$A:$F,6,0)</f>
        <v>ESMALTES</v>
      </c>
      <c r="X1076" t="str">
        <f>VLOOKUP(L1076,'[2]tabela de preços'!$A:$G,7,0)</f>
        <v>INDUSTRIAL</v>
      </c>
    </row>
    <row r="1077" spans="1:24" x14ac:dyDescent="0.3">
      <c r="A1077" t="s">
        <v>1135</v>
      </c>
      <c r="C1077" t="s">
        <v>1136</v>
      </c>
      <c r="D1077" s="1">
        <v>46027</v>
      </c>
      <c r="E1077" t="s">
        <v>1137</v>
      </c>
      <c r="F1077">
        <v>9</v>
      </c>
      <c r="G1077">
        <v>230</v>
      </c>
      <c r="H1077" t="str">
        <f>VLOOKUP(G1077,[1]OPERADORES!$A:$B,2,0)</f>
        <v>SÔNIA</v>
      </c>
      <c r="I1077" t="s">
        <v>1138</v>
      </c>
      <c r="J1077" t="s">
        <v>1139</v>
      </c>
      <c r="K1077" t="s">
        <v>1140</v>
      </c>
      <c r="L1077">
        <v>85281</v>
      </c>
      <c r="M1077" t="s">
        <v>1144</v>
      </c>
      <c r="O1077" t="s">
        <v>11</v>
      </c>
      <c r="P1077">
        <v>6403</v>
      </c>
      <c r="Q1077">
        <v>1</v>
      </c>
      <c r="R1077">
        <v>87.34</v>
      </c>
      <c r="S1077">
        <v>87.34</v>
      </c>
      <c r="T1077">
        <v>62.27</v>
      </c>
      <c r="U1077">
        <v>28.7</v>
      </c>
      <c r="V1077" t="str">
        <f>VLOOKUP(L1077,'[2]tabela de preços'!$A:$D,4,0)</f>
        <v>BRASILUX</v>
      </c>
      <c r="W1077" t="str">
        <f>VLOOKUP(L1077,'[2]tabela de preços'!$A:$F,6,0)</f>
        <v>ESMALTES</v>
      </c>
      <c r="X1077" t="str">
        <f>VLOOKUP(L1077,'[2]tabela de preços'!$A:$G,7,0)</f>
        <v>INDUSTRIAL</v>
      </c>
    </row>
    <row r="1078" spans="1:24" x14ac:dyDescent="0.3">
      <c r="A1078" t="s">
        <v>1135</v>
      </c>
      <c r="C1078" t="s">
        <v>1136</v>
      </c>
      <c r="D1078" s="1">
        <v>46027</v>
      </c>
      <c r="E1078" t="s">
        <v>1137</v>
      </c>
      <c r="F1078">
        <v>9</v>
      </c>
      <c r="G1078">
        <v>230</v>
      </c>
      <c r="H1078" t="str">
        <f>VLOOKUP(G1078,[1]OPERADORES!$A:$B,2,0)</f>
        <v>SÔNIA</v>
      </c>
      <c r="I1078" t="s">
        <v>1138</v>
      </c>
      <c r="J1078" t="s">
        <v>1139</v>
      </c>
      <c r="K1078" t="s">
        <v>1140</v>
      </c>
      <c r="L1078">
        <v>20454</v>
      </c>
      <c r="M1078" t="s">
        <v>1086</v>
      </c>
      <c r="O1078" t="s">
        <v>11</v>
      </c>
      <c r="P1078">
        <v>6403</v>
      </c>
      <c r="Q1078">
        <v>2</v>
      </c>
      <c r="R1078">
        <v>181.24</v>
      </c>
      <c r="S1078">
        <v>362.48</v>
      </c>
      <c r="T1078">
        <v>275.12</v>
      </c>
      <c r="U1078">
        <v>24.1</v>
      </c>
      <c r="V1078" t="str">
        <f>VLOOKUP(L1078,'[2]tabela de preços'!$A:$D,4,0)</f>
        <v>SHERWIN WILLIAMS</v>
      </c>
      <c r="W1078" t="str">
        <f>VLOOKUP(L1078,'[2]tabela de preços'!$A:$F,6,0)</f>
        <v>VERNIZ AUTOMOTIVO</v>
      </c>
      <c r="X1078" t="str">
        <f>VLOOKUP(L1078,'[2]tabela de preços'!$A:$G,7,0)</f>
        <v>AUTOMOTIVO</v>
      </c>
    </row>
    <row r="1079" spans="1:24" x14ac:dyDescent="0.3">
      <c r="A1079" t="s">
        <v>1135</v>
      </c>
      <c r="C1079" t="s">
        <v>1145</v>
      </c>
      <c r="D1079" s="1">
        <v>46027</v>
      </c>
      <c r="E1079" t="s">
        <v>1146</v>
      </c>
      <c r="F1079">
        <v>9</v>
      </c>
      <c r="G1079">
        <v>230</v>
      </c>
      <c r="H1079" t="str">
        <f>VLOOKUP(G1079,[1]OPERADORES!$A:$B,2,0)</f>
        <v>SÔNIA</v>
      </c>
      <c r="I1079" t="s">
        <v>1138</v>
      </c>
      <c r="J1079" t="s">
        <v>1139</v>
      </c>
      <c r="K1079" t="s">
        <v>1140</v>
      </c>
      <c r="L1079">
        <v>10236</v>
      </c>
      <c r="M1079" t="s">
        <v>133</v>
      </c>
      <c r="O1079" t="s">
        <v>11</v>
      </c>
      <c r="P1079">
        <v>6102</v>
      </c>
      <c r="Q1079">
        <v>204</v>
      </c>
      <c r="R1079">
        <v>2.79</v>
      </c>
      <c r="S1079">
        <v>569.16</v>
      </c>
      <c r="T1079">
        <v>483.48</v>
      </c>
      <c r="U1079">
        <v>15.05</v>
      </c>
      <c r="V1079" t="str">
        <f>VLOOKUP(L1079,'[2]tabela de preços'!$A:$D,4,0)</f>
        <v>NORTON</v>
      </c>
      <c r="W1079" t="str">
        <f>VLOOKUP(L1079,'[2]tabela de preços'!$A:$F,6,0)</f>
        <v xml:space="preserve">DISCOS / LIXAS / ABRASIVOS </v>
      </c>
      <c r="X1079" t="str">
        <f>VLOOKUP(L1079,'[2]tabela de preços'!$A:$G,7,0)</f>
        <v>AUTOMOTIVO</v>
      </c>
    </row>
    <row r="1080" spans="1:24" x14ac:dyDescent="0.3">
      <c r="A1080" t="s">
        <v>1135</v>
      </c>
      <c r="C1080" t="s">
        <v>1147</v>
      </c>
      <c r="D1080" s="1">
        <v>46048</v>
      </c>
      <c r="E1080" t="s">
        <v>1148</v>
      </c>
      <c r="F1080">
        <v>9</v>
      </c>
      <c r="G1080">
        <v>230</v>
      </c>
      <c r="H1080" t="str">
        <f>VLOOKUP(G1080,[1]OPERADORES!$A:$B,2,0)</f>
        <v>SÔNIA</v>
      </c>
      <c r="I1080" t="s">
        <v>1138</v>
      </c>
      <c r="J1080" t="s">
        <v>1139</v>
      </c>
      <c r="K1080" t="s">
        <v>1140</v>
      </c>
      <c r="L1080">
        <v>84325</v>
      </c>
      <c r="M1080" t="s">
        <v>678</v>
      </c>
      <c r="O1080" t="s">
        <v>11</v>
      </c>
      <c r="P1080">
        <v>6403</v>
      </c>
      <c r="Q1080">
        <v>1</v>
      </c>
      <c r="R1080">
        <v>64.180000000000007</v>
      </c>
      <c r="S1080">
        <v>64.180000000000007</v>
      </c>
      <c r="T1080">
        <v>52</v>
      </c>
      <c r="U1080">
        <v>18.98</v>
      </c>
      <c r="V1080" t="str">
        <f>VLOOKUP(L1080,'[2]tabela de preços'!$A:$D,4,0)</f>
        <v>BRASILUX</v>
      </c>
      <c r="W1080" t="str">
        <f>VLOOKUP(L1080,'[2]tabela de preços'!$A:$F,6,0)</f>
        <v>ESMALTES</v>
      </c>
      <c r="X1080" t="str">
        <f>VLOOKUP(L1080,'[2]tabela de preços'!$A:$G,7,0)</f>
        <v>INDUSTRIAL</v>
      </c>
    </row>
    <row r="1081" spans="1:24" x14ac:dyDescent="0.3">
      <c r="A1081" t="s">
        <v>1135</v>
      </c>
      <c r="C1081" t="s">
        <v>1147</v>
      </c>
      <c r="D1081" s="1">
        <v>46048</v>
      </c>
      <c r="E1081" t="s">
        <v>1148</v>
      </c>
      <c r="F1081">
        <v>9</v>
      </c>
      <c r="G1081">
        <v>230</v>
      </c>
      <c r="H1081" t="str">
        <f>VLOOKUP(G1081,[1]OPERADORES!$A:$B,2,0)</f>
        <v>SÔNIA</v>
      </c>
      <c r="I1081" t="s">
        <v>1138</v>
      </c>
      <c r="J1081" t="s">
        <v>1139</v>
      </c>
      <c r="K1081" t="s">
        <v>1140</v>
      </c>
      <c r="L1081">
        <v>84329</v>
      </c>
      <c r="M1081" t="s">
        <v>285</v>
      </c>
      <c r="O1081" t="s">
        <v>11</v>
      </c>
      <c r="P1081">
        <v>6403</v>
      </c>
      <c r="Q1081">
        <v>1</v>
      </c>
      <c r="R1081">
        <v>64.180000000000007</v>
      </c>
      <c r="S1081">
        <v>64.180000000000007</v>
      </c>
      <c r="T1081">
        <v>48.27</v>
      </c>
      <c r="U1081">
        <v>24.79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1135</v>
      </c>
      <c r="C1082" t="s">
        <v>1147</v>
      </c>
      <c r="D1082" s="1">
        <v>46048</v>
      </c>
      <c r="E1082" t="s">
        <v>1148</v>
      </c>
      <c r="F1082">
        <v>9</v>
      </c>
      <c r="G1082">
        <v>230</v>
      </c>
      <c r="H1082" t="str">
        <f>VLOOKUP(G1082,[1]OPERADORES!$A:$B,2,0)</f>
        <v>SÔNIA</v>
      </c>
      <c r="I1082" t="s">
        <v>1138</v>
      </c>
      <c r="J1082" t="s">
        <v>1139</v>
      </c>
      <c r="K1082" t="s">
        <v>1140</v>
      </c>
      <c r="L1082">
        <v>84331</v>
      </c>
      <c r="M1082" t="s">
        <v>497</v>
      </c>
      <c r="O1082" t="s">
        <v>11</v>
      </c>
      <c r="P1082">
        <v>6403</v>
      </c>
      <c r="Q1082">
        <v>2</v>
      </c>
      <c r="R1082">
        <v>64.180000000000007</v>
      </c>
      <c r="S1082">
        <v>128.36000000000001</v>
      </c>
      <c r="T1082">
        <v>104</v>
      </c>
      <c r="U1082">
        <v>18.98</v>
      </c>
      <c r="V1082" t="str">
        <f>VLOOKUP(L1082,'[2]tabela de preços'!$A:$D,4,0)</f>
        <v>BRASILUX</v>
      </c>
      <c r="W1082" t="str">
        <f>VLOOKUP(L1082,'[2]tabela de preços'!$A:$F,6,0)</f>
        <v>ESMALTES</v>
      </c>
      <c r="X1082" t="str">
        <f>VLOOKUP(L1082,'[2]tabela de preços'!$A:$G,7,0)</f>
        <v>INDUSTRIAL</v>
      </c>
    </row>
    <row r="1083" spans="1:24" x14ac:dyDescent="0.3">
      <c r="A1083" t="s">
        <v>1135</v>
      </c>
      <c r="C1083" t="s">
        <v>1147</v>
      </c>
      <c r="D1083" s="1">
        <v>46048</v>
      </c>
      <c r="E1083" t="s">
        <v>1148</v>
      </c>
      <c r="F1083">
        <v>9</v>
      </c>
      <c r="G1083">
        <v>230</v>
      </c>
      <c r="H1083" t="str">
        <f>VLOOKUP(G1083,[1]OPERADORES!$A:$B,2,0)</f>
        <v>SÔNIA</v>
      </c>
      <c r="I1083" t="s">
        <v>1138</v>
      </c>
      <c r="J1083" t="s">
        <v>1139</v>
      </c>
      <c r="K1083" t="s">
        <v>1140</v>
      </c>
      <c r="L1083">
        <v>84338</v>
      </c>
      <c r="M1083" t="s">
        <v>752</v>
      </c>
      <c r="O1083" t="s">
        <v>11</v>
      </c>
      <c r="P1083">
        <v>6403</v>
      </c>
      <c r="Q1083">
        <v>1</v>
      </c>
      <c r="R1083">
        <v>64.180000000000007</v>
      </c>
      <c r="S1083">
        <v>64.180000000000007</v>
      </c>
      <c r="T1083">
        <v>52</v>
      </c>
      <c r="U1083">
        <v>18.98</v>
      </c>
      <c r="V1083" t="str">
        <f>VLOOKUP(L1083,'[2]tabela de preços'!$A:$D,4,0)</f>
        <v>BRASILUX</v>
      </c>
      <c r="W1083" t="str">
        <f>VLOOKUP(L1083,'[2]tabela de preços'!$A:$F,6,0)</f>
        <v>ESMALTES</v>
      </c>
      <c r="X1083" t="str">
        <f>VLOOKUP(L1083,'[2]tabela de preços'!$A:$G,7,0)</f>
        <v>INDUSTRIAL</v>
      </c>
    </row>
    <row r="1084" spans="1:24" x14ac:dyDescent="0.3">
      <c r="A1084" t="s">
        <v>1135</v>
      </c>
      <c r="C1084" t="s">
        <v>1147</v>
      </c>
      <c r="D1084" s="1">
        <v>46048</v>
      </c>
      <c r="E1084" t="s">
        <v>1148</v>
      </c>
      <c r="F1084">
        <v>9</v>
      </c>
      <c r="G1084">
        <v>230</v>
      </c>
      <c r="H1084" t="str">
        <f>VLOOKUP(G1084,[1]OPERADORES!$A:$B,2,0)</f>
        <v>SÔNIA</v>
      </c>
      <c r="I1084" t="s">
        <v>1138</v>
      </c>
      <c r="J1084" t="s">
        <v>1139</v>
      </c>
      <c r="K1084" t="s">
        <v>1140</v>
      </c>
      <c r="L1084">
        <v>85499</v>
      </c>
      <c r="M1084" t="s">
        <v>1149</v>
      </c>
      <c r="O1084" t="s">
        <v>11</v>
      </c>
      <c r="P1084">
        <v>6403</v>
      </c>
      <c r="Q1084">
        <v>1</v>
      </c>
      <c r="R1084">
        <v>64.180000000000007</v>
      </c>
      <c r="S1084">
        <v>64.180000000000007</v>
      </c>
      <c r="T1084">
        <v>47.75</v>
      </c>
      <c r="U1084">
        <v>25.6</v>
      </c>
      <c r="V1084" t="str">
        <f>VLOOKUP(L1084,'[2]tabela de preços'!$A:$D,4,0)</f>
        <v>BRASILUX</v>
      </c>
      <c r="W1084" t="str">
        <f>VLOOKUP(L1084,'[2]tabela de preços'!$A:$F,6,0)</f>
        <v>ESMALTES</v>
      </c>
      <c r="X1084" t="str">
        <f>VLOOKUP(L1084,'[2]tabela de preços'!$A:$G,7,0)</f>
        <v>INDUSTRIAL</v>
      </c>
    </row>
    <row r="1085" spans="1:24" x14ac:dyDescent="0.3">
      <c r="A1085" t="s">
        <v>1135</v>
      </c>
      <c r="C1085" t="s">
        <v>1147</v>
      </c>
      <c r="D1085" s="1">
        <v>46048</v>
      </c>
      <c r="E1085" t="s">
        <v>1148</v>
      </c>
      <c r="F1085">
        <v>9</v>
      </c>
      <c r="G1085">
        <v>230</v>
      </c>
      <c r="H1085" t="str">
        <f>VLOOKUP(G1085,[1]OPERADORES!$A:$B,2,0)</f>
        <v>SÔNIA</v>
      </c>
      <c r="I1085" t="s">
        <v>1138</v>
      </c>
      <c r="J1085" t="s">
        <v>1139</v>
      </c>
      <c r="K1085" t="s">
        <v>1140</v>
      </c>
      <c r="L1085">
        <v>84347</v>
      </c>
      <c r="M1085" t="s">
        <v>1150</v>
      </c>
      <c r="O1085" t="s">
        <v>11</v>
      </c>
      <c r="P1085">
        <v>6403</v>
      </c>
      <c r="Q1085">
        <v>1</v>
      </c>
      <c r="R1085">
        <v>64.180000000000007</v>
      </c>
      <c r="S1085">
        <v>64.180000000000007</v>
      </c>
      <c r="T1085">
        <v>52</v>
      </c>
      <c r="U1085">
        <v>18.98</v>
      </c>
      <c r="V1085" t="str">
        <f>VLOOKUP(L1085,'[2]tabela de preços'!$A:$D,4,0)</f>
        <v>BRASILUX</v>
      </c>
      <c r="W1085" t="str">
        <f>VLOOKUP(L1085,'[2]tabela de preços'!$A:$F,6,0)</f>
        <v>ESMALTES</v>
      </c>
      <c r="X1085" t="str">
        <f>VLOOKUP(L1085,'[2]tabela de preços'!$A:$G,7,0)</f>
        <v>INDUSTRIAL</v>
      </c>
    </row>
    <row r="1086" spans="1:24" x14ac:dyDescent="0.3">
      <c r="A1086" t="s">
        <v>1135</v>
      </c>
      <c r="C1086" t="s">
        <v>1147</v>
      </c>
      <c r="D1086" s="1">
        <v>46048</v>
      </c>
      <c r="E1086" t="s">
        <v>1148</v>
      </c>
      <c r="F1086">
        <v>9</v>
      </c>
      <c r="G1086">
        <v>230</v>
      </c>
      <c r="H1086" t="str">
        <f>VLOOKUP(G1086,[1]OPERADORES!$A:$B,2,0)</f>
        <v>SÔNIA</v>
      </c>
      <c r="I1086" t="s">
        <v>1138</v>
      </c>
      <c r="J1086" t="s">
        <v>1139</v>
      </c>
      <c r="K1086" t="s">
        <v>1140</v>
      </c>
      <c r="L1086">
        <v>85243</v>
      </c>
      <c r="M1086" t="s">
        <v>1151</v>
      </c>
      <c r="O1086" t="s">
        <v>11</v>
      </c>
      <c r="P1086">
        <v>6403</v>
      </c>
      <c r="Q1086">
        <v>1</v>
      </c>
      <c r="R1086">
        <v>104.26</v>
      </c>
      <c r="S1086">
        <v>104.26</v>
      </c>
      <c r="T1086">
        <v>74.34</v>
      </c>
      <c r="U1086">
        <v>28.7</v>
      </c>
      <c r="V1086" t="str">
        <f>VLOOKUP(L1086,'[2]tabela de preços'!$A:$D,4,0)</f>
        <v>BRASILUX</v>
      </c>
      <c r="W1086" t="str">
        <f>VLOOKUP(L1086,'[2]tabela de preços'!$A:$F,6,0)</f>
        <v>ESMALTES</v>
      </c>
      <c r="X1086" t="str">
        <f>VLOOKUP(L1086,'[2]tabela de preços'!$A:$G,7,0)</f>
        <v>INDUSTRIAL</v>
      </c>
    </row>
    <row r="1087" spans="1:24" x14ac:dyDescent="0.3">
      <c r="A1087" t="s">
        <v>1135</v>
      </c>
      <c r="C1087" t="s">
        <v>1147</v>
      </c>
      <c r="D1087" s="1">
        <v>46048</v>
      </c>
      <c r="E1087" t="s">
        <v>1148</v>
      </c>
      <c r="F1087">
        <v>9</v>
      </c>
      <c r="G1087">
        <v>230</v>
      </c>
      <c r="H1087" t="str">
        <f>VLOOKUP(G1087,[1]OPERADORES!$A:$B,2,0)</f>
        <v>SÔNIA</v>
      </c>
      <c r="I1087" t="s">
        <v>1138</v>
      </c>
      <c r="J1087" t="s">
        <v>1139</v>
      </c>
      <c r="K1087" t="s">
        <v>1140</v>
      </c>
      <c r="L1087">
        <v>84014</v>
      </c>
      <c r="M1087" t="s">
        <v>1152</v>
      </c>
      <c r="O1087" t="s">
        <v>11</v>
      </c>
      <c r="P1087">
        <v>6102</v>
      </c>
      <c r="Q1087">
        <v>15</v>
      </c>
      <c r="R1087">
        <v>2.2000000000000002</v>
      </c>
      <c r="S1087">
        <v>33</v>
      </c>
      <c r="T1087">
        <v>25.05</v>
      </c>
      <c r="U1087">
        <v>24.09</v>
      </c>
      <c r="V1087" t="str">
        <f>VLOOKUP(L1087,'[2]tabela de preços'!$A:$D,4,0)</f>
        <v>3M</v>
      </c>
      <c r="W1087" t="str">
        <f>VLOOKUP(L1087,'[2]tabela de preços'!$A:$F,6,0)</f>
        <v>LIXA FERRO</v>
      </c>
      <c r="X1087" t="str">
        <f>VLOOKUP(L1087,'[2]tabela de preços'!$A:$G,7,0)</f>
        <v>IMOBILIÁRIO</v>
      </c>
    </row>
    <row r="1088" spans="1:24" x14ac:dyDescent="0.3">
      <c r="A1088" t="s">
        <v>1135</v>
      </c>
      <c r="C1088" t="s">
        <v>1147</v>
      </c>
      <c r="D1088" s="1">
        <v>46048</v>
      </c>
      <c r="E1088" t="s">
        <v>1148</v>
      </c>
      <c r="F1088">
        <v>9</v>
      </c>
      <c r="G1088">
        <v>230</v>
      </c>
      <c r="H1088" t="str">
        <f>VLOOKUP(G1088,[1]OPERADORES!$A:$B,2,0)</f>
        <v>SÔNIA</v>
      </c>
      <c r="I1088" t="s">
        <v>1138</v>
      </c>
      <c r="J1088" t="s">
        <v>1139</v>
      </c>
      <c r="K1088" t="s">
        <v>1140</v>
      </c>
      <c r="L1088">
        <v>10298</v>
      </c>
      <c r="M1088" t="s">
        <v>85</v>
      </c>
      <c r="O1088" t="s">
        <v>11</v>
      </c>
      <c r="P1088">
        <v>6102</v>
      </c>
      <c r="Q1088">
        <v>1</v>
      </c>
      <c r="R1088">
        <v>56.89</v>
      </c>
      <c r="S1088">
        <v>56.89</v>
      </c>
      <c r="T1088">
        <v>47.38</v>
      </c>
      <c r="U1088">
        <v>16.72</v>
      </c>
      <c r="V1088" t="str">
        <f>VLOOKUP(L1088,'[2]tabela de preços'!$A:$D,4,0)</f>
        <v>ANJO</v>
      </c>
      <c r="W1088" t="str">
        <f>VLOOKUP(L1088,'[2]tabela de preços'!$A:$F,6,0)</f>
        <v>THINNER DE LIMPEZA</v>
      </c>
      <c r="X1088" t="str">
        <f>VLOOKUP(L1088,'[2]tabela de preços'!$A:$G,7,0)</f>
        <v>THINNER</v>
      </c>
    </row>
    <row r="1089" spans="1:24" x14ac:dyDescent="0.3">
      <c r="A1089" t="s">
        <v>1135</v>
      </c>
      <c r="C1089" t="s">
        <v>1153</v>
      </c>
      <c r="D1089" s="1">
        <v>46051</v>
      </c>
      <c r="E1089" t="s">
        <v>1154</v>
      </c>
      <c r="F1089">
        <v>9</v>
      </c>
      <c r="G1089">
        <v>230</v>
      </c>
      <c r="H1089" t="str">
        <f>VLOOKUP(G1089,[1]OPERADORES!$A:$B,2,0)</f>
        <v>SÔNIA</v>
      </c>
      <c r="I1089" t="s">
        <v>1138</v>
      </c>
      <c r="J1089" t="s">
        <v>1139</v>
      </c>
      <c r="K1089" t="s">
        <v>1140</v>
      </c>
      <c r="L1089">
        <v>85135</v>
      </c>
      <c r="M1089" t="s">
        <v>1141</v>
      </c>
      <c r="O1089" t="s">
        <v>11</v>
      </c>
      <c r="P1089">
        <v>6403</v>
      </c>
      <c r="Q1089">
        <v>10</v>
      </c>
      <c r="R1089">
        <v>174.83</v>
      </c>
      <c r="S1089" s="2">
        <v>1748.3</v>
      </c>
      <c r="T1089">
        <v>934.91</v>
      </c>
      <c r="U1089">
        <v>46.52</v>
      </c>
      <c r="V1089" t="str">
        <f>VLOOKUP(L1089,'[2]tabela de preços'!$A:$D,4,0)</f>
        <v>BRASILUX</v>
      </c>
      <c r="W1089" t="str">
        <f>VLOOKUP(L1089,'[2]tabela de preços'!$A:$F,6,0)</f>
        <v>TINTA DE LABORATÓRIO</v>
      </c>
      <c r="X1089" t="str">
        <f>VLOOKUP(L1089,'[2]tabela de preços'!$A:$G,7,0)</f>
        <v>AUTOMOTIVO</v>
      </c>
    </row>
    <row r="1090" spans="1:24" x14ac:dyDescent="0.3">
      <c r="A1090" t="s">
        <v>1135</v>
      </c>
      <c r="C1090" t="s">
        <v>1153</v>
      </c>
      <c r="D1090" s="1">
        <v>46051</v>
      </c>
      <c r="E1090" t="s">
        <v>1154</v>
      </c>
      <c r="F1090">
        <v>9</v>
      </c>
      <c r="G1090">
        <v>230</v>
      </c>
      <c r="H1090" t="str">
        <f>VLOOKUP(G1090,[1]OPERADORES!$A:$B,2,0)</f>
        <v>SÔNIA</v>
      </c>
      <c r="I1090" t="s">
        <v>1138</v>
      </c>
      <c r="J1090" t="s">
        <v>1139</v>
      </c>
      <c r="K1090" t="s">
        <v>1140</v>
      </c>
      <c r="L1090">
        <v>85280</v>
      </c>
      <c r="M1090" t="s">
        <v>943</v>
      </c>
      <c r="O1090" t="s">
        <v>11</v>
      </c>
      <c r="P1090">
        <v>6102</v>
      </c>
      <c r="Q1090">
        <v>10</v>
      </c>
      <c r="R1090">
        <v>55.72</v>
      </c>
      <c r="S1090">
        <v>557.20000000000005</v>
      </c>
      <c r="T1090">
        <v>422.9</v>
      </c>
      <c r="U1090">
        <v>24.1</v>
      </c>
      <c r="V1090" t="str">
        <f>VLOOKUP(L1090,'[2]tabela de preços'!$A:$D,4,0)</f>
        <v>BRASILUX</v>
      </c>
      <c r="W1090" t="str">
        <f>VLOOKUP(L1090,'[2]tabela de preços'!$A:$F,6,0)</f>
        <v>CATALISADORES INDIVIDUAIS</v>
      </c>
      <c r="X1090" t="str">
        <f>VLOOKUP(L1090,'[2]tabela de preços'!$A:$G,7,0)</f>
        <v>IMOBILIÁRIO</v>
      </c>
    </row>
    <row r="1091" spans="1:24" x14ac:dyDescent="0.3">
      <c r="A1091" t="s">
        <v>1135</v>
      </c>
      <c r="C1091" t="s">
        <v>2382</v>
      </c>
      <c r="D1091" s="1">
        <v>46052</v>
      </c>
      <c r="E1091" t="s">
        <v>2383</v>
      </c>
      <c r="F1091">
        <v>9</v>
      </c>
      <c r="G1091">
        <v>230</v>
      </c>
      <c r="H1091" t="str">
        <f>VLOOKUP(G1091,[1]OPERADORES!$A:$B,2,0)</f>
        <v>SÔNIA</v>
      </c>
      <c r="I1091" t="s">
        <v>1138</v>
      </c>
      <c r="J1091" t="s">
        <v>1139</v>
      </c>
      <c r="K1091" t="s">
        <v>1140</v>
      </c>
      <c r="L1091">
        <v>10236</v>
      </c>
      <c r="M1091" t="s">
        <v>133</v>
      </c>
      <c r="O1091" t="s">
        <v>11</v>
      </c>
      <c r="P1091">
        <v>6102</v>
      </c>
      <c r="Q1091">
        <v>204</v>
      </c>
      <c r="R1091">
        <v>2.79</v>
      </c>
      <c r="S1091">
        <v>569.16</v>
      </c>
      <c r="T1091">
        <v>473.28</v>
      </c>
      <c r="U1091">
        <v>16.850000000000001</v>
      </c>
      <c r="V1091" t="str">
        <f>VLOOKUP(L1091,'[2]tabela de preços'!$A:$D,4,0)</f>
        <v>NORTON</v>
      </c>
      <c r="W1091" t="str">
        <f>VLOOKUP(L1091,'[2]tabela de preços'!$A:$F,6,0)</f>
        <v xml:space="preserve">DISCOS / LIXAS / ABRASIVOS </v>
      </c>
      <c r="X1091" t="str">
        <f>VLOOKUP(L1091,'[2]tabela de preços'!$A:$G,7,0)</f>
        <v>AUTOMOTIVO</v>
      </c>
    </row>
    <row r="1092" spans="1:24" x14ac:dyDescent="0.3">
      <c r="A1092" t="s">
        <v>1135</v>
      </c>
      <c r="C1092" t="s">
        <v>2382</v>
      </c>
      <c r="D1092" s="1">
        <v>46052</v>
      </c>
      <c r="E1092" t="s">
        <v>2383</v>
      </c>
      <c r="F1092">
        <v>9</v>
      </c>
      <c r="G1092">
        <v>230</v>
      </c>
      <c r="H1092" t="str">
        <f>VLOOKUP(G1092,[1]OPERADORES!$A:$B,2,0)</f>
        <v>SÔNIA</v>
      </c>
      <c r="I1092" t="s">
        <v>1138</v>
      </c>
      <c r="J1092" t="s">
        <v>1139</v>
      </c>
      <c r="K1092" t="s">
        <v>1140</v>
      </c>
      <c r="L1092">
        <v>10226</v>
      </c>
      <c r="M1092" t="s">
        <v>145</v>
      </c>
      <c r="O1092" t="s">
        <v>11</v>
      </c>
      <c r="P1092">
        <v>6102</v>
      </c>
      <c r="Q1092">
        <v>102</v>
      </c>
      <c r="R1092">
        <v>2.79</v>
      </c>
      <c r="S1092">
        <v>284.58</v>
      </c>
      <c r="T1092">
        <v>236.64</v>
      </c>
      <c r="U1092">
        <v>16.850000000000001</v>
      </c>
      <c r="V1092" t="str">
        <f>VLOOKUP(L1092,'[2]tabela de preços'!$A:$D,4,0)</f>
        <v>NORTON</v>
      </c>
      <c r="W1092" t="str">
        <f>VLOOKUP(L1092,'[2]tabela de preços'!$A:$F,6,0)</f>
        <v xml:space="preserve">DISCOS / LIXAS / ABRASIVOS </v>
      </c>
      <c r="X1092" t="str">
        <f>VLOOKUP(L1092,'[2]tabela de preços'!$A:$G,7,0)</f>
        <v>AUTOMOTIVO</v>
      </c>
    </row>
    <row r="1093" spans="1:24" x14ac:dyDescent="0.3">
      <c r="A1093" t="s">
        <v>1135</v>
      </c>
      <c r="C1093" t="s">
        <v>2382</v>
      </c>
      <c r="D1093" s="1">
        <v>46052</v>
      </c>
      <c r="E1093" t="s">
        <v>2383</v>
      </c>
      <c r="F1093">
        <v>9</v>
      </c>
      <c r="G1093">
        <v>230</v>
      </c>
      <c r="H1093" t="str">
        <f>VLOOKUP(G1093,[1]OPERADORES!$A:$B,2,0)</f>
        <v>SÔNIA</v>
      </c>
      <c r="I1093" t="s">
        <v>1138</v>
      </c>
      <c r="J1093" t="s">
        <v>1139</v>
      </c>
      <c r="K1093" t="s">
        <v>1140</v>
      </c>
      <c r="L1093">
        <v>23267</v>
      </c>
      <c r="M1093" t="s">
        <v>164</v>
      </c>
      <c r="O1093" t="s">
        <v>11</v>
      </c>
      <c r="P1093">
        <v>6102</v>
      </c>
      <c r="Q1093">
        <v>12</v>
      </c>
      <c r="R1093">
        <v>22.89</v>
      </c>
      <c r="S1093">
        <v>274.68</v>
      </c>
      <c r="T1093">
        <v>234.48</v>
      </c>
      <c r="U1093">
        <v>14.64</v>
      </c>
      <c r="V1093" t="str">
        <f>VLOOKUP(L1093,'[2]tabela de preços'!$A:$D,4,0)</f>
        <v>ANJO</v>
      </c>
      <c r="W1093" t="str">
        <f>VLOOKUP(L1093,'[2]tabela de preços'!$A:$F,6,0)</f>
        <v>MASSA POLIÉSTER</v>
      </c>
      <c r="X1093" t="str">
        <f>VLOOKUP(L1093,'[2]tabela de preços'!$A:$G,7,0)</f>
        <v>AUTOMOTIVO</v>
      </c>
    </row>
    <row r="1094" spans="1:24" x14ac:dyDescent="0.3">
      <c r="A1094" t="s">
        <v>1135</v>
      </c>
      <c r="C1094" t="s">
        <v>2382</v>
      </c>
      <c r="D1094" s="1">
        <v>46052</v>
      </c>
      <c r="E1094" t="s">
        <v>2383</v>
      </c>
      <c r="F1094">
        <v>9</v>
      </c>
      <c r="G1094">
        <v>230</v>
      </c>
      <c r="H1094" t="str">
        <f>VLOOKUP(G1094,[1]OPERADORES!$A:$B,2,0)</f>
        <v>SÔNIA</v>
      </c>
      <c r="I1094" t="s">
        <v>1138</v>
      </c>
      <c r="J1094" t="s">
        <v>1139</v>
      </c>
      <c r="K1094" t="s">
        <v>1140</v>
      </c>
      <c r="L1094">
        <v>10298</v>
      </c>
      <c r="M1094" t="s">
        <v>85</v>
      </c>
      <c r="O1094" t="s">
        <v>11</v>
      </c>
      <c r="P1094">
        <v>6102</v>
      </c>
      <c r="Q1094">
        <v>8</v>
      </c>
      <c r="R1094">
        <v>56.89</v>
      </c>
      <c r="S1094">
        <v>455.12</v>
      </c>
      <c r="T1094">
        <v>379.04</v>
      </c>
      <c r="U1094">
        <v>16.72</v>
      </c>
      <c r="V1094" t="str">
        <f>VLOOKUP(L1094,'[2]tabela de preços'!$A:$D,4,0)</f>
        <v>ANJO</v>
      </c>
      <c r="W1094" t="str">
        <f>VLOOKUP(L1094,'[2]tabela de preços'!$A:$F,6,0)</f>
        <v>THINNER DE LIMPEZA</v>
      </c>
      <c r="X1094" t="str">
        <f>VLOOKUP(L1094,'[2]tabela de preços'!$A:$G,7,0)</f>
        <v>THINNER</v>
      </c>
    </row>
    <row r="1095" spans="1:24" x14ac:dyDescent="0.3">
      <c r="A1095" t="s">
        <v>1155</v>
      </c>
      <c r="C1095" t="s">
        <v>1156</v>
      </c>
      <c r="D1095" s="1">
        <v>46029</v>
      </c>
      <c r="E1095" t="s">
        <v>1157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211</v>
      </c>
      <c r="K1095" t="s">
        <v>1158</v>
      </c>
      <c r="L1095">
        <v>84497</v>
      </c>
      <c r="M1095" t="s">
        <v>1159</v>
      </c>
      <c r="O1095" t="s">
        <v>11</v>
      </c>
      <c r="P1095">
        <v>5102</v>
      </c>
      <c r="Q1095">
        <v>2</v>
      </c>
      <c r="R1095">
        <v>11.8</v>
      </c>
      <c r="S1095">
        <v>23.6</v>
      </c>
      <c r="T1095">
        <v>16.28</v>
      </c>
      <c r="U1095">
        <v>31.02</v>
      </c>
      <c r="V1095" t="str">
        <f>VLOOKUP(L1095,'[2]tabela de preços'!$A:$D,4,0)</f>
        <v>BRASILUX</v>
      </c>
      <c r="W1095" t="str">
        <f>VLOOKUP(L1095,'[2]tabela de preços'!$A:$F,6,0)</f>
        <v>THINNER DE LIMPEZA</v>
      </c>
      <c r="X1095" t="str">
        <f>VLOOKUP(L1095,'[2]tabela de preços'!$A:$G,7,0)</f>
        <v>THINNER</v>
      </c>
    </row>
    <row r="1096" spans="1:24" x14ac:dyDescent="0.3">
      <c r="A1096" t="s">
        <v>1155</v>
      </c>
      <c r="C1096" t="s">
        <v>1156</v>
      </c>
      <c r="D1096" s="1">
        <v>46029</v>
      </c>
      <c r="E1096" t="s">
        <v>1157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211</v>
      </c>
      <c r="K1096" t="s">
        <v>1158</v>
      </c>
      <c r="L1096">
        <v>20414</v>
      </c>
      <c r="M1096" t="s">
        <v>112</v>
      </c>
      <c r="O1096" t="s">
        <v>11</v>
      </c>
      <c r="P1096">
        <v>5102</v>
      </c>
      <c r="Q1096">
        <v>4</v>
      </c>
      <c r="R1096">
        <v>21.89</v>
      </c>
      <c r="S1096">
        <v>87.56</v>
      </c>
      <c r="T1096">
        <v>72</v>
      </c>
      <c r="U1096">
        <v>17.77</v>
      </c>
      <c r="V1096" t="str">
        <f>VLOOKUP(L1096,'[2]tabela de preços'!$A:$D,4,0)</f>
        <v>SHERWIN WILLIAMS</v>
      </c>
      <c r="W1096" t="str">
        <f>VLOOKUP(L1096,'[2]tabela de preços'!$A:$F,6,0)</f>
        <v>DILUENTE</v>
      </c>
      <c r="X1096" t="str">
        <f>VLOOKUP(L1096,'[2]tabela de preços'!$A:$G,7,0)</f>
        <v>AUTOMOTIVO</v>
      </c>
    </row>
    <row r="1097" spans="1:24" x14ac:dyDescent="0.3">
      <c r="A1097" t="s">
        <v>1155</v>
      </c>
      <c r="C1097" t="s">
        <v>1160</v>
      </c>
      <c r="D1097" s="1">
        <v>46044</v>
      </c>
      <c r="E1097" t="s">
        <v>1161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211</v>
      </c>
      <c r="K1097" t="s">
        <v>1158</v>
      </c>
      <c r="L1097">
        <v>20433</v>
      </c>
      <c r="M1097" t="s">
        <v>460</v>
      </c>
      <c r="O1097" t="s">
        <v>11</v>
      </c>
      <c r="P1097">
        <v>5102</v>
      </c>
      <c r="Q1097">
        <v>1</v>
      </c>
      <c r="R1097">
        <v>32.19</v>
      </c>
      <c r="S1097">
        <v>32.19</v>
      </c>
      <c r="T1097">
        <v>24.43</v>
      </c>
      <c r="U1097">
        <v>24.11</v>
      </c>
      <c r="V1097" t="str">
        <f>VLOOKUP(L1097,'[2]tabela de preços'!$A:$D,4,0)</f>
        <v>SHERWIN WILLIAMS</v>
      </c>
      <c r="W1097" t="str">
        <f>VLOOKUP(L1097,'[2]tabela de preços'!$A:$F,6,0)</f>
        <v>VERNIZ AUTOMOTIVO</v>
      </c>
      <c r="X1097" t="str">
        <f>VLOOKUP(L1097,'[2]tabela de preços'!$A:$G,7,0)</f>
        <v>AUTOMOTIVO</v>
      </c>
    </row>
    <row r="1098" spans="1:24" x14ac:dyDescent="0.3">
      <c r="A1098" t="s">
        <v>1155</v>
      </c>
      <c r="C1098" t="s">
        <v>1160</v>
      </c>
      <c r="D1098" s="1">
        <v>46044</v>
      </c>
      <c r="E1098" t="s">
        <v>1161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21</v>
      </c>
      <c r="J1098" t="s">
        <v>211</v>
      </c>
      <c r="K1098" t="s">
        <v>1158</v>
      </c>
      <c r="L1098">
        <v>21010</v>
      </c>
      <c r="M1098" t="s">
        <v>1162</v>
      </c>
      <c r="O1098" t="s">
        <v>411</v>
      </c>
      <c r="P1098">
        <v>5102</v>
      </c>
      <c r="Q1098">
        <v>1</v>
      </c>
      <c r="R1098">
        <v>60.67</v>
      </c>
      <c r="S1098">
        <v>60.67</v>
      </c>
      <c r="T1098">
        <v>46.05</v>
      </c>
      <c r="U1098">
        <v>24.1</v>
      </c>
      <c r="V1098" t="str">
        <f>VLOOKUP(L1098,'[2]tabela de preços'!$A:$D,4,0)</f>
        <v>WANDA</v>
      </c>
      <c r="W1098" t="str">
        <f>VLOOKUP(L1098,'[2]tabela de preços'!$A:$F,6,0)</f>
        <v>TINTAS PU</v>
      </c>
      <c r="X1098" t="str">
        <f>VLOOKUP(L1098,'[2]tabela de preços'!$A:$G,7,0)</f>
        <v>AUTOMOTIVO</v>
      </c>
    </row>
    <row r="1099" spans="1:24" x14ac:dyDescent="0.3">
      <c r="A1099" t="s">
        <v>1155</v>
      </c>
      <c r="C1099" t="s">
        <v>1160</v>
      </c>
      <c r="D1099" s="1">
        <v>46044</v>
      </c>
      <c r="E1099" t="s">
        <v>1161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21</v>
      </c>
      <c r="J1099" t="s">
        <v>211</v>
      </c>
      <c r="K1099" t="s">
        <v>1158</v>
      </c>
      <c r="L1099">
        <v>20021</v>
      </c>
      <c r="M1099" t="s">
        <v>276</v>
      </c>
      <c r="O1099" t="s">
        <v>11</v>
      </c>
      <c r="P1099">
        <v>5102</v>
      </c>
      <c r="Q1099">
        <v>2</v>
      </c>
      <c r="R1099">
        <v>3.43</v>
      </c>
      <c r="S1099">
        <v>6.86</v>
      </c>
      <c r="T1099">
        <v>5.2</v>
      </c>
      <c r="U1099">
        <v>24.2</v>
      </c>
      <c r="V1099" t="str">
        <f>VLOOKUP(L1099,'[2]tabela de preços'!$A:$D,4,0)</f>
        <v>3M</v>
      </c>
      <c r="W1099" t="str">
        <f>VLOOKUP(L1099,'[2]tabela de preços'!$A:$F,6,0)</f>
        <v>LIXA DÁGUA</v>
      </c>
      <c r="X1099" t="str">
        <f>VLOOKUP(L1099,'[2]tabela de preços'!$A:$G,7,0)</f>
        <v>AUTOMOTIVO</v>
      </c>
    </row>
    <row r="1100" spans="1:24" x14ac:dyDescent="0.3">
      <c r="A1100" t="s">
        <v>1155</v>
      </c>
      <c r="C1100" t="s">
        <v>1160</v>
      </c>
      <c r="D1100" s="1">
        <v>46044</v>
      </c>
      <c r="E1100" t="s">
        <v>1161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211</v>
      </c>
      <c r="K1100" t="s">
        <v>1158</v>
      </c>
      <c r="L1100">
        <v>10243</v>
      </c>
      <c r="M1100" t="s">
        <v>83</v>
      </c>
      <c r="O1100" t="s">
        <v>11</v>
      </c>
      <c r="P1100">
        <v>5102</v>
      </c>
      <c r="Q1100">
        <v>4</v>
      </c>
      <c r="R1100">
        <v>2.79</v>
      </c>
      <c r="S1100">
        <v>11.16</v>
      </c>
      <c r="T1100">
        <v>7.72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1155</v>
      </c>
      <c r="C1101" t="s">
        <v>1160</v>
      </c>
      <c r="D1101" s="1">
        <v>46044</v>
      </c>
      <c r="E1101" t="s">
        <v>1161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211</v>
      </c>
      <c r="K1101" t="s">
        <v>1158</v>
      </c>
      <c r="L1101">
        <v>20414</v>
      </c>
      <c r="M1101" t="s">
        <v>112</v>
      </c>
      <c r="O1101" t="s">
        <v>11</v>
      </c>
      <c r="P1101">
        <v>5102</v>
      </c>
      <c r="Q1101">
        <v>3</v>
      </c>
      <c r="R1101">
        <v>21.89</v>
      </c>
      <c r="S1101">
        <v>65.67</v>
      </c>
      <c r="T1101">
        <v>54</v>
      </c>
      <c r="U1101">
        <v>17.77</v>
      </c>
      <c r="V1101" t="str">
        <f>VLOOKUP(L1101,'[2]tabela de preços'!$A:$D,4,0)</f>
        <v>SHERWIN WILLIAMS</v>
      </c>
      <c r="W1101" t="str">
        <f>VLOOKUP(L1101,'[2]tabela de preços'!$A:$F,6,0)</f>
        <v>DILUENTE</v>
      </c>
      <c r="X1101" t="str">
        <f>VLOOKUP(L1101,'[2]tabela de preços'!$A:$G,7,0)</f>
        <v>AUTOMOTIVO</v>
      </c>
    </row>
    <row r="1102" spans="1:24" x14ac:dyDescent="0.3">
      <c r="A1102" t="s">
        <v>1155</v>
      </c>
      <c r="C1102" t="s">
        <v>1160</v>
      </c>
      <c r="D1102" s="1">
        <v>46044</v>
      </c>
      <c r="E1102" t="s">
        <v>1161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211</v>
      </c>
      <c r="K1102" t="s">
        <v>1158</v>
      </c>
      <c r="L1102">
        <v>20399</v>
      </c>
      <c r="M1102" t="s">
        <v>465</v>
      </c>
      <c r="O1102" t="s">
        <v>11</v>
      </c>
      <c r="P1102">
        <v>5403</v>
      </c>
      <c r="Q1102">
        <v>1</v>
      </c>
      <c r="R1102">
        <v>35.26</v>
      </c>
      <c r="S1102">
        <v>35.26</v>
      </c>
      <c r="T1102">
        <v>26.78</v>
      </c>
      <c r="U1102">
        <v>24.05</v>
      </c>
      <c r="V1102" t="str">
        <f>VLOOKUP(L1102,'[2]tabela de preços'!$A:$D,4,0)</f>
        <v>SHERWIN WILLIAMS</v>
      </c>
      <c r="W1102" t="str">
        <f>VLOOKUP(L1102,'[2]tabela de preços'!$A:$F,6,0)</f>
        <v>VERNIZ AUTOMOTIVO</v>
      </c>
      <c r="X1102" t="str">
        <f>VLOOKUP(L1102,'[2]tabela de preços'!$A:$G,7,0)</f>
        <v>AUTOMOTIVO</v>
      </c>
    </row>
    <row r="1103" spans="1:24" x14ac:dyDescent="0.3">
      <c r="A1103" t="s">
        <v>1163</v>
      </c>
      <c r="B1103" t="s">
        <v>1164</v>
      </c>
      <c r="C1103" t="s">
        <v>1165</v>
      </c>
      <c r="D1103" s="1">
        <v>46031</v>
      </c>
      <c r="E1103" t="s">
        <v>1166</v>
      </c>
      <c r="F1103">
        <v>9</v>
      </c>
      <c r="G1103">
        <v>230</v>
      </c>
      <c r="H1103" t="str">
        <f>VLOOKUP(G1103,[1]OPERADORES!$A:$B,2,0)</f>
        <v>SÔNIA</v>
      </c>
      <c r="I1103" t="s">
        <v>21</v>
      </c>
      <c r="J1103" t="s">
        <v>211</v>
      </c>
      <c r="K1103" t="s">
        <v>1167</v>
      </c>
      <c r="L1103">
        <v>20814</v>
      </c>
      <c r="M1103" t="s">
        <v>445</v>
      </c>
      <c r="O1103" t="s">
        <v>11</v>
      </c>
      <c r="P1103">
        <v>5102</v>
      </c>
      <c r="Q1103">
        <v>2</v>
      </c>
      <c r="R1103">
        <v>7.81</v>
      </c>
      <c r="S1103">
        <v>15.62</v>
      </c>
      <c r="T1103">
        <v>11.86</v>
      </c>
      <c r="U1103">
        <v>24.07</v>
      </c>
      <c r="V1103" t="str">
        <f>VLOOKUP(L1103,'[2]tabela de preços'!$A:$D,4,0)</f>
        <v>AUTO AMERICA</v>
      </c>
      <c r="W1103" t="str">
        <f>VLOOKUP(L1103,'[2]tabela de preços'!$A:$F,6,0)</f>
        <v>APLICADORES / ADAPTADORES / ENGATES / SUPORTES</v>
      </c>
      <c r="X1103" t="str">
        <f>VLOOKUP(L1103,'[2]tabela de preços'!$A:$G,7,0)</f>
        <v>AUTOMOTIVO</v>
      </c>
    </row>
    <row r="1104" spans="1:24" x14ac:dyDescent="0.3">
      <c r="A1104" t="s">
        <v>1163</v>
      </c>
      <c r="B1104" t="s">
        <v>1164</v>
      </c>
      <c r="C1104" t="s">
        <v>1165</v>
      </c>
      <c r="D1104" s="1">
        <v>46031</v>
      </c>
      <c r="E1104" t="s">
        <v>1166</v>
      </c>
      <c r="F1104">
        <v>9</v>
      </c>
      <c r="G1104">
        <v>230</v>
      </c>
      <c r="H1104" t="str">
        <f>VLOOKUP(G1104,[1]OPERADORES!$A:$B,2,0)</f>
        <v>SÔNIA</v>
      </c>
      <c r="I1104" t="s">
        <v>21</v>
      </c>
      <c r="J1104" t="s">
        <v>211</v>
      </c>
      <c r="K1104" t="s">
        <v>1167</v>
      </c>
      <c r="L1104">
        <v>20817</v>
      </c>
      <c r="M1104" t="s">
        <v>153</v>
      </c>
      <c r="O1104" t="s">
        <v>11</v>
      </c>
      <c r="P1104">
        <v>5102</v>
      </c>
      <c r="Q1104">
        <v>3</v>
      </c>
      <c r="R1104">
        <v>22.89</v>
      </c>
      <c r="S1104">
        <v>68.67</v>
      </c>
      <c r="T1104">
        <v>55.86</v>
      </c>
      <c r="U1104">
        <v>18.649999999999999</v>
      </c>
      <c r="V1104" t="str">
        <f>VLOOKUP(L1104,'[2]tabela de preços'!$A:$D,4,0)</f>
        <v>AUTO AMERICA</v>
      </c>
      <c r="W1104" t="str">
        <f>VLOOKUP(L1104,'[2]tabela de preços'!$A:$F,6,0)</f>
        <v>MASSA DE POLIR</v>
      </c>
      <c r="X1104" t="str">
        <f>VLOOKUP(L1104,'[2]tabela de preços'!$A:$G,7,0)</f>
        <v>AUTOMOTIVO</v>
      </c>
    </row>
    <row r="1105" spans="1:24" x14ac:dyDescent="0.3">
      <c r="A1105" t="s">
        <v>1163</v>
      </c>
      <c r="B1105" t="s">
        <v>1164</v>
      </c>
      <c r="C1105" t="s">
        <v>1165</v>
      </c>
      <c r="D1105" s="1">
        <v>46031</v>
      </c>
      <c r="E1105" t="s">
        <v>1166</v>
      </c>
      <c r="F1105">
        <v>9</v>
      </c>
      <c r="G1105">
        <v>230</v>
      </c>
      <c r="H1105" t="str">
        <f>VLOOKUP(G1105,[1]OPERADORES!$A:$B,2,0)</f>
        <v>SÔNIA</v>
      </c>
      <c r="I1105" t="s">
        <v>21</v>
      </c>
      <c r="J1105" t="s">
        <v>211</v>
      </c>
      <c r="K1105" t="s">
        <v>1167</v>
      </c>
      <c r="L1105">
        <v>85227</v>
      </c>
      <c r="M1105" t="s">
        <v>1042</v>
      </c>
      <c r="O1105" t="s">
        <v>11</v>
      </c>
      <c r="P1105">
        <v>5102</v>
      </c>
      <c r="Q1105">
        <v>8</v>
      </c>
      <c r="R1105">
        <v>6.06</v>
      </c>
      <c r="S1105">
        <v>48.48</v>
      </c>
      <c r="T1105">
        <v>36.799999999999997</v>
      </c>
      <c r="U1105">
        <v>24.09</v>
      </c>
      <c r="V1105" t="str">
        <f>VLOOKUP(L1105,'[2]tabela de preços'!$A:$D,4,0)</f>
        <v>ATLAS</v>
      </c>
      <c r="W1105" t="str">
        <f>VLOOKUP(L1105,'[2]tabela de preços'!$A:$F,6,0)</f>
        <v>ROLOS / TRINCHAS / PINCÉIS / ESPÁTULAS</v>
      </c>
      <c r="X1105" t="str">
        <f>VLOOKUP(L1105,'[2]tabela de preços'!$A:$G,7,0)</f>
        <v>IMOBILIÁRIO</v>
      </c>
    </row>
    <row r="1106" spans="1:24" x14ac:dyDescent="0.3">
      <c r="A1106" t="s">
        <v>1163</v>
      </c>
      <c r="B1106" t="s">
        <v>1164</v>
      </c>
      <c r="C1106" t="s">
        <v>1165</v>
      </c>
      <c r="D1106" s="1">
        <v>46031</v>
      </c>
      <c r="E1106" t="s">
        <v>1166</v>
      </c>
      <c r="F1106">
        <v>9</v>
      </c>
      <c r="G1106">
        <v>230</v>
      </c>
      <c r="H1106" t="str">
        <f>VLOOKUP(G1106,[1]OPERADORES!$A:$B,2,0)</f>
        <v>SÔNIA</v>
      </c>
      <c r="I1106" t="s">
        <v>21</v>
      </c>
      <c r="J1106" t="s">
        <v>211</v>
      </c>
      <c r="K1106" t="s">
        <v>1167</v>
      </c>
      <c r="L1106">
        <v>85683</v>
      </c>
      <c r="M1106" t="s">
        <v>521</v>
      </c>
      <c r="O1106" t="s">
        <v>11</v>
      </c>
      <c r="P1106">
        <v>5102</v>
      </c>
      <c r="Q1106">
        <v>8</v>
      </c>
      <c r="R1106">
        <v>8.68</v>
      </c>
      <c r="S1106">
        <v>69.44</v>
      </c>
      <c r="T1106">
        <v>52.72</v>
      </c>
      <c r="U1106">
        <v>24.08</v>
      </c>
      <c r="V1106" t="str">
        <f>VLOOKUP(L1106,'[2]tabela de preços'!$A:$D,4,0)</f>
        <v>UNIPEGA</v>
      </c>
      <c r="W1106" t="str">
        <f>VLOOKUP(L1106,'[2]tabela de preços'!$A:$F,6,0)</f>
        <v>SILICONE</v>
      </c>
      <c r="X1106" t="str">
        <f>VLOOKUP(L1106,'[2]tabela de preços'!$A:$G,7,0)</f>
        <v>IMOBILIÁRIO</v>
      </c>
    </row>
    <row r="1107" spans="1:24" x14ac:dyDescent="0.3">
      <c r="A1107" t="s">
        <v>1163</v>
      </c>
      <c r="B1107" t="s">
        <v>1164</v>
      </c>
      <c r="C1107" t="s">
        <v>1168</v>
      </c>
      <c r="D1107" s="1">
        <v>46048</v>
      </c>
      <c r="E1107" t="s">
        <v>1169</v>
      </c>
      <c r="F1107">
        <v>9</v>
      </c>
      <c r="G1107">
        <v>230</v>
      </c>
      <c r="H1107" t="str">
        <f>VLOOKUP(G1107,[1]OPERADORES!$A:$B,2,0)</f>
        <v>SÔNIA</v>
      </c>
      <c r="I1107" t="s">
        <v>21</v>
      </c>
      <c r="J1107" t="s">
        <v>211</v>
      </c>
      <c r="K1107" t="s">
        <v>1167</v>
      </c>
      <c r="L1107">
        <v>23715</v>
      </c>
      <c r="M1107" t="s">
        <v>978</v>
      </c>
      <c r="O1107" t="s">
        <v>11</v>
      </c>
      <c r="P1107">
        <v>5102</v>
      </c>
      <c r="Q1107">
        <v>4</v>
      </c>
      <c r="R1107">
        <v>40.71</v>
      </c>
      <c r="S1107">
        <v>162.84</v>
      </c>
      <c r="T1107">
        <v>123.6</v>
      </c>
      <c r="U1107">
        <v>24.1</v>
      </c>
      <c r="V1107" t="str">
        <f>VLOOKUP(L1107,'[2]tabela de preços'!$A:$D,4,0)</f>
        <v>NEW PAD</v>
      </c>
      <c r="W1107" t="str">
        <f>VLOOKUP(L1107,'[2]tabela de preços'!$A:$F,6,0)</f>
        <v>BOINAS PARA POLIMENTO</v>
      </c>
      <c r="X1107" t="str">
        <f>VLOOKUP(L1107,'[2]tabela de preços'!$A:$G,7,0)</f>
        <v>AUTOMOTIVO</v>
      </c>
    </row>
    <row r="1108" spans="1:24" x14ac:dyDescent="0.3">
      <c r="A1108" t="s">
        <v>1163</v>
      </c>
      <c r="B1108" t="s">
        <v>1164</v>
      </c>
      <c r="C1108" t="s">
        <v>1168</v>
      </c>
      <c r="D1108" s="1">
        <v>46048</v>
      </c>
      <c r="E1108" t="s">
        <v>1169</v>
      </c>
      <c r="F1108">
        <v>9</v>
      </c>
      <c r="G1108">
        <v>230</v>
      </c>
      <c r="H1108" t="str">
        <f>VLOOKUP(G1108,[1]OPERADORES!$A:$B,2,0)</f>
        <v>SÔNIA</v>
      </c>
      <c r="I1108" t="s">
        <v>21</v>
      </c>
      <c r="J1108" t="s">
        <v>211</v>
      </c>
      <c r="K1108" t="s">
        <v>1167</v>
      </c>
      <c r="L1108">
        <v>20817</v>
      </c>
      <c r="M1108" t="s">
        <v>153</v>
      </c>
      <c r="O1108" t="s">
        <v>11</v>
      </c>
      <c r="P1108">
        <v>5102</v>
      </c>
      <c r="Q1108">
        <v>6</v>
      </c>
      <c r="R1108">
        <v>22.89</v>
      </c>
      <c r="S1108">
        <v>137.34</v>
      </c>
      <c r="T1108">
        <v>111.72</v>
      </c>
      <c r="U1108">
        <v>18.649999999999999</v>
      </c>
      <c r="V1108" t="str">
        <f>VLOOKUP(L1108,'[2]tabela de preços'!$A:$D,4,0)</f>
        <v>AUTO AMERICA</v>
      </c>
      <c r="W1108" t="str">
        <f>VLOOKUP(L1108,'[2]tabela de preços'!$A:$F,6,0)</f>
        <v>MASSA DE POLIR</v>
      </c>
      <c r="X1108" t="str">
        <f>VLOOKUP(L1108,'[2]tabela de preços'!$A:$G,7,0)</f>
        <v>AUTOMOTIVO</v>
      </c>
    </row>
    <row r="1109" spans="1:24" x14ac:dyDescent="0.3">
      <c r="A1109" t="s">
        <v>1163</v>
      </c>
      <c r="B1109" t="s">
        <v>1164</v>
      </c>
      <c r="C1109" t="s">
        <v>1168</v>
      </c>
      <c r="D1109" s="1">
        <v>46048</v>
      </c>
      <c r="E1109" t="s">
        <v>1169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211</v>
      </c>
      <c r="K1109" t="s">
        <v>1167</v>
      </c>
      <c r="L1109">
        <v>23267</v>
      </c>
      <c r="M1109" t="s">
        <v>164</v>
      </c>
      <c r="O1109" t="s">
        <v>11</v>
      </c>
      <c r="P1109">
        <v>5102</v>
      </c>
      <c r="Q1109">
        <v>6</v>
      </c>
      <c r="R1109">
        <v>22.89</v>
      </c>
      <c r="S1109">
        <v>137.34</v>
      </c>
      <c r="T1109">
        <v>117.24</v>
      </c>
      <c r="U1109">
        <v>14.64</v>
      </c>
      <c r="V1109" t="str">
        <f>VLOOKUP(L1109,'[2]tabela de preços'!$A:$D,4,0)</f>
        <v>ANJO</v>
      </c>
      <c r="W1109" t="str">
        <f>VLOOKUP(L1109,'[2]tabela de preços'!$A:$F,6,0)</f>
        <v>MASSA POLIÉSTER</v>
      </c>
      <c r="X1109" t="str">
        <f>VLOOKUP(L1109,'[2]tabela de preços'!$A:$G,7,0)</f>
        <v>AUTOMOTIVO</v>
      </c>
    </row>
    <row r="1110" spans="1:24" x14ac:dyDescent="0.3">
      <c r="A1110" t="s">
        <v>1170</v>
      </c>
      <c r="C1110" t="s">
        <v>1171</v>
      </c>
      <c r="D1110" s="1">
        <v>46030</v>
      </c>
      <c r="E1110" t="s">
        <v>1172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1173</v>
      </c>
      <c r="K1110" t="s">
        <v>1174</v>
      </c>
      <c r="L1110">
        <v>87043</v>
      </c>
      <c r="M1110" t="s">
        <v>217</v>
      </c>
      <c r="O1110" t="s">
        <v>11</v>
      </c>
      <c r="P1110">
        <v>5102</v>
      </c>
      <c r="Q1110">
        <v>64</v>
      </c>
      <c r="R1110">
        <v>22.89</v>
      </c>
      <c r="S1110" s="2">
        <v>1464.96</v>
      </c>
      <c r="T1110" s="2">
        <v>1153.28</v>
      </c>
      <c r="U1110">
        <v>21.28</v>
      </c>
      <c r="V1110" t="str">
        <f>VLOOKUP(L1110,'[2]tabela de preços'!$A:$D,4,0)</f>
        <v>ROBERLO</v>
      </c>
      <c r="W1110" t="str">
        <f>VLOOKUP(L1110,'[2]tabela de preços'!$A:$F,6,0)</f>
        <v>MASSA POLIÉSTER</v>
      </c>
      <c r="X1110" t="str">
        <f>VLOOKUP(L1110,'[2]tabela de preços'!$A:$G,7,0)</f>
        <v>AUTOMOTIVO</v>
      </c>
    </row>
    <row r="1111" spans="1:24" x14ac:dyDescent="0.3">
      <c r="A1111" t="s">
        <v>1170</v>
      </c>
      <c r="C1111" t="s">
        <v>1175</v>
      </c>
      <c r="D1111" s="1">
        <v>46035</v>
      </c>
      <c r="E1111" t="s">
        <v>1176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1173</v>
      </c>
      <c r="K1111" t="s">
        <v>1174</v>
      </c>
      <c r="L1111">
        <v>23076</v>
      </c>
      <c r="M1111" t="s">
        <v>97</v>
      </c>
      <c r="O1111" t="s">
        <v>11</v>
      </c>
      <c r="P1111">
        <v>5403</v>
      </c>
      <c r="Q1111">
        <v>18</v>
      </c>
      <c r="R1111">
        <v>34.89</v>
      </c>
      <c r="S1111">
        <v>628.02</v>
      </c>
      <c r="T1111">
        <v>477.54</v>
      </c>
      <c r="U1111">
        <v>23.96</v>
      </c>
      <c r="V1111" t="str">
        <f>VLOOKUP(L1111,'[2]tabela de preços'!$A:$D,4,0)</f>
        <v>WANDA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1170</v>
      </c>
      <c r="C1112" t="s">
        <v>1175</v>
      </c>
      <c r="D1112" s="1">
        <v>46035</v>
      </c>
      <c r="E1112" t="s">
        <v>1176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1173</v>
      </c>
      <c r="K1112" t="s">
        <v>1174</v>
      </c>
      <c r="L1112">
        <v>21067</v>
      </c>
      <c r="M1112" t="s">
        <v>640</v>
      </c>
      <c r="O1112" t="s">
        <v>11</v>
      </c>
      <c r="P1112">
        <v>5102</v>
      </c>
      <c r="Q1112">
        <v>12</v>
      </c>
      <c r="R1112">
        <v>37.58</v>
      </c>
      <c r="S1112">
        <v>450.96</v>
      </c>
      <c r="T1112">
        <v>342.24</v>
      </c>
      <c r="U1112">
        <v>24.11</v>
      </c>
      <c r="V1112" t="str">
        <f>VLOOKUP(L1112,'[2]tabela de preços'!$A:$D,4,0)</f>
        <v>SIKKENS</v>
      </c>
      <c r="W1112" t="str">
        <f>VLOOKUP(L1112,'[2]tabela de preços'!$A:$F,6,0)</f>
        <v>DILUENTE</v>
      </c>
      <c r="X1112" t="str">
        <f>VLOOKUP(L1112,'[2]tabela de preços'!$A:$G,7,0)</f>
        <v>AUTOMOTIVO</v>
      </c>
    </row>
    <row r="1113" spans="1:24" x14ac:dyDescent="0.3">
      <c r="A1113" t="s">
        <v>1177</v>
      </c>
      <c r="C1113" t="s">
        <v>1178</v>
      </c>
      <c r="D1113" s="1">
        <v>46024</v>
      </c>
      <c r="E1113" t="s">
        <v>1179</v>
      </c>
      <c r="F1113">
        <v>9</v>
      </c>
      <c r="G1113">
        <v>236</v>
      </c>
      <c r="H1113" t="str">
        <f>VLOOKUP(G1113,[1]OPERADORES!$A:$B,2,0)</f>
        <v>DANIEL</v>
      </c>
      <c r="I1113" t="s">
        <v>244</v>
      </c>
      <c r="J1113" t="s">
        <v>1180</v>
      </c>
      <c r="K1113" t="s">
        <v>1181</v>
      </c>
      <c r="L1113">
        <v>85402</v>
      </c>
      <c r="M1113" t="s">
        <v>1182</v>
      </c>
      <c r="O1113" t="s">
        <v>11</v>
      </c>
      <c r="P1113">
        <v>6102</v>
      </c>
      <c r="Q1113">
        <v>1</v>
      </c>
      <c r="R1113">
        <v>564.86</v>
      </c>
      <c r="S1113">
        <v>564.86</v>
      </c>
      <c r="T1113">
        <v>393.5</v>
      </c>
      <c r="U1113">
        <v>30.34</v>
      </c>
      <c r="V1113" t="str">
        <f>VLOOKUP(L1113,'[2]tabela de preços'!$A:$D,4,0)</f>
        <v>BRASILUX</v>
      </c>
      <c r="W1113" t="str">
        <f>VLOOKUP(L1113,'[2]tabela de preços'!$A:$F,6,0)</f>
        <v>TINTA EM PÓ</v>
      </c>
      <c r="X1113" t="str">
        <f>VLOOKUP(L1113,'[2]tabela de preços'!$A:$G,7,0)</f>
        <v>INDUSTRIAL</v>
      </c>
    </row>
    <row r="1114" spans="1:24" x14ac:dyDescent="0.3">
      <c r="A1114" t="s">
        <v>1177</v>
      </c>
      <c r="C1114" t="s">
        <v>1178</v>
      </c>
      <c r="D1114" s="1">
        <v>46024</v>
      </c>
      <c r="E1114" t="s">
        <v>1179</v>
      </c>
      <c r="F1114">
        <v>9</v>
      </c>
      <c r="G1114">
        <v>236</v>
      </c>
      <c r="H1114" t="str">
        <f>VLOOKUP(G1114,[1]OPERADORES!$A:$B,2,0)</f>
        <v>DANIEL</v>
      </c>
      <c r="I1114" t="s">
        <v>244</v>
      </c>
      <c r="J1114" t="s">
        <v>1180</v>
      </c>
      <c r="K1114" t="s">
        <v>1181</v>
      </c>
      <c r="L1114">
        <v>85315</v>
      </c>
      <c r="M1114" t="s">
        <v>485</v>
      </c>
      <c r="O1114" t="s">
        <v>11</v>
      </c>
      <c r="P1114">
        <v>6102</v>
      </c>
      <c r="Q1114">
        <v>1</v>
      </c>
      <c r="R1114">
        <v>569.72</v>
      </c>
      <c r="S1114">
        <v>569.72</v>
      </c>
      <c r="T1114">
        <v>406.22</v>
      </c>
      <c r="U1114">
        <v>28.7</v>
      </c>
      <c r="V1114" t="str">
        <f>VLOOKUP(L1114,'[2]tabela de preços'!$A:$D,4,0)</f>
        <v>BRASILUX</v>
      </c>
      <c r="W1114" t="str">
        <f>VLOOKUP(L1114,'[2]tabela de preços'!$A:$F,6,0)</f>
        <v>TINTA EM PÓ</v>
      </c>
      <c r="X1114" t="str">
        <f>VLOOKUP(L1114,'[2]tabela de preços'!$A:$G,7,0)</f>
        <v>INDUSTRIAL</v>
      </c>
    </row>
    <row r="1115" spans="1:24" x14ac:dyDescent="0.3">
      <c r="A1115" t="s">
        <v>1177</v>
      </c>
      <c r="C1115" t="s">
        <v>1178</v>
      </c>
      <c r="D1115" s="1">
        <v>46024</v>
      </c>
      <c r="E1115" t="s">
        <v>1179</v>
      </c>
      <c r="F1115">
        <v>9</v>
      </c>
      <c r="G1115">
        <v>236</v>
      </c>
      <c r="H1115" t="str">
        <f>VLOOKUP(G1115,[1]OPERADORES!$A:$B,2,0)</f>
        <v>DANIEL</v>
      </c>
      <c r="I1115" t="s">
        <v>244</v>
      </c>
      <c r="J1115" t="s">
        <v>1180</v>
      </c>
      <c r="K1115" t="s">
        <v>1181</v>
      </c>
      <c r="L1115">
        <v>85328</v>
      </c>
      <c r="M1115" t="s">
        <v>605</v>
      </c>
      <c r="O1115" t="s">
        <v>11</v>
      </c>
      <c r="P1115">
        <v>6102</v>
      </c>
      <c r="Q1115">
        <v>1</v>
      </c>
      <c r="R1115">
        <v>579.12</v>
      </c>
      <c r="S1115">
        <v>579.12</v>
      </c>
      <c r="T1115">
        <v>403.43</v>
      </c>
      <c r="U1115">
        <v>30.34</v>
      </c>
      <c r="V1115" t="str">
        <f>VLOOKUP(L1115,'[2]tabela de preços'!$A:$D,4,0)</f>
        <v>BRASILUX</v>
      </c>
      <c r="W1115" t="str">
        <f>VLOOKUP(L1115,'[2]tabela de preços'!$A:$F,6,0)</f>
        <v>TINTA EM PÓ</v>
      </c>
      <c r="X1115" t="str">
        <f>VLOOKUP(L1115,'[2]tabela de preços'!$A:$G,7,0)</f>
        <v>INDUSTRIAL</v>
      </c>
    </row>
    <row r="1116" spans="1:24" x14ac:dyDescent="0.3">
      <c r="A1116" t="s">
        <v>1177</v>
      </c>
      <c r="C1116" t="s">
        <v>1183</v>
      </c>
      <c r="D1116" s="1">
        <v>46031</v>
      </c>
      <c r="E1116" t="s">
        <v>1184</v>
      </c>
      <c r="F1116">
        <v>9</v>
      </c>
      <c r="G1116">
        <v>236</v>
      </c>
      <c r="H1116" t="str">
        <f>VLOOKUP(G1116,[1]OPERADORES!$A:$B,2,0)</f>
        <v>DANIEL</v>
      </c>
      <c r="I1116" t="s">
        <v>244</v>
      </c>
      <c r="J1116" t="s">
        <v>1180</v>
      </c>
      <c r="K1116" t="s">
        <v>1181</v>
      </c>
      <c r="L1116">
        <v>85328</v>
      </c>
      <c r="M1116" t="s">
        <v>605</v>
      </c>
      <c r="O1116" t="s">
        <v>11</v>
      </c>
      <c r="P1116">
        <v>6102</v>
      </c>
      <c r="Q1116">
        <v>1</v>
      </c>
      <c r="R1116">
        <v>579.12</v>
      </c>
      <c r="S1116">
        <v>579.12</v>
      </c>
      <c r="T1116">
        <v>403.43</v>
      </c>
      <c r="U1116">
        <v>30.34</v>
      </c>
      <c r="V1116" t="str">
        <f>VLOOKUP(L1116,'[2]tabela de preços'!$A:$D,4,0)</f>
        <v>BRASILUX</v>
      </c>
      <c r="W1116" t="str">
        <f>VLOOKUP(L1116,'[2]tabela de preços'!$A:$F,6,0)</f>
        <v>TINTA EM PÓ</v>
      </c>
      <c r="X1116" t="str">
        <f>VLOOKUP(L1116,'[2]tabela de preços'!$A:$G,7,0)</f>
        <v>INDUSTRIAL</v>
      </c>
    </row>
    <row r="1117" spans="1:24" x14ac:dyDescent="0.3">
      <c r="A1117" t="s">
        <v>1185</v>
      </c>
      <c r="C1117" t="s">
        <v>1186</v>
      </c>
      <c r="D1117" s="1">
        <v>46048</v>
      </c>
      <c r="E1117" t="s">
        <v>1187</v>
      </c>
      <c r="F1117">
        <v>9</v>
      </c>
      <c r="G1117">
        <v>197</v>
      </c>
      <c r="H1117" t="str">
        <f>VLOOKUP(G1117,[1]OPERADORES!$A:$B,2,0)</f>
        <v xml:space="preserve">POLIANA LORRANE DE AMORIM </v>
      </c>
      <c r="I1117" t="s">
        <v>21</v>
      </c>
      <c r="J1117" t="s">
        <v>1188</v>
      </c>
      <c r="K1117" t="s">
        <v>1189</v>
      </c>
      <c r="L1117">
        <v>9804</v>
      </c>
      <c r="M1117" t="s">
        <v>1190</v>
      </c>
      <c r="O1117" t="s">
        <v>11</v>
      </c>
      <c r="P1117">
        <v>5102</v>
      </c>
      <c r="Q1117">
        <v>1</v>
      </c>
      <c r="R1117">
        <v>39.29</v>
      </c>
      <c r="S1117">
        <v>39.29</v>
      </c>
      <c r="T1117">
        <v>28.16</v>
      </c>
      <c r="U1117">
        <v>28.33</v>
      </c>
      <c r="V1117" t="str">
        <f>VLOOKUP(L1117,'[2]tabela de preços'!$A:$D,4,0)</f>
        <v>WANDA</v>
      </c>
      <c r="W1117" t="str">
        <f>VLOOKUP(L1117,'[2]tabela de preços'!$A:$F,6,0)</f>
        <v>DESENGRAXANTE</v>
      </c>
      <c r="X1117" t="str">
        <f>VLOOKUP(L1117,'[2]tabela de preços'!$A:$G,7,0)</f>
        <v>AUTOMOTIVO</v>
      </c>
    </row>
    <row r="1118" spans="1:24" x14ac:dyDescent="0.3">
      <c r="A1118" t="s">
        <v>1185</v>
      </c>
      <c r="C1118" t="s">
        <v>1186</v>
      </c>
      <c r="D1118" s="1">
        <v>46048</v>
      </c>
      <c r="E1118" t="s">
        <v>1187</v>
      </c>
      <c r="F1118">
        <v>9</v>
      </c>
      <c r="G1118">
        <v>197</v>
      </c>
      <c r="H1118" t="str">
        <f>VLOOKUP(G1118,[1]OPERADORES!$A:$B,2,0)</f>
        <v xml:space="preserve">POLIANA LORRANE DE AMORIM </v>
      </c>
      <c r="I1118" t="s">
        <v>21</v>
      </c>
      <c r="J1118" t="s">
        <v>1188</v>
      </c>
      <c r="K1118" t="s">
        <v>1189</v>
      </c>
      <c r="L1118">
        <v>85402</v>
      </c>
      <c r="M1118" t="s">
        <v>1182</v>
      </c>
      <c r="O1118" t="s">
        <v>11</v>
      </c>
      <c r="P1118">
        <v>5102</v>
      </c>
      <c r="Q1118">
        <v>1</v>
      </c>
      <c r="R1118">
        <v>564.86</v>
      </c>
      <c r="S1118">
        <v>564.86</v>
      </c>
      <c r="T1118">
        <v>393.5</v>
      </c>
      <c r="U1118">
        <v>30.34</v>
      </c>
      <c r="V1118" t="str">
        <f>VLOOKUP(L1118,'[2]tabela de preços'!$A:$D,4,0)</f>
        <v>BRASILUX</v>
      </c>
      <c r="W1118" t="str">
        <f>VLOOKUP(L1118,'[2]tabela de preços'!$A:$F,6,0)</f>
        <v>TINTA EM PÓ</v>
      </c>
      <c r="X1118" t="str">
        <f>VLOOKUP(L1118,'[2]tabela de preços'!$A:$G,7,0)</f>
        <v>INDUSTRIAL</v>
      </c>
    </row>
    <row r="1119" spans="1:24" x14ac:dyDescent="0.3">
      <c r="A1119" t="s">
        <v>1185</v>
      </c>
      <c r="C1119" t="s">
        <v>1191</v>
      </c>
      <c r="D1119" s="1">
        <v>46049</v>
      </c>
      <c r="E1119" t="s">
        <v>1192</v>
      </c>
      <c r="F1119">
        <v>9</v>
      </c>
      <c r="G1119">
        <v>197</v>
      </c>
      <c r="H1119" t="str">
        <f>VLOOKUP(G1119,[1]OPERADORES!$A:$B,2,0)</f>
        <v xml:space="preserve">POLIANA LORRANE DE AMORIM </v>
      </c>
      <c r="I1119" t="s">
        <v>21</v>
      </c>
      <c r="J1119" t="s">
        <v>1188</v>
      </c>
      <c r="K1119" t="s">
        <v>1189</v>
      </c>
      <c r="L1119">
        <v>23364</v>
      </c>
      <c r="M1119" t="s">
        <v>55</v>
      </c>
      <c r="O1119" t="s">
        <v>11</v>
      </c>
      <c r="P1119">
        <v>5102</v>
      </c>
      <c r="Q1119">
        <v>6</v>
      </c>
      <c r="R1119">
        <v>6.19</v>
      </c>
      <c r="S1119">
        <v>37.14</v>
      </c>
      <c r="T1119">
        <v>29.46</v>
      </c>
      <c r="U1119">
        <v>20.68</v>
      </c>
      <c r="V1119" t="str">
        <f>VLOOKUP(L1119,'[2]tabela de preços'!$A:$D,4,0)</f>
        <v>AUTO AMERICA</v>
      </c>
      <c r="W1119" t="str">
        <f>VLOOKUP(L1119,'[2]tabela de preços'!$A:$F,6,0)</f>
        <v>FLANELAS / PANOS</v>
      </c>
      <c r="X1119" t="str">
        <f>VLOOKUP(L1119,'[2]tabela de preços'!$A:$G,7,0)</f>
        <v>AUTOMOTIVO</v>
      </c>
    </row>
    <row r="1120" spans="1:24" x14ac:dyDescent="0.3">
      <c r="A1120" t="s">
        <v>1185</v>
      </c>
      <c r="C1120" t="s">
        <v>1191</v>
      </c>
      <c r="D1120" s="1">
        <v>46049</v>
      </c>
      <c r="E1120" t="s">
        <v>1192</v>
      </c>
      <c r="F1120">
        <v>9</v>
      </c>
      <c r="G1120">
        <v>197</v>
      </c>
      <c r="H1120" t="str">
        <f>VLOOKUP(G1120,[1]OPERADORES!$A:$B,2,0)</f>
        <v xml:space="preserve">POLIANA LORRANE DE AMORIM </v>
      </c>
      <c r="I1120" t="s">
        <v>21</v>
      </c>
      <c r="J1120" t="s">
        <v>1188</v>
      </c>
      <c r="K1120" t="s">
        <v>1189</v>
      </c>
      <c r="L1120">
        <v>84560</v>
      </c>
      <c r="M1120" t="s">
        <v>118</v>
      </c>
      <c r="O1120" t="s">
        <v>11</v>
      </c>
      <c r="P1120">
        <v>5102</v>
      </c>
      <c r="Q1120">
        <v>1</v>
      </c>
      <c r="R1120">
        <v>47.89</v>
      </c>
      <c r="S1120">
        <v>47.89</v>
      </c>
      <c r="T1120">
        <v>39.159999999999997</v>
      </c>
      <c r="U1120">
        <v>18.23</v>
      </c>
      <c r="V1120" t="str">
        <f>VLOOKUP(L1120,'[2]tabela de preços'!$A:$D,4,0)</f>
        <v>BRASILUX</v>
      </c>
      <c r="W1120" t="str">
        <f>VLOOKUP(L1120,'[2]tabela de preços'!$A:$F,6,0)</f>
        <v>THINNER DE LIMPEZA</v>
      </c>
      <c r="X1120" t="str">
        <f>VLOOKUP(L1120,'[2]tabela de preços'!$A:$G,7,0)</f>
        <v>THINNER</v>
      </c>
    </row>
    <row r="1121" spans="1:24" x14ac:dyDescent="0.3">
      <c r="A1121" t="s">
        <v>1193</v>
      </c>
      <c r="C1121" t="s">
        <v>1194</v>
      </c>
      <c r="D1121" s="1">
        <v>46051</v>
      </c>
      <c r="E1121" t="s">
        <v>1195</v>
      </c>
      <c r="F1121">
        <v>9</v>
      </c>
      <c r="G1121">
        <v>236</v>
      </c>
      <c r="H1121" t="str">
        <f>VLOOKUP(G1121,[1]OPERADORES!$A:$B,2,0)</f>
        <v>DANIEL</v>
      </c>
      <c r="I1121" t="s">
        <v>21</v>
      </c>
      <c r="J1121" t="s">
        <v>397</v>
      </c>
      <c r="K1121" t="s">
        <v>1196</v>
      </c>
      <c r="L1121">
        <v>23878</v>
      </c>
      <c r="M1121" t="s">
        <v>851</v>
      </c>
      <c r="O1121" t="s">
        <v>11</v>
      </c>
      <c r="P1121">
        <v>5102</v>
      </c>
      <c r="Q1121">
        <v>1</v>
      </c>
      <c r="R1121">
        <v>7.96</v>
      </c>
      <c r="S1121">
        <v>7.96</v>
      </c>
      <c r="T1121">
        <v>5.84</v>
      </c>
      <c r="U1121">
        <v>26.63</v>
      </c>
      <c r="V1121" t="str">
        <f>VLOOKUP(L1121,'[2]tabela de preços'!$A:$D,4,0)</f>
        <v>ATLAS</v>
      </c>
      <c r="W1121" t="str">
        <f>VLOOKUP(L1121,'[2]tabela de preços'!$A:$F,6,0)</f>
        <v>ROLOS / TRINCHAS / PINCÉIS / ESPÁTULAS</v>
      </c>
      <c r="X1121" t="str">
        <f>VLOOKUP(L1121,'[2]tabela de preços'!$A:$G,7,0)</f>
        <v>IMOBILIÁRIO</v>
      </c>
    </row>
    <row r="1122" spans="1:24" x14ac:dyDescent="0.3">
      <c r="A1122" t="s">
        <v>1193</v>
      </c>
      <c r="C1122" t="s">
        <v>1194</v>
      </c>
      <c r="D1122" s="1">
        <v>46051</v>
      </c>
      <c r="E1122" t="s">
        <v>1195</v>
      </c>
      <c r="F1122">
        <v>9</v>
      </c>
      <c r="G1122">
        <v>236</v>
      </c>
      <c r="H1122" t="str">
        <f>VLOOKUP(G1122,[1]OPERADORES!$A:$B,2,0)</f>
        <v>DANIEL</v>
      </c>
      <c r="I1122" t="s">
        <v>21</v>
      </c>
      <c r="J1122" t="s">
        <v>397</v>
      </c>
      <c r="K1122" t="s">
        <v>1196</v>
      </c>
      <c r="L1122">
        <v>84896</v>
      </c>
      <c r="M1122" t="s">
        <v>1197</v>
      </c>
      <c r="O1122" t="s">
        <v>11</v>
      </c>
      <c r="P1122">
        <v>5102</v>
      </c>
      <c r="Q1122">
        <v>1</v>
      </c>
      <c r="R1122">
        <v>183.05</v>
      </c>
      <c r="S1122">
        <v>183.05</v>
      </c>
      <c r="T1122">
        <v>118.1</v>
      </c>
      <c r="U1122">
        <v>35.479999999999997</v>
      </c>
      <c r="V1122" t="str">
        <f>VLOOKUP(L1122,'[2]tabela de preços'!$A:$D,4,0)</f>
        <v>BRASILUX</v>
      </c>
      <c r="W1122" t="str">
        <f>VLOOKUP(L1122,'[2]tabela de preços'!$A:$F,6,0)</f>
        <v>EPOXI</v>
      </c>
      <c r="X1122" t="str">
        <f>VLOOKUP(L1122,'[2]tabela de preços'!$A:$G,7,0)</f>
        <v>INDUSTRIAL</v>
      </c>
    </row>
    <row r="1123" spans="1:24" x14ac:dyDescent="0.3">
      <c r="A1123" t="s">
        <v>1193</v>
      </c>
      <c r="C1123" t="s">
        <v>1194</v>
      </c>
      <c r="D1123" s="1">
        <v>46051</v>
      </c>
      <c r="E1123" t="s">
        <v>1195</v>
      </c>
      <c r="F1123">
        <v>9</v>
      </c>
      <c r="G1123">
        <v>236</v>
      </c>
      <c r="H1123" t="str">
        <f>VLOOKUP(G1123,[1]OPERADORES!$A:$B,2,0)</f>
        <v>DANIEL</v>
      </c>
      <c r="I1123" t="s">
        <v>21</v>
      </c>
      <c r="J1123" t="s">
        <v>397</v>
      </c>
      <c r="K1123" t="s">
        <v>1196</v>
      </c>
      <c r="L1123">
        <v>84423</v>
      </c>
      <c r="M1123" t="s">
        <v>1198</v>
      </c>
      <c r="O1123" t="s">
        <v>11</v>
      </c>
      <c r="P1123">
        <v>5102</v>
      </c>
      <c r="Q1123">
        <v>1</v>
      </c>
      <c r="R1123">
        <v>18.440000000000001</v>
      </c>
      <c r="S1123">
        <v>18.440000000000001</v>
      </c>
      <c r="T1123">
        <v>13.52</v>
      </c>
      <c r="U1123">
        <v>26.68</v>
      </c>
      <c r="V1123" t="str">
        <f>VLOOKUP(L1123,'[2]tabela de preços'!$A:$D,4,0)</f>
        <v>ATLAS</v>
      </c>
      <c r="W1123" t="str">
        <f>VLOOKUP(L1123,'[2]tabela de preços'!$A:$F,6,0)</f>
        <v>ROLOS / TRINCHAS / PINCÉIS / ESPÁTULAS</v>
      </c>
      <c r="X1123" t="str">
        <f>VLOOKUP(L1123,'[2]tabela de preços'!$A:$G,7,0)</f>
        <v>IMOBILIÁRIO</v>
      </c>
    </row>
    <row r="1124" spans="1:24" x14ac:dyDescent="0.3">
      <c r="A1124" t="s">
        <v>1193</v>
      </c>
      <c r="C1124" t="s">
        <v>1194</v>
      </c>
      <c r="D1124" s="1">
        <v>46051</v>
      </c>
      <c r="E1124" t="s">
        <v>1195</v>
      </c>
      <c r="F1124">
        <v>9</v>
      </c>
      <c r="G1124">
        <v>236</v>
      </c>
      <c r="H1124" t="str">
        <f>VLOOKUP(G1124,[1]OPERADORES!$A:$B,2,0)</f>
        <v>DANIEL</v>
      </c>
      <c r="I1124" t="s">
        <v>21</v>
      </c>
      <c r="J1124" t="s">
        <v>397</v>
      </c>
      <c r="K1124" t="s">
        <v>1196</v>
      </c>
      <c r="L1124">
        <v>10118</v>
      </c>
      <c r="M1124" t="s">
        <v>572</v>
      </c>
      <c r="O1124" t="s">
        <v>11</v>
      </c>
      <c r="P1124">
        <v>5102</v>
      </c>
      <c r="Q1124">
        <v>1</v>
      </c>
      <c r="R1124">
        <v>5.2</v>
      </c>
      <c r="S1124">
        <v>5.2</v>
      </c>
      <c r="T1124">
        <v>3.81</v>
      </c>
      <c r="U1124">
        <v>26.73</v>
      </c>
      <c r="V1124" t="str">
        <f>VLOOKUP(L1124,'[2]tabela de preços'!$A:$D,4,0)</f>
        <v>ATLAS</v>
      </c>
      <c r="W1124" t="str">
        <f>VLOOKUP(L1124,'[2]tabela de preços'!$A:$F,6,0)</f>
        <v>ROLOS / TRINCHAS / PINCÉIS / ESPÁTULAS</v>
      </c>
      <c r="X1124" t="str">
        <f>VLOOKUP(L1124,'[2]tabela de preços'!$A:$G,7,0)</f>
        <v>IMOBILIÁRIO</v>
      </c>
    </row>
    <row r="1125" spans="1:24" x14ac:dyDescent="0.3">
      <c r="A1125" t="s">
        <v>1199</v>
      </c>
      <c r="C1125" t="s">
        <v>1200</v>
      </c>
      <c r="D1125" s="1">
        <v>46027</v>
      </c>
      <c r="E1125" t="s">
        <v>1201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1128</v>
      </c>
      <c r="K1125" t="s">
        <v>1202</v>
      </c>
      <c r="L1125">
        <v>23110</v>
      </c>
      <c r="M1125" t="s">
        <v>409</v>
      </c>
      <c r="O1125" t="s">
        <v>11</v>
      </c>
      <c r="P1125">
        <v>5102</v>
      </c>
      <c r="Q1125">
        <v>50</v>
      </c>
      <c r="R1125">
        <v>2.35</v>
      </c>
      <c r="S1125">
        <v>117.5</v>
      </c>
      <c r="T1125">
        <v>92.5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1199</v>
      </c>
      <c r="C1126" t="s">
        <v>1200</v>
      </c>
      <c r="D1126" s="1">
        <v>46027</v>
      </c>
      <c r="E1126" t="s">
        <v>1201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1128</v>
      </c>
      <c r="K1126" t="s">
        <v>1202</v>
      </c>
      <c r="L1126">
        <v>22684</v>
      </c>
      <c r="M1126" t="s">
        <v>73</v>
      </c>
      <c r="O1126" t="s">
        <v>11</v>
      </c>
      <c r="P1126">
        <v>5102</v>
      </c>
      <c r="Q1126">
        <v>240</v>
      </c>
      <c r="R1126">
        <v>3.65</v>
      </c>
      <c r="S1126">
        <v>876</v>
      </c>
      <c r="T1126">
        <v>739.2</v>
      </c>
      <c r="U1126">
        <v>15.62</v>
      </c>
      <c r="V1126" t="str">
        <f>VLOOKUP(L1126,'[2]tabela de preços'!$A:$D,4,0)</f>
        <v>3M</v>
      </c>
      <c r="W1126" t="str">
        <f>VLOOKUP(L1126,'[2]tabela de preços'!$A:$F,6,0)</f>
        <v>FITA AUTOMOTIVA</v>
      </c>
      <c r="X1126" t="str">
        <f>VLOOKUP(L1126,'[2]tabela de preços'!$A:$G,7,0)</f>
        <v>AUTOMOTIVO</v>
      </c>
    </row>
    <row r="1127" spans="1:24" x14ac:dyDescent="0.3">
      <c r="A1127" t="s">
        <v>1199</v>
      </c>
      <c r="C1127" t="s">
        <v>1200</v>
      </c>
      <c r="D1127" s="1">
        <v>46027</v>
      </c>
      <c r="E1127" t="s">
        <v>1201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1128</v>
      </c>
      <c r="K1127" t="s">
        <v>1202</v>
      </c>
      <c r="L1127">
        <v>84560</v>
      </c>
      <c r="M1127" t="s">
        <v>118</v>
      </c>
      <c r="O1127" t="s">
        <v>11</v>
      </c>
      <c r="P1127">
        <v>5102</v>
      </c>
      <c r="Q1127">
        <v>36</v>
      </c>
      <c r="R1127">
        <v>46.9</v>
      </c>
      <c r="S1127" s="2">
        <v>1688.4</v>
      </c>
      <c r="T1127" s="2">
        <v>1409.76</v>
      </c>
      <c r="U1127">
        <v>16.5</v>
      </c>
      <c r="V1127" t="str">
        <f>VLOOKUP(L1127,'[2]tabela de preços'!$A:$D,4,0)</f>
        <v>BRASILUX</v>
      </c>
      <c r="W1127" t="str">
        <f>VLOOKUP(L1127,'[2]tabela de preços'!$A:$F,6,0)</f>
        <v>THINNER DE LIMPEZA</v>
      </c>
      <c r="X1127" t="str">
        <f>VLOOKUP(L1127,'[2]tabela de preços'!$A:$G,7,0)</f>
        <v>THINNER</v>
      </c>
    </row>
    <row r="1128" spans="1:24" x14ac:dyDescent="0.3">
      <c r="A1128" t="s">
        <v>1199</v>
      </c>
      <c r="C1128" t="s">
        <v>1203</v>
      </c>
      <c r="D1128" s="1">
        <v>46028</v>
      </c>
      <c r="E1128" t="s">
        <v>1204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1128</v>
      </c>
      <c r="K1128" t="s">
        <v>1202</v>
      </c>
      <c r="L1128">
        <v>84868</v>
      </c>
      <c r="M1128" t="s">
        <v>1205</v>
      </c>
      <c r="O1128" t="s">
        <v>11</v>
      </c>
      <c r="P1128">
        <v>5403</v>
      </c>
      <c r="Q1128">
        <v>8</v>
      </c>
      <c r="R1128">
        <v>25.13</v>
      </c>
      <c r="S1128">
        <v>201.04</v>
      </c>
      <c r="T1128">
        <v>149.12</v>
      </c>
      <c r="U1128">
        <v>25.83</v>
      </c>
      <c r="V1128" t="str">
        <f>VLOOKUP(L1128,'[2]tabela de preços'!$A:$D,4,0)</f>
        <v>BRASILUX</v>
      </c>
      <c r="W1128" t="str">
        <f>VLOOKUP(L1128,'[2]tabela de preços'!$A:$F,6,0)</f>
        <v>ESMALTES</v>
      </c>
      <c r="X1128" t="str">
        <f>VLOOKUP(L1128,'[2]tabela de preços'!$A:$G,7,0)</f>
        <v>INDUSTRIAL</v>
      </c>
    </row>
    <row r="1129" spans="1:24" x14ac:dyDescent="0.3">
      <c r="A1129" t="s">
        <v>1199</v>
      </c>
      <c r="C1129" t="s">
        <v>1206</v>
      </c>
      <c r="D1129" s="1">
        <v>46030</v>
      </c>
      <c r="E1129" t="s">
        <v>1207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1128</v>
      </c>
      <c r="K1129" t="s">
        <v>1202</v>
      </c>
      <c r="L1129">
        <v>84195</v>
      </c>
      <c r="M1129" t="s">
        <v>1208</v>
      </c>
      <c r="O1129" t="s">
        <v>11</v>
      </c>
      <c r="P1129">
        <v>5403</v>
      </c>
      <c r="Q1129">
        <v>1</v>
      </c>
      <c r="R1129">
        <v>90.79</v>
      </c>
      <c r="S1129">
        <v>90.79</v>
      </c>
      <c r="T1129">
        <v>68.91</v>
      </c>
      <c r="U1129">
        <v>24.1</v>
      </c>
      <c r="V1129" t="str">
        <f>VLOOKUP(L1129,'[2]tabela de preços'!$A:$D,4,0)</f>
        <v>BRASILUX</v>
      </c>
      <c r="W1129" t="str">
        <f>VLOOKUP(L1129,'[2]tabela de preços'!$A:$F,6,0)</f>
        <v>ESMALTES</v>
      </c>
      <c r="X1129" t="str">
        <f>VLOOKUP(L1129,'[2]tabela de preços'!$A:$G,7,0)</f>
        <v>INDUSTRIAL</v>
      </c>
    </row>
    <row r="1130" spans="1:24" x14ac:dyDescent="0.3">
      <c r="A1130" t="s">
        <v>1199</v>
      </c>
      <c r="C1130" t="s">
        <v>1209</v>
      </c>
      <c r="D1130" s="1">
        <v>46035</v>
      </c>
      <c r="E1130" t="s">
        <v>1210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1128</v>
      </c>
      <c r="K1130" t="s">
        <v>1202</v>
      </c>
      <c r="L1130">
        <v>10022</v>
      </c>
      <c r="M1130" t="s">
        <v>1211</v>
      </c>
      <c r="O1130" t="s">
        <v>11</v>
      </c>
      <c r="P1130">
        <v>5102</v>
      </c>
      <c r="Q1130">
        <v>100</v>
      </c>
      <c r="R1130">
        <v>1.98</v>
      </c>
      <c r="S1130">
        <v>198</v>
      </c>
      <c r="T1130">
        <v>128</v>
      </c>
      <c r="U1130">
        <v>35.35</v>
      </c>
      <c r="V1130" t="str">
        <f>VLOOKUP(L1130,'[2]tabela de preços'!$A:$D,4,0)</f>
        <v>3M</v>
      </c>
      <c r="W1130" t="str">
        <f>VLOOKUP(L1130,'[2]tabela de preços'!$A:$F,6,0)</f>
        <v xml:space="preserve">DISCOS / LIXAS / ABRASIVOS </v>
      </c>
      <c r="X1130" t="str">
        <f>VLOOKUP(L1130,'[2]tabela de preços'!$A:$G,7,0)</f>
        <v>AUTOMOTIVO</v>
      </c>
    </row>
    <row r="1131" spans="1:24" x14ac:dyDescent="0.3">
      <c r="A1131" t="s">
        <v>1199</v>
      </c>
      <c r="C1131" t="s">
        <v>1209</v>
      </c>
      <c r="D1131" s="1">
        <v>46035</v>
      </c>
      <c r="E1131" t="s">
        <v>1210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1128</v>
      </c>
      <c r="K1131" t="s">
        <v>1202</v>
      </c>
      <c r="L1131">
        <v>10026</v>
      </c>
      <c r="M1131" t="s">
        <v>1212</v>
      </c>
      <c r="O1131" t="s">
        <v>11</v>
      </c>
      <c r="P1131">
        <v>5102</v>
      </c>
      <c r="Q1131">
        <v>50</v>
      </c>
      <c r="R1131">
        <v>2.0499999999999998</v>
      </c>
      <c r="S1131">
        <v>102.5</v>
      </c>
      <c r="T1131">
        <v>66</v>
      </c>
      <c r="U1131">
        <v>35.61</v>
      </c>
      <c r="V1131" t="str">
        <f>VLOOKUP(L1131,'[2]tabela de preços'!$A:$D,4,0)</f>
        <v>3M</v>
      </c>
      <c r="W1131" t="str">
        <f>VLOOKUP(L1131,'[2]tabela de preços'!$A:$F,6,0)</f>
        <v xml:space="preserve">DISCOS / LIXAS / ABRASIVOS </v>
      </c>
      <c r="X1131" t="str">
        <f>VLOOKUP(L1131,'[2]tabela de preços'!$A:$G,7,0)</f>
        <v>AUTOMOTIVO</v>
      </c>
    </row>
    <row r="1132" spans="1:24" x14ac:dyDescent="0.3">
      <c r="A1132" t="s">
        <v>1199</v>
      </c>
      <c r="C1132" t="s">
        <v>1209</v>
      </c>
      <c r="D1132" s="1">
        <v>46035</v>
      </c>
      <c r="E1132" t="s">
        <v>1210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1128</v>
      </c>
      <c r="K1132" t="s">
        <v>1202</v>
      </c>
      <c r="L1132">
        <v>10027</v>
      </c>
      <c r="M1132" t="s">
        <v>1213</v>
      </c>
      <c r="O1132" t="s">
        <v>11</v>
      </c>
      <c r="P1132">
        <v>5102</v>
      </c>
      <c r="Q1132">
        <v>50</v>
      </c>
      <c r="R1132">
        <v>2.37</v>
      </c>
      <c r="S1132">
        <v>118.5</v>
      </c>
      <c r="T1132">
        <v>76.5</v>
      </c>
      <c r="U1132">
        <v>35.44</v>
      </c>
      <c r="V1132" t="str">
        <f>VLOOKUP(L1132,'[2]tabela de preços'!$A:$D,4,0)</f>
        <v>3M</v>
      </c>
      <c r="W1132" t="str">
        <f>VLOOKUP(L1132,'[2]tabela de preços'!$A:$F,6,0)</f>
        <v xml:space="preserve">DISCOS / LIXAS / ABRASIVOS </v>
      </c>
      <c r="X1132" t="str">
        <f>VLOOKUP(L1132,'[2]tabela de preços'!$A:$G,7,0)</f>
        <v>AUTOMOTIVO</v>
      </c>
    </row>
    <row r="1133" spans="1:24" x14ac:dyDescent="0.3">
      <c r="A1133" t="s">
        <v>1199</v>
      </c>
      <c r="C1133" t="s">
        <v>1209</v>
      </c>
      <c r="D1133" s="1">
        <v>46035</v>
      </c>
      <c r="E1133" t="s">
        <v>1210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1128</v>
      </c>
      <c r="K1133" t="s">
        <v>1202</v>
      </c>
      <c r="L1133">
        <v>10028</v>
      </c>
      <c r="M1133" t="s">
        <v>1214</v>
      </c>
      <c r="O1133" t="s">
        <v>11</v>
      </c>
      <c r="P1133">
        <v>5102</v>
      </c>
      <c r="Q1133">
        <v>50</v>
      </c>
      <c r="R1133">
        <v>1.6</v>
      </c>
      <c r="S1133">
        <v>80</v>
      </c>
      <c r="T1133">
        <v>51.5</v>
      </c>
      <c r="U1133">
        <v>35.630000000000003</v>
      </c>
      <c r="V1133" t="str">
        <f>VLOOKUP(L1133,'[2]tabela de preços'!$A:$D,4,0)</f>
        <v>3M</v>
      </c>
      <c r="W1133" t="str">
        <f>VLOOKUP(L1133,'[2]tabela de preços'!$A:$F,6,0)</f>
        <v xml:space="preserve">DISCOS / LIXAS / ABRASIVOS </v>
      </c>
      <c r="X1133" t="str">
        <f>VLOOKUP(L1133,'[2]tabela de preços'!$A:$G,7,0)</f>
        <v>AUTOMOTIVO</v>
      </c>
    </row>
    <row r="1134" spans="1:24" x14ac:dyDescent="0.3">
      <c r="A1134" t="s">
        <v>1199</v>
      </c>
      <c r="C1134" t="s">
        <v>1215</v>
      </c>
      <c r="D1134" s="1">
        <v>46038</v>
      </c>
      <c r="E1134" t="s">
        <v>1216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1128</v>
      </c>
      <c r="K1134" t="s">
        <v>1202</v>
      </c>
      <c r="L1134">
        <v>23110</v>
      </c>
      <c r="M1134" t="s">
        <v>409</v>
      </c>
      <c r="O1134" t="s">
        <v>11</v>
      </c>
      <c r="P1134">
        <v>5102</v>
      </c>
      <c r="Q1134">
        <v>200</v>
      </c>
      <c r="R1134">
        <v>2.35</v>
      </c>
      <c r="S1134">
        <v>470</v>
      </c>
      <c r="T1134">
        <v>370</v>
      </c>
      <c r="U1134">
        <v>21.28</v>
      </c>
      <c r="V1134" t="str">
        <f>VLOOKUP(L1134,'[2]tabela de preços'!$A:$D,4,0)</f>
        <v>3M</v>
      </c>
      <c r="W1134" t="str">
        <f>VLOOKUP(L1134,'[2]tabela de preços'!$A:$F,6,0)</f>
        <v xml:space="preserve">DISCOS / LIXAS / ABRASIVOS </v>
      </c>
      <c r="X1134" t="str">
        <f>VLOOKUP(L1134,'[2]tabela de preços'!$A:$G,7,0)</f>
        <v>AUTOMOTIVO</v>
      </c>
    </row>
    <row r="1135" spans="1:24" x14ac:dyDescent="0.3">
      <c r="A1135" t="s">
        <v>1199</v>
      </c>
      <c r="C1135" t="s">
        <v>1217</v>
      </c>
      <c r="D1135" s="1">
        <v>46045</v>
      </c>
      <c r="E1135" t="s">
        <v>1218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1128</v>
      </c>
      <c r="K1135" t="s">
        <v>1202</v>
      </c>
      <c r="L1135">
        <v>84195</v>
      </c>
      <c r="M1135" t="s">
        <v>1208</v>
      </c>
      <c r="O1135" t="s">
        <v>11</v>
      </c>
      <c r="P1135">
        <v>5403</v>
      </c>
      <c r="Q1135">
        <v>2</v>
      </c>
      <c r="R1135">
        <v>90.79</v>
      </c>
      <c r="S1135">
        <v>181.58</v>
      </c>
      <c r="T1135">
        <v>137.82</v>
      </c>
      <c r="U1135">
        <v>24.1</v>
      </c>
      <c r="V1135" t="str">
        <f>VLOOKUP(L1135,'[2]tabela de preços'!$A:$D,4,0)</f>
        <v>BRASILUX</v>
      </c>
      <c r="W1135" t="str">
        <f>VLOOKUP(L1135,'[2]tabela de preços'!$A:$F,6,0)</f>
        <v>ESMALTES</v>
      </c>
      <c r="X1135" t="str">
        <f>VLOOKUP(L1135,'[2]tabela de preços'!$A:$G,7,0)</f>
        <v>INDUSTRIAL</v>
      </c>
    </row>
    <row r="1136" spans="1:24" x14ac:dyDescent="0.3">
      <c r="A1136" t="s">
        <v>1199</v>
      </c>
      <c r="C1136" t="s">
        <v>1219</v>
      </c>
      <c r="D1136" s="1">
        <v>46045</v>
      </c>
      <c r="E1136" t="s">
        <v>1220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1128</v>
      </c>
      <c r="K1136" t="s">
        <v>1202</v>
      </c>
      <c r="L1136">
        <v>10298</v>
      </c>
      <c r="M1136" t="s">
        <v>85</v>
      </c>
      <c r="O1136" t="s">
        <v>11</v>
      </c>
      <c r="P1136">
        <v>5102</v>
      </c>
      <c r="Q1136">
        <v>8</v>
      </c>
      <c r="R1136">
        <v>56.89</v>
      </c>
      <c r="S1136">
        <v>455.12</v>
      </c>
      <c r="T1136">
        <v>379.04</v>
      </c>
      <c r="U1136">
        <v>16.72</v>
      </c>
      <c r="V1136" t="str">
        <f>VLOOKUP(L1136,'[2]tabela de preços'!$A:$D,4,0)</f>
        <v>ANJO</v>
      </c>
      <c r="W1136" t="str">
        <f>VLOOKUP(L1136,'[2]tabela de preços'!$A:$F,6,0)</f>
        <v>THINNER DE LIMPEZA</v>
      </c>
      <c r="X1136" t="str">
        <f>VLOOKUP(L1136,'[2]tabela de preços'!$A:$G,7,0)</f>
        <v>THINNER</v>
      </c>
    </row>
    <row r="1137" spans="1:24" x14ac:dyDescent="0.3">
      <c r="A1137" t="s">
        <v>1199</v>
      </c>
      <c r="C1137" t="s">
        <v>1219</v>
      </c>
      <c r="D1137" s="1">
        <v>46045</v>
      </c>
      <c r="E1137" t="s">
        <v>1221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1128</v>
      </c>
      <c r="K1137" t="s">
        <v>1202</v>
      </c>
      <c r="L1137">
        <v>10297</v>
      </c>
      <c r="M1137" t="s">
        <v>41</v>
      </c>
      <c r="O1137" t="s">
        <v>11</v>
      </c>
      <c r="P1137">
        <v>5102</v>
      </c>
      <c r="Q1137">
        <v>24</v>
      </c>
      <c r="R1137">
        <v>10.89</v>
      </c>
      <c r="S1137">
        <v>261.36</v>
      </c>
      <c r="T1137">
        <v>220.08</v>
      </c>
      <c r="U1137">
        <v>15.79</v>
      </c>
      <c r="V1137" t="str">
        <f>VLOOKUP(L1137,'[2]tabela de preços'!$A:$D,4,0)</f>
        <v>ANJO</v>
      </c>
      <c r="W1137" t="str">
        <f>VLOOKUP(L1137,'[2]tabela de preços'!$A:$F,6,0)</f>
        <v>THINNER DE LIMPEZA</v>
      </c>
      <c r="X1137" t="str">
        <f>VLOOKUP(L1137,'[2]tabela de preços'!$A:$G,7,0)</f>
        <v>THINNER</v>
      </c>
    </row>
    <row r="1138" spans="1:24" x14ac:dyDescent="0.3">
      <c r="A1138" t="s">
        <v>1222</v>
      </c>
      <c r="C1138" t="s">
        <v>1223</v>
      </c>
      <c r="D1138" s="1">
        <v>46041</v>
      </c>
      <c r="E1138" t="s">
        <v>1224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1225</v>
      </c>
      <c r="K1138" t="s">
        <v>1226</v>
      </c>
      <c r="L1138">
        <v>23076</v>
      </c>
      <c r="M1138" t="s">
        <v>97</v>
      </c>
      <c r="O1138" t="s">
        <v>11</v>
      </c>
      <c r="P1138">
        <v>5405</v>
      </c>
      <c r="Q1138">
        <v>18</v>
      </c>
      <c r="R1138">
        <v>34.89</v>
      </c>
      <c r="S1138">
        <v>628.02</v>
      </c>
      <c r="T1138">
        <v>477.54</v>
      </c>
      <c r="U1138">
        <v>23.96</v>
      </c>
      <c r="V1138" t="str">
        <f>VLOOKUP(L1138,'[2]tabela de preços'!$A:$D,4,0)</f>
        <v>WANDA</v>
      </c>
      <c r="W1138" t="str">
        <f>VLOOKUP(L1138,'[2]tabela de preços'!$A:$F,6,0)</f>
        <v>PRIMER AUTOMOTIVO</v>
      </c>
      <c r="X1138" t="str">
        <f>VLOOKUP(L1138,'[2]tabela de preços'!$A:$G,7,0)</f>
        <v>AUTOMOTIVO</v>
      </c>
    </row>
    <row r="1139" spans="1:24" x14ac:dyDescent="0.3">
      <c r="A1139" t="s">
        <v>1222</v>
      </c>
      <c r="C1139" t="s">
        <v>1223</v>
      </c>
      <c r="D1139" s="1">
        <v>46041</v>
      </c>
      <c r="E1139" t="s">
        <v>1224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1225</v>
      </c>
      <c r="K1139" t="s">
        <v>1226</v>
      </c>
      <c r="L1139">
        <v>23690</v>
      </c>
      <c r="M1139" t="s">
        <v>98</v>
      </c>
      <c r="O1139" t="s">
        <v>11</v>
      </c>
      <c r="P1139">
        <v>5405</v>
      </c>
      <c r="Q1139">
        <v>6</v>
      </c>
      <c r="R1139">
        <v>39.89</v>
      </c>
      <c r="S1139">
        <v>239.34</v>
      </c>
      <c r="T1139">
        <v>189.66</v>
      </c>
      <c r="U1139">
        <v>20.76</v>
      </c>
      <c r="V1139" t="str">
        <f>VLOOKUP(L1139,'[2]tabela de preços'!$A:$D,4,0)</f>
        <v>WANDA</v>
      </c>
      <c r="W1139" t="str">
        <f>VLOOKUP(L1139,'[2]tabela de preços'!$A:$F,6,0)</f>
        <v>VERNIZ AUTOMOTIVO</v>
      </c>
      <c r="X1139" t="str">
        <f>VLOOKUP(L1139,'[2]tabela de preços'!$A:$G,7,0)</f>
        <v>AUTOMOTIVO</v>
      </c>
    </row>
    <row r="1140" spans="1:24" x14ac:dyDescent="0.3">
      <c r="A1140" t="s">
        <v>1222</v>
      </c>
      <c r="C1140" t="s">
        <v>1227</v>
      </c>
      <c r="D1140" s="1">
        <v>46044</v>
      </c>
      <c r="E1140" t="s">
        <v>1228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1225</v>
      </c>
      <c r="K1140" t="s">
        <v>1226</v>
      </c>
      <c r="L1140">
        <v>23690</v>
      </c>
      <c r="M1140" t="s">
        <v>98</v>
      </c>
      <c r="O1140" t="s">
        <v>11</v>
      </c>
      <c r="P1140">
        <v>5405</v>
      </c>
      <c r="Q1140">
        <v>6</v>
      </c>
      <c r="R1140">
        <v>39.89</v>
      </c>
      <c r="S1140">
        <v>239.34</v>
      </c>
      <c r="T1140">
        <v>189.66</v>
      </c>
      <c r="U1140">
        <v>20.76</v>
      </c>
      <c r="V1140" t="str">
        <f>VLOOKUP(L1140,'[2]tabela de preços'!$A:$D,4,0)</f>
        <v>WANDA</v>
      </c>
      <c r="W1140" t="str">
        <f>VLOOKUP(L1140,'[2]tabela de preços'!$A:$F,6,0)</f>
        <v>VERNIZ AUTOMOTIVO</v>
      </c>
      <c r="X1140" t="str">
        <f>VLOOKUP(L1140,'[2]tabela de preços'!$A:$G,7,0)</f>
        <v>AUTOMOTIVO</v>
      </c>
    </row>
    <row r="1141" spans="1:24" x14ac:dyDescent="0.3">
      <c r="A1141" t="s">
        <v>1222</v>
      </c>
      <c r="C1141" t="s">
        <v>1227</v>
      </c>
      <c r="D1141" s="1">
        <v>46044</v>
      </c>
      <c r="E1141" t="s">
        <v>1228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1225</v>
      </c>
      <c r="K1141" t="s">
        <v>1226</v>
      </c>
      <c r="L1141">
        <v>20431</v>
      </c>
      <c r="M1141" t="s">
        <v>202</v>
      </c>
      <c r="O1141" t="s">
        <v>11</v>
      </c>
      <c r="P1141">
        <v>5405</v>
      </c>
      <c r="Q1141">
        <v>9</v>
      </c>
      <c r="R1141">
        <v>36.89</v>
      </c>
      <c r="S1141">
        <v>332.01</v>
      </c>
      <c r="T1141">
        <v>272.33999999999997</v>
      </c>
      <c r="U1141">
        <v>17.97</v>
      </c>
      <c r="V1141" t="str">
        <f>VLOOKUP(L1141,'[2]tabela de preços'!$A:$D,4,0)</f>
        <v>SHERWIN WILLIAMS</v>
      </c>
      <c r="W1141" t="str">
        <f>VLOOKUP(L1141,'[2]tabela de preços'!$A:$F,6,0)</f>
        <v>VERNIZ AUTOMOTIVO</v>
      </c>
      <c r="X1141" t="str">
        <f>VLOOKUP(L1141,'[2]tabela de preços'!$A:$G,7,0)</f>
        <v>AUTOMOTIVO</v>
      </c>
    </row>
    <row r="1142" spans="1:24" x14ac:dyDescent="0.3">
      <c r="A1142" t="s">
        <v>1222</v>
      </c>
      <c r="C1142" t="s">
        <v>1227</v>
      </c>
      <c r="D1142" s="1">
        <v>46044</v>
      </c>
      <c r="E1142" t="s">
        <v>1228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1225</v>
      </c>
      <c r="K1142" t="s">
        <v>1226</v>
      </c>
      <c r="L1142">
        <v>9764</v>
      </c>
      <c r="M1142" t="s">
        <v>173</v>
      </c>
      <c r="O1142" t="s">
        <v>11</v>
      </c>
      <c r="P1142">
        <v>5102</v>
      </c>
      <c r="Q1142">
        <v>6</v>
      </c>
      <c r="R1142">
        <v>33.54</v>
      </c>
      <c r="S1142">
        <v>201.24</v>
      </c>
      <c r="T1142">
        <v>152.76</v>
      </c>
      <c r="U1142">
        <v>24.09</v>
      </c>
      <c r="V1142" t="str">
        <f>VLOOKUP(L1142,'[2]tabela de preços'!$A:$D,4,0)</f>
        <v>SIKKENS</v>
      </c>
      <c r="W1142" t="str">
        <f>VLOOKUP(L1142,'[2]tabela de preços'!$A:$F,6,0)</f>
        <v>MASSA DE PEQUENOS REPAROS</v>
      </c>
      <c r="X1142" t="str">
        <f>VLOOKUP(L1142,'[2]tabela de preços'!$A:$G,7,0)</f>
        <v>AUTOMOTIVO</v>
      </c>
    </row>
    <row r="1143" spans="1:24" x14ac:dyDescent="0.3">
      <c r="A1143" t="s">
        <v>1222</v>
      </c>
      <c r="C1143" t="s">
        <v>1227</v>
      </c>
      <c r="D1143" s="1">
        <v>46044</v>
      </c>
      <c r="E1143" t="s">
        <v>1228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1225</v>
      </c>
      <c r="K1143" t="s">
        <v>1226</v>
      </c>
      <c r="L1143">
        <v>10298</v>
      </c>
      <c r="M1143" t="s">
        <v>85</v>
      </c>
      <c r="O1143" t="s">
        <v>11</v>
      </c>
      <c r="P1143">
        <v>5102</v>
      </c>
      <c r="Q1143">
        <v>20</v>
      </c>
      <c r="R1143">
        <v>54.9</v>
      </c>
      <c r="S1143" s="2">
        <v>1098</v>
      </c>
      <c r="T1143">
        <v>947.6</v>
      </c>
      <c r="U1143">
        <v>13.7</v>
      </c>
      <c r="V1143" t="str">
        <f>VLOOKUP(L1143,'[2]tabela de preços'!$A:$D,4,0)</f>
        <v>ANJO</v>
      </c>
      <c r="W1143" t="str">
        <f>VLOOKUP(L1143,'[2]tabela de preços'!$A:$F,6,0)</f>
        <v>THINNER DE LIMPEZA</v>
      </c>
      <c r="X1143" t="str">
        <f>VLOOKUP(L1143,'[2]tabela de preços'!$A:$G,7,0)</f>
        <v>THINNER</v>
      </c>
    </row>
    <row r="1144" spans="1:24" x14ac:dyDescent="0.3">
      <c r="A1144" t="s">
        <v>1222</v>
      </c>
      <c r="C1144" t="s">
        <v>1229</v>
      </c>
      <c r="D1144" s="1">
        <v>46045</v>
      </c>
      <c r="E1144" t="s">
        <v>1230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1225</v>
      </c>
      <c r="K1144" t="s">
        <v>1226</v>
      </c>
      <c r="L1144">
        <v>85691</v>
      </c>
      <c r="M1144" t="s">
        <v>1231</v>
      </c>
      <c r="O1144" t="s">
        <v>11</v>
      </c>
      <c r="P1144">
        <v>5102</v>
      </c>
      <c r="Q1144">
        <v>6</v>
      </c>
      <c r="R1144">
        <v>14.81</v>
      </c>
      <c r="S1144">
        <v>88.86</v>
      </c>
      <c r="T1144">
        <v>67.44</v>
      </c>
      <c r="U1144">
        <v>24.11</v>
      </c>
      <c r="V1144" t="str">
        <f>VLOOKUP(L1144,'[2]tabela de preços'!$A:$D,4,0)</f>
        <v>UNIPEGA</v>
      </c>
      <c r="W1144" t="str">
        <f>VLOOKUP(L1144,'[2]tabela de preços'!$A:$F,6,0)</f>
        <v>COLA INST./ ADESIVOS COLANTES</v>
      </c>
      <c r="X1144" t="str">
        <f>VLOOKUP(L1144,'[2]tabela de preços'!$A:$G,7,0)</f>
        <v>AUTOMOTIVO</v>
      </c>
    </row>
    <row r="1145" spans="1:24" x14ac:dyDescent="0.3">
      <c r="A1145" t="s">
        <v>1222</v>
      </c>
      <c r="C1145" t="s">
        <v>1229</v>
      </c>
      <c r="D1145" s="1">
        <v>46045</v>
      </c>
      <c r="E1145" t="s">
        <v>1230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1225</v>
      </c>
      <c r="K1145" t="s">
        <v>1226</v>
      </c>
      <c r="L1145">
        <v>23076</v>
      </c>
      <c r="M1145" t="s">
        <v>97</v>
      </c>
      <c r="O1145" t="s">
        <v>11</v>
      </c>
      <c r="P1145">
        <v>5405</v>
      </c>
      <c r="Q1145">
        <v>12</v>
      </c>
      <c r="R1145">
        <v>34.89</v>
      </c>
      <c r="S1145">
        <v>418.68</v>
      </c>
      <c r="T1145">
        <v>318.36</v>
      </c>
      <c r="U1145">
        <v>23.96</v>
      </c>
      <c r="V1145" t="str">
        <f>VLOOKUP(L1145,'[2]tabela de preços'!$A:$D,4,0)</f>
        <v>WANDA</v>
      </c>
      <c r="W1145" t="str">
        <f>VLOOKUP(L1145,'[2]tabela de preços'!$A:$F,6,0)</f>
        <v>PRIMER AUTOMOTIVO</v>
      </c>
      <c r="X1145" t="str">
        <f>VLOOKUP(L1145,'[2]tabela de preços'!$A:$G,7,0)</f>
        <v>AUTOMOTIVO</v>
      </c>
    </row>
    <row r="1146" spans="1:24" x14ac:dyDescent="0.3">
      <c r="A1146" t="s">
        <v>1222</v>
      </c>
      <c r="C1146" t="s">
        <v>1229</v>
      </c>
      <c r="D1146" s="1">
        <v>46045</v>
      </c>
      <c r="E1146" t="s">
        <v>1230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1225</v>
      </c>
      <c r="K1146" t="s">
        <v>1226</v>
      </c>
      <c r="L1146">
        <v>23602</v>
      </c>
      <c r="M1146" t="s">
        <v>215</v>
      </c>
      <c r="O1146" t="s">
        <v>11</v>
      </c>
      <c r="P1146">
        <v>5405</v>
      </c>
      <c r="Q1146">
        <v>9</v>
      </c>
      <c r="R1146">
        <v>35.89</v>
      </c>
      <c r="S1146">
        <v>323.01</v>
      </c>
      <c r="T1146">
        <v>263.25</v>
      </c>
      <c r="U1146">
        <v>18.5</v>
      </c>
      <c r="V1146" t="str">
        <f>VLOOKUP(L1146,'[2]tabela de preços'!$A:$D,4,0)</f>
        <v>SHERWIN WILLIAMS</v>
      </c>
      <c r="W1146" t="str">
        <f>VLOOKUP(L1146,'[2]tabela de preços'!$A:$F,6,0)</f>
        <v>VERNIZ AUTOMOTIVO</v>
      </c>
      <c r="X1146" t="str">
        <f>VLOOKUP(L1146,'[2]tabela de preços'!$A:$G,7,0)</f>
        <v>AUTOMOTIVO</v>
      </c>
    </row>
    <row r="1147" spans="1:24" x14ac:dyDescent="0.3">
      <c r="A1147" t="s">
        <v>1222</v>
      </c>
      <c r="C1147" t="s">
        <v>1229</v>
      </c>
      <c r="D1147" s="1">
        <v>46045</v>
      </c>
      <c r="E1147" t="s">
        <v>1230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1225</v>
      </c>
      <c r="K1147" t="s">
        <v>1226</v>
      </c>
      <c r="L1147">
        <v>21321</v>
      </c>
      <c r="M1147" t="s">
        <v>272</v>
      </c>
      <c r="O1147" t="s">
        <v>11</v>
      </c>
      <c r="P1147">
        <v>5102</v>
      </c>
      <c r="Q1147">
        <v>8</v>
      </c>
      <c r="R1147">
        <v>20.239999999999998</v>
      </c>
      <c r="S1147">
        <v>161.91999999999999</v>
      </c>
      <c r="T1147">
        <v>122.88</v>
      </c>
      <c r="U1147">
        <v>24.11</v>
      </c>
      <c r="V1147" t="str">
        <f>VLOOKUP(L1147,'[2]tabela de preços'!$A:$D,4,0)</f>
        <v>AUTO AMERICA</v>
      </c>
      <c r="W1147" t="str">
        <f>VLOOKUP(L1147,'[2]tabela de preços'!$A:$F,6,0)</f>
        <v>CERA  / LIMPEZA /  POLIMENTO VEICULAR</v>
      </c>
      <c r="X1147" t="str">
        <f>VLOOKUP(L1147,'[2]tabela de preços'!$A:$G,7,0)</f>
        <v>AUTOMOTIVO</v>
      </c>
    </row>
    <row r="1148" spans="1:24" x14ac:dyDescent="0.3">
      <c r="A1148" t="s">
        <v>1222</v>
      </c>
      <c r="C1148" t="s">
        <v>2384</v>
      </c>
      <c r="D1148" s="1">
        <v>46052</v>
      </c>
      <c r="E1148" t="s">
        <v>2385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1225</v>
      </c>
      <c r="K1148" t="s">
        <v>1226</v>
      </c>
      <c r="L1148">
        <v>23076</v>
      </c>
      <c r="M1148" t="s">
        <v>97</v>
      </c>
      <c r="O1148" t="s">
        <v>11</v>
      </c>
      <c r="P1148">
        <v>5405</v>
      </c>
      <c r="Q1148">
        <v>12</v>
      </c>
      <c r="R1148">
        <v>34.89</v>
      </c>
      <c r="S1148">
        <v>418.68</v>
      </c>
      <c r="T1148">
        <v>318.36</v>
      </c>
      <c r="U1148">
        <v>23.96</v>
      </c>
      <c r="V1148" t="str">
        <f>VLOOKUP(L1148,'[2]tabela de preços'!$A:$D,4,0)</f>
        <v>WANDA</v>
      </c>
      <c r="W1148" t="str">
        <f>VLOOKUP(L1148,'[2]tabela de preços'!$A:$F,6,0)</f>
        <v>PRIMER AUTOMOTIVO</v>
      </c>
      <c r="X1148" t="str">
        <f>VLOOKUP(L1148,'[2]tabela de preços'!$A:$G,7,0)</f>
        <v>AUTOMOTIVO</v>
      </c>
    </row>
    <row r="1149" spans="1:24" x14ac:dyDescent="0.3">
      <c r="A1149" t="s">
        <v>1222</v>
      </c>
      <c r="C1149" t="s">
        <v>2384</v>
      </c>
      <c r="D1149" s="1">
        <v>46052</v>
      </c>
      <c r="E1149" t="s">
        <v>2385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1225</v>
      </c>
      <c r="K1149" t="s">
        <v>1226</v>
      </c>
      <c r="L1149">
        <v>23690</v>
      </c>
      <c r="M1149" t="s">
        <v>98</v>
      </c>
      <c r="O1149" t="s">
        <v>11</v>
      </c>
      <c r="P1149">
        <v>5405</v>
      </c>
      <c r="Q1149">
        <v>6</v>
      </c>
      <c r="R1149">
        <v>39.89</v>
      </c>
      <c r="S1149">
        <v>239.34</v>
      </c>
      <c r="T1149">
        <v>189.66</v>
      </c>
      <c r="U1149">
        <v>20.76</v>
      </c>
      <c r="V1149" t="str">
        <f>VLOOKUP(L1149,'[2]tabela de preços'!$A:$D,4,0)</f>
        <v>WANDA</v>
      </c>
      <c r="W1149" t="str">
        <f>VLOOKUP(L1149,'[2]tabela de preços'!$A:$F,6,0)</f>
        <v>VERNIZ AUTOMOTIVO</v>
      </c>
      <c r="X1149" t="str">
        <f>VLOOKUP(L1149,'[2]tabela de preços'!$A:$G,7,0)</f>
        <v>AUTOMOTIVO</v>
      </c>
    </row>
    <row r="1150" spans="1:24" x14ac:dyDescent="0.3">
      <c r="A1150" t="s">
        <v>1222</v>
      </c>
      <c r="C1150" t="s">
        <v>2384</v>
      </c>
      <c r="D1150" s="1">
        <v>46052</v>
      </c>
      <c r="E1150" t="s">
        <v>2385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1225</v>
      </c>
      <c r="K1150" t="s">
        <v>1226</v>
      </c>
      <c r="L1150">
        <v>20431</v>
      </c>
      <c r="M1150" t="s">
        <v>202</v>
      </c>
      <c r="O1150" t="s">
        <v>11</v>
      </c>
      <c r="P1150">
        <v>5405</v>
      </c>
      <c r="Q1150">
        <v>9</v>
      </c>
      <c r="R1150">
        <v>36.89</v>
      </c>
      <c r="S1150">
        <v>332.01</v>
      </c>
      <c r="T1150">
        <v>272.33999999999997</v>
      </c>
      <c r="U1150">
        <v>17.97</v>
      </c>
      <c r="V1150" t="str">
        <f>VLOOKUP(L1150,'[2]tabela de preços'!$A:$D,4,0)</f>
        <v>SHERWIN WILLIAMS</v>
      </c>
      <c r="W1150" t="str">
        <f>VLOOKUP(L1150,'[2]tabela de preços'!$A:$F,6,0)</f>
        <v>VERNIZ AUTOMOTIVO</v>
      </c>
      <c r="X1150" t="str">
        <f>VLOOKUP(L1150,'[2]tabela de preços'!$A:$G,7,0)</f>
        <v>AUTOMOTIVO</v>
      </c>
    </row>
    <row r="1151" spans="1:24" x14ac:dyDescent="0.3">
      <c r="A1151" t="s">
        <v>1232</v>
      </c>
      <c r="C1151" t="s">
        <v>1233</v>
      </c>
      <c r="D1151" s="1">
        <v>46036</v>
      </c>
      <c r="E1151" t="s">
        <v>1234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1235</v>
      </c>
      <c r="K1151" t="s">
        <v>1236</v>
      </c>
      <c r="L1151">
        <v>16</v>
      </c>
      <c r="M1151" t="s">
        <v>122</v>
      </c>
      <c r="O1151" t="s">
        <v>11</v>
      </c>
      <c r="P1151">
        <v>5102</v>
      </c>
      <c r="Q1151">
        <v>50</v>
      </c>
      <c r="R1151">
        <v>2.9</v>
      </c>
      <c r="S1151">
        <v>145</v>
      </c>
      <c r="T1151">
        <v>110</v>
      </c>
      <c r="U1151">
        <v>24.14</v>
      </c>
      <c r="V1151" t="str">
        <f>VLOOKUP(L1151,'[2]tabela de preços'!$A:$D,4,0)</f>
        <v>3M</v>
      </c>
      <c r="W1151" t="str">
        <f>VLOOKUP(L1151,'[2]tabela de preços'!$A:$F,6,0)</f>
        <v>LIXA DÁGUA</v>
      </c>
      <c r="X1151" t="str">
        <f>VLOOKUP(L1151,'[2]tabela de preços'!$A:$G,7,0)</f>
        <v>AUTOMOTIVO</v>
      </c>
    </row>
    <row r="1152" spans="1:24" x14ac:dyDescent="0.3">
      <c r="A1152" t="s">
        <v>1232</v>
      </c>
      <c r="C1152" t="s">
        <v>1233</v>
      </c>
      <c r="D1152" s="1">
        <v>46036</v>
      </c>
      <c r="E1152" t="s">
        <v>1234</v>
      </c>
      <c r="F1152">
        <v>9</v>
      </c>
      <c r="G1152">
        <v>174</v>
      </c>
      <c r="H1152" t="str">
        <f>VLOOKUP(G1152,[1]OPERADORES!$A:$B,2,0)</f>
        <v>MIRIÃ LOBATO RODRIGUES</v>
      </c>
      <c r="I1152" t="s">
        <v>21</v>
      </c>
      <c r="J1152" t="s">
        <v>1235</v>
      </c>
      <c r="K1152" t="s">
        <v>1236</v>
      </c>
      <c r="L1152">
        <v>83819</v>
      </c>
      <c r="M1152" t="s">
        <v>1237</v>
      </c>
      <c r="O1152" t="s">
        <v>11</v>
      </c>
      <c r="P1152">
        <v>5102</v>
      </c>
      <c r="Q1152">
        <v>50</v>
      </c>
      <c r="R1152">
        <v>3.49</v>
      </c>
      <c r="S1152">
        <v>174.5</v>
      </c>
      <c r="T1152">
        <v>132.5</v>
      </c>
      <c r="U1152">
        <v>24.07</v>
      </c>
      <c r="V1152" t="str">
        <f>VLOOKUP(L1152,'[2]tabela de preços'!$A:$D,4,0)</f>
        <v>3M</v>
      </c>
      <c r="W1152" t="str">
        <f>VLOOKUP(L1152,'[2]tabela de preços'!$A:$F,6,0)</f>
        <v>LIXA DÁGUA</v>
      </c>
      <c r="X1152" t="str">
        <f>VLOOKUP(L1152,'[2]tabela de preços'!$A:$G,7,0)</f>
        <v>AUTOMOTIVO</v>
      </c>
    </row>
    <row r="1153" spans="1:24" x14ac:dyDescent="0.3">
      <c r="A1153" t="s">
        <v>1232</v>
      </c>
      <c r="C1153" t="s">
        <v>1233</v>
      </c>
      <c r="D1153" s="1">
        <v>46036</v>
      </c>
      <c r="E1153" t="s">
        <v>1234</v>
      </c>
      <c r="F1153">
        <v>9</v>
      </c>
      <c r="G1153">
        <v>174</v>
      </c>
      <c r="H1153" t="str">
        <f>VLOOKUP(G1153,[1]OPERADORES!$A:$B,2,0)</f>
        <v>MIRIÃ LOBATO RODRIGUES</v>
      </c>
      <c r="I1153" t="s">
        <v>21</v>
      </c>
      <c r="J1153" t="s">
        <v>1235</v>
      </c>
      <c r="K1153" t="s">
        <v>1236</v>
      </c>
      <c r="L1153">
        <v>20090</v>
      </c>
      <c r="M1153" t="s">
        <v>1238</v>
      </c>
      <c r="O1153" t="s">
        <v>11</v>
      </c>
      <c r="P1153">
        <v>5102</v>
      </c>
      <c r="Q1153">
        <v>3</v>
      </c>
      <c r="R1153">
        <v>14.49</v>
      </c>
      <c r="S1153">
        <v>43.47</v>
      </c>
      <c r="T1153">
        <v>33</v>
      </c>
      <c r="U1153">
        <v>24.09</v>
      </c>
      <c r="V1153" t="str">
        <f>VLOOKUP(L1153,'[2]tabela de preços'!$A:$D,4,0)</f>
        <v>PROLAB</v>
      </c>
      <c r="W1153" t="str">
        <f>VLOOKUP(L1153,'[2]tabela de preços'!$A:$F,6,0)</f>
        <v>APLICADORES / ADAPTADORES / ENGATES / SUPORTES</v>
      </c>
      <c r="X1153" t="str">
        <f>VLOOKUP(L1153,'[2]tabela de preços'!$A:$G,7,0)</f>
        <v>AUTOMOTIVO</v>
      </c>
    </row>
    <row r="1154" spans="1:24" x14ac:dyDescent="0.3">
      <c r="A1154" t="s">
        <v>1232</v>
      </c>
      <c r="C1154" t="s">
        <v>1233</v>
      </c>
      <c r="D1154" s="1">
        <v>46036</v>
      </c>
      <c r="E1154" t="s">
        <v>1234</v>
      </c>
      <c r="F1154">
        <v>9</v>
      </c>
      <c r="G1154">
        <v>174</v>
      </c>
      <c r="H1154" t="str">
        <f>VLOOKUP(G1154,[1]OPERADORES!$A:$B,2,0)</f>
        <v>MIRIÃ LOBATO RODRIGUES</v>
      </c>
      <c r="I1154" t="s">
        <v>21</v>
      </c>
      <c r="J1154" t="s">
        <v>1235</v>
      </c>
      <c r="K1154" t="s">
        <v>1236</v>
      </c>
      <c r="L1154">
        <v>10298</v>
      </c>
      <c r="M1154" t="s">
        <v>85</v>
      </c>
      <c r="O1154" t="s">
        <v>11</v>
      </c>
      <c r="P1154">
        <v>5102</v>
      </c>
      <c r="Q1154">
        <v>4</v>
      </c>
      <c r="R1154">
        <v>56.89</v>
      </c>
      <c r="S1154">
        <v>227.56</v>
      </c>
      <c r="T1154">
        <v>189.52</v>
      </c>
      <c r="U1154">
        <v>16.72</v>
      </c>
      <c r="V1154" t="str">
        <f>VLOOKUP(L1154,'[2]tabela de preços'!$A:$D,4,0)</f>
        <v>ANJO</v>
      </c>
      <c r="W1154" t="str">
        <f>VLOOKUP(L1154,'[2]tabela de preços'!$A:$F,6,0)</f>
        <v>THINNER DE LIMPEZA</v>
      </c>
      <c r="X1154" t="str">
        <f>VLOOKUP(L1154,'[2]tabela de preços'!$A:$G,7,0)</f>
        <v>THINNER</v>
      </c>
    </row>
    <row r="1155" spans="1:24" x14ac:dyDescent="0.3">
      <c r="A1155" t="s">
        <v>1232</v>
      </c>
      <c r="C1155" t="s">
        <v>1233</v>
      </c>
      <c r="D1155" s="1">
        <v>46036</v>
      </c>
      <c r="E1155" t="s">
        <v>1234</v>
      </c>
      <c r="F1155">
        <v>9</v>
      </c>
      <c r="G1155">
        <v>174</v>
      </c>
      <c r="H1155" t="str">
        <f>VLOOKUP(G1155,[1]OPERADORES!$A:$B,2,0)</f>
        <v>MIRIÃ LOBATO RODRIGUES</v>
      </c>
      <c r="I1155" t="s">
        <v>21</v>
      </c>
      <c r="J1155" t="s">
        <v>1235</v>
      </c>
      <c r="K1155" t="s">
        <v>1236</v>
      </c>
      <c r="L1155">
        <v>10297</v>
      </c>
      <c r="M1155" t="s">
        <v>41</v>
      </c>
      <c r="O1155" t="s">
        <v>11</v>
      </c>
      <c r="P1155">
        <v>5102</v>
      </c>
      <c r="Q1155">
        <v>24</v>
      </c>
      <c r="R1155">
        <v>10.89</v>
      </c>
      <c r="S1155">
        <v>261.36</v>
      </c>
      <c r="T1155">
        <v>220.08</v>
      </c>
      <c r="U1155">
        <v>15.79</v>
      </c>
      <c r="V1155" t="str">
        <f>VLOOKUP(L1155,'[2]tabela de preços'!$A:$D,4,0)</f>
        <v>ANJO</v>
      </c>
      <c r="W1155" t="str">
        <f>VLOOKUP(L1155,'[2]tabela de preços'!$A:$F,6,0)</f>
        <v>THINNER DE LIMPEZA</v>
      </c>
      <c r="X1155" t="str">
        <f>VLOOKUP(L1155,'[2]tabela de preços'!$A:$G,7,0)</f>
        <v>THINNER</v>
      </c>
    </row>
    <row r="1156" spans="1:24" x14ac:dyDescent="0.3">
      <c r="A1156" t="s">
        <v>1232</v>
      </c>
      <c r="C1156" t="s">
        <v>1233</v>
      </c>
      <c r="D1156" s="1">
        <v>46036</v>
      </c>
      <c r="E1156" t="s">
        <v>1234</v>
      </c>
      <c r="F1156">
        <v>9</v>
      </c>
      <c r="G1156">
        <v>174</v>
      </c>
      <c r="H1156" t="str">
        <f>VLOOKUP(G1156,[1]OPERADORES!$A:$B,2,0)</f>
        <v>MIRIÃ LOBATO RODRIGUES</v>
      </c>
      <c r="I1156" t="s">
        <v>21</v>
      </c>
      <c r="J1156" t="s">
        <v>1235</v>
      </c>
      <c r="K1156" t="s">
        <v>1236</v>
      </c>
      <c r="L1156">
        <v>21321</v>
      </c>
      <c r="M1156" t="s">
        <v>272</v>
      </c>
      <c r="O1156" t="s">
        <v>11</v>
      </c>
      <c r="P1156">
        <v>5102</v>
      </c>
      <c r="Q1156">
        <v>10</v>
      </c>
      <c r="R1156">
        <v>20.239999999999998</v>
      </c>
      <c r="S1156">
        <v>202.4</v>
      </c>
      <c r="T1156">
        <v>153.6</v>
      </c>
      <c r="U1156">
        <v>24.11</v>
      </c>
      <c r="V1156" t="str">
        <f>VLOOKUP(L1156,'[2]tabela de preços'!$A:$D,4,0)</f>
        <v>AUTO AMERICA</v>
      </c>
      <c r="W1156" t="str">
        <f>VLOOKUP(L1156,'[2]tabela de preços'!$A:$F,6,0)</f>
        <v>CERA  / LIMPEZA /  POLIMENTO VEICULAR</v>
      </c>
      <c r="X1156" t="str">
        <f>VLOOKUP(L1156,'[2]tabela de preços'!$A:$G,7,0)</f>
        <v>AUTOMOTIVO</v>
      </c>
    </row>
    <row r="1157" spans="1:24" x14ac:dyDescent="0.3">
      <c r="A1157" t="s">
        <v>1232</v>
      </c>
      <c r="C1157" t="s">
        <v>1233</v>
      </c>
      <c r="D1157" s="1">
        <v>46036</v>
      </c>
      <c r="E1157" t="s">
        <v>1234</v>
      </c>
      <c r="F1157">
        <v>9</v>
      </c>
      <c r="G1157">
        <v>174</v>
      </c>
      <c r="H1157" t="str">
        <f>VLOOKUP(G1157,[1]OPERADORES!$A:$B,2,0)</f>
        <v>MIRIÃ LOBATO RODRIGUES</v>
      </c>
      <c r="I1157" t="s">
        <v>21</v>
      </c>
      <c r="J1157" t="s">
        <v>1235</v>
      </c>
      <c r="K1157" t="s">
        <v>1236</v>
      </c>
      <c r="L1157">
        <v>23287</v>
      </c>
      <c r="M1157" t="s">
        <v>273</v>
      </c>
      <c r="O1157" t="s">
        <v>11</v>
      </c>
      <c r="P1157">
        <v>5102</v>
      </c>
      <c r="Q1157">
        <v>6</v>
      </c>
      <c r="R1157">
        <v>39.979999999999997</v>
      </c>
      <c r="S1157">
        <v>239.88</v>
      </c>
      <c r="T1157">
        <v>182.1</v>
      </c>
      <c r="U1157">
        <v>24.09</v>
      </c>
      <c r="V1157" t="str">
        <f>VLOOKUP(L1157,'[2]tabela de preços'!$A:$D,4,0)</f>
        <v>AUTO AMERICA</v>
      </c>
      <c r="W1157" t="str">
        <f>VLOOKUP(L1157,'[2]tabela de preços'!$A:$F,6,0)</f>
        <v>CERA  / LIMPEZA /  POLIMENTO VEICULAR</v>
      </c>
      <c r="X1157" t="str">
        <f>VLOOKUP(L1157,'[2]tabela de preços'!$A:$G,7,0)</f>
        <v>AUTOMOTIVO</v>
      </c>
    </row>
    <row r="1158" spans="1:24" x14ac:dyDescent="0.3">
      <c r="A1158" t="s">
        <v>1232</v>
      </c>
      <c r="C1158" t="s">
        <v>1239</v>
      </c>
      <c r="D1158" s="1">
        <v>46043</v>
      </c>
      <c r="E1158" t="s">
        <v>1240</v>
      </c>
      <c r="F1158">
        <v>9</v>
      </c>
      <c r="G1158">
        <v>174</v>
      </c>
      <c r="H1158" t="str">
        <f>VLOOKUP(G1158,[1]OPERADORES!$A:$B,2,0)</f>
        <v>MIRIÃ LOBATO RODRIGUES</v>
      </c>
      <c r="I1158" t="s">
        <v>21</v>
      </c>
      <c r="J1158" t="s">
        <v>1235</v>
      </c>
      <c r="K1158" t="s">
        <v>1236</v>
      </c>
      <c r="L1158">
        <v>24293</v>
      </c>
      <c r="M1158" t="s">
        <v>1241</v>
      </c>
      <c r="O1158" t="s">
        <v>11</v>
      </c>
      <c r="P1158">
        <v>5102</v>
      </c>
      <c r="Q1158">
        <v>1</v>
      </c>
      <c r="R1158">
        <v>28.89</v>
      </c>
      <c r="S1158">
        <v>28.89</v>
      </c>
      <c r="T1158">
        <v>21.93</v>
      </c>
      <c r="U1158">
        <v>24.09</v>
      </c>
      <c r="V1158" t="str">
        <f>VLOOKUP(L1158,'[2]tabela de preços'!$A:$D,4,0)</f>
        <v>VONIXX</v>
      </c>
      <c r="W1158" t="str">
        <f>VLOOKUP(L1158,'[2]tabela de preços'!$A:$F,6,0)</f>
        <v>LINHA DE HIGENIZAÇÃO E ESTÉTICA  AUTOMOTIVA</v>
      </c>
      <c r="X1158" t="str">
        <f>VLOOKUP(L1158,'[2]tabela de preços'!$A:$G,7,0)</f>
        <v>AUTOMOTIVO</v>
      </c>
    </row>
    <row r="1159" spans="1:24" x14ac:dyDescent="0.3">
      <c r="A1159" t="s">
        <v>1232</v>
      </c>
      <c r="C1159" t="s">
        <v>1239</v>
      </c>
      <c r="D1159" s="1">
        <v>46043</v>
      </c>
      <c r="E1159" t="s">
        <v>1240</v>
      </c>
      <c r="F1159">
        <v>9</v>
      </c>
      <c r="G1159">
        <v>174</v>
      </c>
      <c r="H1159" t="str">
        <f>VLOOKUP(G1159,[1]OPERADORES!$A:$B,2,0)</f>
        <v>MIRIÃ LOBATO RODRIGUES</v>
      </c>
      <c r="I1159" t="s">
        <v>21</v>
      </c>
      <c r="J1159" t="s">
        <v>1235</v>
      </c>
      <c r="K1159" t="s">
        <v>1236</v>
      </c>
      <c r="L1159">
        <v>84824</v>
      </c>
      <c r="M1159" t="s">
        <v>1242</v>
      </c>
      <c r="O1159" t="s">
        <v>11</v>
      </c>
      <c r="P1159">
        <v>5102</v>
      </c>
      <c r="Q1159">
        <v>1</v>
      </c>
      <c r="R1159">
        <v>324.32</v>
      </c>
      <c r="S1159">
        <v>324.32</v>
      </c>
      <c r="T1159">
        <v>246.16</v>
      </c>
      <c r="U1159">
        <v>24.1</v>
      </c>
      <c r="V1159" t="str">
        <f>VLOOKUP(L1159,'[2]tabela de preços'!$A:$D,4,0)</f>
        <v>BRASILUX</v>
      </c>
      <c r="W1159" t="str">
        <f>VLOOKUP(L1159,'[2]tabela de preços'!$A:$F,6,0)</f>
        <v>DILUENTE</v>
      </c>
      <c r="X1159" t="str">
        <f>VLOOKUP(L1159,'[2]tabela de preços'!$A:$G,7,0)</f>
        <v>AUTOMOTIVO</v>
      </c>
    </row>
    <row r="1160" spans="1:24" x14ac:dyDescent="0.3">
      <c r="A1160" t="s">
        <v>1232</v>
      </c>
      <c r="C1160" t="s">
        <v>1239</v>
      </c>
      <c r="D1160" s="1">
        <v>46043</v>
      </c>
      <c r="E1160" t="s">
        <v>1240</v>
      </c>
      <c r="F1160">
        <v>9</v>
      </c>
      <c r="G1160">
        <v>174</v>
      </c>
      <c r="H1160" t="str">
        <f>VLOOKUP(G1160,[1]OPERADORES!$A:$B,2,0)</f>
        <v>MIRIÃ LOBATO RODRIGUES</v>
      </c>
      <c r="I1160" t="s">
        <v>21</v>
      </c>
      <c r="J1160" t="s">
        <v>1235</v>
      </c>
      <c r="K1160" t="s">
        <v>1236</v>
      </c>
      <c r="L1160">
        <v>10298</v>
      </c>
      <c r="M1160" t="s">
        <v>85</v>
      </c>
      <c r="O1160" t="s">
        <v>11</v>
      </c>
      <c r="P1160">
        <v>5102</v>
      </c>
      <c r="Q1160">
        <v>12</v>
      </c>
      <c r="R1160">
        <v>54.9</v>
      </c>
      <c r="S1160">
        <v>658.8</v>
      </c>
      <c r="T1160">
        <v>568.55999999999995</v>
      </c>
      <c r="U1160">
        <v>13.7</v>
      </c>
      <c r="V1160" t="str">
        <f>VLOOKUP(L1160,'[2]tabela de preços'!$A:$D,4,0)</f>
        <v>ANJO</v>
      </c>
      <c r="W1160" t="str">
        <f>VLOOKUP(L1160,'[2]tabela de preços'!$A:$F,6,0)</f>
        <v>THINNER DE LIMPEZA</v>
      </c>
      <c r="X1160" t="str">
        <f>VLOOKUP(L1160,'[2]tabela de preços'!$A:$G,7,0)</f>
        <v>THINNER</v>
      </c>
    </row>
    <row r="1161" spans="1:24" x14ac:dyDescent="0.3">
      <c r="A1161" t="s">
        <v>1232</v>
      </c>
      <c r="C1161" t="s">
        <v>1239</v>
      </c>
      <c r="D1161" s="1">
        <v>46043</v>
      </c>
      <c r="E1161" t="s">
        <v>1240</v>
      </c>
      <c r="F1161">
        <v>9</v>
      </c>
      <c r="G1161">
        <v>174</v>
      </c>
      <c r="H1161" t="str">
        <f>VLOOKUP(G1161,[1]OPERADORES!$A:$B,2,0)</f>
        <v>MIRIÃ LOBATO RODRIGUES</v>
      </c>
      <c r="I1161" t="s">
        <v>21</v>
      </c>
      <c r="J1161" t="s">
        <v>1235</v>
      </c>
      <c r="K1161" t="s">
        <v>1236</v>
      </c>
      <c r="L1161">
        <v>10297</v>
      </c>
      <c r="M1161" t="s">
        <v>41</v>
      </c>
      <c r="O1161" t="s">
        <v>11</v>
      </c>
      <c r="P1161">
        <v>5102</v>
      </c>
      <c r="Q1161">
        <v>24</v>
      </c>
      <c r="R1161">
        <v>10.89</v>
      </c>
      <c r="S1161">
        <v>261.36</v>
      </c>
      <c r="T1161">
        <v>220.08</v>
      </c>
      <c r="U1161">
        <v>15.79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1243</v>
      </c>
      <c r="C1162" t="s">
        <v>1244</v>
      </c>
      <c r="D1162" s="1">
        <v>46038</v>
      </c>
      <c r="E1162" t="s">
        <v>1245</v>
      </c>
      <c r="F1162">
        <v>9</v>
      </c>
      <c r="G1162">
        <v>236</v>
      </c>
      <c r="H1162" t="str">
        <f>VLOOKUP(G1162,[1]OPERADORES!$A:$B,2,0)</f>
        <v>DANIEL</v>
      </c>
      <c r="I1162" t="s">
        <v>21</v>
      </c>
      <c r="J1162" t="s">
        <v>762</v>
      </c>
      <c r="K1162" t="s">
        <v>1246</v>
      </c>
      <c r="L1162">
        <v>85413</v>
      </c>
      <c r="M1162" t="s">
        <v>1247</v>
      </c>
      <c r="O1162" t="s">
        <v>11</v>
      </c>
      <c r="P1162">
        <v>5102</v>
      </c>
      <c r="Q1162">
        <v>22</v>
      </c>
      <c r="R1162">
        <v>29.9</v>
      </c>
      <c r="S1162">
        <v>657.8</v>
      </c>
      <c r="T1162">
        <v>577.5</v>
      </c>
      <c r="U1162">
        <v>12.21</v>
      </c>
      <c r="V1162" t="str">
        <f>VLOOKUP(L1162,'[2]tabela de preços'!$A:$D,4,0)</f>
        <v>3M</v>
      </c>
      <c r="W1162" t="str">
        <f>VLOOKUP(L1162,'[2]tabela de preços'!$A:$F,6,0)</f>
        <v>OUTRAS FITAS</v>
      </c>
      <c r="X1162" t="str">
        <f>VLOOKUP(L1162,'[2]tabela de preços'!$A:$G,7,0)</f>
        <v>IMOBILIÁRIO</v>
      </c>
    </row>
    <row r="1163" spans="1:24" x14ac:dyDescent="0.3">
      <c r="A1163" t="s">
        <v>1248</v>
      </c>
      <c r="B1163" t="s">
        <v>1249</v>
      </c>
      <c r="C1163" t="s">
        <v>1250</v>
      </c>
      <c r="D1163" s="1">
        <v>46028</v>
      </c>
      <c r="E1163" t="s">
        <v>1251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282</v>
      </c>
      <c r="J1163" t="s">
        <v>1252</v>
      </c>
      <c r="K1163" t="s">
        <v>1253</v>
      </c>
      <c r="L1163">
        <v>23076</v>
      </c>
      <c r="M1163" t="s">
        <v>97</v>
      </c>
      <c r="O1163" t="s">
        <v>11</v>
      </c>
      <c r="P1163">
        <v>6403</v>
      </c>
      <c r="Q1163">
        <v>30</v>
      </c>
      <c r="R1163">
        <v>33.89</v>
      </c>
      <c r="S1163" s="2">
        <v>1016.7</v>
      </c>
      <c r="T1163">
        <v>795.9</v>
      </c>
      <c r="U1163">
        <v>21.72</v>
      </c>
      <c r="V1163" t="str">
        <f>VLOOKUP(L1163,'[2]tabela de preços'!$A:$D,4,0)</f>
        <v>WANDA</v>
      </c>
      <c r="W1163" t="str">
        <f>VLOOKUP(L1163,'[2]tabela de preços'!$A:$F,6,0)</f>
        <v>PRIMER AUTOMOTIVO</v>
      </c>
      <c r="X1163" t="str">
        <f>VLOOKUP(L1163,'[2]tabela de preços'!$A:$G,7,0)</f>
        <v>AUTOMOTIVO</v>
      </c>
    </row>
    <row r="1164" spans="1:24" x14ac:dyDescent="0.3">
      <c r="A1164" t="s">
        <v>1248</v>
      </c>
      <c r="B1164" t="s">
        <v>1249</v>
      </c>
      <c r="C1164" t="s">
        <v>1250</v>
      </c>
      <c r="D1164" s="1">
        <v>46028</v>
      </c>
      <c r="E1164" t="s">
        <v>1251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282</v>
      </c>
      <c r="J1164" t="s">
        <v>1252</v>
      </c>
      <c r="K1164" t="s">
        <v>1253</v>
      </c>
      <c r="L1164">
        <v>23690</v>
      </c>
      <c r="M1164" t="s">
        <v>98</v>
      </c>
      <c r="O1164" t="s">
        <v>11</v>
      </c>
      <c r="P1164">
        <v>6403</v>
      </c>
      <c r="Q1164">
        <v>30</v>
      </c>
      <c r="R1164">
        <v>39.89</v>
      </c>
      <c r="S1164" s="2">
        <v>1196.7</v>
      </c>
      <c r="T1164">
        <v>948.3</v>
      </c>
      <c r="U1164">
        <v>20.76</v>
      </c>
      <c r="V1164" t="str">
        <f>VLOOKUP(L1164,'[2]tabela de preços'!$A:$D,4,0)</f>
        <v>WANDA</v>
      </c>
      <c r="W1164" t="str">
        <f>VLOOKUP(L1164,'[2]tabela de preços'!$A:$F,6,0)</f>
        <v>VERNIZ AUTOMOTIVO</v>
      </c>
      <c r="X1164" t="str">
        <f>VLOOKUP(L1164,'[2]tabela de preços'!$A:$G,7,0)</f>
        <v>AUTOMOTIVO</v>
      </c>
    </row>
    <row r="1165" spans="1:24" x14ac:dyDescent="0.3">
      <c r="A1165" t="s">
        <v>1248</v>
      </c>
      <c r="B1165" t="s">
        <v>1249</v>
      </c>
      <c r="C1165" t="s">
        <v>1250</v>
      </c>
      <c r="D1165" s="1">
        <v>46028</v>
      </c>
      <c r="E1165" t="s">
        <v>1251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282</v>
      </c>
      <c r="J1165" t="s">
        <v>1252</v>
      </c>
      <c r="K1165" t="s">
        <v>1253</v>
      </c>
      <c r="L1165">
        <v>9764</v>
      </c>
      <c r="M1165" t="s">
        <v>173</v>
      </c>
      <c r="O1165" t="s">
        <v>11</v>
      </c>
      <c r="P1165">
        <v>6102</v>
      </c>
      <c r="Q1165">
        <v>6</v>
      </c>
      <c r="R1165">
        <v>33.54</v>
      </c>
      <c r="S1165">
        <v>201.24</v>
      </c>
      <c r="T1165">
        <v>152.76</v>
      </c>
      <c r="U1165">
        <v>24.09</v>
      </c>
      <c r="V1165" t="str">
        <f>VLOOKUP(L1165,'[2]tabela de preços'!$A:$D,4,0)</f>
        <v>SIKKENS</v>
      </c>
      <c r="W1165" t="str">
        <f>VLOOKUP(L1165,'[2]tabela de preços'!$A:$F,6,0)</f>
        <v>MASSA DE PEQUENOS REPAROS</v>
      </c>
      <c r="X1165" t="str">
        <f>VLOOKUP(L1165,'[2]tabela de preços'!$A:$G,7,0)</f>
        <v>AUTOMOTIVO</v>
      </c>
    </row>
    <row r="1166" spans="1:24" x14ac:dyDescent="0.3">
      <c r="A1166" t="s">
        <v>1248</v>
      </c>
      <c r="B1166" t="s">
        <v>1249</v>
      </c>
      <c r="C1166" t="s">
        <v>1250</v>
      </c>
      <c r="D1166" s="1">
        <v>46028</v>
      </c>
      <c r="E1166" t="s">
        <v>1251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282</v>
      </c>
      <c r="J1166" t="s">
        <v>1252</v>
      </c>
      <c r="K1166" t="s">
        <v>1253</v>
      </c>
      <c r="L1166">
        <v>21067</v>
      </c>
      <c r="M1166" t="s">
        <v>640</v>
      </c>
      <c r="O1166" t="s">
        <v>11</v>
      </c>
      <c r="P1166">
        <v>6102</v>
      </c>
      <c r="Q1166">
        <v>5</v>
      </c>
      <c r="R1166">
        <v>37.58</v>
      </c>
      <c r="S1166">
        <v>187.9</v>
      </c>
      <c r="T1166">
        <v>142.6</v>
      </c>
      <c r="U1166">
        <v>24.11</v>
      </c>
      <c r="V1166" t="str">
        <f>VLOOKUP(L1166,'[2]tabela de preços'!$A:$D,4,0)</f>
        <v>SIKKENS</v>
      </c>
      <c r="W1166" t="str">
        <f>VLOOKUP(L1166,'[2]tabela de preços'!$A:$F,6,0)</f>
        <v>DILUENTE</v>
      </c>
      <c r="X1166" t="str">
        <f>VLOOKUP(L1166,'[2]tabela de preços'!$A:$G,7,0)</f>
        <v>AUTOMOTIVO</v>
      </c>
    </row>
    <row r="1167" spans="1:24" x14ac:dyDescent="0.3">
      <c r="A1167" t="s">
        <v>1254</v>
      </c>
      <c r="C1167" t="s">
        <v>1255</v>
      </c>
      <c r="D1167" s="1">
        <v>46038</v>
      </c>
      <c r="E1167" t="s">
        <v>1256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1257</v>
      </c>
      <c r="K1167" t="s">
        <v>1258</v>
      </c>
      <c r="L1167">
        <v>85448</v>
      </c>
      <c r="M1167" t="s">
        <v>1259</v>
      </c>
      <c r="O1167" t="s">
        <v>11</v>
      </c>
      <c r="P1167">
        <v>5403</v>
      </c>
      <c r="Q1167">
        <v>2</v>
      </c>
      <c r="R1167">
        <v>101.02</v>
      </c>
      <c r="S1167">
        <v>202.04</v>
      </c>
      <c r="T1167">
        <v>144.82</v>
      </c>
      <c r="U1167">
        <v>28.32</v>
      </c>
      <c r="V1167" t="str">
        <f>VLOOKUP(L1167,'[2]tabela de preços'!$A:$D,4,0)</f>
        <v>BRASILUX</v>
      </c>
      <c r="W1167" t="str">
        <f>VLOOKUP(L1167,'[2]tabela de preços'!$A:$F,6,0)</f>
        <v>TINTAS LACA</v>
      </c>
      <c r="X1167" t="str">
        <f>VLOOKUP(L1167,'[2]tabela de preços'!$A:$G,7,0)</f>
        <v>AUTOMOTIVO</v>
      </c>
    </row>
    <row r="1168" spans="1:24" x14ac:dyDescent="0.3">
      <c r="A1168" t="s">
        <v>1254</v>
      </c>
      <c r="C1168" t="s">
        <v>1255</v>
      </c>
      <c r="D1168" s="1">
        <v>46038</v>
      </c>
      <c r="E1168" t="s">
        <v>1256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1257</v>
      </c>
      <c r="K1168" t="s">
        <v>1258</v>
      </c>
      <c r="L1168">
        <v>84557</v>
      </c>
      <c r="M1168" t="s">
        <v>116</v>
      </c>
      <c r="O1168" t="s">
        <v>11</v>
      </c>
      <c r="P1168">
        <v>5102</v>
      </c>
      <c r="Q1168">
        <v>1</v>
      </c>
      <c r="R1168">
        <v>17.489999999999998</v>
      </c>
      <c r="S1168">
        <v>17.489999999999998</v>
      </c>
      <c r="T1168">
        <v>13.96</v>
      </c>
      <c r="U1168">
        <v>20.18</v>
      </c>
      <c r="V1168" t="str">
        <f>VLOOKUP(L1168,'[2]tabela de preços'!$A:$D,4,0)</f>
        <v>BRASILUX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1254</v>
      </c>
      <c r="C1169" t="s">
        <v>1255</v>
      </c>
      <c r="D1169" s="1">
        <v>46038</v>
      </c>
      <c r="E1169" t="s">
        <v>1256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1257</v>
      </c>
      <c r="K1169" t="s">
        <v>1258</v>
      </c>
      <c r="L1169">
        <v>21077</v>
      </c>
      <c r="M1169" t="s">
        <v>207</v>
      </c>
      <c r="O1169" t="s">
        <v>11</v>
      </c>
      <c r="P1169">
        <v>5102</v>
      </c>
      <c r="Q1169">
        <v>6</v>
      </c>
      <c r="R1169">
        <v>46.26</v>
      </c>
      <c r="S1169">
        <v>277.56</v>
      </c>
      <c r="T1169">
        <v>203.52</v>
      </c>
      <c r="U1169">
        <v>26.68</v>
      </c>
      <c r="V1169" t="str">
        <f>VLOOKUP(L1169,'[2]tabela de preços'!$A:$D,4,0)</f>
        <v>SHERWIN WILLIAMS</v>
      </c>
      <c r="W1169" t="str">
        <f>VLOOKUP(L1169,'[2]tabela de preços'!$A:$F,6,0)</f>
        <v>MASSA POLIÉSTER</v>
      </c>
      <c r="X1169" t="str">
        <f>VLOOKUP(L1169,'[2]tabela de preços'!$A:$G,7,0)</f>
        <v>AUTOMOTIVO</v>
      </c>
    </row>
    <row r="1170" spans="1:24" x14ac:dyDescent="0.3">
      <c r="A1170" t="s">
        <v>1254</v>
      </c>
      <c r="C1170" t="s">
        <v>1255</v>
      </c>
      <c r="D1170" s="1">
        <v>46038</v>
      </c>
      <c r="E1170" t="s">
        <v>1256</v>
      </c>
      <c r="F1170">
        <v>9</v>
      </c>
      <c r="G1170">
        <v>197</v>
      </c>
      <c r="H1170" t="str">
        <f>VLOOKUP(G1170,[1]OPERADORES!$A:$B,2,0)</f>
        <v xml:space="preserve">POLIANA LORRANE DE AMORIM </v>
      </c>
      <c r="I1170" t="s">
        <v>21</v>
      </c>
      <c r="J1170" t="s">
        <v>1257</v>
      </c>
      <c r="K1170" t="s">
        <v>1258</v>
      </c>
      <c r="L1170">
        <v>84894</v>
      </c>
      <c r="M1170" t="s">
        <v>1260</v>
      </c>
      <c r="O1170" t="s">
        <v>11</v>
      </c>
      <c r="P1170">
        <v>5102</v>
      </c>
      <c r="Q1170">
        <v>1</v>
      </c>
      <c r="R1170">
        <v>61.64</v>
      </c>
      <c r="S1170">
        <v>61.64</v>
      </c>
      <c r="T1170">
        <v>45.19</v>
      </c>
      <c r="U1170">
        <v>26.69</v>
      </c>
      <c r="V1170" t="str">
        <f>VLOOKUP(L1170,'[2]tabela de preços'!$A:$D,4,0)</f>
        <v>BRASILUX</v>
      </c>
      <c r="W1170" t="str">
        <f>VLOOKUP(L1170,'[2]tabela de preços'!$A:$F,6,0)</f>
        <v>DILUENTE</v>
      </c>
      <c r="X1170" t="str">
        <f>VLOOKUP(L1170,'[2]tabela de preços'!$A:$G,7,0)</f>
        <v>AUTOMOTIVO</v>
      </c>
    </row>
    <row r="1171" spans="1:24" x14ac:dyDescent="0.3">
      <c r="A1171" t="s">
        <v>1254</v>
      </c>
      <c r="C1171" t="s">
        <v>1255</v>
      </c>
      <c r="D1171" s="1">
        <v>46038</v>
      </c>
      <c r="E1171" t="s">
        <v>1256</v>
      </c>
      <c r="F1171">
        <v>9</v>
      </c>
      <c r="G1171">
        <v>197</v>
      </c>
      <c r="H1171" t="str">
        <f>VLOOKUP(G1171,[1]OPERADORES!$A:$B,2,0)</f>
        <v xml:space="preserve">POLIANA LORRANE DE AMORIM </v>
      </c>
      <c r="I1171" t="s">
        <v>21</v>
      </c>
      <c r="J1171" t="s">
        <v>1257</v>
      </c>
      <c r="K1171" t="s">
        <v>1258</v>
      </c>
      <c r="L1171">
        <v>84900</v>
      </c>
      <c r="M1171" t="s">
        <v>1261</v>
      </c>
      <c r="O1171" t="s">
        <v>11</v>
      </c>
      <c r="P1171">
        <v>5403</v>
      </c>
      <c r="Q1171">
        <v>1</v>
      </c>
      <c r="R1171">
        <v>199.28</v>
      </c>
      <c r="S1171">
        <v>199.28</v>
      </c>
      <c r="T1171">
        <v>128.57</v>
      </c>
      <c r="U1171">
        <v>35.479999999999997</v>
      </c>
      <c r="V1171" t="str">
        <f>VLOOKUP(L1171,'[2]tabela de preços'!$A:$D,4,0)</f>
        <v>BRASILUX</v>
      </c>
      <c r="W1171" t="str">
        <f>VLOOKUP(L1171,'[2]tabela de preços'!$A:$F,6,0)</f>
        <v>EPOXI</v>
      </c>
      <c r="X1171" t="str">
        <f>VLOOKUP(L1171,'[2]tabela de preços'!$A:$G,7,0)</f>
        <v>INDUSTRIAL</v>
      </c>
    </row>
    <row r="1172" spans="1:24" x14ac:dyDescent="0.3">
      <c r="A1172" t="s">
        <v>1262</v>
      </c>
      <c r="C1172" t="s">
        <v>1263</v>
      </c>
      <c r="D1172" s="1">
        <v>46029</v>
      </c>
      <c r="E1172" t="s">
        <v>1264</v>
      </c>
      <c r="F1172">
        <v>9</v>
      </c>
      <c r="G1172">
        <v>236</v>
      </c>
      <c r="H1172" t="str">
        <f>VLOOKUP(G1172,[1]OPERADORES!$A:$B,2,0)</f>
        <v>DANIEL</v>
      </c>
      <c r="I1172" t="s">
        <v>21</v>
      </c>
      <c r="J1172" t="s">
        <v>1265</v>
      </c>
      <c r="K1172" t="s">
        <v>1266</v>
      </c>
      <c r="L1172">
        <v>84928</v>
      </c>
      <c r="M1172" t="s">
        <v>36</v>
      </c>
      <c r="O1172" t="s">
        <v>11</v>
      </c>
      <c r="P1172">
        <v>5102</v>
      </c>
      <c r="Q1172">
        <v>4</v>
      </c>
      <c r="R1172">
        <v>9.7200000000000006</v>
      </c>
      <c r="S1172">
        <v>38.880000000000003</v>
      </c>
      <c r="T1172">
        <v>28.52</v>
      </c>
      <c r="U1172">
        <v>26.65</v>
      </c>
      <c r="V1172" t="str">
        <f>VLOOKUP(L1172,'[2]tabela de preços'!$A:$D,4,0)</f>
        <v>ADERE</v>
      </c>
      <c r="W1172" t="str">
        <f>VLOOKUP(L1172,'[2]tabela de preços'!$A:$F,6,0)</f>
        <v xml:space="preserve">FITA DE USO GERAL </v>
      </c>
      <c r="X1172" t="str">
        <f>VLOOKUP(L1172,'[2]tabela de preços'!$A:$G,7,0)</f>
        <v>IMOBILIÁRIO</v>
      </c>
    </row>
    <row r="1173" spans="1:24" x14ac:dyDescent="0.3">
      <c r="A1173" t="s">
        <v>1262</v>
      </c>
      <c r="C1173" t="s">
        <v>1263</v>
      </c>
      <c r="D1173" s="1">
        <v>46029</v>
      </c>
      <c r="E1173" t="s">
        <v>1264</v>
      </c>
      <c r="F1173">
        <v>9</v>
      </c>
      <c r="G1173">
        <v>236</v>
      </c>
      <c r="H1173" t="str">
        <f>VLOOKUP(G1173,[1]OPERADORES!$A:$B,2,0)</f>
        <v>DANIEL</v>
      </c>
      <c r="I1173" t="s">
        <v>21</v>
      </c>
      <c r="J1173" t="s">
        <v>1265</v>
      </c>
      <c r="K1173" t="s">
        <v>1266</v>
      </c>
      <c r="L1173">
        <v>85599</v>
      </c>
      <c r="M1173" t="s">
        <v>38</v>
      </c>
      <c r="O1173" t="s">
        <v>11</v>
      </c>
      <c r="P1173">
        <v>5102</v>
      </c>
      <c r="Q1173">
        <v>5</v>
      </c>
      <c r="R1173">
        <v>2.68</v>
      </c>
      <c r="S1173">
        <v>13.4</v>
      </c>
      <c r="T1173">
        <v>9.8000000000000007</v>
      </c>
      <c r="U1173">
        <v>26.87</v>
      </c>
      <c r="V1173" t="str">
        <f>VLOOKUP(L1173,'[2]tabela de preços'!$A:$D,4,0)</f>
        <v>REJUMASSA</v>
      </c>
      <c r="W1173" t="str">
        <f>VLOOKUP(L1173,'[2]tabela de preços'!$A:$F,6,0)</f>
        <v>GESSO</v>
      </c>
      <c r="X1173" t="str">
        <f>VLOOKUP(L1173,'[2]tabela de preços'!$A:$G,7,0)</f>
        <v>IMOBILIÁRIO</v>
      </c>
    </row>
    <row r="1174" spans="1:24" x14ac:dyDescent="0.3">
      <c r="A1174" t="s">
        <v>1267</v>
      </c>
      <c r="C1174" t="s">
        <v>1268</v>
      </c>
      <c r="D1174" s="1">
        <v>46028</v>
      </c>
      <c r="E1174" t="s">
        <v>1269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372</v>
      </c>
      <c r="K1174" t="s">
        <v>1270</v>
      </c>
      <c r="L1174">
        <v>23076</v>
      </c>
      <c r="M1174" t="s">
        <v>97</v>
      </c>
      <c r="O1174" t="s">
        <v>11</v>
      </c>
      <c r="P1174">
        <v>5403</v>
      </c>
      <c r="Q1174">
        <v>6</v>
      </c>
      <c r="R1174">
        <v>38.299999999999997</v>
      </c>
      <c r="S1174">
        <v>229.8</v>
      </c>
      <c r="T1174">
        <v>159.18</v>
      </c>
      <c r="U1174">
        <v>30.73</v>
      </c>
      <c r="V1174" t="str">
        <f>VLOOKUP(L1174,'[2]tabela de preços'!$A:$D,4,0)</f>
        <v>WANDA</v>
      </c>
      <c r="W1174" t="str">
        <f>VLOOKUP(L1174,'[2]tabela de preços'!$A:$F,6,0)</f>
        <v>PRIMER AUTOMOTIVO</v>
      </c>
      <c r="X1174" t="str">
        <f>VLOOKUP(L1174,'[2]tabela de preços'!$A:$G,7,0)</f>
        <v>AUTOMOTIVO</v>
      </c>
    </row>
    <row r="1175" spans="1:24" x14ac:dyDescent="0.3">
      <c r="A1175" t="s">
        <v>1267</v>
      </c>
      <c r="C1175" t="s">
        <v>1271</v>
      </c>
      <c r="D1175" s="1">
        <v>46035</v>
      </c>
      <c r="E1175" t="s">
        <v>1272</v>
      </c>
      <c r="F1175">
        <v>9</v>
      </c>
      <c r="G1175">
        <v>174</v>
      </c>
      <c r="H1175" t="str">
        <f>VLOOKUP(G1175,[1]OPERADORES!$A:$B,2,0)</f>
        <v>MIRIÃ LOBATO RODRIGUES</v>
      </c>
      <c r="I1175" t="s">
        <v>21</v>
      </c>
      <c r="J1175" t="s">
        <v>372</v>
      </c>
      <c r="K1175" t="s">
        <v>1270</v>
      </c>
      <c r="L1175">
        <v>23076</v>
      </c>
      <c r="M1175" t="s">
        <v>97</v>
      </c>
      <c r="O1175" t="s">
        <v>11</v>
      </c>
      <c r="P1175">
        <v>5403</v>
      </c>
      <c r="Q1175">
        <v>12</v>
      </c>
      <c r="R1175">
        <v>39.94</v>
      </c>
      <c r="S1175">
        <v>479.28</v>
      </c>
      <c r="T1175">
        <v>318.36</v>
      </c>
      <c r="U1175">
        <v>33.58</v>
      </c>
      <c r="V1175" t="str">
        <f>VLOOKUP(L1175,'[2]tabela de preços'!$A:$D,4,0)</f>
        <v>WANDA</v>
      </c>
      <c r="W1175" t="str">
        <f>VLOOKUP(L1175,'[2]tabela de preços'!$A:$F,6,0)</f>
        <v>PRIMER AUTOMOTIVO</v>
      </c>
      <c r="X1175" t="str">
        <f>VLOOKUP(L1175,'[2]tabela de preços'!$A:$G,7,0)</f>
        <v>AUTOMOTIVO</v>
      </c>
    </row>
    <row r="1176" spans="1:24" x14ac:dyDescent="0.3">
      <c r="A1176" t="s">
        <v>1267</v>
      </c>
      <c r="C1176" t="s">
        <v>1273</v>
      </c>
      <c r="D1176" s="1">
        <v>46041</v>
      </c>
      <c r="E1176" t="s">
        <v>1274</v>
      </c>
      <c r="F1176">
        <v>9</v>
      </c>
      <c r="G1176">
        <v>174</v>
      </c>
      <c r="H1176" t="str">
        <f>VLOOKUP(G1176,[1]OPERADORES!$A:$B,2,0)</f>
        <v>MIRIÃ LOBATO RODRIGUES</v>
      </c>
      <c r="I1176" t="s">
        <v>21</v>
      </c>
      <c r="J1176" t="s">
        <v>372</v>
      </c>
      <c r="K1176" t="s">
        <v>1270</v>
      </c>
      <c r="L1176">
        <v>23690</v>
      </c>
      <c r="M1176" t="s">
        <v>98</v>
      </c>
      <c r="O1176" t="s">
        <v>11</v>
      </c>
      <c r="P1176">
        <v>5403</v>
      </c>
      <c r="Q1176">
        <v>6</v>
      </c>
      <c r="R1176">
        <v>45.66</v>
      </c>
      <c r="S1176">
        <v>273.95999999999998</v>
      </c>
      <c r="T1176">
        <v>189.66</v>
      </c>
      <c r="U1176">
        <v>30.77</v>
      </c>
      <c r="V1176" t="str">
        <f>VLOOKUP(L1176,'[2]tabela de preços'!$A:$D,4,0)</f>
        <v>WANDA</v>
      </c>
      <c r="W1176" t="str">
        <f>VLOOKUP(L1176,'[2]tabela de preços'!$A:$F,6,0)</f>
        <v>VERNIZ AUTOMOTIVO</v>
      </c>
      <c r="X1176" t="str">
        <f>VLOOKUP(L1176,'[2]tabela de preços'!$A:$G,7,0)</f>
        <v>AUTOMOTIVO</v>
      </c>
    </row>
    <row r="1177" spans="1:24" x14ac:dyDescent="0.3">
      <c r="A1177" t="s">
        <v>1275</v>
      </c>
      <c r="C1177" t="s">
        <v>1276</v>
      </c>
      <c r="D1177" s="1">
        <v>46027</v>
      </c>
      <c r="E1177" t="s">
        <v>1277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87057</v>
      </c>
      <c r="M1177" t="s">
        <v>1280</v>
      </c>
      <c r="O1177" t="s">
        <v>11</v>
      </c>
      <c r="P1177">
        <v>5403</v>
      </c>
      <c r="Q1177">
        <v>3</v>
      </c>
      <c r="R1177">
        <v>79.63</v>
      </c>
      <c r="S1177">
        <v>238.89</v>
      </c>
      <c r="T1177">
        <v>175.14</v>
      </c>
      <c r="U1177">
        <v>26.69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1281</v>
      </c>
      <c r="D1178" s="1">
        <v>46029</v>
      </c>
      <c r="E1178" t="s">
        <v>1282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84785</v>
      </c>
      <c r="M1178" t="s">
        <v>944</v>
      </c>
      <c r="O1178" t="s">
        <v>11</v>
      </c>
      <c r="P1178">
        <v>5403</v>
      </c>
      <c r="Q1178">
        <v>25</v>
      </c>
      <c r="R1178">
        <v>172.23</v>
      </c>
      <c r="S1178" s="2">
        <v>4305.75</v>
      </c>
      <c r="T1178" s="2">
        <v>3268</v>
      </c>
      <c r="U1178">
        <v>24.1</v>
      </c>
      <c r="V1178" t="str">
        <f>VLOOKUP(L1178,'[2]tabela de preços'!$A:$D,4,0)</f>
        <v>BRASILUX</v>
      </c>
      <c r="W1178" t="str">
        <f>VLOOKUP(L1178,'[2]tabela de preços'!$A:$F,6,0)</f>
        <v>EPOXI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1283</v>
      </c>
      <c r="D1179" s="1">
        <v>46034</v>
      </c>
      <c r="E1179" t="s">
        <v>1284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84785</v>
      </c>
      <c r="M1179" t="s">
        <v>944</v>
      </c>
      <c r="O1179" t="s">
        <v>11</v>
      </c>
      <c r="P1179">
        <v>5403</v>
      </c>
      <c r="Q1179">
        <v>8</v>
      </c>
      <c r="R1179">
        <v>172.23</v>
      </c>
      <c r="S1179" s="2">
        <v>1377.84</v>
      </c>
      <c r="T1179" s="2">
        <v>1045.76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EPOXI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84328</v>
      </c>
      <c r="M1180" t="s">
        <v>496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184.76</v>
      </c>
      <c r="U1180">
        <v>22.99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84331</v>
      </c>
      <c r="M1181" t="s">
        <v>497</v>
      </c>
      <c r="O1181" t="s">
        <v>11</v>
      </c>
      <c r="P1181">
        <v>5403</v>
      </c>
      <c r="Q1181">
        <v>12</v>
      </c>
      <c r="R1181">
        <v>59.98</v>
      </c>
      <c r="S1181">
        <v>719.76</v>
      </c>
      <c r="T1181">
        <v>624</v>
      </c>
      <c r="U1181">
        <v>13.3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84144</v>
      </c>
      <c r="M1182" t="s">
        <v>1287</v>
      </c>
      <c r="O1182" t="s">
        <v>11</v>
      </c>
      <c r="P1182">
        <v>5403</v>
      </c>
      <c r="Q1182">
        <v>4</v>
      </c>
      <c r="R1182">
        <v>59.98</v>
      </c>
      <c r="S1182">
        <v>239.92</v>
      </c>
      <c r="T1182">
        <v>208</v>
      </c>
      <c r="U1182">
        <v>13.3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84335</v>
      </c>
      <c r="M1183" t="s">
        <v>269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202.6</v>
      </c>
      <c r="U1183">
        <v>15.56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84342</v>
      </c>
      <c r="M1184" t="s">
        <v>498</v>
      </c>
      <c r="O1184" t="s">
        <v>11</v>
      </c>
      <c r="P1184">
        <v>5403</v>
      </c>
      <c r="Q1184">
        <v>4</v>
      </c>
      <c r="R1184">
        <v>59.98</v>
      </c>
      <c r="S1184">
        <v>239.92</v>
      </c>
      <c r="T1184">
        <v>183.12</v>
      </c>
      <c r="U1184">
        <v>23.67</v>
      </c>
      <c r="V1184" t="str">
        <f>VLOOKUP(L1184,'[2]tabela de preços'!$A:$D,4,0)</f>
        <v>BRASILUX</v>
      </c>
      <c r="W1184" t="str">
        <f>VLOOKUP(L1184,'[2]tabela de preços'!$A:$F,6,0)</f>
        <v>ESMALTES</v>
      </c>
      <c r="X1184" t="str">
        <f>VLOOKUP(L1184,'[2]tabela de preços'!$A:$G,7,0)</f>
        <v>INDUSTRIAL</v>
      </c>
    </row>
    <row r="1185" spans="1:24" x14ac:dyDescent="0.3">
      <c r="A1185" t="s">
        <v>1275</v>
      </c>
      <c r="C1185" t="s">
        <v>1285</v>
      </c>
      <c r="D1185" s="1">
        <v>46038</v>
      </c>
      <c r="E1185" t="s">
        <v>1286</v>
      </c>
      <c r="F1185">
        <v>9</v>
      </c>
      <c r="G1185">
        <v>197</v>
      </c>
      <c r="H1185" t="str">
        <f>VLOOKUP(G1185,[1]OPERADORES!$A:$B,2,0)</f>
        <v xml:space="preserve">POLIANA LORRANE DE AMORIM </v>
      </c>
      <c r="I1185" t="s">
        <v>21</v>
      </c>
      <c r="J1185" t="s">
        <v>1278</v>
      </c>
      <c r="K1185" t="s">
        <v>1279</v>
      </c>
      <c r="L1185">
        <v>84145</v>
      </c>
      <c r="M1185" t="s">
        <v>301</v>
      </c>
      <c r="O1185" t="s">
        <v>11</v>
      </c>
      <c r="P1185">
        <v>5403</v>
      </c>
      <c r="Q1185">
        <v>12</v>
      </c>
      <c r="R1185">
        <v>59.98</v>
      </c>
      <c r="S1185">
        <v>719.76</v>
      </c>
      <c r="T1185">
        <v>624.12</v>
      </c>
      <c r="U1185">
        <v>13.29</v>
      </c>
      <c r="V1185" t="str">
        <f>VLOOKUP(L1185,'[2]tabela de preços'!$A:$D,4,0)</f>
        <v>BRASILUX</v>
      </c>
      <c r="W1185" t="str">
        <f>VLOOKUP(L1185,'[2]tabela de preços'!$A:$F,6,0)</f>
        <v>ESMALTES</v>
      </c>
      <c r="X1185" t="str">
        <f>VLOOKUP(L1185,'[2]tabela de preços'!$A:$G,7,0)</f>
        <v>INDUSTRIAL</v>
      </c>
    </row>
    <row r="1186" spans="1:24" x14ac:dyDescent="0.3">
      <c r="A1186" t="s">
        <v>1275</v>
      </c>
      <c r="C1186" t="s">
        <v>1285</v>
      </c>
      <c r="D1186" s="1">
        <v>46038</v>
      </c>
      <c r="E1186" t="s">
        <v>1286</v>
      </c>
      <c r="F1186">
        <v>9</v>
      </c>
      <c r="G1186">
        <v>197</v>
      </c>
      <c r="H1186" t="str">
        <f>VLOOKUP(G1186,[1]OPERADORES!$A:$B,2,0)</f>
        <v xml:space="preserve">POLIANA LORRANE DE AMORIM </v>
      </c>
      <c r="I1186" t="s">
        <v>21</v>
      </c>
      <c r="J1186" t="s">
        <v>1278</v>
      </c>
      <c r="K1186" t="s">
        <v>1279</v>
      </c>
      <c r="L1186">
        <v>84344</v>
      </c>
      <c r="M1186" t="s">
        <v>1000</v>
      </c>
      <c r="O1186" t="s">
        <v>11</v>
      </c>
      <c r="P1186">
        <v>5403</v>
      </c>
      <c r="Q1186">
        <v>4</v>
      </c>
      <c r="R1186">
        <v>59.98</v>
      </c>
      <c r="S1186">
        <v>239.92</v>
      </c>
      <c r="T1186">
        <v>198.64</v>
      </c>
      <c r="U1186">
        <v>17.21</v>
      </c>
      <c r="V1186" t="str">
        <f>VLOOKUP(L1186,'[2]tabela de preços'!$A:$D,4,0)</f>
        <v>BRASILUX</v>
      </c>
      <c r="W1186" t="str">
        <f>VLOOKUP(L1186,'[2]tabela de preços'!$A:$F,6,0)</f>
        <v>ESMALTES</v>
      </c>
      <c r="X1186" t="str">
        <f>VLOOKUP(L1186,'[2]tabela de preços'!$A:$G,7,0)</f>
        <v>INDUSTRIAL</v>
      </c>
    </row>
    <row r="1187" spans="1:24" x14ac:dyDescent="0.3">
      <c r="A1187" t="s">
        <v>1275</v>
      </c>
      <c r="C1187" t="s">
        <v>1285</v>
      </c>
      <c r="D1187" s="1">
        <v>46038</v>
      </c>
      <c r="E1187" t="s">
        <v>1286</v>
      </c>
      <c r="F1187">
        <v>9</v>
      </c>
      <c r="G1187">
        <v>197</v>
      </c>
      <c r="H1187" t="str">
        <f>VLOOKUP(G1187,[1]OPERADORES!$A:$B,2,0)</f>
        <v xml:space="preserve">POLIANA LORRANE DE AMORIM </v>
      </c>
      <c r="I1187" t="s">
        <v>21</v>
      </c>
      <c r="J1187" t="s">
        <v>1278</v>
      </c>
      <c r="K1187" t="s">
        <v>1279</v>
      </c>
      <c r="L1187">
        <v>85292</v>
      </c>
      <c r="M1187" t="s">
        <v>1288</v>
      </c>
      <c r="O1187" t="s">
        <v>11</v>
      </c>
      <c r="P1187">
        <v>5403</v>
      </c>
      <c r="Q1187">
        <v>2</v>
      </c>
      <c r="R1187">
        <v>169.39</v>
      </c>
      <c r="S1187">
        <v>338.78</v>
      </c>
      <c r="T1187">
        <v>257.14</v>
      </c>
      <c r="U1187">
        <v>24.1</v>
      </c>
      <c r="V1187" t="str">
        <f>VLOOKUP(L1187,'[2]tabela de preços'!$A:$D,4,0)</f>
        <v>BRASILUX</v>
      </c>
      <c r="W1187" t="str">
        <f>VLOOKUP(L1187,'[2]tabela de preços'!$A:$F,6,0)</f>
        <v>EPOXI</v>
      </c>
      <c r="X1187" t="str">
        <f>VLOOKUP(L1187,'[2]tabela de preços'!$A:$G,7,0)</f>
        <v>INDUSTRIAL</v>
      </c>
    </row>
    <row r="1188" spans="1:24" x14ac:dyDescent="0.3">
      <c r="A1188" t="s">
        <v>1275</v>
      </c>
      <c r="C1188" t="s">
        <v>1289</v>
      </c>
      <c r="D1188" s="1">
        <v>46050</v>
      </c>
      <c r="E1188" t="s">
        <v>1290</v>
      </c>
      <c r="F1188">
        <v>9</v>
      </c>
      <c r="G1188">
        <v>197</v>
      </c>
      <c r="H1188" t="str">
        <f>VLOOKUP(G1188,[1]OPERADORES!$A:$B,2,0)</f>
        <v xml:space="preserve">POLIANA LORRANE DE AMORIM </v>
      </c>
      <c r="I1188" t="s">
        <v>21</v>
      </c>
      <c r="J1188" t="s">
        <v>1278</v>
      </c>
      <c r="K1188" t="s">
        <v>1279</v>
      </c>
      <c r="L1188">
        <v>85292</v>
      </c>
      <c r="M1188" t="s">
        <v>1288</v>
      </c>
      <c r="O1188" t="s">
        <v>11</v>
      </c>
      <c r="P1188">
        <v>5403</v>
      </c>
      <c r="Q1188">
        <v>2</v>
      </c>
      <c r="R1188">
        <v>175.37</v>
      </c>
      <c r="S1188">
        <v>350.74</v>
      </c>
      <c r="T1188">
        <v>257.14</v>
      </c>
      <c r="U1188">
        <v>26.69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1291</v>
      </c>
      <c r="C1189" t="s">
        <v>1292</v>
      </c>
      <c r="D1189" s="1">
        <v>46042</v>
      </c>
      <c r="E1189" t="s">
        <v>1293</v>
      </c>
      <c r="F1189">
        <v>9</v>
      </c>
      <c r="G1189">
        <v>197</v>
      </c>
      <c r="H1189" t="str">
        <f>VLOOKUP(G1189,[1]OPERADORES!$A:$B,2,0)</f>
        <v xml:space="preserve">POLIANA LORRANE DE AMORIM </v>
      </c>
      <c r="I1189" t="s">
        <v>282</v>
      </c>
      <c r="J1189" t="s">
        <v>1294</v>
      </c>
      <c r="K1189" t="s">
        <v>1295</v>
      </c>
      <c r="L1189">
        <v>84114</v>
      </c>
      <c r="M1189" t="s">
        <v>292</v>
      </c>
      <c r="O1189" t="s">
        <v>11</v>
      </c>
      <c r="P1189">
        <v>6403</v>
      </c>
      <c r="Q1189">
        <v>6</v>
      </c>
      <c r="R1189">
        <v>153.99</v>
      </c>
      <c r="S1189">
        <v>923.94</v>
      </c>
      <c r="T1189">
        <v>701.28</v>
      </c>
      <c r="U1189">
        <v>24.1</v>
      </c>
      <c r="V1189" t="str">
        <f>VLOOKUP(L1189,'[2]tabela de preços'!$A:$D,4,0)</f>
        <v>BRASILUX</v>
      </c>
      <c r="W1189" t="str">
        <f>VLOOKUP(L1189,'[2]tabela de preços'!$A:$F,6,0)</f>
        <v>EPOXI</v>
      </c>
      <c r="X1189" t="str">
        <f>VLOOKUP(L1189,'[2]tabela de preços'!$A:$G,7,0)</f>
        <v>INDUSTRIAL</v>
      </c>
    </row>
    <row r="1190" spans="1:24" x14ac:dyDescent="0.3">
      <c r="A1190" t="s">
        <v>1291</v>
      </c>
      <c r="C1190" t="s">
        <v>1292</v>
      </c>
      <c r="D1190" s="1">
        <v>46042</v>
      </c>
      <c r="E1190" t="s">
        <v>1293</v>
      </c>
      <c r="F1190">
        <v>9</v>
      </c>
      <c r="G1190">
        <v>197</v>
      </c>
      <c r="H1190" t="str">
        <f>VLOOKUP(G1190,[1]OPERADORES!$A:$B,2,0)</f>
        <v xml:space="preserve">POLIANA LORRANE DE AMORIM </v>
      </c>
      <c r="I1190" t="s">
        <v>282</v>
      </c>
      <c r="J1190" t="s">
        <v>1294</v>
      </c>
      <c r="K1190" t="s">
        <v>1295</v>
      </c>
      <c r="L1190">
        <v>86754</v>
      </c>
      <c r="M1190" t="s">
        <v>1296</v>
      </c>
      <c r="O1190" t="s">
        <v>11</v>
      </c>
      <c r="P1190">
        <v>6102</v>
      </c>
      <c r="Q1190">
        <v>8</v>
      </c>
      <c r="R1190">
        <v>34.9</v>
      </c>
      <c r="S1190">
        <v>279.2</v>
      </c>
      <c r="T1190">
        <v>233.12</v>
      </c>
      <c r="U1190">
        <v>16.5</v>
      </c>
      <c r="V1190" t="str">
        <f>VLOOKUP(L1190,'[2]tabela de preços'!$A:$D,4,0)</f>
        <v>MACTRA</v>
      </c>
      <c r="W1190" t="str">
        <f>VLOOKUP(L1190,'[2]tabela de preços'!$A:$F,6,0)</f>
        <v>IMPERMEABILIZANTES</v>
      </c>
      <c r="X1190" t="str">
        <f>VLOOKUP(L1190,'[2]tabela de preços'!$A:$G,7,0)</f>
        <v>IMOBILIÁRIO</v>
      </c>
    </row>
    <row r="1191" spans="1:24" x14ac:dyDescent="0.3">
      <c r="A1191" t="s">
        <v>1291</v>
      </c>
      <c r="C1191" t="s">
        <v>1292</v>
      </c>
      <c r="D1191" s="1">
        <v>46042</v>
      </c>
      <c r="E1191" t="s">
        <v>1293</v>
      </c>
      <c r="F1191">
        <v>9</v>
      </c>
      <c r="G1191">
        <v>197</v>
      </c>
      <c r="H1191" t="str">
        <f>VLOOKUP(G1191,[1]OPERADORES!$A:$B,2,0)</f>
        <v xml:space="preserve">POLIANA LORRANE DE AMORIM </v>
      </c>
      <c r="I1191" t="s">
        <v>282</v>
      </c>
      <c r="J1191" t="s">
        <v>1294</v>
      </c>
      <c r="K1191" t="s">
        <v>1295</v>
      </c>
      <c r="L1191">
        <v>86842</v>
      </c>
      <c r="M1191" t="s">
        <v>753</v>
      </c>
      <c r="O1191" t="s">
        <v>11</v>
      </c>
      <c r="P1191">
        <v>6102</v>
      </c>
      <c r="Q1191">
        <v>12</v>
      </c>
      <c r="R1191">
        <v>149.9</v>
      </c>
      <c r="S1191" s="2">
        <v>1798.8</v>
      </c>
      <c r="T1191" s="2">
        <v>1508.16</v>
      </c>
      <c r="U1191">
        <v>16.16</v>
      </c>
      <c r="V1191" t="str">
        <f>VLOOKUP(L1191,'[2]tabela de preços'!$A:$D,4,0)</f>
        <v>MACTRA</v>
      </c>
      <c r="W1191" t="str">
        <f>VLOOKUP(L1191,'[2]tabela de preços'!$A:$F,6,0)</f>
        <v>IMPERMEABILIZANTES</v>
      </c>
      <c r="X1191" t="str">
        <f>VLOOKUP(L1191,'[2]tabela de preços'!$A:$G,7,0)</f>
        <v>IMOBILIÁRIO</v>
      </c>
    </row>
    <row r="1192" spans="1:24" x14ac:dyDescent="0.3">
      <c r="A1192" t="s">
        <v>1291</v>
      </c>
      <c r="C1192" t="s">
        <v>1292</v>
      </c>
      <c r="D1192" s="1">
        <v>46042</v>
      </c>
      <c r="E1192" t="s">
        <v>1293</v>
      </c>
      <c r="F1192">
        <v>9</v>
      </c>
      <c r="G1192">
        <v>197</v>
      </c>
      <c r="H1192" t="str">
        <f>VLOOKUP(G1192,[1]OPERADORES!$A:$B,2,0)</f>
        <v xml:space="preserve">POLIANA LORRANE DE AMORIM </v>
      </c>
      <c r="I1192" t="s">
        <v>282</v>
      </c>
      <c r="J1192" t="s">
        <v>1294</v>
      </c>
      <c r="K1192" t="s">
        <v>1295</v>
      </c>
      <c r="L1192">
        <v>10298</v>
      </c>
      <c r="M1192" t="s">
        <v>85</v>
      </c>
      <c r="O1192" t="s">
        <v>11</v>
      </c>
      <c r="P1192">
        <v>6102</v>
      </c>
      <c r="Q1192">
        <v>50</v>
      </c>
      <c r="R1192">
        <v>54.9</v>
      </c>
      <c r="S1192" s="2">
        <v>2745</v>
      </c>
      <c r="T1192" s="2">
        <v>2369</v>
      </c>
      <c r="U1192">
        <v>13.7</v>
      </c>
      <c r="V1192" t="str">
        <f>VLOOKUP(L1192,'[2]tabela de preços'!$A:$D,4,0)</f>
        <v>ANJO</v>
      </c>
      <c r="W1192" t="str">
        <f>VLOOKUP(L1192,'[2]tabela de preços'!$A:$F,6,0)</f>
        <v>THINNER DE LIMPEZA</v>
      </c>
      <c r="X1192" t="str">
        <f>VLOOKUP(L1192,'[2]tabela de preços'!$A:$G,7,0)</f>
        <v>THINNER</v>
      </c>
    </row>
    <row r="1193" spans="1:24" x14ac:dyDescent="0.3">
      <c r="A1193" t="s">
        <v>1291</v>
      </c>
      <c r="C1193" t="s">
        <v>1292</v>
      </c>
      <c r="D1193" s="1">
        <v>46042</v>
      </c>
      <c r="E1193" t="s">
        <v>1293</v>
      </c>
      <c r="F1193">
        <v>9</v>
      </c>
      <c r="G1193">
        <v>197</v>
      </c>
      <c r="H1193" t="str">
        <f>VLOOKUP(G1193,[1]OPERADORES!$A:$B,2,0)</f>
        <v xml:space="preserve">POLIANA LORRANE DE AMORIM </v>
      </c>
      <c r="I1193" t="s">
        <v>282</v>
      </c>
      <c r="J1193" t="s">
        <v>1294</v>
      </c>
      <c r="K1193" t="s">
        <v>1295</v>
      </c>
      <c r="L1193">
        <v>10297</v>
      </c>
      <c r="M1193" t="s">
        <v>41</v>
      </c>
      <c r="O1193" t="s">
        <v>11</v>
      </c>
      <c r="P1193">
        <v>6102</v>
      </c>
      <c r="Q1193">
        <v>30</v>
      </c>
      <c r="R1193">
        <v>10.49</v>
      </c>
      <c r="S1193">
        <v>314.7</v>
      </c>
      <c r="T1193">
        <v>275.10000000000002</v>
      </c>
      <c r="U1193">
        <v>12.58</v>
      </c>
      <c r="V1193" t="str">
        <f>VLOOKUP(L1193,'[2]tabela de preços'!$A:$D,4,0)</f>
        <v>ANJO</v>
      </c>
      <c r="W1193" t="str">
        <f>VLOOKUP(L1193,'[2]tabela de preços'!$A:$F,6,0)</f>
        <v>THINNER DE LIMPEZA</v>
      </c>
      <c r="X1193" t="str">
        <f>VLOOKUP(L1193,'[2]tabela de preços'!$A:$G,7,0)</f>
        <v>THINNER</v>
      </c>
    </row>
    <row r="1194" spans="1:24" x14ac:dyDescent="0.3">
      <c r="A1194" t="s">
        <v>1297</v>
      </c>
      <c r="C1194" t="s">
        <v>1298</v>
      </c>
      <c r="D1194" s="1">
        <v>46027</v>
      </c>
      <c r="E1194" t="s">
        <v>1299</v>
      </c>
      <c r="F1194">
        <v>9</v>
      </c>
      <c r="G1194">
        <v>236</v>
      </c>
      <c r="H1194" t="str">
        <f>VLOOKUP(G1194,[1]OPERADORES!$A:$B,2,0)</f>
        <v>DANIEL</v>
      </c>
      <c r="I1194" t="s">
        <v>168</v>
      </c>
      <c r="J1194" t="s">
        <v>1300</v>
      </c>
      <c r="K1194" t="s">
        <v>1301</v>
      </c>
      <c r="L1194">
        <v>84762</v>
      </c>
      <c r="M1194" t="s">
        <v>1014</v>
      </c>
      <c r="O1194" t="s">
        <v>11</v>
      </c>
      <c r="P1194">
        <v>6403</v>
      </c>
      <c r="Q1194">
        <v>3</v>
      </c>
      <c r="R1194">
        <v>163.04</v>
      </c>
      <c r="S1194">
        <v>489.12</v>
      </c>
      <c r="T1194">
        <v>350.64</v>
      </c>
      <c r="U1194">
        <v>28.31</v>
      </c>
      <c r="V1194" t="str">
        <f>VLOOKUP(L1194,'[2]tabela de preços'!$A:$D,4,0)</f>
        <v>BRASILUX</v>
      </c>
      <c r="W1194" t="str">
        <f>VLOOKUP(L1194,'[2]tabela de preços'!$A:$F,6,0)</f>
        <v>EPOXI</v>
      </c>
      <c r="X1194" t="str">
        <f>VLOOKUP(L1194,'[2]tabela de preços'!$A:$G,7,0)</f>
        <v>INDUSTRIAL</v>
      </c>
    </row>
    <row r="1195" spans="1:24" x14ac:dyDescent="0.3">
      <c r="A1195" t="s">
        <v>1302</v>
      </c>
      <c r="C1195" t="s">
        <v>1303</v>
      </c>
      <c r="D1195" s="1">
        <v>46050</v>
      </c>
      <c r="E1195" t="s">
        <v>1304</v>
      </c>
      <c r="F1195">
        <v>9</v>
      </c>
      <c r="G1195">
        <v>236</v>
      </c>
      <c r="H1195" t="str">
        <f>VLOOKUP(G1195,[1]OPERADORES!$A:$B,2,0)</f>
        <v>DANIEL</v>
      </c>
      <c r="I1195" t="s">
        <v>21</v>
      </c>
      <c r="J1195" t="s">
        <v>494</v>
      </c>
      <c r="K1195" t="s">
        <v>1305</v>
      </c>
      <c r="L1195">
        <v>85694</v>
      </c>
      <c r="M1195" t="s">
        <v>1306</v>
      </c>
      <c r="O1195" t="s">
        <v>11</v>
      </c>
      <c r="P1195">
        <v>5102</v>
      </c>
      <c r="Q1195">
        <v>2</v>
      </c>
      <c r="R1195">
        <v>8.41</v>
      </c>
      <c r="S1195">
        <v>16.82</v>
      </c>
      <c r="T1195">
        <v>12.34</v>
      </c>
      <c r="U1195">
        <v>26.63</v>
      </c>
      <c r="V1195" t="str">
        <f>VLOOKUP(L1195,'[2]tabela de preços'!$A:$D,4,0)</f>
        <v>UNIPEGA</v>
      </c>
      <c r="W1195" t="str">
        <f>VLOOKUP(L1195,'[2]tabela de preços'!$A:$F,6,0)</f>
        <v>PU 40</v>
      </c>
      <c r="X1195" t="str">
        <f>VLOOKUP(L1195,'[2]tabela de preços'!$A:$G,7,0)</f>
        <v>IMOBILIÁRIO</v>
      </c>
    </row>
    <row r="1196" spans="1:24" x14ac:dyDescent="0.3">
      <c r="A1196" t="s">
        <v>1302</v>
      </c>
      <c r="C1196" t="s">
        <v>1303</v>
      </c>
      <c r="D1196" s="1">
        <v>46050</v>
      </c>
      <c r="E1196" t="s">
        <v>1304</v>
      </c>
      <c r="F1196">
        <v>9</v>
      </c>
      <c r="G1196">
        <v>236</v>
      </c>
      <c r="H1196" t="str">
        <f>VLOOKUP(G1196,[1]OPERADORES!$A:$B,2,0)</f>
        <v>DANIEL</v>
      </c>
      <c r="I1196" t="s">
        <v>21</v>
      </c>
      <c r="J1196" t="s">
        <v>494</v>
      </c>
      <c r="K1196" t="s">
        <v>1305</v>
      </c>
      <c r="L1196">
        <v>23462</v>
      </c>
      <c r="M1196" t="s">
        <v>1307</v>
      </c>
      <c r="O1196" t="s">
        <v>11</v>
      </c>
      <c r="P1196">
        <v>5102</v>
      </c>
      <c r="Q1196">
        <v>1</v>
      </c>
      <c r="R1196">
        <v>51.91</v>
      </c>
      <c r="S1196">
        <v>51.91</v>
      </c>
      <c r="T1196">
        <v>38.06</v>
      </c>
      <c r="U1196">
        <v>26.68</v>
      </c>
      <c r="V1196" t="str">
        <f>VLOOKUP(L1196,'[2]tabela de preços'!$A:$D,4,0)</f>
        <v>3M</v>
      </c>
      <c r="W1196" t="str">
        <f>VLOOKUP(L1196,'[2]tabela de preços'!$A:$F,6,0)</f>
        <v xml:space="preserve">LÍQUIDOS P/ POLIMENTO </v>
      </c>
      <c r="X1196" t="str">
        <f>VLOOKUP(L1196,'[2]tabela de preços'!$A:$G,7,0)</f>
        <v>AUTOMOTIVO</v>
      </c>
    </row>
    <row r="1197" spans="1:24" x14ac:dyDescent="0.3">
      <c r="A1197" t="s">
        <v>1302</v>
      </c>
      <c r="C1197" t="s">
        <v>1303</v>
      </c>
      <c r="D1197" s="1">
        <v>46050</v>
      </c>
      <c r="E1197" t="s">
        <v>1304</v>
      </c>
      <c r="F1197">
        <v>9</v>
      </c>
      <c r="G1197">
        <v>236</v>
      </c>
      <c r="H1197" t="str">
        <f>VLOOKUP(G1197,[1]OPERADORES!$A:$B,2,0)</f>
        <v>DANIEL</v>
      </c>
      <c r="I1197" t="s">
        <v>21</v>
      </c>
      <c r="J1197" t="s">
        <v>494</v>
      </c>
      <c r="K1197" t="s">
        <v>1305</v>
      </c>
      <c r="L1197">
        <v>20099</v>
      </c>
      <c r="M1197" t="s">
        <v>1308</v>
      </c>
      <c r="O1197" t="s">
        <v>11</v>
      </c>
      <c r="P1197">
        <v>5403</v>
      </c>
      <c r="Q1197">
        <v>2</v>
      </c>
      <c r="R1197">
        <v>16.46</v>
      </c>
      <c r="S1197">
        <v>32.92</v>
      </c>
      <c r="T1197">
        <v>24.14</v>
      </c>
      <c r="U1197">
        <v>26.67</v>
      </c>
      <c r="V1197" t="str">
        <f>VLOOKUP(L1197,'[2]tabela de preços'!$A:$D,4,0)</f>
        <v>MAXI RUBBER</v>
      </c>
      <c r="W1197" t="str">
        <f>VLOOKUP(L1197,'[2]tabela de preços'!$A:$F,6,0)</f>
        <v>BATIDA DE PEDRA</v>
      </c>
      <c r="X1197" t="str">
        <f>VLOOKUP(L1197,'[2]tabela de preços'!$A:$G,7,0)</f>
        <v>AUTOMOTIVO</v>
      </c>
    </row>
    <row r="1198" spans="1:24" x14ac:dyDescent="0.3">
      <c r="A1198" t="s">
        <v>1302</v>
      </c>
      <c r="C1198" t="s">
        <v>1303</v>
      </c>
      <c r="D1198" s="1">
        <v>46050</v>
      </c>
      <c r="E1198" t="s">
        <v>1304</v>
      </c>
      <c r="F1198">
        <v>9</v>
      </c>
      <c r="G1198">
        <v>236</v>
      </c>
      <c r="H1198" t="str">
        <f>VLOOKUP(G1198,[1]OPERADORES!$A:$B,2,0)</f>
        <v>DANIEL</v>
      </c>
      <c r="I1198" t="s">
        <v>21</v>
      </c>
      <c r="J1198" t="s">
        <v>494</v>
      </c>
      <c r="K1198" t="s">
        <v>1305</v>
      </c>
      <c r="L1198">
        <v>84108</v>
      </c>
      <c r="M1198" t="s">
        <v>144</v>
      </c>
      <c r="O1198" t="s">
        <v>11</v>
      </c>
      <c r="P1198">
        <v>5403</v>
      </c>
      <c r="Q1198">
        <v>1</v>
      </c>
      <c r="R1198">
        <v>28.25</v>
      </c>
      <c r="S1198">
        <v>28.25</v>
      </c>
      <c r="T1198">
        <v>20.71</v>
      </c>
      <c r="U1198">
        <v>26.69</v>
      </c>
      <c r="V1198" t="str">
        <f>VLOOKUP(L1198,'[2]tabela de preços'!$A:$D,4,0)</f>
        <v>BRASILUX</v>
      </c>
      <c r="W1198" t="str">
        <f>VLOOKUP(L1198,'[2]tabela de preços'!$A:$F,6,0)</f>
        <v>TINTAS LACA</v>
      </c>
      <c r="X1198" t="str">
        <f>VLOOKUP(L1198,'[2]tabela de preços'!$A:$G,7,0)</f>
        <v>AUTOMOTIVO</v>
      </c>
    </row>
    <row r="1199" spans="1:24" x14ac:dyDescent="0.3">
      <c r="A1199" t="s">
        <v>1302</v>
      </c>
      <c r="C1199" t="s">
        <v>1303</v>
      </c>
      <c r="D1199" s="1">
        <v>46050</v>
      </c>
      <c r="E1199" t="s">
        <v>1304</v>
      </c>
      <c r="F1199">
        <v>9</v>
      </c>
      <c r="G1199">
        <v>236</v>
      </c>
      <c r="H1199" t="str">
        <f>VLOOKUP(G1199,[1]OPERADORES!$A:$B,2,0)</f>
        <v>DANIEL</v>
      </c>
      <c r="I1199" t="s">
        <v>21</v>
      </c>
      <c r="J1199" t="s">
        <v>494</v>
      </c>
      <c r="K1199" t="s">
        <v>1305</v>
      </c>
      <c r="L1199">
        <v>20048</v>
      </c>
      <c r="M1199" t="s">
        <v>1309</v>
      </c>
      <c r="O1199" t="s">
        <v>11</v>
      </c>
      <c r="P1199">
        <v>5102</v>
      </c>
      <c r="Q1199">
        <v>1</v>
      </c>
      <c r="R1199">
        <v>18.649999999999999</v>
      </c>
      <c r="S1199">
        <v>18.649999999999999</v>
      </c>
      <c r="T1199">
        <v>13.67</v>
      </c>
      <c r="U1199">
        <v>26.7</v>
      </c>
      <c r="V1199" t="str">
        <f>VLOOKUP(L1199,'[2]tabela de preços'!$A:$D,4,0)</f>
        <v>3M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1302</v>
      </c>
      <c r="C1200" t="s">
        <v>1303</v>
      </c>
      <c r="D1200" s="1">
        <v>46050</v>
      </c>
      <c r="E1200" t="s">
        <v>1304</v>
      </c>
      <c r="F1200">
        <v>9</v>
      </c>
      <c r="G1200">
        <v>236</v>
      </c>
      <c r="H1200" t="str">
        <f>VLOOKUP(G1200,[1]OPERADORES!$A:$B,2,0)</f>
        <v>DANIEL</v>
      </c>
      <c r="I1200" t="s">
        <v>21</v>
      </c>
      <c r="J1200" t="s">
        <v>494</v>
      </c>
      <c r="K1200" t="s">
        <v>1305</v>
      </c>
      <c r="L1200">
        <v>21274</v>
      </c>
      <c r="M1200" t="s">
        <v>810</v>
      </c>
      <c r="O1200" t="s">
        <v>11</v>
      </c>
      <c r="P1200">
        <v>5102</v>
      </c>
      <c r="Q1200">
        <v>10</v>
      </c>
      <c r="R1200">
        <v>0.85</v>
      </c>
      <c r="S1200">
        <v>8.5</v>
      </c>
      <c r="T1200">
        <v>5.5</v>
      </c>
      <c r="U1200">
        <v>35.29</v>
      </c>
      <c r="V1200" t="str">
        <f>VLOOKUP(L1200,'[2]tabela de preços'!$A:$D,4,0)</f>
        <v>SHERWIN WILLIAMS</v>
      </c>
      <c r="W1200" t="str">
        <f>VLOOKUP(L1200,'[2]tabela de preços'!$A:$F,6,0)</f>
        <v>COADORES</v>
      </c>
      <c r="X1200" t="str">
        <f>VLOOKUP(L1200,'[2]tabela de preços'!$A:$G,7,0)</f>
        <v>AUTOMOTIVO</v>
      </c>
    </row>
    <row r="1201" spans="1:24" x14ac:dyDescent="0.3">
      <c r="A1201" t="s">
        <v>1302</v>
      </c>
      <c r="C1201" t="s">
        <v>1303</v>
      </c>
      <c r="D1201" s="1">
        <v>46050</v>
      </c>
      <c r="E1201" t="s">
        <v>1304</v>
      </c>
      <c r="F1201">
        <v>9</v>
      </c>
      <c r="G1201">
        <v>236</v>
      </c>
      <c r="H1201" t="str">
        <f>VLOOKUP(G1201,[1]OPERADORES!$A:$B,2,0)</f>
        <v>DANIEL</v>
      </c>
      <c r="I1201" t="s">
        <v>21</v>
      </c>
      <c r="J1201" t="s">
        <v>494</v>
      </c>
      <c r="K1201" t="s">
        <v>1305</v>
      </c>
      <c r="L1201">
        <v>23434</v>
      </c>
      <c r="M1201" t="s">
        <v>1310</v>
      </c>
      <c r="O1201" t="s">
        <v>11</v>
      </c>
      <c r="P1201">
        <v>5102</v>
      </c>
      <c r="Q1201">
        <v>5</v>
      </c>
      <c r="R1201">
        <v>3.44</v>
      </c>
      <c r="S1201">
        <v>17.2</v>
      </c>
      <c r="T1201">
        <v>12.6</v>
      </c>
      <c r="U1201">
        <v>26.74</v>
      </c>
      <c r="V1201" t="str">
        <f>VLOOKUP(L1201,'[2]tabela de preços'!$A:$D,4,0)</f>
        <v>NORTON</v>
      </c>
      <c r="W1201" t="str">
        <f>VLOOKUP(L1201,'[2]tabela de preços'!$A:$F,6,0)</f>
        <v xml:space="preserve">OUTROS DISCOS </v>
      </c>
      <c r="X1201" t="str">
        <f>VLOOKUP(L1201,'[2]tabela de preços'!$A:$G,7,0)</f>
        <v>AUTOMOTIVO</v>
      </c>
    </row>
    <row r="1202" spans="1:24" x14ac:dyDescent="0.3">
      <c r="A1202" t="s">
        <v>1302</v>
      </c>
      <c r="C1202" t="s">
        <v>1303</v>
      </c>
      <c r="D1202" s="1">
        <v>46050</v>
      </c>
      <c r="E1202" t="s">
        <v>1304</v>
      </c>
      <c r="F1202">
        <v>9</v>
      </c>
      <c r="G1202">
        <v>236</v>
      </c>
      <c r="H1202" t="str">
        <f>VLOOKUP(G1202,[1]OPERADORES!$A:$B,2,0)</f>
        <v>DANIEL</v>
      </c>
      <c r="I1202" t="s">
        <v>21</v>
      </c>
      <c r="J1202" t="s">
        <v>494</v>
      </c>
      <c r="K1202" t="s">
        <v>1305</v>
      </c>
      <c r="L1202">
        <v>10236</v>
      </c>
      <c r="M1202" t="s">
        <v>133</v>
      </c>
      <c r="O1202" t="s">
        <v>11</v>
      </c>
      <c r="P1202">
        <v>5102</v>
      </c>
      <c r="Q1202">
        <v>20</v>
      </c>
      <c r="R1202">
        <v>2.79</v>
      </c>
      <c r="S1202">
        <v>55.8</v>
      </c>
      <c r="T1202">
        <v>46.4</v>
      </c>
      <c r="U1202">
        <v>16.850000000000001</v>
      </c>
      <c r="V1202" t="str">
        <f>VLOOKUP(L1202,'[2]tabela de preços'!$A:$D,4,0)</f>
        <v>NORTON</v>
      </c>
      <c r="W1202" t="str">
        <f>VLOOKUP(L1202,'[2]tabela de preços'!$A:$F,6,0)</f>
        <v xml:space="preserve">DISCOS / LIXAS / ABRASIVOS </v>
      </c>
      <c r="X1202" t="str">
        <f>VLOOKUP(L1202,'[2]tabela de preços'!$A:$G,7,0)</f>
        <v>AUTOMOTIVO</v>
      </c>
    </row>
    <row r="1203" spans="1:24" x14ac:dyDescent="0.3">
      <c r="A1203" t="s">
        <v>1302</v>
      </c>
      <c r="C1203" t="s">
        <v>1303</v>
      </c>
      <c r="D1203" s="1">
        <v>46050</v>
      </c>
      <c r="E1203" t="s">
        <v>1304</v>
      </c>
      <c r="F1203">
        <v>9</v>
      </c>
      <c r="G1203">
        <v>236</v>
      </c>
      <c r="H1203" t="str">
        <f>VLOOKUP(G1203,[1]OPERADORES!$A:$B,2,0)</f>
        <v>DANIEL</v>
      </c>
      <c r="I1203" t="s">
        <v>21</v>
      </c>
      <c r="J1203" t="s">
        <v>494</v>
      </c>
      <c r="K1203" t="s">
        <v>1305</v>
      </c>
      <c r="L1203">
        <v>10232</v>
      </c>
      <c r="M1203" t="s">
        <v>134</v>
      </c>
      <c r="O1203" t="s">
        <v>11</v>
      </c>
      <c r="P1203">
        <v>5102</v>
      </c>
      <c r="Q1203">
        <v>20</v>
      </c>
      <c r="R1203">
        <v>2.79</v>
      </c>
      <c r="S1203">
        <v>55.8</v>
      </c>
      <c r="T1203">
        <v>45</v>
      </c>
      <c r="U1203">
        <v>19.350000000000001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1302</v>
      </c>
      <c r="C1204" t="s">
        <v>1303</v>
      </c>
      <c r="D1204" s="1">
        <v>46050</v>
      </c>
      <c r="E1204" t="s">
        <v>1304</v>
      </c>
      <c r="F1204">
        <v>9</v>
      </c>
      <c r="G1204">
        <v>236</v>
      </c>
      <c r="H1204" t="str">
        <f>VLOOKUP(G1204,[1]OPERADORES!$A:$B,2,0)</f>
        <v>DANIEL</v>
      </c>
      <c r="I1204" t="s">
        <v>21</v>
      </c>
      <c r="J1204" t="s">
        <v>494</v>
      </c>
      <c r="K1204" t="s">
        <v>1305</v>
      </c>
      <c r="L1204">
        <v>10234</v>
      </c>
      <c r="M1204" t="s">
        <v>157</v>
      </c>
      <c r="O1204" t="s">
        <v>11</v>
      </c>
      <c r="P1204">
        <v>5102</v>
      </c>
      <c r="Q1204">
        <v>20</v>
      </c>
      <c r="R1204">
        <v>2.79</v>
      </c>
      <c r="S1204">
        <v>55.8</v>
      </c>
      <c r="T1204">
        <v>46.4</v>
      </c>
      <c r="U1204">
        <v>16.850000000000001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1302</v>
      </c>
      <c r="C1205" t="s">
        <v>1303</v>
      </c>
      <c r="D1205" s="1">
        <v>46050</v>
      </c>
      <c r="E1205" t="s">
        <v>1304</v>
      </c>
      <c r="F1205">
        <v>9</v>
      </c>
      <c r="G1205">
        <v>236</v>
      </c>
      <c r="H1205" t="str">
        <f>VLOOKUP(G1205,[1]OPERADORES!$A:$B,2,0)</f>
        <v>DANIEL</v>
      </c>
      <c r="I1205" t="s">
        <v>21</v>
      </c>
      <c r="J1205" t="s">
        <v>494</v>
      </c>
      <c r="K1205" t="s">
        <v>1305</v>
      </c>
      <c r="L1205">
        <v>24248</v>
      </c>
      <c r="M1205" t="s">
        <v>107</v>
      </c>
      <c r="O1205" t="s">
        <v>11</v>
      </c>
      <c r="P1205">
        <v>5102</v>
      </c>
      <c r="Q1205">
        <v>7</v>
      </c>
      <c r="R1205">
        <v>8</v>
      </c>
      <c r="S1205">
        <v>56</v>
      </c>
      <c r="T1205">
        <v>45.5</v>
      </c>
      <c r="U1205">
        <v>18.75</v>
      </c>
      <c r="V1205" t="str">
        <f>VLOOKUP(L1205,'[2]tabela de preços'!$A:$D,4,0)</f>
        <v>SHERWIN WILLIAMS</v>
      </c>
      <c r="W1205" t="str">
        <f>VLOOKUP(L1205,'[2]tabela de preços'!$A:$F,6,0)</f>
        <v>PRIMER AUTOMOTIVO</v>
      </c>
      <c r="X1205" t="str">
        <f>VLOOKUP(L1205,'[2]tabela de preços'!$A:$G,7,0)</f>
        <v>AUTOMOTIVO</v>
      </c>
    </row>
    <row r="1206" spans="1:24" x14ac:dyDescent="0.3">
      <c r="A1206" t="s">
        <v>1302</v>
      </c>
      <c r="C1206" t="s">
        <v>1303</v>
      </c>
      <c r="D1206" s="1">
        <v>46050</v>
      </c>
      <c r="E1206" t="s">
        <v>1304</v>
      </c>
      <c r="F1206">
        <v>9</v>
      </c>
      <c r="G1206">
        <v>236</v>
      </c>
      <c r="H1206" t="str">
        <f>VLOOKUP(G1206,[1]OPERADORES!$A:$B,2,0)</f>
        <v>DANIEL</v>
      </c>
      <c r="I1206" t="s">
        <v>21</v>
      </c>
      <c r="J1206" t="s">
        <v>494</v>
      </c>
      <c r="K1206" t="s">
        <v>1305</v>
      </c>
      <c r="L1206">
        <v>20245</v>
      </c>
      <c r="M1206" t="s">
        <v>146</v>
      </c>
      <c r="O1206" t="s">
        <v>11</v>
      </c>
      <c r="P1206">
        <v>5102</v>
      </c>
      <c r="Q1206">
        <v>2</v>
      </c>
      <c r="R1206">
        <v>1.84</v>
      </c>
      <c r="S1206">
        <v>3.68</v>
      </c>
      <c r="T1206">
        <v>2.7</v>
      </c>
      <c r="U1206">
        <v>26.63</v>
      </c>
      <c r="V1206" t="str">
        <f>VLOOKUP(L1206,'[2]tabela de preços'!$A:$D,4,0)</f>
        <v>ATLAS</v>
      </c>
      <c r="W1206" t="str">
        <f>VLOOKUP(L1206,'[2]tabela de preços'!$A:$F,6,0)</f>
        <v>APLICADORES / ADAPTADORES / ENGATES / SUPORTES</v>
      </c>
      <c r="X1206" t="str">
        <f>VLOOKUP(L1206,'[2]tabela de preços'!$A:$G,7,0)</f>
        <v>AUTOMOTIVO</v>
      </c>
    </row>
    <row r="1207" spans="1:24" x14ac:dyDescent="0.3">
      <c r="A1207" t="s">
        <v>1302</v>
      </c>
      <c r="C1207" t="s">
        <v>1303</v>
      </c>
      <c r="D1207" s="1">
        <v>46050</v>
      </c>
      <c r="E1207" t="s">
        <v>1304</v>
      </c>
      <c r="F1207">
        <v>9</v>
      </c>
      <c r="G1207">
        <v>236</v>
      </c>
      <c r="H1207" t="str">
        <f>VLOOKUP(G1207,[1]OPERADORES!$A:$B,2,0)</f>
        <v>DANIEL</v>
      </c>
      <c r="I1207" t="s">
        <v>21</v>
      </c>
      <c r="J1207" t="s">
        <v>494</v>
      </c>
      <c r="K1207" t="s">
        <v>1305</v>
      </c>
      <c r="L1207">
        <v>5</v>
      </c>
      <c r="M1207" t="s">
        <v>147</v>
      </c>
      <c r="O1207" t="s">
        <v>11</v>
      </c>
      <c r="P1207">
        <v>5102</v>
      </c>
      <c r="Q1207">
        <v>3</v>
      </c>
      <c r="R1207">
        <v>5.33</v>
      </c>
      <c r="S1207">
        <v>15.99</v>
      </c>
      <c r="T1207">
        <v>11.73</v>
      </c>
      <c r="U1207">
        <v>26.64</v>
      </c>
      <c r="V1207" t="str">
        <f>VLOOKUP(L1207,'[2]tabela de preços'!$A:$D,4,0)</f>
        <v>BRILHO ESTOPA</v>
      </c>
      <c r="W1207" t="str">
        <f>VLOOKUP(L1207,'[2]tabela de preços'!$A:$F,6,0)</f>
        <v>ESTOPAS</v>
      </c>
      <c r="X1207" t="str">
        <f>VLOOKUP(L1207,'[2]tabela de preços'!$A:$G,7,0)</f>
        <v>AUTOMOTIVO</v>
      </c>
    </row>
    <row r="1208" spans="1:24" x14ac:dyDescent="0.3">
      <c r="A1208" t="s">
        <v>1302</v>
      </c>
      <c r="C1208" t="s">
        <v>1303</v>
      </c>
      <c r="D1208" s="1">
        <v>46050</v>
      </c>
      <c r="E1208" t="s">
        <v>1304</v>
      </c>
      <c r="F1208">
        <v>9</v>
      </c>
      <c r="G1208">
        <v>236</v>
      </c>
      <c r="H1208" t="str">
        <f>VLOOKUP(G1208,[1]OPERADORES!$A:$B,2,0)</f>
        <v>DANIEL</v>
      </c>
      <c r="I1208" t="s">
        <v>21</v>
      </c>
      <c r="J1208" t="s">
        <v>494</v>
      </c>
      <c r="K1208" t="s">
        <v>1305</v>
      </c>
      <c r="L1208">
        <v>22684</v>
      </c>
      <c r="M1208" t="s">
        <v>73</v>
      </c>
      <c r="O1208" t="s">
        <v>11</v>
      </c>
      <c r="P1208">
        <v>5102</v>
      </c>
      <c r="Q1208">
        <v>3</v>
      </c>
      <c r="R1208">
        <v>3.65</v>
      </c>
      <c r="S1208">
        <v>10.95</v>
      </c>
      <c r="T1208">
        <v>9.24</v>
      </c>
      <c r="U1208">
        <v>15.62</v>
      </c>
      <c r="V1208" t="str">
        <f>VLOOKUP(L1208,'[2]tabela de preços'!$A:$D,4,0)</f>
        <v>3M</v>
      </c>
      <c r="W1208" t="str">
        <f>VLOOKUP(L1208,'[2]tabela de preços'!$A:$F,6,0)</f>
        <v>FITA AUTOMOTIVA</v>
      </c>
      <c r="X1208" t="str">
        <f>VLOOKUP(L1208,'[2]tabela de preços'!$A:$G,7,0)</f>
        <v>AUTOMOTIVO</v>
      </c>
    </row>
    <row r="1209" spans="1:24" x14ac:dyDescent="0.3">
      <c r="A1209" t="s">
        <v>1302</v>
      </c>
      <c r="C1209" t="s">
        <v>1303</v>
      </c>
      <c r="D1209" s="1">
        <v>46050</v>
      </c>
      <c r="E1209" t="s">
        <v>1304</v>
      </c>
      <c r="F1209">
        <v>9</v>
      </c>
      <c r="G1209">
        <v>236</v>
      </c>
      <c r="H1209" t="str">
        <f>VLOOKUP(G1209,[1]OPERADORES!$A:$B,2,0)</f>
        <v>DANIEL</v>
      </c>
      <c r="I1209" t="s">
        <v>21</v>
      </c>
      <c r="J1209" t="s">
        <v>494</v>
      </c>
      <c r="K1209" t="s">
        <v>1305</v>
      </c>
      <c r="L1209">
        <v>22188</v>
      </c>
      <c r="M1209" t="s">
        <v>78</v>
      </c>
      <c r="O1209" t="s">
        <v>11</v>
      </c>
      <c r="P1209">
        <v>5102</v>
      </c>
      <c r="Q1209">
        <v>2</v>
      </c>
      <c r="R1209">
        <v>14.85</v>
      </c>
      <c r="S1209">
        <v>29.7</v>
      </c>
      <c r="T1209">
        <v>21.78</v>
      </c>
      <c r="U1209">
        <v>26.67</v>
      </c>
      <c r="V1209" t="str">
        <f>VLOOKUP(L1209,'[2]tabela de preços'!$A:$D,4,0)</f>
        <v>3M</v>
      </c>
      <c r="W1209" t="str">
        <f>VLOOKUP(L1209,'[2]tabela de preços'!$A:$F,6,0)</f>
        <v>FITA AUTOMOTIVA</v>
      </c>
      <c r="X1209" t="str">
        <f>VLOOKUP(L1209,'[2]tabela de preços'!$A:$G,7,0)</f>
        <v>AUTOMOTIVO</v>
      </c>
    </row>
    <row r="1210" spans="1:24" x14ac:dyDescent="0.3">
      <c r="A1210" t="s">
        <v>1302</v>
      </c>
      <c r="C1210" t="s">
        <v>1303</v>
      </c>
      <c r="D1210" s="1">
        <v>46050</v>
      </c>
      <c r="E1210" t="s">
        <v>1304</v>
      </c>
      <c r="F1210">
        <v>9</v>
      </c>
      <c r="G1210">
        <v>236</v>
      </c>
      <c r="H1210" t="str">
        <f>VLOOKUP(G1210,[1]OPERADORES!$A:$B,2,0)</f>
        <v>DANIEL</v>
      </c>
      <c r="I1210" t="s">
        <v>21</v>
      </c>
      <c r="J1210" t="s">
        <v>494</v>
      </c>
      <c r="K1210" t="s">
        <v>1305</v>
      </c>
      <c r="L1210">
        <v>23384</v>
      </c>
      <c r="M1210" t="s">
        <v>1311</v>
      </c>
      <c r="O1210" t="s">
        <v>11</v>
      </c>
      <c r="P1210">
        <v>5403</v>
      </c>
      <c r="Q1210">
        <v>2</v>
      </c>
      <c r="R1210">
        <v>50.36</v>
      </c>
      <c r="S1210">
        <v>100.72</v>
      </c>
      <c r="T1210">
        <v>73.84</v>
      </c>
      <c r="U1210">
        <v>26.69</v>
      </c>
      <c r="V1210" t="str">
        <f>VLOOKUP(L1210,'[2]tabela de preços'!$A:$D,4,0)</f>
        <v>WANDA</v>
      </c>
      <c r="W1210" t="str">
        <f>VLOOKUP(L1210,'[2]tabela de preços'!$A:$F,6,0)</f>
        <v>TINTAS PU</v>
      </c>
      <c r="X1210" t="str">
        <f>VLOOKUP(L1210,'[2]tabela de preços'!$A:$G,7,0)</f>
        <v>AUTOMOTIVO</v>
      </c>
    </row>
    <row r="1211" spans="1:24" x14ac:dyDescent="0.3">
      <c r="A1211" t="s">
        <v>1302</v>
      </c>
      <c r="C1211" t="s">
        <v>1303</v>
      </c>
      <c r="D1211" s="1">
        <v>46050</v>
      </c>
      <c r="E1211" t="s">
        <v>1304</v>
      </c>
      <c r="F1211">
        <v>9</v>
      </c>
      <c r="G1211">
        <v>236</v>
      </c>
      <c r="H1211" t="str">
        <f>VLOOKUP(G1211,[1]OPERADORES!$A:$B,2,0)</f>
        <v>DANIEL</v>
      </c>
      <c r="I1211" t="s">
        <v>21</v>
      </c>
      <c r="J1211" t="s">
        <v>494</v>
      </c>
      <c r="K1211" t="s">
        <v>1305</v>
      </c>
      <c r="L1211">
        <v>13</v>
      </c>
      <c r="M1211" t="s">
        <v>152</v>
      </c>
      <c r="O1211" t="s">
        <v>11</v>
      </c>
      <c r="P1211">
        <v>5102</v>
      </c>
      <c r="Q1211">
        <v>7</v>
      </c>
      <c r="R1211">
        <v>5.79</v>
      </c>
      <c r="S1211">
        <v>40.53</v>
      </c>
      <c r="T1211">
        <v>29.12</v>
      </c>
      <c r="U1211">
        <v>28.15</v>
      </c>
      <c r="V1211" t="str">
        <f>VLOOKUP(L1211,'[2]tabela de preços'!$A:$D,4,0)</f>
        <v>3M</v>
      </c>
      <c r="W1211" t="str">
        <f>VLOOKUP(L1211,'[2]tabela de preços'!$A:$F,6,0)</f>
        <v>LIXA DÁGUA</v>
      </c>
      <c r="X1211" t="str">
        <f>VLOOKUP(L1211,'[2]tabela de preços'!$A:$G,7,0)</f>
        <v>AUTOMOTIVO</v>
      </c>
    </row>
    <row r="1212" spans="1:24" x14ac:dyDescent="0.3">
      <c r="A1212" t="s">
        <v>1302</v>
      </c>
      <c r="C1212" t="s">
        <v>1303</v>
      </c>
      <c r="D1212" s="1">
        <v>46050</v>
      </c>
      <c r="E1212" t="s">
        <v>1304</v>
      </c>
      <c r="F1212">
        <v>9</v>
      </c>
      <c r="G1212">
        <v>236</v>
      </c>
      <c r="H1212" t="str">
        <f>VLOOKUP(G1212,[1]OPERADORES!$A:$B,2,0)</f>
        <v>DANIEL</v>
      </c>
      <c r="I1212" t="s">
        <v>21</v>
      </c>
      <c r="J1212" t="s">
        <v>494</v>
      </c>
      <c r="K1212" t="s">
        <v>1305</v>
      </c>
      <c r="L1212">
        <v>16</v>
      </c>
      <c r="M1212" t="s">
        <v>122</v>
      </c>
      <c r="O1212" t="s">
        <v>11</v>
      </c>
      <c r="P1212">
        <v>5102</v>
      </c>
      <c r="Q1212">
        <v>7</v>
      </c>
      <c r="R1212">
        <v>3</v>
      </c>
      <c r="S1212">
        <v>21</v>
      </c>
      <c r="T1212">
        <v>15.4</v>
      </c>
      <c r="U1212">
        <v>26.67</v>
      </c>
      <c r="V1212" t="str">
        <f>VLOOKUP(L1212,'[2]tabela de preços'!$A:$D,4,0)</f>
        <v>3M</v>
      </c>
      <c r="W1212" t="str">
        <f>VLOOKUP(L1212,'[2]tabela de preços'!$A:$F,6,0)</f>
        <v>LIXA DÁGUA</v>
      </c>
      <c r="X1212" t="str">
        <f>VLOOKUP(L1212,'[2]tabela de preços'!$A:$G,7,0)</f>
        <v>AUTOMOTIVO</v>
      </c>
    </row>
    <row r="1213" spans="1:24" x14ac:dyDescent="0.3">
      <c r="A1213" t="s">
        <v>1302</v>
      </c>
      <c r="C1213" t="s">
        <v>1303</v>
      </c>
      <c r="D1213" s="1">
        <v>46050</v>
      </c>
      <c r="E1213" t="s">
        <v>1304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494</v>
      </c>
      <c r="K1213" t="s">
        <v>1305</v>
      </c>
      <c r="L1213">
        <v>10238</v>
      </c>
      <c r="M1213" t="s">
        <v>79</v>
      </c>
      <c r="O1213" t="s">
        <v>11</v>
      </c>
      <c r="P1213">
        <v>5102</v>
      </c>
      <c r="Q1213">
        <v>15</v>
      </c>
      <c r="R1213">
        <v>2.79</v>
      </c>
      <c r="S1213">
        <v>41.85</v>
      </c>
      <c r="T1213">
        <v>33.6</v>
      </c>
      <c r="U1213">
        <v>19.71</v>
      </c>
      <c r="V1213" t="str">
        <f>VLOOKUP(L1213,'[2]tabela de preços'!$A:$D,4,0)</f>
        <v>NORTON</v>
      </c>
      <c r="W1213" t="str">
        <f>VLOOKUP(L1213,'[2]tabela de preços'!$A:$F,6,0)</f>
        <v xml:space="preserve">DISCOS / LIXAS / ABRASIVOS </v>
      </c>
      <c r="X1213" t="str">
        <f>VLOOKUP(L1213,'[2]tabela de preços'!$A:$G,7,0)</f>
        <v>AUTOMOTIVO</v>
      </c>
    </row>
    <row r="1214" spans="1:24" x14ac:dyDescent="0.3">
      <c r="A1214" t="s">
        <v>1302</v>
      </c>
      <c r="C1214" t="s">
        <v>1303</v>
      </c>
      <c r="D1214" s="1">
        <v>46050</v>
      </c>
      <c r="E1214" t="s">
        <v>1304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494</v>
      </c>
      <c r="K1214" t="s">
        <v>1305</v>
      </c>
      <c r="L1214">
        <v>10243</v>
      </c>
      <c r="M1214" t="s">
        <v>83</v>
      </c>
      <c r="O1214" t="s">
        <v>11</v>
      </c>
      <c r="P1214">
        <v>5102</v>
      </c>
      <c r="Q1214">
        <v>15</v>
      </c>
      <c r="R1214">
        <v>2.79</v>
      </c>
      <c r="S1214">
        <v>41.85</v>
      </c>
      <c r="T1214">
        <v>28.95</v>
      </c>
      <c r="U1214">
        <v>30.82</v>
      </c>
      <c r="V1214" t="str">
        <f>VLOOKUP(L1214,'[2]tabela de preços'!$A:$D,4,0)</f>
        <v>NORTON</v>
      </c>
      <c r="W1214" t="str">
        <f>VLOOKUP(L1214,'[2]tabela de preços'!$A:$F,6,0)</f>
        <v xml:space="preserve">DISCOS / LIXAS / ABRASIVOS </v>
      </c>
      <c r="X1214" t="str">
        <f>VLOOKUP(L1214,'[2]tabela de preços'!$A:$G,7,0)</f>
        <v>AUTOMOTIVO</v>
      </c>
    </row>
    <row r="1215" spans="1:24" x14ac:dyDescent="0.3">
      <c r="A1215" t="s">
        <v>1302</v>
      </c>
      <c r="C1215" t="s">
        <v>1303</v>
      </c>
      <c r="D1215" s="1">
        <v>46050</v>
      </c>
      <c r="E1215" t="s">
        <v>1304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494</v>
      </c>
      <c r="K1215" t="s">
        <v>1305</v>
      </c>
      <c r="L1215">
        <v>10244</v>
      </c>
      <c r="M1215" t="s">
        <v>84</v>
      </c>
      <c r="O1215" t="s">
        <v>11</v>
      </c>
      <c r="P1215">
        <v>5102</v>
      </c>
      <c r="Q1215">
        <v>15</v>
      </c>
      <c r="R1215">
        <v>2.79</v>
      </c>
      <c r="S1215">
        <v>41.85</v>
      </c>
      <c r="T1215">
        <v>28.95</v>
      </c>
      <c r="U1215">
        <v>30.82</v>
      </c>
      <c r="V1215" t="str">
        <f>VLOOKUP(L1215,'[2]tabela de preços'!$A:$D,4,0)</f>
        <v>NORTON</v>
      </c>
      <c r="W1215" t="str">
        <f>VLOOKUP(L1215,'[2]tabela de preços'!$A:$F,6,0)</f>
        <v xml:space="preserve">DISCOS / LIXAS / ABRASIVOS </v>
      </c>
      <c r="X1215" t="str">
        <f>VLOOKUP(L1215,'[2]tabela de preços'!$A:$G,7,0)</f>
        <v>AUTOMOTIVO</v>
      </c>
    </row>
    <row r="1216" spans="1:24" x14ac:dyDescent="0.3">
      <c r="A1216" t="s">
        <v>1302</v>
      </c>
      <c r="C1216" t="s">
        <v>1303</v>
      </c>
      <c r="D1216" s="1">
        <v>46050</v>
      </c>
      <c r="E1216" t="s">
        <v>1304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494</v>
      </c>
      <c r="K1216" t="s">
        <v>1305</v>
      </c>
      <c r="L1216">
        <v>20817</v>
      </c>
      <c r="M1216" t="s">
        <v>153</v>
      </c>
      <c r="O1216" t="s">
        <v>11</v>
      </c>
      <c r="P1216">
        <v>5102</v>
      </c>
      <c r="Q1216">
        <v>1</v>
      </c>
      <c r="R1216">
        <v>22.89</v>
      </c>
      <c r="S1216">
        <v>22.89</v>
      </c>
      <c r="T1216">
        <v>18.62</v>
      </c>
      <c r="U1216">
        <v>18.649999999999999</v>
      </c>
      <c r="V1216" t="str">
        <f>VLOOKUP(L1216,'[2]tabela de preços'!$A:$D,4,0)</f>
        <v>AUTO AMERICA</v>
      </c>
      <c r="W1216" t="str">
        <f>VLOOKUP(L1216,'[2]tabela de preços'!$A:$F,6,0)</f>
        <v>MASSA DE POLIR</v>
      </c>
      <c r="X1216" t="str">
        <f>VLOOKUP(L1216,'[2]tabela de preços'!$A:$G,7,0)</f>
        <v>AUTOMOTIVO</v>
      </c>
    </row>
    <row r="1217" spans="1:24" x14ac:dyDescent="0.3">
      <c r="A1217" t="s">
        <v>1302</v>
      </c>
      <c r="C1217" t="s">
        <v>1303</v>
      </c>
      <c r="D1217" s="1">
        <v>46050</v>
      </c>
      <c r="E1217" t="s">
        <v>1304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494</v>
      </c>
      <c r="K1217" t="s">
        <v>1305</v>
      </c>
      <c r="L1217">
        <v>20525</v>
      </c>
      <c r="M1217" t="s">
        <v>137</v>
      </c>
      <c r="O1217" t="s">
        <v>11</v>
      </c>
      <c r="P1217">
        <v>5102</v>
      </c>
      <c r="Q1217">
        <v>1</v>
      </c>
      <c r="R1217">
        <v>14.13</v>
      </c>
      <c r="S1217">
        <v>14.13</v>
      </c>
      <c r="T1217">
        <v>10.36</v>
      </c>
      <c r="U1217">
        <v>26.68</v>
      </c>
      <c r="V1217" t="str">
        <f>VLOOKUP(L1217,'[2]tabela de preços'!$A:$D,4,0)</f>
        <v>SHERWIN WILLIAMS</v>
      </c>
      <c r="W1217" t="str">
        <f>VLOOKUP(L1217,'[2]tabela de preços'!$A:$F,6,0)</f>
        <v>MASSA DE PEQUENOS REPAROS</v>
      </c>
      <c r="X1217" t="str">
        <f>VLOOKUP(L1217,'[2]tabela de preços'!$A:$G,7,0)</f>
        <v>AUTOMOTIVO</v>
      </c>
    </row>
    <row r="1218" spans="1:24" x14ac:dyDescent="0.3">
      <c r="A1218" t="s">
        <v>1302</v>
      </c>
      <c r="C1218" t="s">
        <v>1303</v>
      </c>
      <c r="D1218" s="1">
        <v>46050</v>
      </c>
      <c r="E1218" t="s">
        <v>1304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494</v>
      </c>
      <c r="K1218" t="s">
        <v>1305</v>
      </c>
      <c r="L1218">
        <v>23267</v>
      </c>
      <c r="M1218" t="s">
        <v>164</v>
      </c>
      <c r="O1218" t="s">
        <v>11</v>
      </c>
      <c r="P1218">
        <v>5102</v>
      </c>
      <c r="Q1218">
        <v>5</v>
      </c>
      <c r="R1218">
        <v>22.89</v>
      </c>
      <c r="S1218">
        <v>114.45</v>
      </c>
      <c r="T1218">
        <v>97.7</v>
      </c>
      <c r="U1218">
        <v>14.64</v>
      </c>
      <c r="V1218" t="str">
        <f>VLOOKUP(L1218,'[2]tabela de preços'!$A:$D,4,0)</f>
        <v>ANJO</v>
      </c>
      <c r="W1218" t="str">
        <f>VLOOKUP(L1218,'[2]tabela de preços'!$A:$F,6,0)</f>
        <v>MASSA POLIÉSTER</v>
      </c>
      <c r="X1218" t="str">
        <f>VLOOKUP(L1218,'[2]tabela de preços'!$A:$G,7,0)</f>
        <v>AUTOMOTIVO</v>
      </c>
    </row>
    <row r="1219" spans="1:24" x14ac:dyDescent="0.3">
      <c r="A1219" t="s">
        <v>1302</v>
      </c>
      <c r="C1219" t="s">
        <v>1303</v>
      </c>
      <c r="D1219" s="1">
        <v>46050</v>
      </c>
      <c r="E1219" t="s">
        <v>1304</v>
      </c>
      <c r="F1219">
        <v>9</v>
      </c>
      <c r="G1219">
        <v>236</v>
      </c>
      <c r="H1219" t="str">
        <f>VLOOKUP(G1219,[1]OPERADORES!$A:$B,2,0)</f>
        <v>DANIEL</v>
      </c>
      <c r="I1219" t="s">
        <v>21</v>
      </c>
      <c r="J1219" t="s">
        <v>494</v>
      </c>
      <c r="K1219" t="s">
        <v>1305</v>
      </c>
      <c r="L1219">
        <v>22180</v>
      </c>
      <c r="M1219" t="s">
        <v>404</v>
      </c>
      <c r="O1219" t="s">
        <v>11</v>
      </c>
      <c r="P1219">
        <v>5102</v>
      </c>
      <c r="Q1219">
        <v>2</v>
      </c>
      <c r="R1219">
        <v>19.97</v>
      </c>
      <c r="S1219">
        <v>39.94</v>
      </c>
      <c r="T1219">
        <v>29.28</v>
      </c>
      <c r="U1219">
        <v>26.69</v>
      </c>
      <c r="V1219" t="str">
        <f>VLOOKUP(L1219,'[2]tabela de preços'!$A:$D,4,0)</f>
        <v>MADRUGA</v>
      </c>
      <c r="W1219" t="str">
        <f>VLOOKUP(L1219,'[2]tabela de preços'!$A:$F,6,0)</f>
        <v>PAPEL DE MASCARAMENTO</v>
      </c>
      <c r="X1219" t="str">
        <f>VLOOKUP(L1219,'[2]tabela de preços'!$A:$G,7,0)</f>
        <v>AUTOMOTIVO</v>
      </c>
    </row>
    <row r="1220" spans="1:24" x14ac:dyDescent="0.3">
      <c r="A1220" t="s">
        <v>1302</v>
      </c>
      <c r="C1220" t="s">
        <v>1303</v>
      </c>
      <c r="D1220" s="1">
        <v>46050</v>
      </c>
      <c r="E1220" t="s">
        <v>1304</v>
      </c>
      <c r="F1220">
        <v>9</v>
      </c>
      <c r="G1220">
        <v>236</v>
      </c>
      <c r="H1220" t="str">
        <f>VLOOKUP(G1220,[1]OPERADORES!$A:$B,2,0)</f>
        <v>DANIEL</v>
      </c>
      <c r="I1220" t="s">
        <v>21</v>
      </c>
      <c r="J1220" t="s">
        <v>494</v>
      </c>
      <c r="K1220" t="s">
        <v>1305</v>
      </c>
      <c r="L1220">
        <v>24247</v>
      </c>
      <c r="M1220" t="s">
        <v>160</v>
      </c>
      <c r="O1220" t="s">
        <v>11</v>
      </c>
      <c r="P1220">
        <v>5403</v>
      </c>
      <c r="Q1220">
        <v>7</v>
      </c>
      <c r="R1220">
        <v>21</v>
      </c>
      <c r="S1220">
        <v>147</v>
      </c>
      <c r="T1220">
        <v>118.09</v>
      </c>
      <c r="U1220">
        <v>19.670000000000002</v>
      </c>
      <c r="V1220" t="str">
        <f>VLOOKUP(L1220,'[2]tabela de preços'!$A:$D,4,0)</f>
        <v>SHERWIN WILLIAMS</v>
      </c>
      <c r="W1220" t="str">
        <f>VLOOKUP(L1220,'[2]tabela de preços'!$A:$F,6,0)</f>
        <v>PRIMER AUTOMOTIVO</v>
      </c>
      <c r="X1220" t="str">
        <f>VLOOKUP(L1220,'[2]tabela de preços'!$A:$G,7,0)</f>
        <v>AUTOMOTIVO</v>
      </c>
    </row>
    <row r="1221" spans="1:24" x14ac:dyDescent="0.3">
      <c r="A1221" t="s">
        <v>1302</v>
      </c>
      <c r="C1221" t="s">
        <v>1303</v>
      </c>
      <c r="D1221" s="1">
        <v>46050</v>
      </c>
      <c r="E1221" t="s">
        <v>1304</v>
      </c>
      <c r="F1221">
        <v>9</v>
      </c>
      <c r="G1221">
        <v>236</v>
      </c>
      <c r="H1221" t="str">
        <f>VLOOKUP(G1221,[1]OPERADORES!$A:$B,2,0)</f>
        <v>DANIEL</v>
      </c>
      <c r="I1221" t="s">
        <v>21</v>
      </c>
      <c r="J1221" t="s">
        <v>494</v>
      </c>
      <c r="K1221" t="s">
        <v>1305</v>
      </c>
      <c r="L1221">
        <v>20212</v>
      </c>
      <c r="M1221" t="s">
        <v>198</v>
      </c>
      <c r="O1221" t="s">
        <v>11</v>
      </c>
      <c r="P1221">
        <v>5403</v>
      </c>
      <c r="Q1221">
        <v>1</v>
      </c>
      <c r="R1221">
        <v>27.9</v>
      </c>
      <c r="S1221">
        <v>27.9</v>
      </c>
      <c r="T1221">
        <v>20.46</v>
      </c>
      <c r="U1221">
        <v>26.67</v>
      </c>
      <c r="V1221" t="str">
        <f>VLOOKUP(L1221,'[2]tabela de preços'!$A:$D,4,0)</f>
        <v>MAXI RUBBER</v>
      </c>
      <c r="W1221" t="str">
        <f>VLOOKUP(L1221,'[2]tabela de preços'!$A:$F,6,0)</f>
        <v>SELADORA P/ PLASTICO</v>
      </c>
      <c r="X1221" t="str">
        <f>VLOOKUP(L1221,'[2]tabela de preços'!$A:$G,7,0)</f>
        <v>AUTOMOTIVO</v>
      </c>
    </row>
    <row r="1222" spans="1:24" x14ac:dyDescent="0.3">
      <c r="A1222" t="s">
        <v>1302</v>
      </c>
      <c r="C1222" t="s">
        <v>1303</v>
      </c>
      <c r="D1222" s="1">
        <v>46050</v>
      </c>
      <c r="E1222" t="s">
        <v>1304</v>
      </c>
      <c r="F1222">
        <v>9</v>
      </c>
      <c r="G1222">
        <v>236</v>
      </c>
      <c r="H1222" t="str">
        <f>VLOOKUP(G1222,[1]OPERADORES!$A:$B,2,0)</f>
        <v>DANIEL</v>
      </c>
      <c r="I1222" t="s">
        <v>21</v>
      </c>
      <c r="J1222" t="s">
        <v>494</v>
      </c>
      <c r="K1222" t="s">
        <v>1305</v>
      </c>
      <c r="L1222">
        <v>10298</v>
      </c>
      <c r="M1222" t="s">
        <v>85</v>
      </c>
      <c r="O1222" t="s">
        <v>11</v>
      </c>
      <c r="P1222">
        <v>5102</v>
      </c>
      <c r="Q1222">
        <v>2</v>
      </c>
      <c r="R1222">
        <v>56.89</v>
      </c>
      <c r="S1222">
        <v>113.78</v>
      </c>
      <c r="T1222">
        <v>94.76</v>
      </c>
      <c r="U1222">
        <v>16.72</v>
      </c>
      <c r="V1222" t="str">
        <f>VLOOKUP(L1222,'[2]tabela de preços'!$A:$D,4,0)</f>
        <v>ANJO</v>
      </c>
      <c r="W1222" t="str">
        <f>VLOOKUP(L1222,'[2]tabela de preços'!$A:$F,6,0)</f>
        <v>THINNER DE LIMPEZA</v>
      </c>
      <c r="X1222" t="str">
        <f>VLOOKUP(L1222,'[2]tabela de preços'!$A:$G,7,0)</f>
        <v>THINNER</v>
      </c>
    </row>
    <row r="1223" spans="1:24" x14ac:dyDescent="0.3">
      <c r="A1223" t="s">
        <v>1302</v>
      </c>
      <c r="C1223" t="s">
        <v>1303</v>
      </c>
      <c r="D1223" s="1">
        <v>46050</v>
      </c>
      <c r="E1223" t="s">
        <v>1304</v>
      </c>
      <c r="F1223">
        <v>9</v>
      </c>
      <c r="G1223">
        <v>236</v>
      </c>
      <c r="H1223" t="str">
        <f>VLOOKUP(G1223,[1]OPERADORES!$A:$B,2,0)</f>
        <v>DANIEL</v>
      </c>
      <c r="I1223" t="s">
        <v>21</v>
      </c>
      <c r="J1223" t="s">
        <v>494</v>
      </c>
      <c r="K1223" t="s">
        <v>1305</v>
      </c>
      <c r="L1223">
        <v>20414</v>
      </c>
      <c r="M1223" t="s">
        <v>112</v>
      </c>
      <c r="O1223" t="s">
        <v>11</v>
      </c>
      <c r="P1223">
        <v>5102</v>
      </c>
      <c r="Q1223">
        <v>4</v>
      </c>
      <c r="R1223">
        <v>21.89</v>
      </c>
      <c r="S1223">
        <v>87.56</v>
      </c>
      <c r="T1223">
        <v>72</v>
      </c>
      <c r="U1223">
        <v>17.77</v>
      </c>
      <c r="V1223" t="str">
        <f>VLOOKUP(L1223,'[2]tabela de preços'!$A:$D,4,0)</f>
        <v>SHERWIN WILLIAMS</v>
      </c>
      <c r="W1223" t="str">
        <f>VLOOKUP(L1223,'[2]tabela de preços'!$A:$F,6,0)</f>
        <v>DILUENTE</v>
      </c>
      <c r="X1223" t="str">
        <f>VLOOKUP(L1223,'[2]tabela de preços'!$A:$G,7,0)</f>
        <v>AUTOMOTIVO</v>
      </c>
    </row>
    <row r="1224" spans="1:24" x14ac:dyDescent="0.3">
      <c r="A1224" t="s">
        <v>1302</v>
      </c>
      <c r="C1224" t="s">
        <v>1303</v>
      </c>
      <c r="D1224" s="1">
        <v>46050</v>
      </c>
      <c r="E1224" t="s">
        <v>1304</v>
      </c>
      <c r="F1224">
        <v>9</v>
      </c>
      <c r="G1224">
        <v>236</v>
      </c>
      <c r="H1224" t="str">
        <f>VLOOKUP(G1224,[1]OPERADORES!$A:$B,2,0)</f>
        <v>DANIEL</v>
      </c>
      <c r="I1224" t="s">
        <v>21</v>
      </c>
      <c r="J1224" t="s">
        <v>494</v>
      </c>
      <c r="K1224" t="s">
        <v>1305</v>
      </c>
      <c r="L1224">
        <v>21321</v>
      </c>
      <c r="M1224" t="s">
        <v>272</v>
      </c>
      <c r="O1224" t="s">
        <v>11</v>
      </c>
      <c r="P1224">
        <v>5102</v>
      </c>
      <c r="Q1224">
        <v>1</v>
      </c>
      <c r="R1224">
        <v>20.95</v>
      </c>
      <c r="S1224">
        <v>20.95</v>
      </c>
      <c r="T1224">
        <v>15.36</v>
      </c>
      <c r="U1224">
        <v>26.68</v>
      </c>
      <c r="V1224" t="str">
        <f>VLOOKUP(L1224,'[2]tabela de preços'!$A:$D,4,0)</f>
        <v>AUTO AMERICA</v>
      </c>
      <c r="W1224" t="str">
        <f>VLOOKUP(L1224,'[2]tabela de preços'!$A:$F,6,0)</f>
        <v>CERA  / LIMPEZA /  POLIMENTO VEICULAR</v>
      </c>
      <c r="X1224" t="str">
        <f>VLOOKUP(L1224,'[2]tabela de preços'!$A:$G,7,0)</f>
        <v>AUTOMOTIVO</v>
      </c>
    </row>
    <row r="1225" spans="1:24" x14ac:dyDescent="0.3">
      <c r="A1225" t="s">
        <v>1302</v>
      </c>
      <c r="C1225" t="s">
        <v>1303</v>
      </c>
      <c r="D1225" s="1">
        <v>46050</v>
      </c>
      <c r="E1225" t="s">
        <v>1304</v>
      </c>
      <c r="F1225">
        <v>9</v>
      </c>
      <c r="G1225">
        <v>236</v>
      </c>
      <c r="H1225" t="str">
        <f>VLOOKUP(G1225,[1]OPERADORES!$A:$B,2,0)</f>
        <v>DANIEL</v>
      </c>
      <c r="I1225" t="s">
        <v>21</v>
      </c>
      <c r="J1225" t="s">
        <v>494</v>
      </c>
      <c r="K1225" t="s">
        <v>1305</v>
      </c>
      <c r="L1225">
        <v>23624</v>
      </c>
      <c r="M1225" t="s">
        <v>1312</v>
      </c>
      <c r="O1225" t="s">
        <v>11</v>
      </c>
      <c r="P1225">
        <v>5102</v>
      </c>
      <c r="Q1225">
        <v>1</v>
      </c>
      <c r="R1225">
        <v>51.31</v>
      </c>
      <c r="S1225">
        <v>51.31</v>
      </c>
      <c r="T1225">
        <v>37.619999999999997</v>
      </c>
      <c r="U1225">
        <v>26.68</v>
      </c>
      <c r="V1225" t="str">
        <f>VLOOKUP(L1225,'[2]tabela de preços'!$A:$D,4,0)</f>
        <v>MAXI RUBBER</v>
      </c>
      <c r="W1225" t="str">
        <f>VLOOKUP(L1225,'[2]tabela de preços'!$A:$F,6,0)</f>
        <v>VEDADORES / SELANTES</v>
      </c>
      <c r="X1225" t="str">
        <f>VLOOKUP(L1225,'[2]tabela de preços'!$A:$G,7,0)</f>
        <v>AUTOMOTIVO</v>
      </c>
    </row>
    <row r="1226" spans="1:24" x14ac:dyDescent="0.3">
      <c r="A1226" t="s">
        <v>1313</v>
      </c>
      <c r="C1226" t="s">
        <v>1314</v>
      </c>
      <c r="D1226" s="1">
        <v>46050</v>
      </c>
      <c r="E1226" t="s">
        <v>1315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450</v>
      </c>
      <c r="K1226" t="s">
        <v>1316</v>
      </c>
      <c r="L1226">
        <v>24263</v>
      </c>
      <c r="M1226" t="s">
        <v>1317</v>
      </c>
      <c r="O1226" t="s">
        <v>11</v>
      </c>
      <c r="P1226">
        <v>5102</v>
      </c>
      <c r="Q1226">
        <v>1</v>
      </c>
      <c r="R1226">
        <v>31.19</v>
      </c>
      <c r="S1226">
        <v>31.19</v>
      </c>
      <c r="T1226">
        <v>23.67</v>
      </c>
      <c r="U1226">
        <v>24.11</v>
      </c>
      <c r="V1226" t="str">
        <f>VLOOKUP(L1226,'[2]tabela de preços'!$A:$D,4,0)</f>
        <v>VONIXX</v>
      </c>
      <c r="W1226" t="str">
        <f>VLOOKUP(L1226,'[2]tabela de preços'!$A:$F,6,0)</f>
        <v>LINHA DE HIGENIZAÇÃO E ESTÉTICA  AUTOMOTIVA</v>
      </c>
      <c r="X1226" t="str">
        <f>VLOOKUP(L1226,'[2]tabela de preços'!$A:$G,7,0)</f>
        <v>AUTOMOTIVO</v>
      </c>
    </row>
    <row r="1227" spans="1:24" x14ac:dyDescent="0.3">
      <c r="A1227" t="s">
        <v>1313</v>
      </c>
      <c r="C1227" t="s">
        <v>1314</v>
      </c>
      <c r="D1227" s="1">
        <v>46050</v>
      </c>
      <c r="E1227" t="s">
        <v>1315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450</v>
      </c>
      <c r="K1227" t="s">
        <v>1316</v>
      </c>
      <c r="L1227">
        <v>86995</v>
      </c>
      <c r="M1227" t="s">
        <v>37</v>
      </c>
      <c r="O1227" t="s">
        <v>11</v>
      </c>
      <c r="P1227">
        <v>5102</v>
      </c>
      <c r="Q1227">
        <v>40</v>
      </c>
      <c r="R1227">
        <v>7.29</v>
      </c>
      <c r="S1227">
        <v>291.60000000000002</v>
      </c>
      <c r="T1227">
        <v>233.2</v>
      </c>
      <c r="U1227">
        <v>20.03</v>
      </c>
      <c r="V1227" t="str">
        <f>VLOOKUP(L1227,'[2]tabela de preços'!$A:$D,4,0)</f>
        <v>AUTOAMERICA</v>
      </c>
      <c r="W1227" t="str">
        <f>VLOOKUP(L1227,'[2]tabela de preços'!$A:$F,6,0)</f>
        <v>FLANELAS / PANOS</v>
      </c>
      <c r="X1227" t="str">
        <f>VLOOKUP(L1227,'[2]tabela de preços'!$A:$G,7,0)</f>
        <v>AUTOMOTIVO</v>
      </c>
    </row>
    <row r="1228" spans="1:24" x14ac:dyDescent="0.3">
      <c r="A1228" t="s">
        <v>1313</v>
      </c>
      <c r="C1228" t="s">
        <v>1314</v>
      </c>
      <c r="D1228" s="1">
        <v>46050</v>
      </c>
      <c r="E1228" t="s">
        <v>1315</v>
      </c>
      <c r="F1228">
        <v>9</v>
      </c>
      <c r="G1228">
        <v>231</v>
      </c>
      <c r="H1228" t="str">
        <f>VLOOKUP(G1228,[1]OPERADORES!$A:$B,2,0)</f>
        <v>EDIJANE</v>
      </c>
      <c r="I1228" t="s">
        <v>21</v>
      </c>
      <c r="J1228" t="s">
        <v>450</v>
      </c>
      <c r="K1228" t="s">
        <v>1316</v>
      </c>
      <c r="L1228">
        <v>86984</v>
      </c>
      <c r="M1228" t="s">
        <v>720</v>
      </c>
      <c r="O1228" t="s">
        <v>11</v>
      </c>
      <c r="P1228">
        <v>5102</v>
      </c>
      <c r="Q1228">
        <v>2</v>
      </c>
      <c r="R1228">
        <v>44.9</v>
      </c>
      <c r="S1228">
        <v>89.8</v>
      </c>
      <c r="T1228">
        <v>74.42</v>
      </c>
      <c r="U1228">
        <v>17.13</v>
      </c>
      <c r="V1228" t="str">
        <f>VLOOKUP(L1228,'[2]tabela de preços'!$A:$D,4,0)</f>
        <v>ARPREX</v>
      </c>
      <c r="W1228" t="str">
        <f>VLOOKUP(L1228,'[2]tabela de preços'!$A:$F,6,0)</f>
        <v>PISTOLAS</v>
      </c>
      <c r="X1228" t="str">
        <f>VLOOKUP(L1228,'[2]tabela de preços'!$A:$G,7,0)</f>
        <v>IMOBILIÁRIO</v>
      </c>
    </row>
    <row r="1229" spans="1:24" x14ac:dyDescent="0.3">
      <c r="A1229" t="s">
        <v>1313</v>
      </c>
      <c r="C1229" t="s">
        <v>1314</v>
      </c>
      <c r="D1229" s="1">
        <v>46050</v>
      </c>
      <c r="E1229" t="s">
        <v>1315</v>
      </c>
      <c r="F1229">
        <v>9</v>
      </c>
      <c r="G1229">
        <v>231</v>
      </c>
      <c r="H1229" t="str">
        <f>VLOOKUP(G1229,[1]OPERADORES!$A:$B,2,0)</f>
        <v>EDIJANE</v>
      </c>
      <c r="I1229" t="s">
        <v>21</v>
      </c>
      <c r="J1229" t="s">
        <v>450</v>
      </c>
      <c r="K1229" t="s">
        <v>1316</v>
      </c>
      <c r="L1229">
        <v>85164</v>
      </c>
      <c r="M1229" t="s">
        <v>278</v>
      </c>
      <c r="O1229" t="s">
        <v>11</v>
      </c>
      <c r="P1229">
        <v>5102</v>
      </c>
      <c r="Q1229">
        <v>12</v>
      </c>
      <c r="R1229">
        <v>13.29</v>
      </c>
      <c r="S1229">
        <v>159.47999999999999</v>
      </c>
      <c r="T1229">
        <v>121.08</v>
      </c>
      <c r="U1229">
        <v>24.08</v>
      </c>
      <c r="V1229" t="str">
        <f>VLOOKUP(L1229,'[2]tabela de preços'!$A:$D,4,0)</f>
        <v>BRASILUX</v>
      </c>
      <c r="W1229" t="str">
        <f>VLOOKUP(L1229,'[2]tabela de preços'!$A:$F,6,0)</f>
        <v>QUEROSENE</v>
      </c>
      <c r="X1229" t="str">
        <f>VLOOKUP(L1229,'[2]tabela de preços'!$A:$G,7,0)</f>
        <v>AUTOMOTIVO</v>
      </c>
    </row>
    <row r="1230" spans="1:24" x14ac:dyDescent="0.3">
      <c r="A1230" t="s">
        <v>1313</v>
      </c>
      <c r="C1230" t="s">
        <v>1314</v>
      </c>
      <c r="D1230" s="1">
        <v>46050</v>
      </c>
      <c r="E1230" t="s">
        <v>1315</v>
      </c>
      <c r="F1230">
        <v>9</v>
      </c>
      <c r="G1230">
        <v>231</v>
      </c>
      <c r="H1230" t="str">
        <f>VLOOKUP(G1230,[1]OPERADORES!$A:$B,2,0)</f>
        <v>EDIJANE</v>
      </c>
      <c r="I1230" t="s">
        <v>21</v>
      </c>
      <c r="J1230" t="s">
        <v>450</v>
      </c>
      <c r="K1230" t="s">
        <v>1316</v>
      </c>
      <c r="L1230">
        <v>10297</v>
      </c>
      <c r="M1230" t="s">
        <v>41</v>
      </c>
      <c r="O1230" t="s">
        <v>11</v>
      </c>
      <c r="P1230">
        <v>5102</v>
      </c>
      <c r="Q1230">
        <v>12</v>
      </c>
      <c r="R1230">
        <v>10.89</v>
      </c>
      <c r="S1230">
        <v>130.68</v>
      </c>
      <c r="T1230">
        <v>110.04</v>
      </c>
      <c r="U1230">
        <v>15.79</v>
      </c>
      <c r="V1230" t="str">
        <f>VLOOKUP(L1230,'[2]tabela de preços'!$A:$D,4,0)</f>
        <v>ANJO</v>
      </c>
      <c r="W1230" t="str">
        <f>VLOOKUP(L1230,'[2]tabela de preços'!$A:$F,6,0)</f>
        <v>THINNER DE LIMPEZA</v>
      </c>
      <c r="X1230" t="str">
        <f>VLOOKUP(L1230,'[2]tabela de preços'!$A:$G,7,0)</f>
        <v>THINNER</v>
      </c>
    </row>
    <row r="1231" spans="1:24" x14ac:dyDescent="0.3">
      <c r="A1231" t="s">
        <v>1313</v>
      </c>
      <c r="C1231" t="s">
        <v>1314</v>
      </c>
      <c r="D1231" s="1">
        <v>46050</v>
      </c>
      <c r="E1231" t="s">
        <v>1315</v>
      </c>
      <c r="F1231">
        <v>9</v>
      </c>
      <c r="G1231">
        <v>231</v>
      </c>
      <c r="H1231" t="str">
        <f>VLOOKUP(G1231,[1]OPERADORES!$A:$B,2,0)</f>
        <v>EDIJANE</v>
      </c>
      <c r="I1231" t="s">
        <v>21</v>
      </c>
      <c r="J1231" t="s">
        <v>450</v>
      </c>
      <c r="K1231" t="s">
        <v>1316</v>
      </c>
      <c r="L1231">
        <v>84401</v>
      </c>
      <c r="M1231" t="s">
        <v>1318</v>
      </c>
      <c r="O1231" t="s">
        <v>11</v>
      </c>
      <c r="P1231">
        <v>5102</v>
      </c>
      <c r="Q1231">
        <v>1</v>
      </c>
      <c r="R1231">
        <v>66.14</v>
      </c>
      <c r="S1231">
        <v>66.14</v>
      </c>
      <c r="T1231">
        <v>50.2</v>
      </c>
      <c r="U1231">
        <v>24.1</v>
      </c>
      <c r="V1231" t="str">
        <f>VLOOKUP(L1231,'[2]tabela de preços'!$A:$D,4,0)</f>
        <v>VONIXX</v>
      </c>
      <c r="W1231" t="str">
        <f>VLOOKUP(L1231,'[2]tabela de preços'!$A:$F,6,0)</f>
        <v>LINHA DE HIGENIZAÇÃO E ESTÉTICA  AUTOMOTIVA</v>
      </c>
      <c r="X1231" t="str">
        <f>VLOOKUP(L1231,'[2]tabela de preços'!$A:$G,7,0)</f>
        <v>AUTOMOTIVO</v>
      </c>
    </row>
    <row r="1232" spans="1:24" x14ac:dyDescent="0.3">
      <c r="A1232" t="s">
        <v>1319</v>
      </c>
      <c r="C1232" t="s">
        <v>1320</v>
      </c>
      <c r="D1232" s="1">
        <v>46028</v>
      </c>
      <c r="E1232" t="s">
        <v>1321</v>
      </c>
      <c r="F1232">
        <v>9</v>
      </c>
      <c r="G1232">
        <v>231</v>
      </c>
      <c r="H1232" t="str">
        <f>VLOOKUP(G1232,[1]OPERADORES!$A:$B,2,0)</f>
        <v>EDIJANE</v>
      </c>
      <c r="I1232" t="s">
        <v>21</v>
      </c>
      <c r="J1232" t="s">
        <v>762</v>
      </c>
      <c r="K1232" t="s">
        <v>1322</v>
      </c>
      <c r="L1232">
        <v>21274</v>
      </c>
      <c r="M1232" t="s">
        <v>810</v>
      </c>
      <c r="O1232" t="s">
        <v>11</v>
      </c>
      <c r="P1232">
        <v>5102</v>
      </c>
      <c r="Q1232">
        <v>20</v>
      </c>
      <c r="R1232">
        <v>0.72</v>
      </c>
      <c r="S1232">
        <v>14.4</v>
      </c>
      <c r="T1232">
        <v>11</v>
      </c>
      <c r="U1232">
        <v>23.61</v>
      </c>
      <c r="V1232" t="str">
        <f>VLOOKUP(L1232,'[2]tabela de preços'!$A:$D,4,0)</f>
        <v>SHERWIN WILLIAMS</v>
      </c>
      <c r="W1232" t="str">
        <f>VLOOKUP(L1232,'[2]tabela de preços'!$A:$F,6,0)</f>
        <v>COADORES</v>
      </c>
      <c r="X1232" t="str">
        <f>VLOOKUP(L1232,'[2]tabela de preços'!$A:$G,7,0)</f>
        <v>AUTOMOTIVO</v>
      </c>
    </row>
    <row r="1233" spans="1:24" x14ac:dyDescent="0.3">
      <c r="A1233" t="s">
        <v>1319</v>
      </c>
      <c r="C1233" t="s">
        <v>1320</v>
      </c>
      <c r="D1233" s="1">
        <v>46028</v>
      </c>
      <c r="E1233" t="s">
        <v>1321</v>
      </c>
      <c r="F1233">
        <v>9</v>
      </c>
      <c r="G1233">
        <v>231</v>
      </c>
      <c r="H1233" t="str">
        <f>VLOOKUP(G1233,[1]OPERADORES!$A:$B,2,0)</f>
        <v>EDIJANE</v>
      </c>
      <c r="I1233" t="s">
        <v>21</v>
      </c>
      <c r="J1233" t="s">
        <v>762</v>
      </c>
      <c r="K1233" t="s">
        <v>1322</v>
      </c>
      <c r="L1233">
        <v>10236</v>
      </c>
      <c r="M1233" t="s">
        <v>133</v>
      </c>
      <c r="O1233" t="s">
        <v>11</v>
      </c>
      <c r="P1233">
        <v>5102</v>
      </c>
      <c r="Q1233">
        <v>20</v>
      </c>
      <c r="R1233">
        <v>2.79</v>
      </c>
      <c r="S1233">
        <v>55.8</v>
      </c>
      <c r="T1233">
        <v>47.4</v>
      </c>
      <c r="U1233">
        <v>15.05</v>
      </c>
      <c r="V1233" t="str">
        <f>VLOOKUP(L1233,'[2]tabela de preços'!$A:$D,4,0)</f>
        <v>NORTON</v>
      </c>
      <c r="W1233" t="str">
        <f>VLOOKUP(L1233,'[2]tabela de preços'!$A:$F,6,0)</f>
        <v xml:space="preserve">DISCOS / LIXAS / ABRASIVOS </v>
      </c>
      <c r="X1233" t="str">
        <f>VLOOKUP(L1233,'[2]tabela de preços'!$A:$G,7,0)</f>
        <v>AUTOMOTIVO</v>
      </c>
    </row>
    <row r="1234" spans="1:24" x14ac:dyDescent="0.3">
      <c r="A1234" t="s">
        <v>1319</v>
      </c>
      <c r="C1234" t="s">
        <v>1320</v>
      </c>
      <c r="D1234" s="1">
        <v>46028</v>
      </c>
      <c r="E1234" t="s">
        <v>1321</v>
      </c>
      <c r="F1234">
        <v>9</v>
      </c>
      <c r="G1234">
        <v>231</v>
      </c>
      <c r="H1234" t="str">
        <f>VLOOKUP(G1234,[1]OPERADORES!$A:$B,2,0)</f>
        <v>EDIJANE</v>
      </c>
      <c r="I1234" t="s">
        <v>21</v>
      </c>
      <c r="J1234" t="s">
        <v>762</v>
      </c>
      <c r="K1234" t="s">
        <v>1322</v>
      </c>
      <c r="L1234">
        <v>10237</v>
      </c>
      <c r="M1234" t="s">
        <v>271</v>
      </c>
      <c r="O1234" t="s">
        <v>11</v>
      </c>
      <c r="P1234">
        <v>5102</v>
      </c>
      <c r="Q1234">
        <v>20</v>
      </c>
      <c r="R1234">
        <v>2.79</v>
      </c>
      <c r="S1234">
        <v>55.8</v>
      </c>
      <c r="T1234">
        <v>45.8</v>
      </c>
      <c r="U1234">
        <v>17.920000000000002</v>
      </c>
      <c r="V1234" t="str">
        <f>VLOOKUP(L1234,'[2]tabela de preços'!$A:$D,4,0)</f>
        <v>NORTON</v>
      </c>
      <c r="W1234" t="str">
        <f>VLOOKUP(L1234,'[2]tabela de preços'!$A:$F,6,0)</f>
        <v xml:space="preserve">DISCOS / LIXAS / ABRASIVOS </v>
      </c>
      <c r="X1234" t="str">
        <f>VLOOKUP(L1234,'[2]tabela de preços'!$A:$G,7,0)</f>
        <v>AUTOMOTIVO</v>
      </c>
    </row>
    <row r="1235" spans="1:24" x14ac:dyDescent="0.3">
      <c r="A1235" t="s">
        <v>1319</v>
      </c>
      <c r="C1235" t="s">
        <v>1320</v>
      </c>
      <c r="D1235" s="1">
        <v>46028</v>
      </c>
      <c r="E1235" t="s">
        <v>1321</v>
      </c>
      <c r="F1235">
        <v>9</v>
      </c>
      <c r="G1235">
        <v>231</v>
      </c>
      <c r="H1235" t="str">
        <f>VLOOKUP(G1235,[1]OPERADORES!$A:$B,2,0)</f>
        <v>EDIJANE</v>
      </c>
      <c r="I1235" t="s">
        <v>21</v>
      </c>
      <c r="J1235" t="s">
        <v>762</v>
      </c>
      <c r="K1235" t="s">
        <v>1322</v>
      </c>
      <c r="L1235">
        <v>84197</v>
      </c>
      <c r="M1235" t="s">
        <v>1323</v>
      </c>
      <c r="O1235" t="s">
        <v>11</v>
      </c>
      <c r="P1235">
        <v>5403</v>
      </c>
      <c r="Q1235">
        <v>4</v>
      </c>
      <c r="R1235">
        <v>32.08</v>
      </c>
      <c r="S1235">
        <v>128.32</v>
      </c>
      <c r="T1235">
        <v>97.4</v>
      </c>
      <c r="U1235">
        <v>24.1</v>
      </c>
      <c r="V1235" t="str">
        <f>VLOOKUP(L1235,'[2]tabela de preços'!$A:$D,4,0)</f>
        <v>BRASILUX</v>
      </c>
      <c r="W1235" t="str">
        <f>VLOOKUP(L1235,'[2]tabela de preços'!$A:$F,6,0)</f>
        <v>ESMALTES</v>
      </c>
      <c r="X1235" t="str">
        <f>VLOOKUP(L1235,'[2]tabela de preços'!$A:$G,7,0)</f>
        <v>INDUSTRIAL</v>
      </c>
    </row>
    <row r="1236" spans="1:24" x14ac:dyDescent="0.3">
      <c r="A1236" t="s">
        <v>1319</v>
      </c>
      <c r="C1236" t="s">
        <v>1320</v>
      </c>
      <c r="D1236" s="1">
        <v>46028</v>
      </c>
      <c r="E1236" t="s">
        <v>1321</v>
      </c>
      <c r="F1236">
        <v>9</v>
      </c>
      <c r="G1236">
        <v>231</v>
      </c>
      <c r="H1236" t="str">
        <f>VLOOKUP(G1236,[1]OPERADORES!$A:$B,2,0)</f>
        <v>EDIJANE</v>
      </c>
      <c r="I1236" t="s">
        <v>21</v>
      </c>
      <c r="J1236" t="s">
        <v>762</v>
      </c>
      <c r="K1236" t="s">
        <v>1322</v>
      </c>
      <c r="L1236">
        <v>5</v>
      </c>
      <c r="M1236" t="s">
        <v>147</v>
      </c>
      <c r="O1236" t="s">
        <v>11</v>
      </c>
      <c r="P1236">
        <v>5102</v>
      </c>
      <c r="Q1236">
        <v>5</v>
      </c>
      <c r="R1236">
        <v>4.8499999999999996</v>
      </c>
      <c r="S1236">
        <v>24.25</v>
      </c>
      <c r="T1236">
        <v>19.55</v>
      </c>
      <c r="U1236">
        <v>19.38</v>
      </c>
      <c r="V1236" t="str">
        <f>VLOOKUP(L1236,'[2]tabela de preços'!$A:$D,4,0)</f>
        <v>BRILHO ESTOPA</v>
      </c>
      <c r="W1236" t="str">
        <f>VLOOKUP(L1236,'[2]tabela de preços'!$A:$F,6,0)</f>
        <v>ESTOPAS</v>
      </c>
      <c r="X1236" t="str">
        <f>VLOOKUP(L1236,'[2]tabela de preços'!$A:$G,7,0)</f>
        <v>AUTOMOTIVO</v>
      </c>
    </row>
    <row r="1237" spans="1:24" x14ac:dyDescent="0.3">
      <c r="A1237" t="s">
        <v>1319</v>
      </c>
      <c r="C1237" t="s">
        <v>1320</v>
      </c>
      <c r="D1237" s="1">
        <v>46028</v>
      </c>
      <c r="E1237" t="s">
        <v>1321</v>
      </c>
      <c r="F1237">
        <v>9</v>
      </c>
      <c r="G1237">
        <v>231</v>
      </c>
      <c r="H1237" t="str">
        <f>VLOOKUP(G1237,[1]OPERADORES!$A:$B,2,0)</f>
        <v>EDIJANE</v>
      </c>
      <c r="I1237" t="s">
        <v>21</v>
      </c>
      <c r="J1237" t="s">
        <v>762</v>
      </c>
      <c r="K1237" t="s">
        <v>1322</v>
      </c>
      <c r="L1237">
        <v>84425</v>
      </c>
      <c r="M1237" t="s">
        <v>616</v>
      </c>
      <c r="O1237" t="s">
        <v>11</v>
      </c>
      <c r="P1237">
        <v>5102</v>
      </c>
      <c r="Q1237">
        <v>12</v>
      </c>
      <c r="R1237">
        <v>3.52</v>
      </c>
      <c r="S1237">
        <v>42.24</v>
      </c>
      <c r="T1237">
        <v>32.04</v>
      </c>
      <c r="U1237">
        <v>24.15</v>
      </c>
      <c r="V1237" t="str">
        <f>VLOOKUP(L1237,'[2]tabela de preços'!$A:$D,4,0)</f>
        <v>ATLAS</v>
      </c>
      <c r="W1237" t="str">
        <f>VLOOKUP(L1237,'[2]tabela de preços'!$A:$F,6,0)</f>
        <v>ROLOS / TRINCHAS / PINCÉIS / ESPÁTULAS</v>
      </c>
      <c r="X1237" t="str">
        <f>VLOOKUP(L1237,'[2]tabela de preços'!$A:$G,7,0)</f>
        <v>IMOBILIÁRIO</v>
      </c>
    </row>
    <row r="1238" spans="1:24" x14ac:dyDescent="0.3">
      <c r="A1238" t="s">
        <v>1319</v>
      </c>
      <c r="C1238" t="s">
        <v>1320</v>
      </c>
      <c r="D1238" s="1">
        <v>46028</v>
      </c>
      <c r="E1238" t="s">
        <v>1321</v>
      </c>
      <c r="F1238">
        <v>9</v>
      </c>
      <c r="G1238">
        <v>231</v>
      </c>
      <c r="H1238" t="str">
        <f>VLOOKUP(G1238,[1]OPERADORES!$A:$B,2,0)</f>
        <v>EDIJANE</v>
      </c>
      <c r="I1238" t="s">
        <v>21</v>
      </c>
      <c r="J1238" t="s">
        <v>762</v>
      </c>
      <c r="K1238" t="s">
        <v>1322</v>
      </c>
      <c r="L1238">
        <v>20414</v>
      </c>
      <c r="M1238" t="s">
        <v>112</v>
      </c>
      <c r="O1238" t="s">
        <v>11</v>
      </c>
      <c r="P1238">
        <v>5102</v>
      </c>
      <c r="Q1238">
        <v>6</v>
      </c>
      <c r="R1238">
        <v>21.89</v>
      </c>
      <c r="S1238">
        <v>131.34</v>
      </c>
      <c r="T1238">
        <v>108</v>
      </c>
      <c r="U1238">
        <v>17.77</v>
      </c>
      <c r="V1238" t="str">
        <f>VLOOKUP(L1238,'[2]tabela de preços'!$A:$D,4,0)</f>
        <v>SHERWIN WILLIAMS</v>
      </c>
      <c r="W1238" t="str">
        <f>VLOOKUP(L1238,'[2]tabela de preços'!$A:$F,6,0)</f>
        <v>DILUENTE</v>
      </c>
      <c r="X1238" t="str">
        <f>VLOOKUP(L1238,'[2]tabela de preços'!$A:$G,7,0)</f>
        <v>AUTOMOTIVO</v>
      </c>
    </row>
    <row r="1239" spans="1:24" x14ac:dyDescent="0.3">
      <c r="A1239" t="s">
        <v>1319</v>
      </c>
      <c r="C1239" t="s">
        <v>1320</v>
      </c>
      <c r="D1239" s="1">
        <v>46028</v>
      </c>
      <c r="E1239" t="s">
        <v>1321</v>
      </c>
      <c r="F1239">
        <v>9</v>
      </c>
      <c r="G1239">
        <v>231</v>
      </c>
      <c r="H1239" t="str">
        <f>VLOOKUP(G1239,[1]OPERADORES!$A:$B,2,0)</f>
        <v>EDIJANE</v>
      </c>
      <c r="I1239" t="s">
        <v>21</v>
      </c>
      <c r="J1239" t="s">
        <v>762</v>
      </c>
      <c r="K1239" t="s">
        <v>1322</v>
      </c>
      <c r="L1239">
        <v>10118</v>
      </c>
      <c r="M1239" t="s">
        <v>572</v>
      </c>
      <c r="O1239" t="s">
        <v>11</v>
      </c>
      <c r="P1239">
        <v>5102</v>
      </c>
      <c r="Q1239">
        <v>12</v>
      </c>
      <c r="R1239">
        <v>5.0199999999999996</v>
      </c>
      <c r="S1239">
        <v>60.24</v>
      </c>
      <c r="T1239">
        <v>45.72</v>
      </c>
      <c r="U1239">
        <v>24.1</v>
      </c>
      <c r="V1239" t="str">
        <f>VLOOKUP(L1239,'[2]tabela de preços'!$A:$D,4,0)</f>
        <v>ATLAS</v>
      </c>
      <c r="W1239" t="str">
        <f>VLOOKUP(L1239,'[2]tabela de preços'!$A:$F,6,0)</f>
        <v>ROLOS / TRINCHAS / PINCÉIS / ESPÁTULAS</v>
      </c>
      <c r="X1239" t="str">
        <f>VLOOKUP(L1239,'[2]tabela de preços'!$A:$G,7,0)</f>
        <v>IMOBILIÁRIO</v>
      </c>
    </row>
    <row r="1240" spans="1:24" x14ac:dyDescent="0.3">
      <c r="A1240" t="s">
        <v>1324</v>
      </c>
      <c r="C1240" t="s">
        <v>1325</v>
      </c>
      <c r="D1240" s="1">
        <v>46030</v>
      </c>
      <c r="E1240" t="s">
        <v>1326</v>
      </c>
      <c r="F1240">
        <v>9</v>
      </c>
      <c r="G1240">
        <v>197</v>
      </c>
      <c r="H1240" t="str">
        <f>VLOOKUP(G1240,[1]OPERADORES!$A:$B,2,0)</f>
        <v xml:space="preserve">POLIANA LORRANE DE AMORIM </v>
      </c>
      <c r="I1240" t="s">
        <v>1327</v>
      </c>
      <c r="J1240" t="s">
        <v>1328</v>
      </c>
      <c r="K1240" t="s">
        <v>1329</v>
      </c>
      <c r="L1240">
        <v>84557</v>
      </c>
      <c r="M1240" t="s">
        <v>116</v>
      </c>
      <c r="O1240" t="s">
        <v>11</v>
      </c>
      <c r="P1240">
        <v>6102</v>
      </c>
      <c r="Q1240">
        <v>12</v>
      </c>
      <c r="R1240">
        <v>18.39</v>
      </c>
      <c r="S1240">
        <v>220.68</v>
      </c>
      <c r="T1240">
        <v>167.52</v>
      </c>
      <c r="U1240">
        <v>24.09</v>
      </c>
      <c r="V1240" t="str">
        <f>VLOOKUP(L1240,'[2]tabela de preços'!$A:$D,4,0)</f>
        <v>BRASILUX</v>
      </c>
      <c r="W1240" t="str">
        <f>VLOOKUP(L1240,'[2]tabela de preços'!$A:$F,6,0)</f>
        <v>DILUENTE</v>
      </c>
      <c r="X1240" t="str">
        <f>VLOOKUP(L1240,'[2]tabela de preços'!$A:$G,7,0)</f>
        <v>AUTOMOTIVO</v>
      </c>
    </row>
    <row r="1241" spans="1:24" x14ac:dyDescent="0.3">
      <c r="A1241" t="s">
        <v>1324</v>
      </c>
      <c r="C1241" t="s">
        <v>1325</v>
      </c>
      <c r="D1241" s="1">
        <v>46030</v>
      </c>
      <c r="E1241" t="s">
        <v>1326</v>
      </c>
      <c r="F1241">
        <v>9</v>
      </c>
      <c r="G1241">
        <v>197</v>
      </c>
      <c r="H1241" t="str">
        <f>VLOOKUP(G1241,[1]OPERADORES!$A:$B,2,0)</f>
        <v xml:space="preserve">POLIANA LORRANE DE AMORIM </v>
      </c>
      <c r="I1241" t="s">
        <v>1327</v>
      </c>
      <c r="J1241" t="s">
        <v>1328</v>
      </c>
      <c r="K1241" t="s">
        <v>1329</v>
      </c>
      <c r="L1241">
        <v>23110</v>
      </c>
      <c r="M1241" t="s">
        <v>409</v>
      </c>
      <c r="O1241" t="s">
        <v>11</v>
      </c>
      <c r="P1241">
        <v>6102</v>
      </c>
      <c r="Q1241">
        <v>50</v>
      </c>
      <c r="R1241">
        <v>2.35</v>
      </c>
      <c r="S1241">
        <v>117.5</v>
      </c>
      <c r="T1241">
        <v>92.5</v>
      </c>
      <c r="U1241">
        <v>21.28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1324</v>
      </c>
      <c r="C1242" t="s">
        <v>1325</v>
      </c>
      <c r="D1242" s="1">
        <v>46030</v>
      </c>
      <c r="E1242" t="s">
        <v>1326</v>
      </c>
      <c r="F1242">
        <v>9</v>
      </c>
      <c r="G1242">
        <v>197</v>
      </c>
      <c r="H1242" t="str">
        <f>VLOOKUP(G1242,[1]OPERADORES!$A:$B,2,0)</f>
        <v xml:space="preserve">POLIANA LORRANE DE AMORIM </v>
      </c>
      <c r="I1242" t="s">
        <v>1327</v>
      </c>
      <c r="J1242" t="s">
        <v>1328</v>
      </c>
      <c r="K1242" t="s">
        <v>1329</v>
      </c>
      <c r="L1242">
        <v>23106</v>
      </c>
      <c r="M1242" t="s">
        <v>403</v>
      </c>
      <c r="O1242" t="s">
        <v>11</v>
      </c>
      <c r="P1242">
        <v>6102</v>
      </c>
      <c r="Q1242">
        <v>50</v>
      </c>
      <c r="R1242">
        <v>2.35</v>
      </c>
      <c r="S1242">
        <v>117.5</v>
      </c>
      <c r="T1242">
        <v>96</v>
      </c>
      <c r="U1242">
        <v>18.3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1324</v>
      </c>
      <c r="C1243" t="s">
        <v>1325</v>
      </c>
      <c r="D1243" s="1">
        <v>46030</v>
      </c>
      <c r="E1243" t="s">
        <v>1326</v>
      </c>
      <c r="F1243">
        <v>9</v>
      </c>
      <c r="G1243">
        <v>197</v>
      </c>
      <c r="H1243" t="str">
        <f>VLOOKUP(G1243,[1]OPERADORES!$A:$B,2,0)</f>
        <v xml:space="preserve">POLIANA LORRANE DE AMORIM </v>
      </c>
      <c r="I1243" t="s">
        <v>1327</v>
      </c>
      <c r="J1243" t="s">
        <v>1328</v>
      </c>
      <c r="K1243" t="s">
        <v>1329</v>
      </c>
      <c r="L1243">
        <v>20135</v>
      </c>
      <c r="M1243" t="s">
        <v>459</v>
      </c>
      <c r="O1243" t="s">
        <v>11</v>
      </c>
      <c r="P1243">
        <v>6102</v>
      </c>
      <c r="Q1243">
        <v>3</v>
      </c>
      <c r="R1243">
        <v>25.37</v>
      </c>
      <c r="S1243">
        <v>76.11</v>
      </c>
      <c r="T1243">
        <v>57.78</v>
      </c>
      <c r="U1243">
        <v>24.08</v>
      </c>
      <c r="V1243" t="str">
        <f>VLOOKUP(L1243,'[2]tabela de preços'!$A:$D,4,0)</f>
        <v>3M</v>
      </c>
      <c r="W1243" t="str">
        <f>VLOOKUP(L1243,'[2]tabela de preços'!$A:$F,6,0)</f>
        <v>DISCO TRIZACT</v>
      </c>
      <c r="X1243" t="str">
        <f>VLOOKUP(L1243,'[2]tabela de preços'!$A:$G,7,0)</f>
        <v>AUTOMOTIVO</v>
      </c>
    </row>
    <row r="1244" spans="1:24" x14ac:dyDescent="0.3">
      <c r="A1244" t="s">
        <v>1324</v>
      </c>
      <c r="C1244" t="s">
        <v>1325</v>
      </c>
      <c r="D1244" s="1">
        <v>46030</v>
      </c>
      <c r="E1244" t="s">
        <v>1326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1327</v>
      </c>
      <c r="J1244" t="s">
        <v>1328</v>
      </c>
      <c r="K1244" t="s">
        <v>1329</v>
      </c>
      <c r="L1244">
        <v>9784</v>
      </c>
      <c r="M1244" t="s">
        <v>1330</v>
      </c>
      <c r="O1244" t="s">
        <v>11</v>
      </c>
      <c r="P1244">
        <v>6102</v>
      </c>
      <c r="Q1244">
        <v>6</v>
      </c>
      <c r="R1244">
        <v>10.46</v>
      </c>
      <c r="S1244">
        <v>62.76</v>
      </c>
      <c r="T1244">
        <v>47.64</v>
      </c>
      <c r="U1244">
        <v>24.09</v>
      </c>
      <c r="V1244" t="str">
        <f>VLOOKUP(L1244,'[2]tabela de preços'!$A:$D,4,0)</f>
        <v>WANDA</v>
      </c>
      <c r="W1244" t="str">
        <f>VLOOKUP(L1244,'[2]tabela de preços'!$A:$F,6,0)</f>
        <v>CATALISADORES INDIVIDUAS</v>
      </c>
      <c r="X1244" t="str">
        <f>VLOOKUP(L1244,'[2]tabela de preços'!$A:$G,7,0)</f>
        <v>AUTOMOTIVO</v>
      </c>
    </row>
    <row r="1245" spans="1:24" x14ac:dyDescent="0.3">
      <c r="A1245" t="s">
        <v>1324</v>
      </c>
      <c r="C1245" t="s">
        <v>1325</v>
      </c>
      <c r="D1245" s="1">
        <v>46030</v>
      </c>
      <c r="E1245" t="s">
        <v>1326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1327</v>
      </c>
      <c r="J1245" t="s">
        <v>1328</v>
      </c>
      <c r="K1245" t="s">
        <v>1329</v>
      </c>
      <c r="L1245">
        <v>24248</v>
      </c>
      <c r="M1245" t="s">
        <v>107</v>
      </c>
      <c r="O1245" t="s">
        <v>11</v>
      </c>
      <c r="P1245">
        <v>6102</v>
      </c>
      <c r="Q1245">
        <v>6</v>
      </c>
      <c r="R1245">
        <v>9.9</v>
      </c>
      <c r="S1245">
        <v>59.4</v>
      </c>
      <c r="T1245">
        <v>38.46</v>
      </c>
      <c r="U1245">
        <v>35.25</v>
      </c>
      <c r="V1245" t="str">
        <f>VLOOKUP(L1245,'[2]tabela de preços'!$A:$D,4,0)</f>
        <v>SHERWIN WILLIAMS</v>
      </c>
      <c r="W1245" t="str">
        <f>VLOOKUP(L1245,'[2]tabela de preços'!$A:$F,6,0)</f>
        <v>PRIMER AUTOMOTIVO</v>
      </c>
      <c r="X1245" t="str">
        <f>VLOOKUP(L1245,'[2]tabela de preços'!$A:$G,7,0)</f>
        <v>AUTOMOTIVO</v>
      </c>
    </row>
    <row r="1246" spans="1:24" x14ac:dyDescent="0.3">
      <c r="A1246" t="s">
        <v>1324</v>
      </c>
      <c r="C1246" t="s">
        <v>1325</v>
      </c>
      <c r="D1246" s="1">
        <v>46030</v>
      </c>
      <c r="E1246" t="s">
        <v>1326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1327</v>
      </c>
      <c r="J1246" t="s">
        <v>1328</v>
      </c>
      <c r="K1246" t="s">
        <v>1329</v>
      </c>
      <c r="L1246">
        <v>23076</v>
      </c>
      <c r="M1246" t="s">
        <v>97</v>
      </c>
      <c r="O1246" t="s">
        <v>11</v>
      </c>
      <c r="P1246">
        <v>6403</v>
      </c>
      <c r="Q1246">
        <v>6</v>
      </c>
      <c r="R1246">
        <v>33.89</v>
      </c>
      <c r="S1246">
        <v>203.34</v>
      </c>
      <c r="T1246">
        <v>159.18</v>
      </c>
      <c r="U1246">
        <v>21.72</v>
      </c>
      <c r="V1246" t="str">
        <f>VLOOKUP(L1246,'[2]tabela de preços'!$A:$D,4,0)</f>
        <v>WANDA</v>
      </c>
      <c r="W1246" t="str">
        <f>VLOOKUP(L1246,'[2]tabela de preços'!$A:$F,6,0)</f>
        <v>PRIMER AUTOMOTIVO</v>
      </c>
      <c r="X1246" t="str">
        <f>VLOOKUP(L1246,'[2]tabela de preços'!$A:$G,7,0)</f>
        <v>AUTOMOTIVO</v>
      </c>
    </row>
    <row r="1247" spans="1:24" x14ac:dyDescent="0.3">
      <c r="A1247" t="s">
        <v>1324</v>
      </c>
      <c r="C1247" t="s">
        <v>1325</v>
      </c>
      <c r="D1247" s="1">
        <v>46030</v>
      </c>
      <c r="E1247" t="s">
        <v>1326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1327</v>
      </c>
      <c r="J1247" t="s">
        <v>1328</v>
      </c>
      <c r="K1247" t="s">
        <v>1329</v>
      </c>
      <c r="L1247">
        <v>23100</v>
      </c>
      <c r="M1247" t="s">
        <v>99</v>
      </c>
      <c r="O1247" t="s">
        <v>11</v>
      </c>
      <c r="P1247">
        <v>6102</v>
      </c>
      <c r="Q1247">
        <v>50</v>
      </c>
      <c r="R1247">
        <v>2.35</v>
      </c>
      <c r="S1247">
        <v>117.5</v>
      </c>
      <c r="T1247">
        <v>84.5</v>
      </c>
      <c r="U1247">
        <v>28.09</v>
      </c>
      <c r="V1247" t="str">
        <f>VLOOKUP(L1247,'[2]tabela de preços'!$A:$D,4,0)</f>
        <v>3M</v>
      </c>
      <c r="W1247" t="str">
        <f>VLOOKUP(L1247,'[2]tabela de preços'!$A:$F,6,0)</f>
        <v xml:space="preserve">DISCOS / LIXAS / ABRASIVOS </v>
      </c>
      <c r="X1247" t="str">
        <f>VLOOKUP(L1247,'[2]tabela de preços'!$A:$G,7,0)</f>
        <v>AUTOMOTIVO</v>
      </c>
    </row>
    <row r="1248" spans="1:24" x14ac:dyDescent="0.3">
      <c r="A1248" t="s">
        <v>1324</v>
      </c>
      <c r="C1248" t="s">
        <v>1325</v>
      </c>
      <c r="D1248" s="1">
        <v>46030</v>
      </c>
      <c r="E1248" t="s">
        <v>1326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1327</v>
      </c>
      <c r="J1248" t="s">
        <v>1328</v>
      </c>
      <c r="K1248" t="s">
        <v>1329</v>
      </c>
      <c r="L1248">
        <v>23096</v>
      </c>
      <c r="M1248" t="s">
        <v>656</v>
      </c>
      <c r="O1248" t="s">
        <v>411</v>
      </c>
      <c r="P1248">
        <v>6102</v>
      </c>
      <c r="Q1248">
        <v>50</v>
      </c>
      <c r="R1248">
        <v>2.35</v>
      </c>
      <c r="S1248">
        <v>117.5</v>
      </c>
      <c r="T1248">
        <v>84.5</v>
      </c>
      <c r="U1248">
        <v>28.09</v>
      </c>
      <c r="V1248" t="str">
        <f>VLOOKUP(L1248,'[2]tabela de preços'!$A:$D,4,0)</f>
        <v>3M</v>
      </c>
      <c r="W1248" t="str">
        <f>VLOOKUP(L1248,'[2]tabela de preços'!$A:$F,6,0)</f>
        <v xml:space="preserve">DISCOS / LIXAS / ABRASIVOS </v>
      </c>
      <c r="X1248" t="str">
        <f>VLOOKUP(L1248,'[2]tabela de preços'!$A:$G,7,0)</f>
        <v>AUTOMOTIVO</v>
      </c>
    </row>
    <row r="1249" spans="1:24" x14ac:dyDescent="0.3">
      <c r="A1249" t="s">
        <v>1324</v>
      </c>
      <c r="C1249" t="s">
        <v>1325</v>
      </c>
      <c r="D1249" s="1">
        <v>46030</v>
      </c>
      <c r="E1249" t="s">
        <v>1326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1327</v>
      </c>
      <c r="J1249" t="s">
        <v>1328</v>
      </c>
      <c r="K1249" t="s">
        <v>1329</v>
      </c>
      <c r="L1249">
        <v>9764</v>
      </c>
      <c r="M1249" t="s">
        <v>173</v>
      </c>
      <c r="O1249" t="s">
        <v>11</v>
      </c>
      <c r="P1249">
        <v>6102</v>
      </c>
      <c r="Q1249">
        <v>3</v>
      </c>
      <c r="R1249">
        <v>33.54</v>
      </c>
      <c r="S1249">
        <v>100.62</v>
      </c>
      <c r="T1249">
        <v>76.38</v>
      </c>
      <c r="U1249">
        <v>24.09</v>
      </c>
      <c r="V1249" t="str">
        <f>VLOOKUP(L1249,'[2]tabela de preços'!$A:$D,4,0)</f>
        <v>SIKKENS</v>
      </c>
      <c r="W1249" t="str">
        <f>VLOOKUP(L1249,'[2]tabela de preços'!$A:$F,6,0)</f>
        <v>MASSA DE PEQUENOS REPAROS</v>
      </c>
      <c r="X1249" t="str">
        <f>VLOOKUP(L1249,'[2]tabela de preços'!$A:$G,7,0)</f>
        <v>AUTOMOTIVO</v>
      </c>
    </row>
    <row r="1250" spans="1:24" x14ac:dyDescent="0.3">
      <c r="A1250" t="s">
        <v>1324</v>
      </c>
      <c r="C1250" t="s">
        <v>1325</v>
      </c>
      <c r="D1250" s="1">
        <v>46030</v>
      </c>
      <c r="E1250" t="s">
        <v>1326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1327</v>
      </c>
      <c r="J1250" t="s">
        <v>1328</v>
      </c>
      <c r="K1250" t="s">
        <v>1329</v>
      </c>
      <c r="L1250">
        <v>87043</v>
      </c>
      <c r="M1250" t="s">
        <v>217</v>
      </c>
      <c r="O1250" t="s">
        <v>11</v>
      </c>
      <c r="P1250">
        <v>6102</v>
      </c>
      <c r="Q1250">
        <v>8</v>
      </c>
      <c r="R1250">
        <v>22.89</v>
      </c>
      <c r="S1250">
        <v>183.12</v>
      </c>
      <c r="T1250">
        <v>144.16</v>
      </c>
      <c r="U1250">
        <v>21.28</v>
      </c>
      <c r="V1250" t="str">
        <f>VLOOKUP(L1250,'[2]tabela de preços'!$A:$D,4,0)</f>
        <v>ROBERLO</v>
      </c>
      <c r="W1250" t="str">
        <f>VLOOKUP(L1250,'[2]tabela de preços'!$A:$F,6,0)</f>
        <v>MASSA POLIÉSTER</v>
      </c>
      <c r="X1250" t="str">
        <f>VLOOKUP(L1250,'[2]tabela de preços'!$A:$G,7,0)</f>
        <v>AUTOMOTIVO</v>
      </c>
    </row>
    <row r="1251" spans="1:24" x14ac:dyDescent="0.3">
      <c r="A1251" t="s">
        <v>1324</v>
      </c>
      <c r="C1251" t="s">
        <v>1325</v>
      </c>
      <c r="D1251" s="1">
        <v>46030</v>
      </c>
      <c r="E1251" t="s">
        <v>1326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1327</v>
      </c>
      <c r="J1251" t="s">
        <v>1328</v>
      </c>
      <c r="K1251" t="s">
        <v>1329</v>
      </c>
      <c r="L1251">
        <v>24247</v>
      </c>
      <c r="M1251" t="s">
        <v>111</v>
      </c>
      <c r="O1251" t="s">
        <v>11</v>
      </c>
      <c r="P1251">
        <v>6403</v>
      </c>
      <c r="Q1251">
        <v>6</v>
      </c>
      <c r="R1251">
        <v>19.899999999999999</v>
      </c>
      <c r="S1251">
        <v>119.4</v>
      </c>
      <c r="T1251">
        <v>99.6</v>
      </c>
      <c r="U1251">
        <v>16.579999999999998</v>
      </c>
      <c r="V1251" t="str">
        <f>VLOOKUP(L1251,'[2]tabela de preços'!$A:$D,4,0)</f>
        <v>SHERWIN WILLIAMS</v>
      </c>
      <c r="W1251" t="str">
        <f>VLOOKUP(L1251,'[2]tabela de preços'!$A:$F,6,0)</f>
        <v>PRIMER AUTOMOTIVO</v>
      </c>
      <c r="X1251" t="str">
        <f>VLOOKUP(L1251,'[2]tabela de preços'!$A:$G,7,0)</f>
        <v>AUTOMOTIVO</v>
      </c>
    </row>
    <row r="1252" spans="1:24" x14ac:dyDescent="0.3">
      <c r="A1252" t="s">
        <v>1324</v>
      </c>
      <c r="C1252" t="s">
        <v>1325</v>
      </c>
      <c r="D1252" s="1">
        <v>46030</v>
      </c>
      <c r="E1252" t="s">
        <v>1326</v>
      </c>
      <c r="F1252">
        <v>9</v>
      </c>
      <c r="G1252">
        <v>197</v>
      </c>
      <c r="H1252" t="str">
        <f>VLOOKUP(G1252,[1]OPERADORES!$A:$B,2,0)</f>
        <v xml:space="preserve">POLIANA LORRANE DE AMORIM </v>
      </c>
      <c r="I1252" t="s">
        <v>1327</v>
      </c>
      <c r="J1252" t="s">
        <v>1328</v>
      </c>
      <c r="K1252" t="s">
        <v>1329</v>
      </c>
      <c r="L1252">
        <v>84460</v>
      </c>
      <c r="M1252" t="s">
        <v>322</v>
      </c>
      <c r="O1252" t="s">
        <v>11</v>
      </c>
      <c r="P1252">
        <v>6102</v>
      </c>
      <c r="Q1252">
        <v>3</v>
      </c>
      <c r="R1252">
        <v>31.07</v>
      </c>
      <c r="S1252">
        <v>93.21</v>
      </c>
      <c r="T1252">
        <v>70.739999999999995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VEDADORES / SELANTES</v>
      </c>
      <c r="X1252" t="str">
        <f>VLOOKUP(L1252,'[2]tabela de preços'!$A:$G,7,0)</f>
        <v>AUTOMOTIVO</v>
      </c>
    </row>
    <row r="1253" spans="1:24" x14ac:dyDescent="0.3">
      <c r="A1253" t="s">
        <v>1324</v>
      </c>
      <c r="C1253" t="s">
        <v>1331</v>
      </c>
      <c r="D1253" s="1">
        <v>46044</v>
      </c>
      <c r="E1253" t="s">
        <v>1332</v>
      </c>
      <c r="F1253">
        <v>9</v>
      </c>
      <c r="G1253">
        <v>197</v>
      </c>
      <c r="H1253" t="str">
        <f>VLOOKUP(G1253,[1]OPERADORES!$A:$B,2,0)</f>
        <v xml:space="preserve">POLIANA LORRANE DE AMORIM </v>
      </c>
      <c r="I1253" t="s">
        <v>1327</v>
      </c>
      <c r="J1253" t="s">
        <v>1328</v>
      </c>
      <c r="K1253" t="s">
        <v>1329</v>
      </c>
      <c r="L1253">
        <v>23580</v>
      </c>
      <c r="M1253" t="s">
        <v>115</v>
      </c>
      <c r="O1253" t="s">
        <v>11</v>
      </c>
      <c r="P1253">
        <v>6102</v>
      </c>
      <c r="Q1253">
        <v>50</v>
      </c>
      <c r="R1253">
        <v>0.56000000000000005</v>
      </c>
      <c r="S1253">
        <v>28</v>
      </c>
      <c r="T1253">
        <v>18</v>
      </c>
      <c r="U1253">
        <v>35.71</v>
      </c>
      <c r="V1253" t="str">
        <f>VLOOKUP(L1253,'[2]tabela de preços'!$A:$D,4,0)</f>
        <v>RENOVA COADORES</v>
      </c>
      <c r="W1253" t="str">
        <f>VLOOKUP(L1253,'[2]tabela de preços'!$A:$F,6,0)</f>
        <v>COADORES</v>
      </c>
      <c r="X1253" t="str">
        <f>VLOOKUP(L1253,'[2]tabela de preços'!$A:$G,7,0)</f>
        <v>AUTOMOTIVO</v>
      </c>
    </row>
    <row r="1254" spans="1:24" x14ac:dyDescent="0.3">
      <c r="A1254" t="s">
        <v>1324</v>
      </c>
      <c r="C1254" t="s">
        <v>1331</v>
      </c>
      <c r="D1254" s="1">
        <v>46044</v>
      </c>
      <c r="E1254" t="s">
        <v>1332</v>
      </c>
      <c r="F1254">
        <v>9</v>
      </c>
      <c r="G1254">
        <v>197</v>
      </c>
      <c r="H1254" t="str">
        <f>VLOOKUP(G1254,[1]OPERADORES!$A:$B,2,0)</f>
        <v xml:space="preserve">POLIANA LORRANE DE AMORIM </v>
      </c>
      <c r="I1254" t="s">
        <v>1327</v>
      </c>
      <c r="J1254" t="s">
        <v>1328</v>
      </c>
      <c r="K1254" t="s">
        <v>1329</v>
      </c>
      <c r="L1254">
        <v>23110</v>
      </c>
      <c r="M1254" t="s">
        <v>409</v>
      </c>
      <c r="O1254" t="s">
        <v>11</v>
      </c>
      <c r="P1254">
        <v>6102</v>
      </c>
      <c r="Q1254">
        <v>100</v>
      </c>
      <c r="R1254">
        <v>2.35</v>
      </c>
      <c r="S1254">
        <v>235</v>
      </c>
      <c r="T1254">
        <v>185</v>
      </c>
      <c r="U1254">
        <v>21.28</v>
      </c>
      <c r="V1254" t="str">
        <f>VLOOKUP(L1254,'[2]tabela de preços'!$A:$D,4,0)</f>
        <v>3M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1324</v>
      </c>
      <c r="C1255" t="s">
        <v>1331</v>
      </c>
      <c r="D1255" s="1">
        <v>46044</v>
      </c>
      <c r="E1255" t="s">
        <v>1332</v>
      </c>
      <c r="F1255">
        <v>9</v>
      </c>
      <c r="G1255">
        <v>197</v>
      </c>
      <c r="H1255" t="str">
        <f>VLOOKUP(G1255,[1]OPERADORES!$A:$B,2,0)</f>
        <v xml:space="preserve">POLIANA LORRANE DE AMORIM </v>
      </c>
      <c r="I1255" t="s">
        <v>1327</v>
      </c>
      <c r="J1255" t="s">
        <v>1328</v>
      </c>
      <c r="K1255" t="s">
        <v>1329</v>
      </c>
      <c r="L1255">
        <v>9751</v>
      </c>
      <c r="M1255" t="s">
        <v>1333</v>
      </c>
      <c r="O1255" t="s">
        <v>11</v>
      </c>
      <c r="P1255">
        <v>6102</v>
      </c>
      <c r="Q1255">
        <v>2</v>
      </c>
      <c r="R1255">
        <v>58.78</v>
      </c>
      <c r="S1255">
        <v>117.56</v>
      </c>
      <c r="T1255">
        <v>89.22</v>
      </c>
      <c r="U1255">
        <v>24.11</v>
      </c>
      <c r="V1255" t="str">
        <f>VLOOKUP(L1255,'[2]tabela de preços'!$A:$D,4,0)</f>
        <v>3M</v>
      </c>
      <c r="W1255" t="str">
        <f>VLOOKUP(L1255,'[2]tabela de preços'!$A:$F,6,0)</f>
        <v xml:space="preserve">LÍQUIDOS P/ POLIMENTO </v>
      </c>
      <c r="X1255" t="str">
        <f>VLOOKUP(L1255,'[2]tabela de preços'!$A:$G,7,0)</f>
        <v>AUTOMOTIVO</v>
      </c>
    </row>
    <row r="1256" spans="1:24" x14ac:dyDescent="0.3">
      <c r="A1256" t="s">
        <v>1324</v>
      </c>
      <c r="C1256" t="s">
        <v>1331</v>
      </c>
      <c r="D1256" s="1">
        <v>46044</v>
      </c>
      <c r="E1256" t="s">
        <v>1332</v>
      </c>
      <c r="F1256">
        <v>9</v>
      </c>
      <c r="G1256">
        <v>197</v>
      </c>
      <c r="H1256" t="str">
        <f>VLOOKUP(G1256,[1]OPERADORES!$A:$B,2,0)</f>
        <v xml:space="preserve">POLIANA LORRANE DE AMORIM </v>
      </c>
      <c r="I1256" t="s">
        <v>1327</v>
      </c>
      <c r="J1256" t="s">
        <v>1328</v>
      </c>
      <c r="K1256" t="s">
        <v>1329</v>
      </c>
      <c r="L1256">
        <v>22684</v>
      </c>
      <c r="M1256" t="s">
        <v>73</v>
      </c>
      <c r="O1256" t="s">
        <v>11</v>
      </c>
      <c r="P1256">
        <v>6102</v>
      </c>
      <c r="Q1256">
        <v>30</v>
      </c>
      <c r="R1256">
        <v>3.65</v>
      </c>
      <c r="S1256">
        <v>109.5</v>
      </c>
      <c r="T1256">
        <v>92.4</v>
      </c>
      <c r="U1256">
        <v>15.62</v>
      </c>
      <c r="V1256" t="str">
        <f>VLOOKUP(L1256,'[2]tabela de preços'!$A:$D,4,0)</f>
        <v>3M</v>
      </c>
      <c r="W1256" t="str">
        <f>VLOOKUP(L1256,'[2]tabela de preços'!$A:$F,6,0)</f>
        <v>FITA AUTOMOTIVA</v>
      </c>
      <c r="X1256" t="str">
        <f>VLOOKUP(L1256,'[2]tabela de preços'!$A:$G,7,0)</f>
        <v>AUTOMOTIVO</v>
      </c>
    </row>
    <row r="1257" spans="1:24" x14ac:dyDescent="0.3">
      <c r="A1257" t="s">
        <v>1324</v>
      </c>
      <c r="C1257" t="s">
        <v>1331</v>
      </c>
      <c r="D1257" s="1">
        <v>46044</v>
      </c>
      <c r="E1257" t="s">
        <v>1332</v>
      </c>
      <c r="F1257">
        <v>9</v>
      </c>
      <c r="G1257">
        <v>197</v>
      </c>
      <c r="H1257" t="str">
        <f>VLOOKUP(G1257,[1]OPERADORES!$A:$B,2,0)</f>
        <v xml:space="preserve">POLIANA LORRANE DE AMORIM </v>
      </c>
      <c r="I1257" t="s">
        <v>1327</v>
      </c>
      <c r="J1257" t="s">
        <v>1328</v>
      </c>
      <c r="K1257" t="s">
        <v>1329</v>
      </c>
      <c r="L1257">
        <v>23097</v>
      </c>
      <c r="M1257" t="s">
        <v>412</v>
      </c>
      <c r="O1257" t="s">
        <v>411</v>
      </c>
      <c r="P1257">
        <v>6102</v>
      </c>
      <c r="Q1257">
        <v>100</v>
      </c>
      <c r="R1257">
        <v>2.35</v>
      </c>
      <c r="S1257">
        <v>235</v>
      </c>
      <c r="T1257">
        <v>136</v>
      </c>
      <c r="U1257">
        <v>42.13</v>
      </c>
      <c r="V1257" t="str">
        <f>VLOOKUP(L1257,'[2]tabela de preços'!$A:$D,4,0)</f>
        <v>3M</v>
      </c>
      <c r="W1257" t="str">
        <f>VLOOKUP(L1257,'[2]tabela de preços'!$A:$F,6,0)</f>
        <v xml:space="preserve">DISCOS / LIXAS / ABRASIVOS </v>
      </c>
      <c r="X1257" t="str">
        <f>VLOOKUP(L1257,'[2]tabela de preços'!$A:$G,7,0)</f>
        <v>AUTOMOTIVO</v>
      </c>
    </row>
    <row r="1258" spans="1:24" x14ac:dyDescent="0.3">
      <c r="A1258" t="s">
        <v>1324</v>
      </c>
      <c r="C1258" t="s">
        <v>1331</v>
      </c>
      <c r="D1258" s="1">
        <v>46044</v>
      </c>
      <c r="E1258" t="s">
        <v>1332</v>
      </c>
      <c r="F1258">
        <v>9</v>
      </c>
      <c r="G1258">
        <v>197</v>
      </c>
      <c r="H1258" t="str">
        <f>VLOOKUP(G1258,[1]OPERADORES!$A:$B,2,0)</f>
        <v xml:space="preserve">POLIANA LORRANE DE AMORIM </v>
      </c>
      <c r="I1258" t="s">
        <v>1327</v>
      </c>
      <c r="J1258" t="s">
        <v>1328</v>
      </c>
      <c r="K1258" t="s">
        <v>1329</v>
      </c>
      <c r="L1258">
        <v>20817</v>
      </c>
      <c r="M1258" t="s">
        <v>153</v>
      </c>
      <c r="O1258" t="s">
        <v>11</v>
      </c>
      <c r="P1258">
        <v>6102</v>
      </c>
      <c r="Q1258">
        <v>3</v>
      </c>
      <c r="R1258">
        <v>22.89</v>
      </c>
      <c r="S1258">
        <v>68.67</v>
      </c>
      <c r="T1258">
        <v>55.86</v>
      </c>
      <c r="U1258">
        <v>18.649999999999999</v>
      </c>
      <c r="V1258" t="str">
        <f>VLOOKUP(L1258,'[2]tabela de preços'!$A:$D,4,0)</f>
        <v>AUTO AMERICA</v>
      </c>
      <c r="W1258" t="str">
        <f>VLOOKUP(L1258,'[2]tabela de preços'!$A:$F,6,0)</f>
        <v>MASSA DE POLIR</v>
      </c>
      <c r="X1258" t="str">
        <f>VLOOKUP(L1258,'[2]tabela de preços'!$A:$G,7,0)</f>
        <v>AUTOMOTIVO</v>
      </c>
    </row>
    <row r="1259" spans="1:24" x14ac:dyDescent="0.3">
      <c r="A1259" t="s">
        <v>1324</v>
      </c>
      <c r="C1259" t="s">
        <v>1331</v>
      </c>
      <c r="D1259" s="1">
        <v>46044</v>
      </c>
      <c r="E1259" t="s">
        <v>1332</v>
      </c>
      <c r="F1259">
        <v>9</v>
      </c>
      <c r="G1259">
        <v>197</v>
      </c>
      <c r="H1259" t="str">
        <f>VLOOKUP(G1259,[1]OPERADORES!$A:$B,2,0)</f>
        <v xml:space="preserve">POLIANA LORRANE DE AMORIM </v>
      </c>
      <c r="I1259" t="s">
        <v>1327</v>
      </c>
      <c r="J1259" t="s">
        <v>1328</v>
      </c>
      <c r="K1259" t="s">
        <v>1329</v>
      </c>
      <c r="L1259">
        <v>87043</v>
      </c>
      <c r="M1259" t="s">
        <v>217</v>
      </c>
      <c r="O1259" t="s">
        <v>11</v>
      </c>
      <c r="P1259">
        <v>6102</v>
      </c>
      <c r="Q1259">
        <v>8</v>
      </c>
      <c r="R1259">
        <v>21.95</v>
      </c>
      <c r="S1259">
        <v>175.6</v>
      </c>
      <c r="T1259">
        <v>144.16</v>
      </c>
      <c r="U1259">
        <v>17.899999999999999</v>
      </c>
      <c r="V1259" t="str">
        <f>VLOOKUP(L1259,'[2]tabela de preços'!$A:$D,4,0)</f>
        <v>ROBERLO</v>
      </c>
      <c r="W1259" t="str">
        <f>VLOOKUP(L1259,'[2]tabela de preços'!$A:$F,6,0)</f>
        <v>MASSA POLIÉSTER</v>
      </c>
      <c r="X1259" t="str">
        <f>VLOOKUP(L1259,'[2]tabela de preços'!$A:$G,7,0)</f>
        <v>AUTOMOTIVO</v>
      </c>
    </row>
    <row r="1260" spans="1:24" x14ac:dyDescent="0.3">
      <c r="A1260" t="s">
        <v>1324</v>
      </c>
      <c r="C1260" t="s">
        <v>1331</v>
      </c>
      <c r="D1260" s="1">
        <v>46044</v>
      </c>
      <c r="E1260" t="s">
        <v>1332</v>
      </c>
      <c r="F1260">
        <v>9</v>
      </c>
      <c r="G1260">
        <v>197</v>
      </c>
      <c r="H1260" t="str">
        <f>VLOOKUP(G1260,[1]OPERADORES!$A:$B,2,0)</f>
        <v xml:space="preserve">POLIANA LORRANE DE AMORIM </v>
      </c>
      <c r="I1260" t="s">
        <v>1327</v>
      </c>
      <c r="J1260" t="s">
        <v>1328</v>
      </c>
      <c r="K1260" t="s">
        <v>1329</v>
      </c>
      <c r="L1260">
        <v>21321</v>
      </c>
      <c r="M1260" t="s">
        <v>272</v>
      </c>
      <c r="O1260" t="s">
        <v>11</v>
      </c>
      <c r="P1260">
        <v>6102</v>
      </c>
      <c r="Q1260">
        <v>2</v>
      </c>
      <c r="R1260">
        <v>20.239999999999998</v>
      </c>
      <c r="S1260">
        <v>40.479999999999997</v>
      </c>
      <c r="T1260">
        <v>30.72</v>
      </c>
      <c r="U1260">
        <v>24.11</v>
      </c>
      <c r="V1260" t="str">
        <f>VLOOKUP(L1260,'[2]tabela de preços'!$A:$D,4,0)</f>
        <v>AUTO AMERICA</v>
      </c>
      <c r="W1260" t="str">
        <f>VLOOKUP(L1260,'[2]tabela de preços'!$A:$F,6,0)</f>
        <v>CERA  / LIMPEZA /  POLIMENTO VEICULAR</v>
      </c>
      <c r="X1260" t="str">
        <f>VLOOKUP(L1260,'[2]tabela de preços'!$A:$G,7,0)</f>
        <v>AUTOMOTIVO</v>
      </c>
    </row>
    <row r="1261" spans="1:24" x14ac:dyDescent="0.3">
      <c r="A1261" t="s">
        <v>1324</v>
      </c>
      <c r="C1261" t="s">
        <v>1334</v>
      </c>
      <c r="D1261" s="1">
        <v>46051</v>
      </c>
      <c r="E1261" t="s">
        <v>1335</v>
      </c>
      <c r="F1261">
        <v>9</v>
      </c>
      <c r="G1261">
        <v>197</v>
      </c>
      <c r="H1261" t="str">
        <f>VLOOKUP(G1261,[1]OPERADORES!$A:$B,2,0)</f>
        <v xml:space="preserve">POLIANA LORRANE DE AMORIM </v>
      </c>
      <c r="I1261" t="s">
        <v>1327</v>
      </c>
      <c r="J1261" t="s">
        <v>1328</v>
      </c>
      <c r="K1261" t="s">
        <v>1329</v>
      </c>
      <c r="L1261">
        <v>85693</v>
      </c>
      <c r="M1261" t="s">
        <v>526</v>
      </c>
      <c r="O1261" t="s">
        <v>11</v>
      </c>
      <c r="P1261">
        <v>6102</v>
      </c>
      <c r="Q1261">
        <v>1</v>
      </c>
      <c r="R1261">
        <v>7.89</v>
      </c>
      <c r="S1261">
        <v>7.89</v>
      </c>
      <c r="T1261">
        <v>6.51</v>
      </c>
      <c r="U1261">
        <v>17.489999999999998</v>
      </c>
      <c r="V1261" t="str">
        <f>VLOOKUP(L1261,'[2]tabela de preços'!$A:$D,4,0)</f>
        <v>UNIPEGA</v>
      </c>
      <c r="W1261" t="str">
        <f>VLOOKUP(L1261,'[2]tabela de preços'!$A:$F,6,0)</f>
        <v>PU 40</v>
      </c>
      <c r="X1261" t="str">
        <f>VLOOKUP(L1261,'[2]tabela de preços'!$A:$G,7,0)</f>
        <v>IMOBILIÁRIO</v>
      </c>
    </row>
    <row r="1262" spans="1:24" x14ac:dyDescent="0.3">
      <c r="A1262" t="s">
        <v>1324</v>
      </c>
      <c r="C1262" t="s">
        <v>1334</v>
      </c>
      <c r="D1262" s="1">
        <v>46051</v>
      </c>
      <c r="E1262" t="s">
        <v>1335</v>
      </c>
      <c r="F1262">
        <v>9</v>
      </c>
      <c r="G1262">
        <v>197</v>
      </c>
      <c r="H1262" t="str">
        <f>VLOOKUP(G1262,[1]OPERADORES!$A:$B,2,0)</f>
        <v xml:space="preserve">POLIANA LORRANE DE AMORIM </v>
      </c>
      <c r="I1262" t="s">
        <v>1327</v>
      </c>
      <c r="J1262" t="s">
        <v>1328</v>
      </c>
      <c r="K1262" t="s">
        <v>1329</v>
      </c>
      <c r="L1262">
        <v>23104</v>
      </c>
      <c r="M1262" t="s">
        <v>1336</v>
      </c>
      <c r="O1262" t="s">
        <v>11</v>
      </c>
      <c r="P1262">
        <v>6102</v>
      </c>
      <c r="Q1262">
        <v>50</v>
      </c>
      <c r="R1262">
        <v>2.35</v>
      </c>
      <c r="S1262">
        <v>117.5</v>
      </c>
      <c r="T1262">
        <v>92.5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1324</v>
      </c>
      <c r="C1263" t="s">
        <v>1334</v>
      </c>
      <c r="D1263" s="1">
        <v>46051</v>
      </c>
      <c r="E1263" t="s">
        <v>1335</v>
      </c>
      <c r="F1263">
        <v>9</v>
      </c>
      <c r="G1263">
        <v>197</v>
      </c>
      <c r="H1263" t="str">
        <f>VLOOKUP(G1263,[1]OPERADORES!$A:$B,2,0)</f>
        <v xml:space="preserve">POLIANA LORRANE DE AMORIM </v>
      </c>
      <c r="I1263" t="s">
        <v>1327</v>
      </c>
      <c r="J1263" t="s">
        <v>1328</v>
      </c>
      <c r="K1263" t="s">
        <v>1329</v>
      </c>
      <c r="L1263">
        <v>23106</v>
      </c>
      <c r="M1263" t="s">
        <v>403</v>
      </c>
      <c r="O1263" t="s">
        <v>11</v>
      </c>
      <c r="P1263">
        <v>6102</v>
      </c>
      <c r="Q1263">
        <v>50</v>
      </c>
      <c r="R1263">
        <v>2.35</v>
      </c>
      <c r="S1263">
        <v>117.5</v>
      </c>
      <c r="T1263">
        <v>96</v>
      </c>
      <c r="U1263">
        <v>18.3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1324</v>
      </c>
      <c r="C1264" t="s">
        <v>1334</v>
      </c>
      <c r="D1264" s="1">
        <v>46051</v>
      </c>
      <c r="E1264" t="s">
        <v>1335</v>
      </c>
      <c r="F1264">
        <v>9</v>
      </c>
      <c r="G1264">
        <v>197</v>
      </c>
      <c r="H1264" t="str">
        <f>VLOOKUP(G1264,[1]OPERADORES!$A:$B,2,0)</f>
        <v xml:space="preserve">POLIANA LORRANE DE AMORIM </v>
      </c>
      <c r="I1264" t="s">
        <v>1327</v>
      </c>
      <c r="J1264" t="s">
        <v>1328</v>
      </c>
      <c r="K1264" t="s">
        <v>1329</v>
      </c>
      <c r="L1264">
        <v>23107</v>
      </c>
      <c r="M1264" t="s">
        <v>247</v>
      </c>
      <c r="O1264" t="s">
        <v>11</v>
      </c>
      <c r="P1264">
        <v>6102</v>
      </c>
      <c r="Q1264">
        <v>30</v>
      </c>
      <c r="R1264">
        <v>2.35</v>
      </c>
      <c r="S1264">
        <v>70.5</v>
      </c>
      <c r="T1264">
        <v>55.5</v>
      </c>
      <c r="U1264">
        <v>21.28</v>
      </c>
      <c r="V1264" t="str">
        <f>VLOOKUP(L1264,'[2]tabela de preços'!$A:$D,4,0)</f>
        <v>3M</v>
      </c>
      <c r="W1264" t="str">
        <f>VLOOKUP(L1264,'[2]tabela de preços'!$A:$F,6,0)</f>
        <v xml:space="preserve">DISCOS / LIXAS / ABRASIVOS </v>
      </c>
      <c r="X1264" t="str">
        <f>VLOOKUP(L1264,'[2]tabela de preços'!$A:$G,7,0)</f>
        <v>AUTOMOTIVO</v>
      </c>
    </row>
    <row r="1265" spans="1:24" x14ac:dyDescent="0.3">
      <c r="A1265" t="s">
        <v>1324</v>
      </c>
      <c r="C1265" t="s">
        <v>1334</v>
      </c>
      <c r="D1265" s="1">
        <v>46051</v>
      </c>
      <c r="E1265" t="s">
        <v>1335</v>
      </c>
      <c r="F1265">
        <v>9</v>
      </c>
      <c r="G1265">
        <v>197</v>
      </c>
      <c r="H1265" t="str">
        <f>VLOOKUP(G1265,[1]OPERADORES!$A:$B,2,0)</f>
        <v xml:space="preserve">POLIANA LORRANE DE AMORIM </v>
      </c>
      <c r="I1265" t="s">
        <v>1327</v>
      </c>
      <c r="J1265" t="s">
        <v>1328</v>
      </c>
      <c r="K1265" t="s">
        <v>1329</v>
      </c>
      <c r="L1265">
        <v>24248</v>
      </c>
      <c r="M1265" t="s">
        <v>107</v>
      </c>
      <c r="O1265" t="s">
        <v>11</v>
      </c>
      <c r="P1265">
        <v>6102</v>
      </c>
      <c r="Q1265">
        <v>12</v>
      </c>
      <c r="R1265">
        <v>8</v>
      </c>
      <c r="S1265">
        <v>96</v>
      </c>
      <c r="T1265">
        <v>78</v>
      </c>
      <c r="U1265">
        <v>18.75</v>
      </c>
      <c r="V1265" t="str">
        <f>VLOOKUP(L1265,'[2]tabela de preços'!$A:$D,4,0)</f>
        <v>SHERWIN WILLIAMS</v>
      </c>
      <c r="W1265" t="str">
        <f>VLOOKUP(L1265,'[2]tabela de preços'!$A:$F,6,0)</f>
        <v>PRIMER AUTOMOTIVO</v>
      </c>
      <c r="X1265" t="str">
        <f>VLOOKUP(L1265,'[2]tabela de preços'!$A:$G,7,0)</f>
        <v>AUTOMOTIVO</v>
      </c>
    </row>
    <row r="1266" spans="1:24" x14ac:dyDescent="0.3">
      <c r="A1266" t="s">
        <v>1324</v>
      </c>
      <c r="C1266" t="s">
        <v>1334</v>
      </c>
      <c r="D1266" s="1">
        <v>46051</v>
      </c>
      <c r="E1266" t="s">
        <v>1335</v>
      </c>
      <c r="F1266">
        <v>9</v>
      </c>
      <c r="G1266">
        <v>197</v>
      </c>
      <c r="H1266" t="str">
        <f>VLOOKUP(G1266,[1]OPERADORES!$A:$B,2,0)</f>
        <v xml:space="preserve">POLIANA LORRANE DE AMORIM </v>
      </c>
      <c r="I1266" t="s">
        <v>1327</v>
      </c>
      <c r="J1266" t="s">
        <v>1328</v>
      </c>
      <c r="K1266" t="s">
        <v>1329</v>
      </c>
      <c r="L1266">
        <v>23100</v>
      </c>
      <c r="M1266" t="s">
        <v>99</v>
      </c>
      <c r="O1266" t="s">
        <v>11</v>
      </c>
      <c r="P1266">
        <v>6102</v>
      </c>
      <c r="Q1266">
        <v>50</v>
      </c>
      <c r="R1266">
        <v>2.35</v>
      </c>
      <c r="S1266">
        <v>117.5</v>
      </c>
      <c r="T1266">
        <v>84.5</v>
      </c>
      <c r="U1266">
        <v>28.09</v>
      </c>
      <c r="V1266" t="str">
        <f>VLOOKUP(L1266,'[2]tabela de preços'!$A:$D,4,0)</f>
        <v>3M</v>
      </c>
      <c r="W1266" t="str">
        <f>VLOOKUP(L1266,'[2]tabela de preços'!$A:$F,6,0)</f>
        <v xml:space="preserve">DISCOS / LIXAS / ABRASIVOS </v>
      </c>
      <c r="X1266" t="str">
        <f>VLOOKUP(L1266,'[2]tabela de preços'!$A:$G,7,0)</f>
        <v>AUTOMOTIVO</v>
      </c>
    </row>
    <row r="1267" spans="1:24" x14ac:dyDescent="0.3">
      <c r="A1267" t="s">
        <v>1324</v>
      </c>
      <c r="C1267" t="s">
        <v>1334</v>
      </c>
      <c r="D1267" s="1">
        <v>46051</v>
      </c>
      <c r="E1267" t="s">
        <v>1335</v>
      </c>
      <c r="F1267">
        <v>9</v>
      </c>
      <c r="G1267">
        <v>197</v>
      </c>
      <c r="H1267" t="str">
        <f>VLOOKUP(G1267,[1]OPERADORES!$A:$B,2,0)</f>
        <v xml:space="preserve">POLIANA LORRANE DE AMORIM </v>
      </c>
      <c r="I1267" t="s">
        <v>1327</v>
      </c>
      <c r="J1267" t="s">
        <v>1328</v>
      </c>
      <c r="K1267" t="s">
        <v>1329</v>
      </c>
      <c r="L1267">
        <v>23099</v>
      </c>
      <c r="M1267" t="s">
        <v>420</v>
      </c>
      <c r="O1267" t="s">
        <v>411</v>
      </c>
      <c r="P1267">
        <v>6102</v>
      </c>
      <c r="Q1267">
        <v>50</v>
      </c>
      <c r="R1267">
        <v>2.35</v>
      </c>
      <c r="S1267">
        <v>117.5</v>
      </c>
      <c r="T1267">
        <v>84.5</v>
      </c>
      <c r="U1267">
        <v>28.09</v>
      </c>
      <c r="V1267" t="str">
        <f>VLOOKUP(L1267,'[2]tabela de preços'!$A:$D,4,0)</f>
        <v>3M</v>
      </c>
      <c r="W1267" t="str">
        <f>VLOOKUP(L1267,'[2]tabela de preços'!$A:$F,6,0)</f>
        <v xml:space="preserve">DISCOS / LIXAS / ABRASIVOS </v>
      </c>
      <c r="X1267" t="str">
        <f>VLOOKUP(L1267,'[2]tabela de preços'!$A:$G,7,0)</f>
        <v>AUTOMOTIVO</v>
      </c>
    </row>
    <row r="1268" spans="1:24" x14ac:dyDescent="0.3">
      <c r="A1268" t="s">
        <v>1324</v>
      </c>
      <c r="C1268" t="s">
        <v>1334</v>
      </c>
      <c r="D1268" s="1">
        <v>46051</v>
      </c>
      <c r="E1268" t="s">
        <v>1335</v>
      </c>
      <c r="F1268">
        <v>9</v>
      </c>
      <c r="G1268">
        <v>197</v>
      </c>
      <c r="H1268" t="str">
        <f>VLOOKUP(G1268,[1]OPERADORES!$A:$B,2,0)</f>
        <v xml:space="preserve">POLIANA LORRANE DE AMORIM </v>
      </c>
      <c r="I1268" t="s">
        <v>1327</v>
      </c>
      <c r="J1268" t="s">
        <v>1328</v>
      </c>
      <c r="K1268" t="s">
        <v>1329</v>
      </c>
      <c r="L1268">
        <v>23096</v>
      </c>
      <c r="M1268" t="s">
        <v>656</v>
      </c>
      <c r="O1268" t="s">
        <v>411</v>
      </c>
      <c r="P1268">
        <v>6102</v>
      </c>
      <c r="Q1268">
        <v>50</v>
      </c>
      <c r="R1268">
        <v>2.35</v>
      </c>
      <c r="S1268">
        <v>117.5</v>
      </c>
      <c r="T1268">
        <v>84.5</v>
      </c>
      <c r="U1268">
        <v>28.09</v>
      </c>
      <c r="V1268" t="str">
        <f>VLOOKUP(L1268,'[2]tabela de preços'!$A:$D,4,0)</f>
        <v>3M</v>
      </c>
      <c r="W1268" t="str">
        <f>VLOOKUP(L1268,'[2]tabela de preços'!$A:$F,6,0)</f>
        <v xml:space="preserve">DISCOS / LIXAS / ABRASIVOS </v>
      </c>
      <c r="X1268" t="str">
        <f>VLOOKUP(L1268,'[2]tabela de preços'!$A:$G,7,0)</f>
        <v>AUTOMOTIVO</v>
      </c>
    </row>
    <row r="1269" spans="1:24" x14ac:dyDescent="0.3">
      <c r="A1269" t="s">
        <v>1324</v>
      </c>
      <c r="C1269" t="s">
        <v>1334</v>
      </c>
      <c r="D1269" s="1">
        <v>46051</v>
      </c>
      <c r="E1269" t="s">
        <v>1335</v>
      </c>
      <c r="F1269">
        <v>9</v>
      </c>
      <c r="G1269">
        <v>197</v>
      </c>
      <c r="H1269" t="str">
        <f>VLOOKUP(G1269,[1]OPERADORES!$A:$B,2,0)</f>
        <v xml:space="preserve">POLIANA LORRANE DE AMORIM </v>
      </c>
      <c r="I1269" t="s">
        <v>1327</v>
      </c>
      <c r="J1269" t="s">
        <v>1328</v>
      </c>
      <c r="K1269" t="s">
        <v>1329</v>
      </c>
      <c r="L1269">
        <v>23097</v>
      </c>
      <c r="M1269" t="s">
        <v>412</v>
      </c>
      <c r="O1269" t="s">
        <v>411</v>
      </c>
      <c r="P1269">
        <v>6102</v>
      </c>
      <c r="Q1269">
        <v>50</v>
      </c>
      <c r="R1269">
        <v>2.35</v>
      </c>
      <c r="S1269">
        <v>117.5</v>
      </c>
      <c r="T1269">
        <v>68</v>
      </c>
      <c r="U1269">
        <v>42.13</v>
      </c>
      <c r="V1269" t="str">
        <f>VLOOKUP(L1269,'[2]tabela de preços'!$A:$D,4,0)</f>
        <v>3M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1324</v>
      </c>
      <c r="C1270" t="s">
        <v>1334</v>
      </c>
      <c r="D1270" s="1">
        <v>46051</v>
      </c>
      <c r="E1270" t="s">
        <v>1335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1327</v>
      </c>
      <c r="J1270" t="s">
        <v>1328</v>
      </c>
      <c r="K1270" t="s">
        <v>1329</v>
      </c>
      <c r="L1270">
        <v>23102</v>
      </c>
      <c r="M1270" t="s">
        <v>413</v>
      </c>
      <c r="O1270" t="s">
        <v>11</v>
      </c>
      <c r="P1270">
        <v>6102</v>
      </c>
      <c r="Q1270">
        <v>50</v>
      </c>
      <c r="R1270">
        <v>2.35</v>
      </c>
      <c r="S1270">
        <v>117.5</v>
      </c>
      <c r="T1270">
        <v>64.5</v>
      </c>
      <c r="U1270">
        <v>45.11</v>
      </c>
      <c r="V1270" t="str">
        <f>VLOOKUP(L1270,'[2]tabela de preços'!$A:$D,4,0)</f>
        <v>3M</v>
      </c>
      <c r="W1270" t="str">
        <f>VLOOKUP(L1270,'[2]tabela de preços'!$A:$F,6,0)</f>
        <v xml:space="preserve">DISCOS / LIXAS / ABRASIVOS </v>
      </c>
      <c r="X1270" t="str">
        <f>VLOOKUP(L1270,'[2]tabela de preços'!$A:$G,7,0)</f>
        <v>AUTOMOTIVO</v>
      </c>
    </row>
    <row r="1271" spans="1:24" x14ac:dyDescent="0.3">
      <c r="A1271" t="s">
        <v>1324</v>
      </c>
      <c r="C1271" t="s">
        <v>1334</v>
      </c>
      <c r="D1271" s="1">
        <v>46051</v>
      </c>
      <c r="E1271" t="s">
        <v>1335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1327</v>
      </c>
      <c r="J1271" t="s">
        <v>1328</v>
      </c>
      <c r="K1271" t="s">
        <v>1329</v>
      </c>
      <c r="L1271">
        <v>23103</v>
      </c>
      <c r="M1271" t="s">
        <v>414</v>
      </c>
      <c r="O1271" t="s">
        <v>11</v>
      </c>
      <c r="P1271">
        <v>6102</v>
      </c>
      <c r="Q1271">
        <v>50</v>
      </c>
      <c r="R1271">
        <v>2.35</v>
      </c>
      <c r="S1271">
        <v>117.5</v>
      </c>
      <c r="T1271">
        <v>84.5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1324</v>
      </c>
      <c r="C1272" t="s">
        <v>1334</v>
      </c>
      <c r="D1272" s="1">
        <v>46051</v>
      </c>
      <c r="E1272" t="s">
        <v>1335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1327</v>
      </c>
      <c r="J1272" t="s">
        <v>1328</v>
      </c>
      <c r="K1272" t="s">
        <v>1329</v>
      </c>
      <c r="L1272">
        <v>15</v>
      </c>
      <c r="M1272" t="s">
        <v>205</v>
      </c>
      <c r="O1272" t="s">
        <v>11</v>
      </c>
      <c r="P1272">
        <v>6102</v>
      </c>
      <c r="Q1272">
        <v>30</v>
      </c>
      <c r="R1272">
        <v>5.79</v>
      </c>
      <c r="S1272">
        <v>173.7</v>
      </c>
      <c r="T1272">
        <v>124.8</v>
      </c>
      <c r="U1272">
        <v>28.15</v>
      </c>
      <c r="V1272" t="str">
        <f>VLOOKUP(L1272,'[2]tabela de preços'!$A:$D,4,0)</f>
        <v>3M</v>
      </c>
      <c r="W1272" t="str">
        <f>VLOOKUP(L1272,'[2]tabela de preços'!$A:$F,6,0)</f>
        <v>LIXA DÁGUA</v>
      </c>
      <c r="X1272" t="str">
        <f>VLOOKUP(L1272,'[2]tabela de preços'!$A:$G,7,0)</f>
        <v>AUTOMOTIVO</v>
      </c>
    </row>
    <row r="1273" spans="1:24" x14ac:dyDescent="0.3">
      <c r="A1273" t="s">
        <v>1324</v>
      </c>
      <c r="C1273" t="s">
        <v>1334</v>
      </c>
      <c r="D1273" s="1">
        <v>46051</v>
      </c>
      <c r="E1273" t="s">
        <v>1335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1327</v>
      </c>
      <c r="J1273" t="s">
        <v>1328</v>
      </c>
      <c r="K1273" t="s">
        <v>1329</v>
      </c>
      <c r="L1273">
        <v>24247</v>
      </c>
      <c r="M1273" t="s">
        <v>160</v>
      </c>
      <c r="O1273" t="s">
        <v>11</v>
      </c>
      <c r="P1273">
        <v>6403</v>
      </c>
      <c r="Q1273">
        <v>12</v>
      </c>
      <c r="R1273">
        <v>21</v>
      </c>
      <c r="S1273">
        <v>252</v>
      </c>
      <c r="T1273">
        <v>202.44</v>
      </c>
      <c r="U1273">
        <v>19.670000000000002</v>
      </c>
      <c r="V1273" t="str">
        <f>VLOOKUP(L1273,'[2]tabela de preços'!$A:$D,4,0)</f>
        <v>SHERWIN WILLIAMS</v>
      </c>
      <c r="W1273" t="str">
        <f>VLOOKUP(L1273,'[2]tabela de preços'!$A:$F,6,0)</f>
        <v>PRIMER AUTOMOTIVO</v>
      </c>
      <c r="X1273" t="str">
        <f>VLOOKUP(L1273,'[2]tabela de preços'!$A:$G,7,0)</f>
        <v>AUTOMOTIVO</v>
      </c>
    </row>
    <row r="1274" spans="1:24" x14ac:dyDescent="0.3">
      <c r="A1274" t="s">
        <v>1324</v>
      </c>
      <c r="C1274" t="s">
        <v>1334</v>
      </c>
      <c r="D1274" s="1">
        <v>46051</v>
      </c>
      <c r="E1274" t="s">
        <v>1335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1327</v>
      </c>
      <c r="J1274" t="s">
        <v>1328</v>
      </c>
      <c r="K1274" t="s">
        <v>1329</v>
      </c>
      <c r="L1274">
        <v>20414</v>
      </c>
      <c r="M1274" t="s">
        <v>112</v>
      </c>
      <c r="O1274" t="s">
        <v>11</v>
      </c>
      <c r="P1274">
        <v>6102</v>
      </c>
      <c r="Q1274">
        <v>10</v>
      </c>
      <c r="R1274">
        <v>21.89</v>
      </c>
      <c r="S1274">
        <v>218.9</v>
      </c>
      <c r="T1274">
        <v>180</v>
      </c>
      <c r="U1274">
        <v>17.77</v>
      </c>
      <c r="V1274" t="str">
        <f>VLOOKUP(L1274,'[2]tabela de preços'!$A:$D,4,0)</f>
        <v>SHERWIN WILLIAMS</v>
      </c>
      <c r="W1274" t="str">
        <f>VLOOKUP(L1274,'[2]tabela de preços'!$A:$F,6,0)</f>
        <v>DILUENTE</v>
      </c>
      <c r="X1274" t="str">
        <f>VLOOKUP(L1274,'[2]tabela de preços'!$A:$G,7,0)</f>
        <v>AUTOMOTIVO</v>
      </c>
    </row>
    <row r="1275" spans="1:24" x14ac:dyDescent="0.3">
      <c r="A1275" t="s">
        <v>1324</v>
      </c>
      <c r="C1275" t="s">
        <v>1334</v>
      </c>
      <c r="D1275" s="1">
        <v>46051</v>
      </c>
      <c r="E1275" t="s">
        <v>1335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1327</v>
      </c>
      <c r="J1275" t="s">
        <v>1328</v>
      </c>
      <c r="K1275" t="s">
        <v>1329</v>
      </c>
      <c r="L1275">
        <v>84460</v>
      </c>
      <c r="M1275" t="s">
        <v>322</v>
      </c>
      <c r="O1275" t="s">
        <v>11</v>
      </c>
      <c r="P1275">
        <v>6102</v>
      </c>
      <c r="Q1275">
        <v>2</v>
      </c>
      <c r="R1275">
        <v>31.07</v>
      </c>
      <c r="S1275">
        <v>62.14</v>
      </c>
      <c r="T1275">
        <v>47.16</v>
      </c>
      <c r="U1275">
        <v>24.11</v>
      </c>
      <c r="V1275" t="str">
        <f>VLOOKUP(L1275,'[2]tabela de preços'!$A:$D,4,0)</f>
        <v>BRASILUX</v>
      </c>
      <c r="W1275" t="str">
        <f>VLOOKUP(L1275,'[2]tabela de preços'!$A:$F,6,0)</f>
        <v>VEDADORES / SELANTES</v>
      </c>
      <c r="X1275" t="str">
        <f>VLOOKUP(L1275,'[2]tabela de preços'!$A:$G,7,0)</f>
        <v>AUTOMOTIVO</v>
      </c>
    </row>
    <row r="1276" spans="1:24" x14ac:dyDescent="0.3">
      <c r="A1276" t="s">
        <v>1324</v>
      </c>
      <c r="C1276" t="s">
        <v>1334</v>
      </c>
      <c r="D1276" s="1">
        <v>46051</v>
      </c>
      <c r="E1276" t="s">
        <v>1335</v>
      </c>
      <c r="F1276">
        <v>9</v>
      </c>
      <c r="G1276">
        <v>197</v>
      </c>
      <c r="H1276" t="str">
        <f>VLOOKUP(G1276,[1]OPERADORES!$A:$B,2,0)</f>
        <v xml:space="preserve">POLIANA LORRANE DE AMORIM </v>
      </c>
      <c r="I1276" t="s">
        <v>1327</v>
      </c>
      <c r="J1276" t="s">
        <v>1328</v>
      </c>
      <c r="K1276" t="s">
        <v>1329</v>
      </c>
      <c r="L1276">
        <v>10404</v>
      </c>
      <c r="M1276" t="s">
        <v>130</v>
      </c>
      <c r="O1276" t="s">
        <v>11</v>
      </c>
      <c r="P1276">
        <v>6102</v>
      </c>
      <c r="Q1276">
        <v>6</v>
      </c>
      <c r="R1276">
        <v>16.29</v>
      </c>
      <c r="S1276">
        <v>97.74</v>
      </c>
      <c r="T1276">
        <v>75.06</v>
      </c>
      <c r="U1276">
        <v>23.2</v>
      </c>
      <c r="V1276" t="str">
        <f>VLOOKUP(L1276,'[2]tabela de preços'!$A:$D,4,0)</f>
        <v>MAXI RUBBER</v>
      </c>
      <c r="W1276" t="str">
        <f>VLOOKUP(L1276,'[2]tabela de preços'!$A:$F,6,0)</f>
        <v>VEDADORES / SELANTES</v>
      </c>
      <c r="X1276" t="str">
        <f>VLOOKUP(L1276,'[2]tabela de preços'!$A:$G,7,0)</f>
        <v>AUTOMOTIVO</v>
      </c>
    </row>
    <row r="1277" spans="1:24" x14ac:dyDescent="0.3">
      <c r="A1277" t="s">
        <v>1337</v>
      </c>
      <c r="C1277" t="s">
        <v>1338</v>
      </c>
      <c r="D1277" s="1">
        <v>46030</v>
      </c>
      <c r="E1277" t="s">
        <v>1339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1340</v>
      </c>
      <c r="K1277" t="s">
        <v>1341</v>
      </c>
      <c r="L1277">
        <v>23076</v>
      </c>
      <c r="M1277" t="s">
        <v>97</v>
      </c>
      <c r="O1277" t="s">
        <v>11</v>
      </c>
      <c r="P1277">
        <v>5405</v>
      </c>
      <c r="Q1277">
        <v>6</v>
      </c>
      <c r="R1277">
        <v>33.89</v>
      </c>
      <c r="S1277">
        <v>203.34</v>
      </c>
      <c r="T1277">
        <v>159.18</v>
      </c>
      <c r="U1277">
        <v>21.72</v>
      </c>
      <c r="V1277" t="str">
        <f>VLOOKUP(L1277,'[2]tabela de preços'!$A:$D,4,0)</f>
        <v>WANDA</v>
      </c>
      <c r="W1277" t="str">
        <f>VLOOKUP(L1277,'[2]tabela de preços'!$A:$F,6,0)</f>
        <v>PRIMER AUTOMOTIVO</v>
      </c>
      <c r="X1277" t="str">
        <f>VLOOKUP(L1277,'[2]tabela de preços'!$A:$G,7,0)</f>
        <v>AUTOMOTIVO</v>
      </c>
    </row>
    <row r="1278" spans="1:24" x14ac:dyDescent="0.3">
      <c r="A1278" t="s">
        <v>1337</v>
      </c>
      <c r="C1278" t="s">
        <v>1338</v>
      </c>
      <c r="D1278" s="1">
        <v>46030</v>
      </c>
      <c r="E1278" t="s">
        <v>1339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1340</v>
      </c>
      <c r="K1278" t="s">
        <v>1341</v>
      </c>
      <c r="L1278">
        <v>23063</v>
      </c>
      <c r="M1278" t="s">
        <v>786</v>
      </c>
      <c r="O1278" t="s">
        <v>11</v>
      </c>
      <c r="P1278">
        <v>5405</v>
      </c>
      <c r="Q1278">
        <v>1</v>
      </c>
      <c r="R1278">
        <v>39.67</v>
      </c>
      <c r="S1278">
        <v>39.67</v>
      </c>
      <c r="T1278">
        <v>30.11</v>
      </c>
      <c r="U1278">
        <v>24.1</v>
      </c>
      <c r="V1278" t="str">
        <f>VLOOKUP(L1278,'[2]tabela de preços'!$A:$D,4,0)</f>
        <v>WANDA</v>
      </c>
      <c r="W1278" t="str">
        <f>VLOOKUP(L1278,'[2]tabela de preços'!$A:$F,6,0)</f>
        <v>VERNIZ AUTOMOTIVO</v>
      </c>
      <c r="X1278" t="str">
        <f>VLOOKUP(L1278,'[2]tabela de preços'!$A:$G,7,0)</f>
        <v>AUTOMOTIVO</v>
      </c>
    </row>
    <row r="1279" spans="1:24" x14ac:dyDescent="0.3">
      <c r="A1279" t="s">
        <v>1337</v>
      </c>
      <c r="C1279" t="s">
        <v>1338</v>
      </c>
      <c r="D1279" s="1">
        <v>46030</v>
      </c>
      <c r="E1279" t="s">
        <v>1339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1340</v>
      </c>
      <c r="K1279" t="s">
        <v>1341</v>
      </c>
      <c r="L1279">
        <v>20354</v>
      </c>
      <c r="M1279" t="s">
        <v>1342</v>
      </c>
      <c r="O1279" t="s">
        <v>11</v>
      </c>
      <c r="P1279">
        <v>5405</v>
      </c>
      <c r="Q1279">
        <v>1</v>
      </c>
      <c r="R1279">
        <v>33.75</v>
      </c>
      <c r="S1279">
        <v>33.75</v>
      </c>
      <c r="T1279">
        <v>23.51</v>
      </c>
      <c r="U1279">
        <v>30.34</v>
      </c>
      <c r="V1279" t="str">
        <f>VLOOKUP(L1279,'[2]tabela de preços'!$A:$D,4,0)</f>
        <v>SHERWIN WILLIAMS</v>
      </c>
      <c r="W1279" t="str">
        <f>VLOOKUP(L1279,'[2]tabela de preços'!$A:$F,6,0)</f>
        <v>TINTAS POLIÉSTER</v>
      </c>
      <c r="X1279" t="str">
        <f>VLOOKUP(L1279,'[2]tabela de preços'!$A:$G,7,0)</f>
        <v>AUTOMOTIVO</v>
      </c>
    </row>
    <row r="1280" spans="1:24" x14ac:dyDescent="0.3">
      <c r="A1280" t="s">
        <v>1337</v>
      </c>
      <c r="C1280" t="s">
        <v>1338</v>
      </c>
      <c r="D1280" s="1">
        <v>46030</v>
      </c>
      <c r="E1280" t="s">
        <v>1339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1340</v>
      </c>
      <c r="K1280" t="s">
        <v>1341</v>
      </c>
      <c r="L1280">
        <v>21077</v>
      </c>
      <c r="M1280" t="s">
        <v>207</v>
      </c>
      <c r="O1280" t="s">
        <v>11</v>
      </c>
      <c r="P1280">
        <v>5102</v>
      </c>
      <c r="Q1280">
        <v>6</v>
      </c>
      <c r="R1280">
        <v>44.68</v>
      </c>
      <c r="S1280">
        <v>268.08</v>
      </c>
      <c r="T1280">
        <v>203.52</v>
      </c>
      <c r="U1280">
        <v>24.08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1337</v>
      </c>
      <c r="C1281" t="s">
        <v>1338</v>
      </c>
      <c r="D1281" s="1">
        <v>46030</v>
      </c>
      <c r="E1281" t="s">
        <v>1339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1340</v>
      </c>
      <c r="K1281" t="s">
        <v>1341</v>
      </c>
      <c r="L1281">
        <v>10298</v>
      </c>
      <c r="M1281" t="s">
        <v>85</v>
      </c>
      <c r="O1281" t="s">
        <v>11</v>
      </c>
      <c r="P1281">
        <v>5102</v>
      </c>
      <c r="Q1281">
        <v>15</v>
      </c>
      <c r="R1281">
        <v>54.9</v>
      </c>
      <c r="S1281">
        <v>823.5</v>
      </c>
      <c r="T1281">
        <v>710.7</v>
      </c>
      <c r="U1281">
        <v>13.7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1337</v>
      </c>
      <c r="C1282" t="s">
        <v>1343</v>
      </c>
      <c r="D1282" s="1">
        <v>46037</v>
      </c>
      <c r="E1282" t="s">
        <v>1344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1340</v>
      </c>
      <c r="K1282" t="s">
        <v>1341</v>
      </c>
      <c r="L1282">
        <v>10236</v>
      </c>
      <c r="M1282" t="s">
        <v>133</v>
      </c>
      <c r="O1282" t="s">
        <v>11</v>
      </c>
      <c r="P1282">
        <v>5102</v>
      </c>
      <c r="Q1282">
        <v>20</v>
      </c>
      <c r="R1282">
        <v>2.79</v>
      </c>
      <c r="S1282">
        <v>55.8</v>
      </c>
      <c r="T1282">
        <v>46.4</v>
      </c>
      <c r="U1282">
        <v>16.850000000000001</v>
      </c>
      <c r="V1282" t="str">
        <f>VLOOKUP(L1282,'[2]tabela de preços'!$A:$D,4,0)</f>
        <v>NORTON</v>
      </c>
      <c r="W1282" t="str">
        <f>VLOOKUP(L1282,'[2]tabela de preços'!$A:$F,6,0)</f>
        <v xml:space="preserve">DISCOS / LIXAS / ABRASIVOS </v>
      </c>
      <c r="X1282" t="str">
        <f>VLOOKUP(L1282,'[2]tabela de preços'!$A:$G,7,0)</f>
        <v>AUTOMOTIVO</v>
      </c>
    </row>
    <row r="1283" spans="1:24" x14ac:dyDescent="0.3">
      <c r="A1283" t="s">
        <v>1337</v>
      </c>
      <c r="C1283" t="s">
        <v>1343</v>
      </c>
      <c r="D1283" s="1">
        <v>46037</v>
      </c>
      <c r="E1283" t="s">
        <v>1344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1340</v>
      </c>
      <c r="K1283" t="s">
        <v>1341</v>
      </c>
      <c r="L1283">
        <v>10226</v>
      </c>
      <c r="M1283" t="s">
        <v>145</v>
      </c>
      <c r="O1283" t="s">
        <v>11</v>
      </c>
      <c r="P1283">
        <v>5102</v>
      </c>
      <c r="Q1283">
        <v>20</v>
      </c>
      <c r="R1283">
        <v>2.79</v>
      </c>
      <c r="S1283">
        <v>55.8</v>
      </c>
      <c r="T1283">
        <v>46.4</v>
      </c>
      <c r="U1283">
        <v>16.850000000000001</v>
      </c>
      <c r="V1283" t="str">
        <f>VLOOKUP(L1283,'[2]tabela de preços'!$A:$D,4,0)</f>
        <v>NORTON</v>
      </c>
      <c r="W1283" t="str">
        <f>VLOOKUP(L1283,'[2]tabela de preços'!$A:$F,6,0)</f>
        <v xml:space="preserve">DISCOS / LIXAS / ABRASIVOS </v>
      </c>
      <c r="X1283" t="str">
        <f>VLOOKUP(L1283,'[2]tabela de preços'!$A:$G,7,0)</f>
        <v>AUTOMOTIVO</v>
      </c>
    </row>
    <row r="1284" spans="1:24" x14ac:dyDescent="0.3">
      <c r="A1284" t="s">
        <v>1337</v>
      </c>
      <c r="C1284" t="s">
        <v>1343</v>
      </c>
      <c r="D1284" s="1">
        <v>46037</v>
      </c>
      <c r="E1284" t="s">
        <v>1344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1340</v>
      </c>
      <c r="K1284" t="s">
        <v>1341</v>
      </c>
      <c r="L1284">
        <v>10230</v>
      </c>
      <c r="M1284" t="s">
        <v>193</v>
      </c>
      <c r="O1284" t="s">
        <v>11</v>
      </c>
      <c r="P1284">
        <v>5102</v>
      </c>
      <c r="Q1284">
        <v>20</v>
      </c>
      <c r="R1284">
        <v>2.79</v>
      </c>
      <c r="S1284">
        <v>55.8</v>
      </c>
      <c r="T1284">
        <v>46.4</v>
      </c>
      <c r="U1284">
        <v>16.850000000000001</v>
      </c>
      <c r="V1284" t="str">
        <f>VLOOKUP(L1284,'[2]tabela de preços'!$A:$D,4,0)</f>
        <v>NORTON</v>
      </c>
      <c r="W1284" t="str">
        <f>VLOOKUP(L1284,'[2]tabela de preços'!$A:$F,6,0)</f>
        <v xml:space="preserve">DISCOS / LIXAS / ABRASIVOS </v>
      </c>
      <c r="X1284" t="str">
        <f>VLOOKUP(L1284,'[2]tabela de preços'!$A:$G,7,0)</f>
        <v>AUTOMOTIVO</v>
      </c>
    </row>
    <row r="1285" spans="1:24" x14ac:dyDescent="0.3">
      <c r="A1285" t="s">
        <v>1337</v>
      </c>
      <c r="C1285" t="s">
        <v>1343</v>
      </c>
      <c r="D1285" s="1">
        <v>46037</v>
      </c>
      <c r="E1285" t="s">
        <v>1344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1340</v>
      </c>
      <c r="K1285" t="s">
        <v>1341</v>
      </c>
      <c r="L1285">
        <v>10232</v>
      </c>
      <c r="M1285" t="s">
        <v>134</v>
      </c>
      <c r="O1285" t="s">
        <v>11</v>
      </c>
      <c r="P1285">
        <v>5102</v>
      </c>
      <c r="Q1285">
        <v>20</v>
      </c>
      <c r="R1285">
        <v>2.79</v>
      </c>
      <c r="S1285">
        <v>55.8</v>
      </c>
      <c r="T1285">
        <v>45</v>
      </c>
      <c r="U1285">
        <v>19.350000000000001</v>
      </c>
      <c r="V1285" t="str">
        <f>VLOOKUP(L1285,'[2]tabela de preços'!$A:$D,4,0)</f>
        <v>NORTON</v>
      </c>
      <c r="W1285" t="str">
        <f>VLOOKUP(L1285,'[2]tabela de preços'!$A:$F,6,0)</f>
        <v xml:space="preserve">DISCOS / LIXAS / ABRASIVOS </v>
      </c>
      <c r="X1285" t="str">
        <f>VLOOKUP(L1285,'[2]tabela de preços'!$A:$G,7,0)</f>
        <v>AUTOMOTIVO</v>
      </c>
    </row>
    <row r="1286" spans="1:24" x14ac:dyDescent="0.3">
      <c r="A1286" t="s">
        <v>1337</v>
      </c>
      <c r="C1286" t="s">
        <v>1343</v>
      </c>
      <c r="D1286" s="1">
        <v>46037</v>
      </c>
      <c r="E1286" t="s">
        <v>1344</v>
      </c>
      <c r="F1286">
        <v>9</v>
      </c>
      <c r="G1286">
        <v>174</v>
      </c>
      <c r="H1286" t="str">
        <f>VLOOKUP(G1286,[1]OPERADORES!$A:$B,2,0)</f>
        <v>MIRIÃ LOBATO RODRIGUES</v>
      </c>
      <c r="I1286" t="s">
        <v>21</v>
      </c>
      <c r="J1286" t="s">
        <v>1340</v>
      </c>
      <c r="K1286" t="s">
        <v>1341</v>
      </c>
      <c r="L1286">
        <v>10234</v>
      </c>
      <c r="M1286" t="s">
        <v>157</v>
      </c>
      <c r="O1286" t="s">
        <v>11</v>
      </c>
      <c r="P1286">
        <v>5102</v>
      </c>
      <c r="Q1286">
        <v>20</v>
      </c>
      <c r="R1286">
        <v>2.79</v>
      </c>
      <c r="S1286">
        <v>55.8</v>
      </c>
      <c r="T1286">
        <v>46.4</v>
      </c>
      <c r="U1286">
        <v>16.850000000000001</v>
      </c>
      <c r="V1286" t="str">
        <f>VLOOKUP(L1286,'[2]tabela de preços'!$A:$D,4,0)</f>
        <v>NORTON</v>
      </c>
      <c r="W1286" t="str">
        <f>VLOOKUP(L1286,'[2]tabela de preços'!$A:$F,6,0)</f>
        <v xml:space="preserve">DISCOS / LIXAS / ABRASIVOS </v>
      </c>
      <c r="X1286" t="str">
        <f>VLOOKUP(L1286,'[2]tabela de preços'!$A:$G,7,0)</f>
        <v>AUTOMOTIVO</v>
      </c>
    </row>
    <row r="1287" spans="1:24" x14ac:dyDescent="0.3">
      <c r="A1287" t="s">
        <v>1337</v>
      </c>
      <c r="C1287" t="s">
        <v>1343</v>
      </c>
      <c r="D1287" s="1">
        <v>46037</v>
      </c>
      <c r="E1287" t="s">
        <v>1344</v>
      </c>
      <c r="F1287">
        <v>9</v>
      </c>
      <c r="G1287">
        <v>174</v>
      </c>
      <c r="H1287" t="str">
        <f>VLOOKUP(G1287,[1]OPERADORES!$A:$B,2,0)</f>
        <v>MIRIÃ LOBATO RODRIGUES</v>
      </c>
      <c r="I1287" t="s">
        <v>21</v>
      </c>
      <c r="J1287" t="s">
        <v>1340</v>
      </c>
      <c r="K1287" t="s">
        <v>1341</v>
      </c>
      <c r="L1287">
        <v>24248</v>
      </c>
      <c r="M1287" t="s">
        <v>107</v>
      </c>
      <c r="O1287" t="s">
        <v>11</v>
      </c>
      <c r="P1287">
        <v>5102</v>
      </c>
      <c r="Q1287">
        <v>39</v>
      </c>
      <c r="R1287">
        <v>8</v>
      </c>
      <c r="S1287">
        <v>312</v>
      </c>
      <c r="T1287">
        <v>249.99</v>
      </c>
      <c r="U1287">
        <v>19.88</v>
      </c>
      <c r="V1287" t="str">
        <f>VLOOKUP(L1287,'[2]tabela de preços'!$A:$D,4,0)</f>
        <v>SHERWIN WILLIAMS</v>
      </c>
      <c r="W1287" t="str">
        <f>VLOOKUP(L1287,'[2]tabela de preços'!$A:$F,6,0)</f>
        <v>PRIMER AUTOMOTIVO</v>
      </c>
      <c r="X1287" t="str">
        <f>VLOOKUP(L1287,'[2]tabela de preços'!$A:$G,7,0)</f>
        <v>AUTOMOTIVO</v>
      </c>
    </row>
    <row r="1288" spans="1:24" x14ac:dyDescent="0.3">
      <c r="A1288" t="s">
        <v>1337</v>
      </c>
      <c r="C1288" t="s">
        <v>1343</v>
      </c>
      <c r="D1288" s="1">
        <v>46037</v>
      </c>
      <c r="E1288" t="s">
        <v>1344</v>
      </c>
      <c r="F1288">
        <v>9</v>
      </c>
      <c r="G1288">
        <v>174</v>
      </c>
      <c r="H1288" t="str">
        <f>VLOOKUP(G1288,[1]OPERADORES!$A:$B,2,0)</f>
        <v>MIRIÃ LOBATO RODRIGUES</v>
      </c>
      <c r="I1288" t="s">
        <v>21</v>
      </c>
      <c r="J1288" t="s">
        <v>1340</v>
      </c>
      <c r="K1288" t="s">
        <v>1341</v>
      </c>
      <c r="L1288">
        <v>22684</v>
      </c>
      <c r="M1288" t="s">
        <v>73</v>
      </c>
      <c r="O1288" t="s">
        <v>11</v>
      </c>
      <c r="P1288">
        <v>5102</v>
      </c>
      <c r="Q1288">
        <v>180</v>
      </c>
      <c r="R1288">
        <v>3.65</v>
      </c>
      <c r="S1288">
        <v>657</v>
      </c>
      <c r="T1288">
        <v>554.4</v>
      </c>
      <c r="U1288">
        <v>15.62</v>
      </c>
      <c r="V1288" t="str">
        <f>VLOOKUP(L1288,'[2]tabela de preços'!$A:$D,4,0)</f>
        <v>3M</v>
      </c>
      <c r="W1288" t="str">
        <f>VLOOKUP(L1288,'[2]tabela de preços'!$A:$F,6,0)</f>
        <v>FITA AUTOMOTIVA</v>
      </c>
      <c r="X1288" t="str">
        <f>VLOOKUP(L1288,'[2]tabela de preços'!$A:$G,7,0)</f>
        <v>AUTOMOTIVO</v>
      </c>
    </row>
    <row r="1289" spans="1:24" x14ac:dyDescent="0.3">
      <c r="A1289" t="s">
        <v>1337</v>
      </c>
      <c r="C1289" t="s">
        <v>1343</v>
      </c>
      <c r="D1289" s="1">
        <v>46037</v>
      </c>
      <c r="E1289" t="s">
        <v>1344</v>
      </c>
      <c r="F1289">
        <v>9</v>
      </c>
      <c r="G1289">
        <v>174</v>
      </c>
      <c r="H1289" t="str">
        <f>VLOOKUP(G1289,[1]OPERADORES!$A:$B,2,0)</f>
        <v>MIRIÃ LOBATO RODRIGUES</v>
      </c>
      <c r="I1289" t="s">
        <v>21</v>
      </c>
      <c r="J1289" t="s">
        <v>1340</v>
      </c>
      <c r="K1289" t="s">
        <v>1341</v>
      </c>
      <c r="L1289">
        <v>23076</v>
      </c>
      <c r="M1289" t="s">
        <v>97</v>
      </c>
      <c r="O1289" t="s">
        <v>11</v>
      </c>
      <c r="P1289">
        <v>5405</v>
      </c>
      <c r="Q1289">
        <v>18</v>
      </c>
      <c r="R1289">
        <v>34.89</v>
      </c>
      <c r="S1289">
        <v>628.02</v>
      </c>
      <c r="T1289">
        <v>477.54</v>
      </c>
      <c r="U1289">
        <v>23.96</v>
      </c>
      <c r="V1289" t="str">
        <f>VLOOKUP(L1289,'[2]tabela de preços'!$A:$D,4,0)</f>
        <v>WANDA</v>
      </c>
      <c r="W1289" t="str">
        <f>VLOOKUP(L1289,'[2]tabela de preços'!$A:$F,6,0)</f>
        <v>PRIMER AUTOMOTIVO</v>
      </c>
      <c r="X1289" t="str">
        <f>VLOOKUP(L1289,'[2]tabela de preços'!$A:$G,7,0)</f>
        <v>AUTOMOTIVO</v>
      </c>
    </row>
    <row r="1290" spans="1:24" x14ac:dyDescent="0.3">
      <c r="A1290" t="s">
        <v>1337</v>
      </c>
      <c r="C1290" t="s">
        <v>1343</v>
      </c>
      <c r="D1290" s="1">
        <v>46037</v>
      </c>
      <c r="E1290" t="s">
        <v>1344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1340</v>
      </c>
      <c r="K1290" t="s">
        <v>1341</v>
      </c>
      <c r="L1290">
        <v>10238</v>
      </c>
      <c r="M1290" t="s">
        <v>79</v>
      </c>
      <c r="O1290" t="s">
        <v>11</v>
      </c>
      <c r="P1290">
        <v>5102</v>
      </c>
      <c r="Q1290">
        <v>100</v>
      </c>
      <c r="R1290">
        <v>2.79</v>
      </c>
      <c r="S1290">
        <v>279</v>
      </c>
      <c r="T1290">
        <v>224</v>
      </c>
      <c r="U1290">
        <v>19.71</v>
      </c>
      <c r="V1290" t="str">
        <f>VLOOKUP(L1290,'[2]tabela de preços'!$A:$D,4,0)</f>
        <v>NORTON</v>
      </c>
      <c r="W1290" t="str">
        <f>VLOOKUP(L1290,'[2]tabela de preços'!$A:$F,6,0)</f>
        <v xml:space="preserve">DISCOS / LIXAS / ABRASIVOS </v>
      </c>
      <c r="X1290" t="str">
        <f>VLOOKUP(L1290,'[2]tabela de preços'!$A:$G,7,0)</f>
        <v>AUTOMOTIVO</v>
      </c>
    </row>
    <row r="1291" spans="1:24" x14ac:dyDescent="0.3">
      <c r="A1291" t="s">
        <v>1337</v>
      </c>
      <c r="C1291" t="s">
        <v>1343</v>
      </c>
      <c r="D1291" s="1">
        <v>46037</v>
      </c>
      <c r="E1291" t="s">
        <v>1344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1340</v>
      </c>
      <c r="K1291" t="s">
        <v>1341</v>
      </c>
      <c r="L1291">
        <v>21078</v>
      </c>
      <c r="M1291" t="s">
        <v>141</v>
      </c>
      <c r="O1291" t="s">
        <v>11</v>
      </c>
      <c r="P1291">
        <v>5102</v>
      </c>
      <c r="Q1291">
        <v>24</v>
      </c>
      <c r="R1291">
        <v>22.89</v>
      </c>
      <c r="S1291">
        <v>549.36</v>
      </c>
      <c r="T1291">
        <v>447.84</v>
      </c>
      <c r="U1291">
        <v>18.48</v>
      </c>
      <c r="V1291" t="str">
        <f>VLOOKUP(L1291,'[2]tabela de preços'!$A:$D,4,0)</f>
        <v>SHERWIN WILLIAMS</v>
      </c>
      <c r="W1291" t="str">
        <f>VLOOKUP(L1291,'[2]tabela de preços'!$A:$F,6,0)</f>
        <v>MASSA POLIÉSTER</v>
      </c>
      <c r="X1291" t="str">
        <f>VLOOKUP(L1291,'[2]tabela de preços'!$A:$G,7,0)</f>
        <v>AUTOMOTIVO</v>
      </c>
    </row>
    <row r="1292" spans="1:24" x14ac:dyDescent="0.3">
      <c r="A1292" t="s">
        <v>1337</v>
      </c>
      <c r="C1292" t="s">
        <v>1343</v>
      </c>
      <c r="D1292" s="1">
        <v>46037</v>
      </c>
      <c r="E1292" t="s">
        <v>1344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1340</v>
      </c>
      <c r="K1292" t="s">
        <v>1341</v>
      </c>
      <c r="L1292">
        <v>24247</v>
      </c>
      <c r="M1292" t="s">
        <v>111</v>
      </c>
      <c r="O1292" t="s">
        <v>11</v>
      </c>
      <c r="P1292">
        <v>5405</v>
      </c>
      <c r="Q1292">
        <v>39</v>
      </c>
      <c r="R1292">
        <v>21</v>
      </c>
      <c r="S1292">
        <v>819</v>
      </c>
      <c r="T1292">
        <v>647.4</v>
      </c>
      <c r="U1292">
        <v>20.95</v>
      </c>
      <c r="V1292" t="str">
        <f>VLOOKUP(L1292,'[2]tabela de preços'!$A:$D,4,0)</f>
        <v>SHERWIN WILLIAMS</v>
      </c>
      <c r="W1292" t="str">
        <f>VLOOKUP(L1292,'[2]tabela de preços'!$A:$F,6,0)</f>
        <v>PRIMER AUTOMOTIVO</v>
      </c>
      <c r="X1292" t="str">
        <f>VLOOKUP(L1292,'[2]tabela de preços'!$A:$G,7,0)</f>
        <v>AUTOMOTIVO</v>
      </c>
    </row>
    <row r="1293" spans="1:24" x14ac:dyDescent="0.3">
      <c r="A1293" t="s">
        <v>1337</v>
      </c>
      <c r="C1293" t="s">
        <v>1343</v>
      </c>
      <c r="D1293" s="1">
        <v>46037</v>
      </c>
      <c r="E1293" t="s">
        <v>1344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1340</v>
      </c>
      <c r="K1293" t="s">
        <v>1341</v>
      </c>
      <c r="L1293">
        <v>10298</v>
      </c>
      <c r="M1293" t="s">
        <v>85</v>
      </c>
      <c r="O1293" t="s">
        <v>11</v>
      </c>
      <c r="P1293">
        <v>5102</v>
      </c>
      <c r="Q1293">
        <v>12</v>
      </c>
      <c r="R1293">
        <v>54.9</v>
      </c>
      <c r="S1293">
        <v>658.8</v>
      </c>
      <c r="T1293">
        <v>568.55999999999995</v>
      </c>
      <c r="U1293">
        <v>13.7</v>
      </c>
      <c r="V1293" t="str">
        <f>VLOOKUP(L1293,'[2]tabela de preços'!$A:$D,4,0)</f>
        <v>ANJO</v>
      </c>
      <c r="W1293" t="str">
        <f>VLOOKUP(L1293,'[2]tabela de preços'!$A:$F,6,0)</f>
        <v>THINNER DE LIMPEZA</v>
      </c>
      <c r="X1293" t="str">
        <f>VLOOKUP(L1293,'[2]tabela de preços'!$A:$G,7,0)</f>
        <v>THINNER</v>
      </c>
    </row>
    <row r="1294" spans="1:24" x14ac:dyDescent="0.3">
      <c r="A1294" t="s">
        <v>1337</v>
      </c>
      <c r="C1294" t="s">
        <v>1343</v>
      </c>
      <c r="D1294" s="1">
        <v>46037</v>
      </c>
      <c r="E1294" t="s">
        <v>1344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1340</v>
      </c>
      <c r="K1294" t="s">
        <v>1341</v>
      </c>
      <c r="L1294">
        <v>20414</v>
      </c>
      <c r="M1294" t="s">
        <v>112</v>
      </c>
      <c r="O1294" t="s">
        <v>11</v>
      </c>
      <c r="P1294">
        <v>5102</v>
      </c>
      <c r="Q1294">
        <v>2</v>
      </c>
      <c r="R1294">
        <v>21.89</v>
      </c>
      <c r="S1294">
        <v>43.78</v>
      </c>
      <c r="T1294">
        <v>36</v>
      </c>
      <c r="U1294">
        <v>17.77</v>
      </c>
      <c r="V1294" t="str">
        <f>VLOOKUP(L1294,'[2]tabela de preços'!$A:$D,4,0)</f>
        <v>SHERWIN WILLIAMS</v>
      </c>
      <c r="W1294" t="str">
        <f>VLOOKUP(L1294,'[2]tabela de preços'!$A:$F,6,0)</f>
        <v>DILUENTE</v>
      </c>
      <c r="X1294" t="str">
        <f>VLOOKUP(L1294,'[2]tabela de preços'!$A:$G,7,0)</f>
        <v>AUTOMOTIVO</v>
      </c>
    </row>
    <row r="1295" spans="1:24" x14ac:dyDescent="0.3">
      <c r="A1295" t="s">
        <v>1337</v>
      </c>
      <c r="C1295" t="s">
        <v>1345</v>
      </c>
      <c r="D1295" s="1">
        <v>46050</v>
      </c>
      <c r="E1295" t="s">
        <v>1346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1340</v>
      </c>
      <c r="K1295" t="s">
        <v>1341</v>
      </c>
      <c r="L1295">
        <v>10236</v>
      </c>
      <c r="M1295" t="s">
        <v>133</v>
      </c>
      <c r="O1295" t="s">
        <v>11</v>
      </c>
      <c r="P1295">
        <v>5102</v>
      </c>
      <c r="Q1295">
        <v>20</v>
      </c>
      <c r="R1295">
        <v>2.79</v>
      </c>
      <c r="S1295">
        <v>55.8</v>
      </c>
      <c r="T1295">
        <v>46.4</v>
      </c>
      <c r="U1295">
        <v>16.850000000000001</v>
      </c>
      <c r="V1295" t="str">
        <f>VLOOKUP(L1295,'[2]tabela de preços'!$A:$D,4,0)</f>
        <v>NORTON</v>
      </c>
      <c r="W1295" t="str">
        <f>VLOOKUP(L1295,'[2]tabela de preços'!$A:$F,6,0)</f>
        <v xml:space="preserve">DISCOS / LIXAS / ABRASIVOS </v>
      </c>
      <c r="X1295" t="str">
        <f>VLOOKUP(L1295,'[2]tabela de preços'!$A:$G,7,0)</f>
        <v>AUTOMOTIVO</v>
      </c>
    </row>
    <row r="1296" spans="1:24" x14ac:dyDescent="0.3">
      <c r="A1296" t="s">
        <v>1337</v>
      </c>
      <c r="C1296" t="s">
        <v>1345</v>
      </c>
      <c r="D1296" s="1">
        <v>46050</v>
      </c>
      <c r="E1296" t="s">
        <v>1346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1340</v>
      </c>
      <c r="K1296" t="s">
        <v>1341</v>
      </c>
      <c r="L1296">
        <v>10226</v>
      </c>
      <c r="M1296" t="s">
        <v>145</v>
      </c>
      <c r="O1296" t="s">
        <v>11</v>
      </c>
      <c r="P1296">
        <v>5102</v>
      </c>
      <c r="Q1296">
        <v>20</v>
      </c>
      <c r="R1296">
        <v>2.79</v>
      </c>
      <c r="S1296">
        <v>55.8</v>
      </c>
      <c r="T1296">
        <v>46.4</v>
      </c>
      <c r="U1296">
        <v>16.850000000000001</v>
      </c>
      <c r="V1296" t="str">
        <f>VLOOKUP(L1296,'[2]tabela de preços'!$A:$D,4,0)</f>
        <v>NORTON</v>
      </c>
      <c r="W1296" t="str">
        <f>VLOOKUP(L1296,'[2]tabela de preços'!$A:$F,6,0)</f>
        <v xml:space="preserve">DISCOS / LIXAS / ABRASIVOS </v>
      </c>
      <c r="X1296" t="str">
        <f>VLOOKUP(L1296,'[2]tabela de preços'!$A:$G,7,0)</f>
        <v>AUTOMOTIVO</v>
      </c>
    </row>
    <row r="1297" spans="1:24" x14ac:dyDescent="0.3">
      <c r="A1297" t="s">
        <v>1337</v>
      </c>
      <c r="C1297" t="s">
        <v>1345</v>
      </c>
      <c r="D1297" s="1">
        <v>46050</v>
      </c>
      <c r="E1297" t="s">
        <v>1346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1340</v>
      </c>
      <c r="K1297" t="s">
        <v>1341</v>
      </c>
      <c r="L1297">
        <v>10230</v>
      </c>
      <c r="M1297" t="s">
        <v>193</v>
      </c>
      <c r="O1297" t="s">
        <v>11</v>
      </c>
      <c r="P1297">
        <v>5102</v>
      </c>
      <c r="Q1297">
        <v>20</v>
      </c>
      <c r="R1297">
        <v>2.79</v>
      </c>
      <c r="S1297">
        <v>55.8</v>
      </c>
      <c r="T1297">
        <v>46.4</v>
      </c>
      <c r="U1297">
        <v>16.850000000000001</v>
      </c>
      <c r="V1297" t="str">
        <f>VLOOKUP(L1297,'[2]tabela de preços'!$A:$D,4,0)</f>
        <v>NORTON</v>
      </c>
      <c r="W1297" t="str">
        <f>VLOOKUP(L1297,'[2]tabela de preços'!$A:$F,6,0)</f>
        <v xml:space="preserve">DISCOS / LIXAS / ABRASIVOS </v>
      </c>
      <c r="X1297" t="str">
        <f>VLOOKUP(L1297,'[2]tabela de preços'!$A:$G,7,0)</f>
        <v>AUTOMOTIVO</v>
      </c>
    </row>
    <row r="1298" spans="1:24" x14ac:dyDescent="0.3">
      <c r="A1298" t="s">
        <v>1337</v>
      </c>
      <c r="C1298" t="s">
        <v>1345</v>
      </c>
      <c r="D1298" s="1">
        <v>46050</v>
      </c>
      <c r="E1298" t="s">
        <v>1346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1340</v>
      </c>
      <c r="K1298" t="s">
        <v>1341</v>
      </c>
      <c r="L1298">
        <v>10232</v>
      </c>
      <c r="M1298" t="s">
        <v>134</v>
      </c>
      <c r="O1298" t="s">
        <v>11</v>
      </c>
      <c r="P1298">
        <v>5102</v>
      </c>
      <c r="Q1298">
        <v>20</v>
      </c>
      <c r="R1298">
        <v>2.79</v>
      </c>
      <c r="S1298">
        <v>55.8</v>
      </c>
      <c r="T1298">
        <v>45</v>
      </c>
      <c r="U1298">
        <v>19.350000000000001</v>
      </c>
      <c r="V1298" t="str">
        <f>VLOOKUP(L1298,'[2]tabela de preços'!$A:$D,4,0)</f>
        <v>NORTON</v>
      </c>
      <c r="W1298" t="str">
        <f>VLOOKUP(L1298,'[2]tabela de preços'!$A:$F,6,0)</f>
        <v xml:space="preserve">DISCOS / LIXAS / ABRASIVOS </v>
      </c>
      <c r="X1298" t="str">
        <f>VLOOKUP(L1298,'[2]tabela de preços'!$A:$G,7,0)</f>
        <v>AUTOMOTIVO</v>
      </c>
    </row>
    <row r="1299" spans="1:24" x14ac:dyDescent="0.3">
      <c r="A1299" t="s">
        <v>1337</v>
      </c>
      <c r="C1299" t="s">
        <v>1345</v>
      </c>
      <c r="D1299" s="1">
        <v>46050</v>
      </c>
      <c r="E1299" t="s">
        <v>1346</v>
      </c>
      <c r="F1299">
        <v>9</v>
      </c>
      <c r="G1299">
        <v>174</v>
      </c>
      <c r="H1299" t="str">
        <f>VLOOKUP(G1299,[1]OPERADORES!$A:$B,2,0)</f>
        <v>MIRIÃ LOBATO RODRIGUES</v>
      </c>
      <c r="I1299" t="s">
        <v>21</v>
      </c>
      <c r="J1299" t="s">
        <v>1340</v>
      </c>
      <c r="K1299" t="s">
        <v>1341</v>
      </c>
      <c r="L1299">
        <v>24248</v>
      </c>
      <c r="M1299" t="s">
        <v>107</v>
      </c>
      <c r="O1299" t="s">
        <v>11</v>
      </c>
      <c r="P1299">
        <v>5102</v>
      </c>
      <c r="Q1299">
        <v>18</v>
      </c>
      <c r="R1299">
        <v>8</v>
      </c>
      <c r="S1299">
        <v>144</v>
      </c>
      <c r="T1299">
        <v>117</v>
      </c>
      <c r="U1299">
        <v>18.75</v>
      </c>
      <c r="V1299" t="str">
        <f>VLOOKUP(L1299,'[2]tabela de preços'!$A:$D,4,0)</f>
        <v>SHERWIN WILLIAMS</v>
      </c>
      <c r="W1299" t="str">
        <f>VLOOKUP(L1299,'[2]tabela de preços'!$A:$F,6,0)</f>
        <v>PRIMER AUTOMOTIVO</v>
      </c>
      <c r="X1299" t="str">
        <f>VLOOKUP(L1299,'[2]tabela de preços'!$A:$G,7,0)</f>
        <v>AUTOMOTIVO</v>
      </c>
    </row>
    <row r="1300" spans="1:24" x14ac:dyDescent="0.3">
      <c r="A1300" t="s">
        <v>1337</v>
      </c>
      <c r="C1300" t="s">
        <v>1345</v>
      </c>
      <c r="D1300" s="1">
        <v>46050</v>
      </c>
      <c r="E1300" t="s">
        <v>1346</v>
      </c>
      <c r="F1300">
        <v>9</v>
      </c>
      <c r="G1300">
        <v>174</v>
      </c>
      <c r="H1300" t="str">
        <f>VLOOKUP(G1300,[1]OPERADORES!$A:$B,2,0)</f>
        <v>MIRIÃ LOBATO RODRIGUES</v>
      </c>
      <c r="I1300" t="s">
        <v>21</v>
      </c>
      <c r="J1300" t="s">
        <v>1340</v>
      </c>
      <c r="K1300" t="s">
        <v>1341</v>
      </c>
      <c r="L1300">
        <v>22684</v>
      </c>
      <c r="M1300" t="s">
        <v>73</v>
      </c>
      <c r="O1300" t="s">
        <v>11</v>
      </c>
      <c r="P1300">
        <v>5102</v>
      </c>
      <c r="Q1300">
        <v>80</v>
      </c>
      <c r="R1300">
        <v>3.65</v>
      </c>
      <c r="S1300">
        <v>292</v>
      </c>
      <c r="T1300">
        <v>246.4</v>
      </c>
      <c r="U1300">
        <v>15.62</v>
      </c>
      <c r="V1300" t="str">
        <f>VLOOKUP(L1300,'[2]tabela de preços'!$A:$D,4,0)</f>
        <v>3M</v>
      </c>
      <c r="W1300" t="str">
        <f>VLOOKUP(L1300,'[2]tabela de preços'!$A:$F,6,0)</f>
        <v>FITA AUTOMOTIVA</v>
      </c>
      <c r="X1300" t="str">
        <f>VLOOKUP(L1300,'[2]tabela de preços'!$A:$G,7,0)</f>
        <v>AUTOMOTIVO</v>
      </c>
    </row>
    <row r="1301" spans="1:24" x14ac:dyDescent="0.3">
      <c r="A1301" t="s">
        <v>1337</v>
      </c>
      <c r="C1301" t="s">
        <v>1345</v>
      </c>
      <c r="D1301" s="1">
        <v>46050</v>
      </c>
      <c r="E1301" t="s">
        <v>1346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1340</v>
      </c>
      <c r="K1301" t="s">
        <v>1341</v>
      </c>
      <c r="L1301">
        <v>23076</v>
      </c>
      <c r="M1301" t="s">
        <v>97</v>
      </c>
      <c r="O1301" t="s">
        <v>11</v>
      </c>
      <c r="P1301">
        <v>5405</v>
      </c>
      <c r="Q1301">
        <v>6</v>
      </c>
      <c r="R1301">
        <v>34.89</v>
      </c>
      <c r="S1301">
        <v>209.34</v>
      </c>
      <c r="T1301">
        <v>159.18</v>
      </c>
      <c r="U1301">
        <v>23.96</v>
      </c>
      <c r="V1301" t="str">
        <f>VLOOKUP(L1301,'[2]tabela de preços'!$A:$D,4,0)</f>
        <v>WANDA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1337</v>
      </c>
      <c r="C1302" t="s">
        <v>1345</v>
      </c>
      <c r="D1302" s="1">
        <v>46050</v>
      </c>
      <c r="E1302" t="s">
        <v>1346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1340</v>
      </c>
      <c r="K1302" t="s">
        <v>1341</v>
      </c>
      <c r="L1302">
        <v>20431</v>
      </c>
      <c r="M1302" t="s">
        <v>202</v>
      </c>
      <c r="O1302" t="s">
        <v>11</v>
      </c>
      <c r="P1302">
        <v>5405</v>
      </c>
      <c r="Q1302">
        <v>14</v>
      </c>
      <c r="R1302">
        <v>36.89</v>
      </c>
      <c r="S1302">
        <v>516.46</v>
      </c>
      <c r="T1302">
        <v>423.64</v>
      </c>
      <c r="U1302">
        <v>17.97</v>
      </c>
      <c r="V1302" t="str">
        <f>VLOOKUP(L1302,'[2]tabela de preços'!$A:$D,4,0)</f>
        <v>SHERWIN WILLIAMS</v>
      </c>
      <c r="W1302" t="str">
        <f>VLOOKUP(L1302,'[2]tabela de preços'!$A:$F,6,0)</f>
        <v>VERNIZ AUTOMOTIVO</v>
      </c>
      <c r="X1302" t="str">
        <f>VLOOKUP(L1302,'[2]tabela de preços'!$A:$G,7,0)</f>
        <v>AUTOMOTIVO</v>
      </c>
    </row>
    <row r="1303" spans="1:24" x14ac:dyDescent="0.3">
      <c r="A1303" t="s">
        <v>1337</v>
      </c>
      <c r="C1303" t="s">
        <v>1345</v>
      </c>
      <c r="D1303" s="1">
        <v>46050</v>
      </c>
      <c r="E1303" t="s">
        <v>1346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1340</v>
      </c>
      <c r="K1303" t="s">
        <v>1341</v>
      </c>
      <c r="L1303">
        <v>10238</v>
      </c>
      <c r="M1303" t="s">
        <v>79</v>
      </c>
      <c r="O1303" t="s">
        <v>11</v>
      </c>
      <c r="P1303">
        <v>5102</v>
      </c>
      <c r="Q1303">
        <v>20</v>
      </c>
      <c r="R1303">
        <v>2.79</v>
      </c>
      <c r="S1303">
        <v>55.8</v>
      </c>
      <c r="T1303">
        <v>44.8</v>
      </c>
      <c r="U1303">
        <v>19.71</v>
      </c>
      <c r="V1303" t="str">
        <f>VLOOKUP(L1303,'[2]tabela de preços'!$A:$D,4,0)</f>
        <v>NORTON</v>
      </c>
      <c r="W1303" t="str">
        <f>VLOOKUP(L1303,'[2]tabela de preços'!$A:$F,6,0)</f>
        <v xml:space="preserve">DISCOS / LIXAS / ABRASIVOS </v>
      </c>
      <c r="X1303" t="str">
        <f>VLOOKUP(L1303,'[2]tabela de preços'!$A:$G,7,0)</f>
        <v>AUTOMOTIVO</v>
      </c>
    </row>
    <row r="1304" spans="1:24" x14ac:dyDescent="0.3">
      <c r="A1304" t="s">
        <v>1337</v>
      </c>
      <c r="C1304" t="s">
        <v>1345</v>
      </c>
      <c r="D1304" s="1">
        <v>46050</v>
      </c>
      <c r="E1304" t="s">
        <v>1346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1340</v>
      </c>
      <c r="K1304" t="s">
        <v>1341</v>
      </c>
      <c r="L1304">
        <v>10240</v>
      </c>
      <c r="M1304" t="s">
        <v>81</v>
      </c>
      <c r="O1304" t="s">
        <v>11</v>
      </c>
      <c r="P1304">
        <v>5102</v>
      </c>
      <c r="Q1304">
        <v>20</v>
      </c>
      <c r="R1304">
        <v>2.79</v>
      </c>
      <c r="S1304">
        <v>55.8</v>
      </c>
      <c r="T1304">
        <v>44.8</v>
      </c>
      <c r="U1304">
        <v>19.71</v>
      </c>
      <c r="V1304" t="str">
        <f>VLOOKUP(L1304,'[2]tabela de preços'!$A:$D,4,0)</f>
        <v>NORTON</v>
      </c>
      <c r="W1304" t="str">
        <f>VLOOKUP(L1304,'[2]tabela de preços'!$A:$F,6,0)</f>
        <v xml:space="preserve">DISCOS / LIXAS / ABRASIVOS </v>
      </c>
      <c r="X1304" t="str">
        <f>VLOOKUP(L1304,'[2]tabela de preços'!$A:$G,7,0)</f>
        <v>AUTOMOTIVO</v>
      </c>
    </row>
    <row r="1305" spans="1:24" x14ac:dyDescent="0.3">
      <c r="A1305" t="s">
        <v>1337</v>
      </c>
      <c r="C1305" t="s">
        <v>1345</v>
      </c>
      <c r="D1305" s="1">
        <v>46050</v>
      </c>
      <c r="E1305" t="s">
        <v>1346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1340</v>
      </c>
      <c r="K1305" t="s">
        <v>1341</v>
      </c>
      <c r="L1305">
        <v>10242</v>
      </c>
      <c r="M1305" t="s">
        <v>82</v>
      </c>
      <c r="O1305" t="s">
        <v>11</v>
      </c>
      <c r="P1305">
        <v>5102</v>
      </c>
      <c r="Q1305">
        <v>20</v>
      </c>
      <c r="R1305">
        <v>2.79</v>
      </c>
      <c r="S1305">
        <v>55.8</v>
      </c>
      <c r="T1305">
        <v>44.8</v>
      </c>
      <c r="U1305">
        <v>19.71</v>
      </c>
      <c r="V1305" t="str">
        <f>VLOOKUP(L1305,'[2]tabela de preços'!$A:$D,4,0)</f>
        <v>NORTON</v>
      </c>
      <c r="W1305" t="str">
        <f>VLOOKUP(L1305,'[2]tabela de preços'!$A:$F,6,0)</f>
        <v xml:space="preserve">DISCOS / LIXAS / ABRASIVOS </v>
      </c>
      <c r="X1305" t="str">
        <f>VLOOKUP(L1305,'[2]tabela de preços'!$A:$G,7,0)</f>
        <v>AUTOMOTIVO</v>
      </c>
    </row>
    <row r="1306" spans="1:24" x14ac:dyDescent="0.3">
      <c r="A1306" t="s">
        <v>1337</v>
      </c>
      <c r="C1306" t="s">
        <v>1345</v>
      </c>
      <c r="D1306" s="1">
        <v>46050</v>
      </c>
      <c r="E1306" t="s">
        <v>1346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1340</v>
      </c>
      <c r="K1306" t="s">
        <v>1341</v>
      </c>
      <c r="L1306">
        <v>10243</v>
      </c>
      <c r="M1306" t="s">
        <v>83</v>
      </c>
      <c r="O1306" t="s">
        <v>11</v>
      </c>
      <c r="P1306">
        <v>5102</v>
      </c>
      <c r="Q1306">
        <v>20</v>
      </c>
      <c r="R1306">
        <v>2.79</v>
      </c>
      <c r="S1306">
        <v>55.8</v>
      </c>
      <c r="T1306">
        <v>38.6</v>
      </c>
      <c r="U1306">
        <v>30.82</v>
      </c>
      <c r="V1306" t="str">
        <f>VLOOKUP(L1306,'[2]tabela de preços'!$A:$D,4,0)</f>
        <v>NORTON</v>
      </c>
      <c r="W1306" t="str">
        <f>VLOOKUP(L1306,'[2]tabela de preços'!$A:$F,6,0)</f>
        <v xml:space="preserve">DISCOS / LIXAS / ABRASIVOS </v>
      </c>
      <c r="X1306" t="str">
        <f>VLOOKUP(L1306,'[2]tabela de preços'!$A:$G,7,0)</f>
        <v>AUTOMOTIVO</v>
      </c>
    </row>
    <row r="1307" spans="1:24" x14ac:dyDescent="0.3">
      <c r="A1307" t="s">
        <v>1337</v>
      </c>
      <c r="C1307" t="s">
        <v>1345</v>
      </c>
      <c r="D1307" s="1">
        <v>46050</v>
      </c>
      <c r="E1307" t="s">
        <v>1346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1340</v>
      </c>
      <c r="K1307" t="s">
        <v>1341</v>
      </c>
      <c r="L1307">
        <v>21077</v>
      </c>
      <c r="M1307" t="s">
        <v>207</v>
      </c>
      <c r="O1307" t="s">
        <v>11</v>
      </c>
      <c r="P1307">
        <v>5102</v>
      </c>
      <c r="Q1307">
        <v>2</v>
      </c>
      <c r="R1307">
        <v>44.68</v>
      </c>
      <c r="S1307">
        <v>89.36</v>
      </c>
      <c r="T1307">
        <v>67.84</v>
      </c>
      <c r="U1307">
        <v>24.08</v>
      </c>
      <c r="V1307" t="str">
        <f>VLOOKUP(L1307,'[2]tabela de preços'!$A:$D,4,0)</f>
        <v>SHERWIN WILLIAMS</v>
      </c>
      <c r="W1307" t="str">
        <f>VLOOKUP(L1307,'[2]tabela de preços'!$A:$F,6,0)</f>
        <v>MASSA POLIÉSTER</v>
      </c>
      <c r="X1307" t="str">
        <f>VLOOKUP(L1307,'[2]tabela de preços'!$A:$G,7,0)</f>
        <v>AUTOMOTIVO</v>
      </c>
    </row>
    <row r="1308" spans="1:24" x14ac:dyDescent="0.3">
      <c r="A1308" t="s">
        <v>1337</v>
      </c>
      <c r="C1308" t="s">
        <v>1345</v>
      </c>
      <c r="D1308" s="1">
        <v>46050</v>
      </c>
      <c r="E1308" t="s">
        <v>1346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1340</v>
      </c>
      <c r="K1308" t="s">
        <v>1341</v>
      </c>
      <c r="L1308">
        <v>21078</v>
      </c>
      <c r="M1308" t="s">
        <v>141</v>
      </c>
      <c r="O1308" t="s">
        <v>11</v>
      </c>
      <c r="P1308">
        <v>5102</v>
      </c>
      <c r="Q1308">
        <v>10</v>
      </c>
      <c r="R1308">
        <v>22.89</v>
      </c>
      <c r="S1308">
        <v>228.9</v>
      </c>
      <c r="T1308">
        <v>186.6</v>
      </c>
      <c r="U1308">
        <v>18.48</v>
      </c>
      <c r="V1308" t="str">
        <f>VLOOKUP(L1308,'[2]tabela de preços'!$A:$D,4,0)</f>
        <v>SHERWIN WILLIAMS</v>
      </c>
      <c r="W1308" t="str">
        <f>VLOOKUP(L1308,'[2]tabela de preços'!$A:$F,6,0)</f>
        <v>MASSA POLIÉSTER</v>
      </c>
      <c r="X1308" t="str">
        <f>VLOOKUP(L1308,'[2]tabela de preços'!$A:$G,7,0)</f>
        <v>AUTOMOTIVO</v>
      </c>
    </row>
    <row r="1309" spans="1:24" x14ac:dyDescent="0.3">
      <c r="A1309" t="s">
        <v>1337</v>
      </c>
      <c r="C1309" t="s">
        <v>1345</v>
      </c>
      <c r="D1309" s="1">
        <v>46050</v>
      </c>
      <c r="E1309" t="s">
        <v>1346</v>
      </c>
      <c r="F1309">
        <v>9</v>
      </c>
      <c r="G1309">
        <v>174</v>
      </c>
      <c r="H1309" t="str">
        <f>VLOOKUP(G1309,[1]OPERADORES!$A:$B,2,0)</f>
        <v>MIRIÃ LOBATO RODRIGUES</v>
      </c>
      <c r="I1309" t="s">
        <v>21</v>
      </c>
      <c r="J1309" t="s">
        <v>1340</v>
      </c>
      <c r="K1309" t="s">
        <v>1341</v>
      </c>
      <c r="L1309">
        <v>24247</v>
      </c>
      <c r="M1309" t="s">
        <v>160</v>
      </c>
      <c r="O1309" t="s">
        <v>11</v>
      </c>
      <c r="P1309">
        <v>5405</v>
      </c>
      <c r="Q1309">
        <v>18</v>
      </c>
      <c r="R1309">
        <v>21</v>
      </c>
      <c r="S1309">
        <v>378</v>
      </c>
      <c r="T1309">
        <v>303.66000000000003</v>
      </c>
      <c r="U1309">
        <v>19.670000000000002</v>
      </c>
      <c r="V1309" t="str">
        <f>VLOOKUP(L1309,'[2]tabela de preços'!$A:$D,4,0)</f>
        <v>SHERWIN WILLIAMS</v>
      </c>
      <c r="W1309" t="str">
        <f>VLOOKUP(L1309,'[2]tabela de preços'!$A:$F,6,0)</f>
        <v>PRIMER AUTOMOTIVO</v>
      </c>
      <c r="X1309" t="str">
        <f>VLOOKUP(L1309,'[2]tabela de preços'!$A:$G,7,0)</f>
        <v>AUTOMOTIVO</v>
      </c>
    </row>
    <row r="1310" spans="1:24" x14ac:dyDescent="0.3">
      <c r="A1310" t="s">
        <v>1337</v>
      </c>
      <c r="C1310" t="s">
        <v>1345</v>
      </c>
      <c r="D1310" s="1">
        <v>46050</v>
      </c>
      <c r="E1310" t="s">
        <v>1346</v>
      </c>
      <c r="F1310">
        <v>9</v>
      </c>
      <c r="G1310">
        <v>174</v>
      </c>
      <c r="H1310" t="str">
        <f>VLOOKUP(G1310,[1]OPERADORES!$A:$B,2,0)</f>
        <v>MIRIÃ LOBATO RODRIGUES</v>
      </c>
      <c r="I1310" t="s">
        <v>21</v>
      </c>
      <c r="J1310" t="s">
        <v>1340</v>
      </c>
      <c r="K1310" t="s">
        <v>1341</v>
      </c>
      <c r="L1310">
        <v>10298</v>
      </c>
      <c r="M1310" t="s">
        <v>85</v>
      </c>
      <c r="O1310" t="s">
        <v>11</v>
      </c>
      <c r="P1310">
        <v>5102</v>
      </c>
      <c r="Q1310">
        <v>25</v>
      </c>
      <c r="R1310">
        <v>54.9</v>
      </c>
      <c r="S1310" s="2">
        <v>1372.5</v>
      </c>
      <c r="T1310" s="2">
        <v>1184.5</v>
      </c>
      <c r="U1310">
        <v>13.7</v>
      </c>
      <c r="V1310" t="str">
        <f>VLOOKUP(L1310,'[2]tabela de preços'!$A:$D,4,0)</f>
        <v>ANJO</v>
      </c>
      <c r="W1310" t="str">
        <f>VLOOKUP(L1310,'[2]tabela de preços'!$A:$F,6,0)</f>
        <v>THINNER DE LIMPEZA</v>
      </c>
      <c r="X1310" t="str">
        <f>VLOOKUP(L1310,'[2]tabela de preços'!$A:$G,7,0)</f>
        <v>THINNER</v>
      </c>
    </row>
    <row r="1311" spans="1:24" x14ac:dyDescent="0.3">
      <c r="A1311" t="s">
        <v>1337</v>
      </c>
      <c r="C1311" t="s">
        <v>1345</v>
      </c>
      <c r="D1311" s="1">
        <v>46050</v>
      </c>
      <c r="E1311" t="s">
        <v>1346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1340</v>
      </c>
      <c r="K1311" t="s">
        <v>1341</v>
      </c>
      <c r="L1311">
        <v>20414</v>
      </c>
      <c r="M1311" t="s">
        <v>112</v>
      </c>
      <c r="O1311" t="s">
        <v>11</v>
      </c>
      <c r="P1311">
        <v>5102</v>
      </c>
      <c r="Q1311">
        <v>10</v>
      </c>
      <c r="R1311">
        <v>21.89</v>
      </c>
      <c r="S1311">
        <v>218.9</v>
      </c>
      <c r="T1311">
        <v>180</v>
      </c>
      <c r="U1311">
        <v>17.77</v>
      </c>
      <c r="V1311" t="str">
        <f>VLOOKUP(L1311,'[2]tabela de preços'!$A:$D,4,0)</f>
        <v>SHERWIN WILLIAMS</v>
      </c>
      <c r="W1311" t="str">
        <f>VLOOKUP(L1311,'[2]tabela de preços'!$A:$F,6,0)</f>
        <v>DILUENTE</v>
      </c>
      <c r="X1311" t="str">
        <f>VLOOKUP(L1311,'[2]tabela de preços'!$A:$G,7,0)</f>
        <v>AUTOMOTIVO</v>
      </c>
    </row>
    <row r="1312" spans="1:24" x14ac:dyDescent="0.3">
      <c r="A1312" t="s">
        <v>1347</v>
      </c>
      <c r="C1312" t="s">
        <v>1348</v>
      </c>
      <c r="D1312" s="1">
        <v>46038</v>
      </c>
      <c r="E1312" t="s">
        <v>1349</v>
      </c>
      <c r="F1312">
        <v>9</v>
      </c>
      <c r="G1312">
        <v>236</v>
      </c>
      <c r="H1312" t="str">
        <f>VLOOKUP(G1312,[1]OPERADORES!$A:$B,2,0)</f>
        <v>DANIEL</v>
      </c>
      <c r="I1312" t="s">
        <v>21</v>
      </c>
      <c r="J1312" t="s">
        <v>1350</v>
      </c>
      <c r="K1312" t="s">
        <v>1351</v>
      </c>
      <c r="L1312">
        <v>86885</v>
      </c>
      <c r="M1312" t="s">
        <v>1352</v>
      </c>
      <c r="O1312" t="s">
        <v>11</v>
      </c>
      <c r="P1312">
        <v>5102</v>
      </c>
      <c r="Q1312">
        <v>1</v>
      </c>
      <c r="R1312">
        <v>94.9</v>
      </c>
      <c r="S1312">
        <v>94.9</v>
      </c>
      <c r="T1312">
        <v>77.599999999999994</v>
      </c>
      <c r="U1312">
        <v>18.23</v>
      </c>
      <c r="V1312" t="str">
        <f>VLOOKUP(L1312,'[2]tabela de preços'!$A:$D,4,0)</f>
        <v>VEDACIT</v>
      </c>
      <c r="W1312" t="str">
        <f>VLOOKUP(L1312,'[2]tabela de preços'!$A:$F,6,0)</f>
        <v>IMPERMEABILIZANTES</v>
      </c>
      <c r="X1312" t="str">
        <f>VLOOKUP(L1312,'[2]tabela de preços'!$A:$G,7,0)</f>
        <v>IMOBILIÁRIO</v>
      </c>
    </row>
    <row r="1313" spans="1:24" x14ac:dyDescent="0.3">
      <c r="A1313" t="s">
        <v>1353</v>
      </c>
      <c r="C1313" t="s">
        <v>1354</v>
      </c>
      <c r="D1313" s="1">
        <v>46050</v>
      </c>
      <c r="E1313" t="s">
        <v>1355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1356</v>
      </c>
      <c r="K1313" t="s">
        <v>1357</v>
      </c>
      <c r="L1313">
        <v>20048</v>
      </c>
      <c r="M1313" t="s">
        <v>1309</v>
      </c>
      <c r="O1313" t="s">
        <v>11</v>
      </c>
      <c r="P1313">
        <v>5102</v>
      </c>
      <c r="Q1313">
        <v>6</v>
      </c>
      <c r="R1313">
        <v>18.010000000000002</v>
      </c>
      <c r="S1313">
        <v>108.06</v>
      </c>
      <c r="T1313">
        <v>82.02</v>
      </c>
      <c r="U1313">
        <v>24.1</v>
      </c>
      <c r="V1313" t="str">
        <f>VLOOKUP(L1313,'[2]tabela de preços'!$A:$D,4,0)</f>
        <v>3M</v>
      </c>
      <c r="W1313" t="str">
        <f>VLOOKUP(L1313,'[2]tabela de preços'!$A:$F,6,0)</f>
        <v>CERA  / LIMPEZA /  POLIMENTO VEICULAR</v>
      </c>
      <c r="X1313" t="str">
        <f>VLOOKUP(L1313,'[2]tabela de preços'!$A:$G,7,0)</f>
        <v>AUTOMOTIVO</v>
      </c>
    </row>
    <row r="1314" spans="1:24" x14ac:dyDescent="0.3">
      <c r="A1314" t="s">
        <v>1353</v>
      </c>
      <c r="C1314" t="s">
        <v>1354</v>
      </c>
      <c r="D1314" s="1">
        <v>46050</v>
      </c>
      <c r="E1314" t="s">
        <v>1355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1356</v>
      </c>
      <c r="K1314" t="s">
        <v>1357</v>
      </c>
      <c r="L1314">
        <v>84394</v>
      </c>
      <c r="M1314" t="s">
        <v>1358</v>
      </c>
      <c r="O1314" t="s">
        <v>11</v>
      </c>
      <c r="P1314">
        <v>5102</v>
      </c>
      <c r="Q1314">
        <v>3</v>
      </c>
      <c r="R1314">
        <v>24.74</v>
      </c>
      <c r="S1314">
        <v>74.22</v>
      </c>
      <c r="T1314">
        <v>56.34</v>
      </c>
      <c r="U1314">
        <v>24.09</v>
      </c>
      <c r="V1314" t="str">
        <f>VLOOKUP(L1314,'[2]tabela de preços'!$A:$D,4,0)</f>
        <v>VONIXX</v>
      </c>
      <c r="W1314" t="str">
        <f>VLOOKUP(L1314,'[2]tabela de preços'!$A:$F,6,0)</f>
        <v>LINHA DE HIGENIZAÇÃO E ESTÉTICA  AUTOMOTIVA</v>
      </c>
      <c r="X1314" t="str">
        <f>VLOOKUP(L1314,'[2]tabela de preços'!$A:$G,7,0)</f>
        <v>AUTOMOTIVO</v>
      </c>
    </row>
    <row r="1315" spans="1:24" x14ac:dyDescent="0.3">
      <c r="A1315" t="s">
        <v>1353</v>
      </c>
      <c r="C1315" t="s">
        <v>1354</v>
      </c>
      <c r="D1315" s="1">
        <v>46050</v>
      </c>
      <c r="E1315" t="s">
        <v>1355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1356</v>
      </c>
      <c r="K1315" t="s">
        <v>1357</v>
      </c>
      <c r="L1315">
        <v>22684</v>
      </c>
      <c r="M1315" t="s">
        <v>73</v>
      </c>
      <c r="O1315" t="s">
        <v>11</v>
      </c>
      <c r="P1315">
        <v>5102</v>
      </c>
      <c r="Q1315">
        <v>50</v>
      </c>
      <c r="R1315">
        <v>3.65</v>
      </c>
      <c r="S1315">
        <v>182.5</v>
      </c>
      <c r="T1315">
        <v>154</v>
      </c>
      <c r="U1315">
        <v>15.62</v>
      </c>
      <c r="V1315" t="str">
        <f>VLOOKUP(L1315,'[2]tabela de preços'!$A:$D,4,0)</f>
        <v>3M</v>
      </c>
      <c r="W1315" t="str">
        <f>VLOOKUP(L1315,'[2]tabela de preços'!$A:$F,6,0)</f>
        <v>FITA AUTOMOTIVA</v>
      </c>
      <c r="X1315" t="str">
        <f>VLOOKUP(L1315,'[2]tabela de preços'!$A:$G,7,0)</f>
        <v>AUTOMOTIVO</v>
      </c>
    </row>
    <row r="1316" spans="1:24" x14ac:dyDescent="0.3">
      <c r="A1316" t="s">
        <v>1353</v>
      </c>
      <c r="C1316" t="s">
        <v>1354</v>
      </c>
      <c r="D1316" s="1">
        <v>46050</v>
      </c>
      <c r="E1316" t="s">
        <v>1355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1356</v>
      </c>
      <c r="K1316" t="s">
        <v>1357</v>
      </c>
      <c r="L1316">
        <v>22173</v>
      </c>
      <c r="M1316" t="s">
        <v>194</v>
      </c>
      <c r="O1316" t="s">
        <v>11</v>
      </c>
      <c r="P1316">
        <v>5102</v>
      </c>
      <c r="Q1316">
        <v>50</v>
      </c>
      <c r="R1316">
        <v>4.58</v>
      </c>
      <c r="S1316">
        <v>229</v>
      </c>
      <c r="T1316">
        <v>174</v>
      </c>
      <c r="U1316">
        <v>24.02</v>
      </c>
      <c r="V1316" t="str">
        <f>VLOOKUP(L1316,'[2]tabela de preços'!$A:$D,4,0)</f>
        <v>3M</v>
      </c>
      <c r="W1316" t="str">
        <f>VLOOKUP(L1316,'[2]tabela de preços'!$A:$F,6,0)</f>
        <v>FITA AUTOMOTIVA</v>
      </c>
      <c r="X1316" t="str">
        <f>VLOOKUP(L1316,'[2]tabela de preços'!$A:$G,7,0)</f>
        <v>AUTOMOTIVO</v>
      </c>
    </row>
    <row r="1317" spans="1:24" x14ac:dyDescent="0.3">
      <c r="A1317" t="s">
        <v>1353</v>
      </c>
      <c r="C1317" t="s">
        <v>1354</v>
      </c>
      <c r="D1317" s="1">
        <v>46050</v>
      </c>
      <c r="E1317" t="s">
        <v>1355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1356</v>
      </c>
      <c r="K1317" t="s">
        <v>1357</v>
      </c>
      <c r="L1317">
        <v>85680</v>
      </c>
      <c r="M1317" t="s">
        <v>669</v>
      </c>
      <c r="O1317" t="s">
        <v>11</v>
      </c>
      <c r="P1317">
        <v>5102</v>
      </c>
      <c r="Q1317">
        <v>10</v>
      </c>
      <c r="R1317">
        <v>3.69</v>
      </c>
      <c r="S1317">
        <v>36.9</v>
      </c>
      <c r="T1317">
        <v>29.3</v>
      </c>
      <c r="U1317">
        <v>20.6</v>
      </c>
      <c r="V1317" t="str">
        <f>VLOOKUP(L1317,'[2]tabela de preços'!$A:$D,4,0)</f>
        <v>UNIPEGA</v>
      </c>
      <c r="W1317" t="str">
        <f>VLOOKUP(L1317,'[2]tabela de preços'!$A:$F,6,0)</f>
        <v>FITA ISOLANTE</v>
      </c>
      <c r="X1317" t="str">
        <f>VLOOKUP(L1317,'[2]tabela de preços'!$A:$G,7,0)</f>
        <v>IMOBILIÁRIO</v>
      </c>
    </row>
    <row r="1318" spans="1:24" x14ac:dyDescent="0.3">
      <c r="A1318" t="s">
        <v>1353</v>
      </c>
      <c r="C1318" t="s">
        <v>1354</v>
      </c>
      <c r="D1318" s="1">
        <v>46050</v>
      </c>
      <c r="E1318" t="s">
        <v>1355</v>
      </c>
      <c r="F1318">
        <v>9</v>
      </c>
      <c r="G1318">
        <v>174</v>
      </c>
      <c r="H1318" t="str">
        <f>VLOOKUP(G1318,[1]OPERADORES!$A:$B,2,0)</f>
        <v>MIRIÃ LOBATO RODRIGUES</v>
      </c>
      <c r="I1318" t="s">
        <v>21</v>
      </c>
      <c r="J1318" t="s">
        <v>1356</v>
      </c>
      <c r="K1318" t="s">
        <v>1357</v>
      </c>
      <c r="L1318">
        <v>85678</v>
      </c>
      <c r="M1318" t="s">
        <v>1359</v>
      </c>
      <c r="O1318" t="s">
        <v>11</v>
      </c>
      <c r="P1318">
        <v>5102</v>
      </c>
      <c r="Q1318">
        <v>10</v>
      </c>
      <c r="R1318">
        <v>1.45</v>
      </c>
      <c r="S1318">
        <v>14.5</v>
      </c>
      <c r="T1318">
        <v>11.4</v>
      </c>
      <c r="U1318">
        <v>21.38</v>
      </c>
      <c r="V1318" t="str">
        <f>VLOOKUP(L1318,'[2]tabela de preços'!$A:$D,4,0)</f>
        <v>UNIPEGA</v>
      </c>
      <c r="W1318" t="str">
        <f>VLOOKUP(L1318,'[2]tabela de preços'!$A:$F,6,0)</f>
        <v>FITA ISOLANTE</v>
      </c>
      <c r="X1318" t="str">
        <f>VLOOKUP(L1318,'[2]tabela de preços'!$A:$G,7,0)</f>
        <v>IMOBILIÁRIO</v>
      </c>
    </row>
    <row r="1319" spans="1:24" x14ac:dyDescent="0.3">
      <c r="A1319" t="s">
        <v>1353</v>
      </c>
      <c r="C1319" t="s">
        <v>1354</v>
      </c>
      <c r="D1319" s="1">
        <v>46050</v>
      </c>
      <c r="E1319" t="s">
        <v>1355</v>
      </c>
      <c r="F1319">
        <v>9</v>
      </c>
      <c r="G1319">
        <v>174</v>
      </c>
      <c r="H1319" t="str">
        <f>VLOOKUP(G1319,[1]OPERADORES!$A:$B,2,0)</f>
        <v>MIRIÃ LOBATO RODRIGUES</v>
      </c>
      <c r="I1319" t="s">
        <v>21</v>
      </c>
      <c r="J1319" t="s">
        <v>1356</v>
      </c>
      <c r="K1319" t="s">
        <v>1357</v>
      </c>
      <c r="L1319">
        <v>85409</v>
      </c>
      <c r="M1319" t="s">
        <v>201</v>
      </c>
      <c r="O1319" t="s">
        <v>11</v>
      </c>
      <c r="P1319">
        <v>5403</v>
      </c>
      <c r="Q1319">
        <v>6</v>
      </c>
      <c r="R1319">
        <v>28.9</v>
      </c>
      <c r="S1319">
        <v>173.4</v>
      </c>
      <c r="T1319">
        <v>138.66</v>
      </c>
      <c r="U1319">
        <v>20.03</v>
      </c>
      <c r="V1319" t="str">
        <f>VLOOKUP(L1319,'[2]tabela de preços'!$A:$D,4,0)</f>
        <v>WANDA</v>
      </c>
      <c r="W1319" t="str">
        <f>VLOOKUP(L1319,'[2]tabela de preços'!$A:$F,6,0)</f>
        <v>PRIMER AUTOMOTIVO</v>
      </c>
      <c r="X1319" t="str">
        <f>VLOOKUP(L1319,'[2]tabela de preços'!$A:$G,7,0)</f>
        <v>AUTOMOTIVO</v>
      </c>
    </row>
    <row r="1320" spans="1:24" x14ac:dyDescent="0.3">
      <c r="A1320" t="s">
        <v>1353</v>
      </c>
      <c r="C1320" t="s">
        <v>1354</v>
      </c>
      <c r="D1320" s="1">
        <v>46050</v>
      </c>
      <c r="E1320" t="s">
        <v>1355</v>
      </c>
      <c r="F1320">
        <v>9</v>
      </c>
      <c r="G1320">
        <v>174</v>
      </c>
      <c r="H1320" t="str">
        <f>VLOOKUP(G1320,[1]OPERADORES!$A:$B,2,0)</f>
        <v>MIRIÃ LOBATO RODRIGUES</v>
      </c>
      <c r="I1320" t="s">
        <v>21</v>
      </c>
      <c r="J1320" t="s">
        <v>1356</v>
      </c>
      <c r="K1320" t="s">
        <v>1357</v>
      </c>
      <c r="L1320">
        <v>23076</v>
      </c>
      <c r="M1320" t="s">
        <v>97</v>
      </c>
      <c r="O1320" t="s">
        <v>11</v>
      </c>
      <c r="P1320">
        <v>5403</v>
      </c>
      <c r="Q1320">
        <v>6</v>
      </c>
      <c r="R1320">
        <v>34.89</v>
      </c>
      <c r="S1320">
        <v>209.34</v>
      </c>
      <c r="T1320">
        <v>159.18</v>
      </c>
      <c r="U1320">
        <v>23.96</v>
      </c>
      <c r="V1320" t="str">
        <f>VLOOKUP(L1320,'[2]tabela de preços'!$A:$D,4,0)</f>
        <v>WANDA</v>
      </c>
      <c r="W1320" t="str">
        <f>VLOOKUP(L1320,'[2]tabela de preços'!$A:$F,6,0)</f>
        <v>PRIMER AUTOMOTIVO</v>
      </c>
      <c r="X1320" t="str">
        <f>VLOOKUP(L1320,'[2]tabela de preços'!$A:$G,7,0)</f>
        <v>AUTOMOTIVO</v>
      </c>
    </row>
    <row r="1321" spans="1:24" x14ac:dyDescent="0.3">
      <c r="A1321" t="s">
        <v>1353</v>
      </c>
      <c r="C1321" t="s">
        <v>1354</v>
      </c>
      <c r="D1321" s="1">
        <v>46050</v>
      </c>
      <c r="E1321" t="s">
        <v>1355</v>
      </c>
      <c r="F1321">
        <v>9</v>
      </c>
      <c r="G1321">
        <v>174</v>
      </c>
      <c r="H1321" t="str">
        <f>VLOOKUP(G1321,[1]OPERADORES!$A:$B,2,0)</f>
        <v>MIRIÃ LOBATO RODRIGUES</v>
      </c>
      <c r="I1321" t="s">
        <v>21</v>
      </c>
      <c r="J1321" t="s">
        <v>1356</v>
      </c>
      <c r="K1321" t="s">
        <v>1357</v>
      </c>
      <c r="L1321">
        <v>13</v>
      </c>
      <c r="M1321" t="s">
        <v>152</v>
      </c>
      <c r="O1321" t="s">
        <v>11</v>
      </c>
      <c r="P1321">
        <v>5102</v>
      </c>
      <c r="Q1321">
        <v>50</v>
      </c>
      <c r="R1321">
        <v>5.79</v>
      </c>
      <c r="S1321">
        <v>289.5</v>
      </c>
      <c r="T1321">
        <v>208</v>
      </c>
      <c r="U1321">
        <v>28.15</v>
      </c>
      <c r="V1321" t="str">
        <f>VLOOKUP(L1321,'[2]tabela de preços'!$A:$D,4,0)</f>
        <v>3M</v>
      </c>
      <c r="W1321" t="str">
        <f>VLOOKUP(L1321,'[2]tabela de preços'!$A:$F,6,0)</f>
        <v>LIXA DÁGUA</v>
      </c>
      <c r="X1321" t="str">
        <f>VLOOKUP(L1321,'[2]tabela de preços'!$A:$G,7,0)</f>
        <v>AUTOMOTIVO</v>
      </c>
    </row>
    <row r="1322" spans="1:24" x14ac:dyDescent="0.3">
      <c r="A1322" t="s">
        <v>1353</v>
      </c>
      <c r="C1322" t="s">
        <v>1354</v>
      </c>
      <c r="D1322" s="1">
        <v>46050</v>
      </c>
      <c r="E1322" t="s">
        <v>1355</v>
      </c>
      <c r="F1322">
        <v>9</v>
      </c>
      <c r="G1322">
        <v>174</v>
      </c>
      <c r="H1322" t="str">
        <f>VLOOKUP(G1322,[1]OPERADORES!$A:$B,2,0)</f>
        <v>MIRIÃ LOBATO RODRIGUES</v>
      </c>
      <c r="I1322" t="s">
        <v>21</v>
      </c>
      <c r="J1322" t="s">
        <v>1356</v>
      </c>
      <c r="K1322" t="s">
        <v>1357</v>
      </c>
      <c r="L1322">
        <v>83820</v>
      </c>
      <c r="M1322" t="s">
        <v>1360</v>
      </c>
      <c r="O1322" t="s">
        <v>11</v>
      </c>
      <c r="P1322">
        <v>5102</v>
      </c>
      <c r="Q1322">
        <v>2</v>
      </c>
      <c r="R1322">
        <v>38.869999999999997</v>
      </c>
      <c r="S1322">
        <v>77.739999999999995</v>
      </c>
      <c r="T1322">
        <v>59</v>
      </c>
      <c r="U1322">
        <v>24.11</v>
      </c>
      <c r="V1322" t="str">
        <f>VLOOKUP(L1322,'[2]tabela de preços'!$A:$D,4,0)</f>
        <v>VONIXX</v>
      </c>
      <c r="W1322" t="str">
        <f>VLOOKUP(L1322,'[2]tabela de preços'!$A:$F,6,0)</f>
        <v>LINHA DE HIGENIZAÇÃO E ESTÉTICA  AUTOMOTIVA</v>
      </c>
      <c r="X1322" t="str">
        <f>VLOOKUP(L1322,'[2]tabela de preços'!$A:$G,7,0)</f>
        <v>AUTOMOTIVO</v>
      </c>
    </row>
    <row r="1323" spans="1:24" x14ac:dyDescent="0.3">
      <c r="A1323" t="s">
        <v>1353</v>
      </c>
      <c r="C1323" t="s">
        <v>1354</v>
      </c>
      <c r="D1323" s="1">
        <v>46050</v>
      </c>
      <c r="E1323" t="s">
        <v>1355</v>
      </c>
      <c r="F1323">
        <v>9</v>
      </c>
      <c r="G1323">
        <v>174</v>
      </c>
      <c r="H1323" t="str">
        <f>VLOOKUP(G1323,[1]OPERADORES!$A:$B,2,0)</f>
        <v>MIRIÃ LOBATO RODRIGUES</v>
      </c>
      <c r="I1323" t="s">
        <v>21</v>
      </c>
      <c r="J1323" t="s">
        <v>1356</v>
      </c>
      <c r="K1323" t="s">
        <v>1357</v>
      </c>
      <c r="L1323">
        <v>9764</v>
      </c>
      <c r="M1323" t="s">
        <v>173</v>
      </c>
      <c r="O1323" t="s">
        <v>11</v>
      </c>
      <c r="P1323">
        <v>5102</v>
      </c>
      <c r="Q1323">
        <v>1</v>
      </c>
      <c r="R1323">
        <v>33.54</v>
      </c>
      <c r="S1323">
        <v>33.54</v>
      </c>
      <c r="T1323">
        <v>25.46</v>
      </c>
      <c r="U1323">
        <v>24.09</v>
      </c>
      <c r="V1323" t="str">
        <f>VLOOKUP(L1323,'[2]tabela de preços'!$A:$D,4,0)</f>
        <v>SIKKENS</v>
      </c>
      <c r="W1323" t="str">
        <f>VLOOKUP(L1323,'[2]tabela de preços'!$A:$F,6,0)</f>
        <v>MASSA DE PEQUENOS REPAROS</v>
      </c>
      <c r="X1323" t="str">
        <f>VLOOKUP(L1323,'[2]tabela de preços'!$A:$G,7,0)</f>
        <v>AUTOMOTIVO</v>
      </c>
    </row>
    <row r="1324" spans="1:24" x14ac:dyDescent="0.3">
      <c r="A1324" t="s">
        <v>1361</v>
      </c>
      <c r="C1324" t="s">
        <v>1362</v>
      </c>
      <c r="D1324" s="1">
        <v>46031</v>
      </c>
      <c r="E1324" t="s">
        <v>1363</v>
      </c>
      <c r="F1324">
        <v>9</v>
      </c>
      <c r="G1324">
        <v>174</v>
      </c>
      <c r="H1324" t="str">
        <f>VLOOKUP(G1324,[1]OPERADORES!$A:$B,2,0)</f>
        <v>MIRIÃ LOBATO RODRIGUES</v>
      </c>
      <c r="I1324" t="s">
        <v>21</v>
      </c>
      <c r="J1324" t="s">
        <v>1018</v>
      </c>
      <c r="K1324" t="s">
        <v>1364</v>
      </c>
      <c r="L1324">
        <v>84335</v>
      </c>
      <c r="M1324" t="s">
        <v>269</v>
      </c>
      <c r="O1324" t="s">
        <v>11</v>
      </c>
      <c r="P1324">
        <v>5403</v>
      </c>
      <c r="Q1324">
        <v>1</v>
      </c>
      <c r="R1324">
        <v>60.89</v>
      </c>
      <c r="S1324">
        <v>60.89</v>
      </c>
      <c r="T1324">
        <v>50.65</v>
      </c>
      <c r="U1324">
        <v>16.82</v>
      </c>
      <c r="V1324" t="str">
        <f>VLOOKUP(L1324,'[2]tabela de preços'!$A:$D,4,0)</f>
        <v>BRASILUX</v>
      </c>
      <c r="W1324" t="str">
        <f>VLOOKUP(L1324,'[2]tabela de preços'!$A:$F,6,0)</f>
        <v>ESMALTES</v>
      </c>
      <c r="X1324" t="str">
        <f>VLOOKUP(L1324,'[2]tabela de preços'!$A:$G,7,0)</f>
        <v>INDUSTRIAL</v>
      </c>
    </row>
    <row r="1325" spans="1:24" x14ac:dyDescent="0.3">
      <c r="A1325" t="s">
        <v>1361</v>
      </c>
      <c r="C1325" t="s">
        <v>1362</v>
      </c>
      <c r="D1325" s="1">
        <v>46031</v>
      </c>
      <c r="E1325" t="s">
        <v>1363</v>
      </c>
      <c r="F1325">
        <v>9</v>
      </c>
      <c r="G1325">
        <v>174</v>
      </c>
      <c r="H1325" t="str">
        <f>VLOOKUP(G1325,[1]OPERADORES!$A:$B,2,0)</f>
        <v>MIRIÃ LOBATO RODRIGUES</v>
      </c>
      <c r="I1325" t="s">
        <v>21</v>
      </c>
      <c r="J1325" t="s">
        <v>1018</v>
      </c>
      <c r="K1325" t="s">
        <v>1364</v>
      </c>
      <c r="L1325">
        <v>84254</v>
      </c>
      <c r="M1325" t="s">
        <v>1365</v>
      </c>
      <c r="O1325" t="s">
        <v>11</v>
      </c>
      <c r="P1325">
        <v>5403</v>
      </c>
      <c r="Q1325">
        <v>2</v>
      </c>
      <c r="R1325">
        <v>113.9</v>
      </c>
      <c r="S1325">
        <v>227.8</v>
      </c>
      <c r="T1325">
        <v>189.32</v>
      </c>
      <c r="U1325">
        <v>16.89</v>
      </c>
      <c r="V1325" t="str">
        <f>VLOOKUP(L1325,'[2]tabela de preços'!$A:$D,4,0)</f>
        <v>BRASILUX</v>
      </c>
      <c r="W1325" t="str">
        <f>VLOOKUP(L1325,'[2]tabela de preços'!$A:$F,6,0)</f>
        <v>TINTA PAREDE</v>
      </c>
      <c r="X1325" t="str">
        <f>VLOOKUP(L1325,'[2]tabela de preços'!$A:$G,7,0)</f>
        <v>IMOBILIÁRIO</v>
      </c>
    </row>
    <row r="1326" spans="1:24" x14ac:dyDescent="0.3">
      <c r="A1326" t="s">
        <v>1361</v>
      </c>
      <c r="C1326" t="s">
        <v>1362</v>
      </c>
      <c r="D1326" s="1">
        <v>46031</v>
      </c>
      <c r="E1326" t="s">
        <v>1363</v>
      </c>
      <c r="F1326">
        <v>9</v>
      </c>
      <c r="G1326">
        <v>174</v>
      </c>
      <c r="H1326" t="str">
        <f>VLOOKUP(G1326,[1]OPERADORES!$A:$B,2,0)</f>
        <v>MIRIÃ LOBATO RODRIGUES</v>
      </c>
      <c r="I1326" t="s">
        <v>21</v>
      </c>
      <c r="J1326" t="s">
        <v>1018</v>
      </c>
      <c r="K1326" t="s">
        <v>1364</v>
      </c>
      <c r="L1326">
        <v>86863</v>
      </c>
      <c r="M1326" t="s">
        <v>1366</v>
      </c>
      <c r="O1326" t="s">
        <v>11</v>
      </c>
      <c r="P1326">
        <v>5403</v>
      </c>
      <c r="Q1326">
        <v>2</v>
      </c>
      <c r="R1326">
        <v>3.99</v>
      </c>
      <c r="S1326">
        <v>7.98</v>
      </c>
      <c r="T1326">
        <v>6.9</v>
      </c>
      <c r="U1326">
        <v>13.53</v>
      </c>
      <c r="V1326" t="str">
        <f>VLOOKUP(L1326,'[2]tabela de preços'!$A:$D,4,0)</f>
        <v>SHERWIN WILLIAMS</v>
      </c>
      <c r="W1326" t="str">
        <f>VLOOKUP(L1326,'[2]tabela de preços'!$A:$F,6,0)</f>
        <v>CORANTES</v>
      </c>
      <c r="X1326" t="str">
        <f>VLOOKUP(L1326,'[2]tabela de preços'!$A:$G,7,0)</f>
        <v>IMOBILIÁRIO</v>
      </c>
    </row>
    <row r="1327" spans="1:24" x14ac:dyDescent="0.3">
      <c r="A1327" t="s">
        <v>1361</v>
      </c>
      <c r="C1327" t="s">
        <v>1362</v>
      </c>
      <c r="D1327" s="1">
        <v>46031</v>
      </c>
      <c r="E1327" t="s">
        <v>1363</v>
      </c>
      <c r="F1327">
        <v>9</v>
      </c>
      <c r="G1327">
        <v>174</v>
      </c>
      <c r="H1327" t="str">
        <f>VLOOKUP(G1327,[1]OPERADORES!$A:$B,2,0)</f>
        <v>MIRIÃ LOBATO RODRIGUES</v>
      </c>
      <c r="I1327" t="s">
        <v>21</v>
      </c>
      <c r="J1327" t="s">
        <v>1018</v>
      </c>
      <c r="K1327" t="s">
        <v>1364</v>
      </c>
      <c r="L1327">
        <v>86862</v>
      </c>
      <c r="M1327" t="s">
        <v>1367</v>
      </c>
      <c r="O1327" t="s">
        <v>11</v>
      </c>
      <c r="P1327">
        <v>5403</v>
      </c>
      <c r="Q1327">
        <v>2</v>
      </c>
      <c r="R1327">
        <v>3.99</v>
      </c>
      <c r="S1327">
        <v>7.98</v>
      </c>
      <c r="T1327">
        <v>6.9</v>
      </c>
      <c r="U1327">
        <v>13.53</v>
      </c>
      <c r="V1327" t="str">
        <f>VLOOKUP(L1327,'[2]tabela de preços'!$A:$D,4,0)</f>
        <v>SHERWIN WILLIAMS</v>
      </c>
      <c r="W1327" t="str">
        <f>VLOOKUP(L1327,'[2]tabela de preços'!$A:$F,6,0)</f>
        <v>CORANTES</v>
      </c>
      <c r="X1327" t="str">
        <f>VLOOKUP(L1327,'[2]tabela de preços'!$A:$G,7,0)</f>
        <v>IMOBILIÁRIO</v>
      </c>
    </row>
    <row r="1328" spans="1:24" x14ac:dyDescent="0.3">
      <c r="A1328" t="s">
        <v>1361</v>
      </c>
      <c r="C1328" t="s">
        <v>1362</v>
      </c>
      <c r="D1328" s="1">
        <v>46031</v>
      </c>
      <c r="E1328" t="s">
        <v>1363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1018</v>
      </c>
      <c r="K1328" t="s">
        <v>1364</v>
      </c>
      <c r="L1328">
        <v>86868</v>
      </c>
      <c r="M1328" t="s">
        <v>1368</v>
      </c>
      <c r="O1328" t="s">
        <v>11</v>
      </c>
      <c r="P1328">
        <v>5403</v>
      </c>
      <c r="Q1328">
        <v>2</v>
      </c>
      <c r="R1328">
        <v>3.99</v>
      </c>
      <c r="S1328">
        <v>7.98</v>
      </c>
      <c r="T1328">
        <v>6.9</v>
      </c>
      <c r="U1328">
        <v>13.53</v>
      </c>
      <c r="V1328" t="str">
        <f>VLOOKUP(L1328,'[2]tabela de preços'!$A:$D,4,0)</f>
        <v>SHERWIN WILLIAMS</v>
      </c>
      <c r="W1328" t="str">
        <f>VLOOKUP(L1328,'[2]tabela de preços'!$A:$F,6,0)</f>
        <v>CORANTES</v>
      </c>
      <c r="X1328" t="str">
        <f>VLOOKUP(L1328,'[2]tabela de preços'!$A:$G,7,0)</f>
        <v>IMOBILIÁRIO</v>
      </c>
    </row>
    <row r="1329" spans="1:24" x14ac:dyDescent="0.3">
      <c r="A1329" t="s">
        <v>1361</v>
      </c>
      <c r="C1329" t="s">
        <v>1362</v>
      </c>
      <c r="D1329" s="1">
        <v>46031</v>
      </c>
      <c r="E1329" t="s">
        <v>1363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1018</v>
      </c>
      <c r="K1329" t="s">
        <v>1364</v>
      </c>
      <c r="L1329">
        <v>23878</v>
      </c>
      <c r="M1329" t="s">
        <v>851</v>
      </c>
      <c r="O1329" t="s">
        <v>11</v>
      </c>
      <c r="P1329">
        <v>5102</v>
      </c>
      <c r="Q1329">
        <v>1</v>
      </c>
      <c r="R1329">
        <v>8.41</v>
      </c>
      <c r="S1329">
        <v>8.41</v>
      </c>
      <c r="T1329">
        <v>6.38</v>
      </c>
      <c r="U1329">
        <v>24.14</v>
      </c>
      <c r="V1329" t="str">
        <f>VLOOKUP(L1329,'[2]tabela de preços'!$A:$D,4,0)</f>
        <v>ATLAS</v>
      </c>
      <c r="W1329" t="str">
        <f>VLOOKUP(L1329,'[2]tabela de preços'!$A:$F,6,0)</f>
        <v>ROLOS / TRINCHAS / PINCÉIS / ESPÁTULAS</v>
      </c>
      <c r="X1329" t="str">
        <f>VLOOKUP(L1329,'[2]tabela de preços'!$A:$G,7,0)</f>
        <v>IMOBILIÁRIO</v>
      </c>
    </row>
    <row r="1330" spans="1:24" x14ac:dyDescent="0.3">
      <c r="A1330" t="s">
        <v>1361</v>
      </c>
      <c r="C1330" t="s">
        <v>1362</v>
      </c>
      <c r="D1330" s="1">
        <v>46031</v>
      </c>
      <c r="E1330" t="s">
        <v>1363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1018</v>
      </c>
      <c r="K1330" t="s">
        <v>1364</v>
      </c>
      <c r="L1330">
        <v>84036</v>
      </c>
      <c r="M1330" t="s">
        <v>289</v>
      </c>
      <c r="O1330" t="s">
        <v>11</v>
      </c>
      <c r="P1330">
        <v>5102</v>
      </c>
      <c r="Q1330">
        <v>2</v>
      </c>
      <c r="R1330">
        <v>47.89</v>
      </c>
      <c r="S1330">
        <v>95.78</v>
      </c>
      <c r="T1330">
        <v>83.26</v>
      </c>
      <c r="U1330">
        <v>13.07</v>
      </c>
      <c r="V1330" t="str">
        <f>VLOOKUP(L1330,'[2]tabela de preços'!$A:$D,4,0)</f>
        <v>BRASILUX</v>
      </c>
      <c r="W1330" t="str">
        <f>VLOOKUP(L1330,'[2]tabela de preços'!$A:$F,6,0)</f>
        <v>MASSA CORRIDA / ACRÍLICA</v>
      </c>
      <c r="X1330" t="str">
        <f>VLOOKUP(L1330,'[2]tabela de preços'!$A:$G,7,0)</f>
        <v>IMOBILIÁRIO</v>
      </c>
    </row>
    <row r="1331" spans="1:24" x14ac:dyDescent="0.3">
      <c r="A1331" t="s">
        <v>1361</v>
      </c>
      <c r="C1331" t="s">
        <v>1362</v>
      </c>
      <c r="D1331" s="1">
        <v>46031</v>
      </c>
      <c r="E1331" t="s">
        <v>1363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1018</v>
      </c>
      <c r="K1331" t="s">
        <v>1364</v>
      </c>
      <c r="L1331">
        <v>84431</v>
      </c>
      <c r="M1331" t="s">
        <v>1369</v>
      </c>
      <c r="O1331" t="s">
        <v>11</v>
      </c>
      <c r="P1331">
        <v>5102</v>
      </c>
      <c r="Q1331">
        <v>1</v>
      </c>
      <c r="R1331">
        <v>10.54</v>
      </c>
      <c r="S1331">
        <v>10.54</v>
      </c>
      <c r="T1331">
        <v>6.8</v>
      </c>
      <c r="U1331">
        <v>35.479999999999997</v>
      </c>
      <c r="V1331" t="str">
        <f>VLOOKUP(L1331,'[2]tabela de preços'!$A:$D,4,0)</f>
        <v>ATLAS</v>
      </c>
      <c r="W1331" t="str">
        <f>VLOOKUP(L1331,'[2]tabela de preços'!$A:$F,6,0)</f>
        <v>ROLOS / TRINCHAS / PINCÉIS / ESPÁTULAS</v>
      </c>
      <c r="X1331" t="str">
        <f>VLOOKUP(L1331,'[2]tabela de preços'!$A:$G,7,0)</f>
        <v>IMOBILIÁRIO</v>
      </c>
    </row>
    <row r="1332" spans="1:24" x14ac:dyDescent="0.3">
      <c r="A1332" t="s">
        <v>1370</v>
      </c>
      <c r="B1332" t="s">
        <v>1371</v>
      </c>
      <c r="C1332" t="s">
        <v>1372</v>
      </c>
      <c r="D1332" s="1">
        <v>46037</v>
      </c>
      <c r="E1332" t="s">
        <v>1373</v>
      </c>
      <c r="F1332">
        <v>9</v>
      </c>
      <c r="G1332">
        <v>236</v>
      </c>
      <c r="H1332" t="str">
        <f>VLOOKUP(G1332,[1]OPERADORES!$A:$B,2,0)</f>
        <v>DANIEL</v>
      </c>
      <c r="I1332" t="s">
        <v>21</v>
      </c>
      <c r="J1332" t="s">
        <v>1374</v>
      </c>
      <c r="K1332" t="s">
        <v>1375</v>
      </c>
      <c r="L1332">
        <v>85599</v>
      </c>
      <c r="M1332" t="s">
        <v>38</v>
      </c>
      <c r="O1332" t="s">
        <v>11</v>
      </c>
      <c r="P1332">
        <v>5102</v>
      </c>
      <c r="Q1332">
        <v>200</v>
      </c>
      <c r="R1332">
        <v>2.46</v>
      </c>
      <c r="S1332">
        <v>492</v>
      </c>
      <c r="T1332">
        <v>392</v>
      </c>
      <c r="U1332">
        <v>20.329999999999998</v>
      </c>
      <c r="V1332" t="str">
        <f>VLOOKUP(L1332,'[2]tabela de preços'!$A:$D,4,0)</f>
        <v>REJUMASSA</v>
      </c>
      <c r="W1332" t="str">
        <f>VLOOKUP(L1332,'[2]tabela de preços'!$A:$F,6,0)</f>
        <v>GESSO</v>
      </c>
      <c r="X1332" t="str">
        <f>VLOOKUP(L1332,'[2]tabela de preços'!$A:$G,7,0)</f>
        <v>IMOBILIÁRIO</v>
      </c>
    </row>
    <row r="1333" spans="1:24" x14ac:dyDescent="0.3">
      <c r="A1333" t="s">
        <v>1376</v>
      </c>
      <c r="C1333" t="s">
        <v>1377</v>
      </c>
      <c r="D1333" s="1">
        <v>46043</v>
      </c>
      <c r="E1333" t="s">
        <v>1378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168</v>
      </c>
      <c r="J1333" t="s">
        <v>1379</v>
      </c>
      <c r="K1333" t="s">
        <v>1380</v>
      </c>
      <c r="L1333">
        <v>23110</v>
      </c>
      <c r="M1333" t="s">
        <v>409</v>
      </c>
      <c r="O1333" t="s">
        <v>11</v>
      </c>
      <c r="P1333">
        <v>6108</v>
      </c>
      <c r="Q1333">
        <v>10</v>
      </c>
      <c r="R1333">
        <v>2.35</v>
      </c>
      <c r="S1333">
        <v>23.5</v>
      </c>
      <c r="T1333">
        <v>18.5</v>
      </c>
      <c r="U1333">
        <v>21.28</v>
      </c>
      <c r="V1333" t="str">
        <f>VLOOKUP(L1333,'[2]tabela de preços'!$A:$D,4,0)</f>
        <v>3M</v>
      </c>
      <c r="W1333" t="str">
        <f>VLOOKUP(L1333,'[2]tabela de preços'!$A:$F,6,0)</f>
        <v xml:space="preserve">DISCOS / LIXAS / ABRASIVOS </v>
      </c>
      <c r="X1333" t="str">
        <f>VLOOKUP(L1333,'[2]tabela de preços'!$A:$G,7,0)</f>
        <v>AUTOMOTIVO</v>
      </c>
    </row>
    <row r="1334" spans="1:24" x14ac:dyDescent="0.3">
      <c r="A1334" t="s">
        <v>1376</v>
      </c>
      <c r="C1334" t="s">
        <v>1377</v>
      </c>
      <c r="D1334" s="1">
        <v>46043</v>
      </c>
      <c r="E1334" t="s">
        <v>1378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168</v>
      </c>
      <c r="J1334" t="s">
        <v>1379</v>
      </c>
      <c r="K1334" t="s">
        <v>1380</v>
      </c>
      <c r="L1334">
        <v>23105</v>
      </c>
      <c r="M1334" t="s">
        <v>402</v>
      </c>
      <c r="O1334" t="s">
        <v>11</v>
      </c>
      <c r="P1334">
        <v>6108</v>
      </c>
      <c r="Q1334">
        <v>20</v>
      </c>
      <c r="R1334">
        <v>2.35</v>
      </c>
      <c r="S1334">
        <v>47</v>
      </c>
      <c r="T1334">
        <v>38.4</v>
      </c>
      <c r="U1334">
        <v>18.3</v>
      </c>
      <c r="V1334" t="str">
        <f>VLOOKUP(L1334,'[2]tabela de preços'!$A:$D,4,0)</f>
        <v>3M</v>
      </c>
      <c r="W1334" t="str">
        <f>VLOOKUP(L1334,'[2]tabela de preços'!$A:$F,6,0)</f>
        <v xml:space="preserve">DISCOS / LIXAS / ABRASIVOS </v>
      </c>
      <c r="X1334" t="str">
        <f>VLOOKUP(L1334,'[2]tabela de preços'!$A:$G,7,0)</f>
        <v>AUTOMOTIVO</v>
      </c>
    </row>
    <row r="1335" spans="1:24" x14ac:dyDescent="0.3">
      <c r="A1335" t="s">
        <v>1376</v>
      </c>
      <c r="C1335" t="s">
        <v>1377</v>
      </c>
      <c r="D1335" s="1">
        <v>46043</v>
      </c>
      <c r="E1335" t="s">
        <v>1378</v>
      </c>
      <c r="F1335">
        <v>9</v>
      </c>
      <c r="G1335">
        <v>174</v>
      </c>
      <c r="H1335" t="str">
        <f>VLOOKUP(G1335,[1]OPERADORES!$A:$B,2,0)</f>
        <v>MIRIÃ LOBATO RODRIGUES</v>
      </c>
      <c r="I1335" t="s">
        <v>168</v>
      </c>
      <c r="J1335" t="s">
        <v>1379</v>
      </c>
      <c r="K1335" t="s">
        <v>1380</v>
      </c>
      <c r="L1335">
        <v>23106</v>
      </c>
      <c r="M1335" t="s">
        <v>403</v>
      </c>
      <c r="O1335" t="s">
        <v>11</v>
      </c>
      <c r="P1335">
        <v>6108</v>
      </c>
      <c r="Q1335">
        <v>10</v>
      </c>
      <c r="R1335">
        <v>2.35</v>
      </c>
      <c r="S1335">
        <v>23.5</v>
      </c>
      <c r="T1335">
        <v>19.2</v>
      </c>
      <c r="U1335">
        <v>18.3</v>
      </c>
      <c r="V1335" t="str">
        <f>VLOOKUP(L1335,'[2]tabela de preços'!$A:$D,4,0)</f>
        <v>3M</v>
      </c>
      <c r="W1335" t="str">
        <f>VLOOKUP(L1335,'[2]tabela de preços'!$A:$F,6,0)</f>
        <v xml:space="preserve">DISCOS / LIXAS / ABRASIVOS </v>
      </c>
      <c r="X1335" t="str">
        <f>VLOOKUP(L1335,'[2]tabela de preços'!$A:$G,7,0)</f>
        <v>AUTOMOTIVO</v>
      </c>
    </row>
    <row r="1336" spans="1:24" x14ac:dyDescent="0.3">
      <c r="A1336" t="s">
        <v>1381</v>
      </c>
      <c r="C1336" t="s">
        <v>1382</v>
      </c>
      <c r="D1336" s="1">
        <v>46038</v>
      </c>
      <c r="E1336" t="s">
        <v>1383</v>
      </c>
      <c r="F1336">
        <v>9</v>
      </c>
      <c r="G1336">
        <v>231</v>
      </c>
      <c r="H1336" t="str">
        <f>VLOOKUP(G1336,[1]OPERADORES!$A:$B,2,0)</f>
        <v>EDIJANE</v>
      </c>
      <c r="I1336" t="s">
        <v>168</v>
      </c>
      <c r="J1336" t="s">
        <v>1384</v>
      </c>
      <c r="K1336" t="s">
        <v>1385</v>
      </c>
      <c r="L1336">
        <v>85318</v>
      </c>
      <c r="M1336" t="s">
        <v>258</v>
      </c>
      <c r="O1336" t="s">
        <v>11</v>
      </c>
      <c r="P1336">
        <v>6102</v>
      </c>
      <c r="Q1336">
        <v>1</v>
      </c>
      <c r="R1336">
        <v>775.32</v>
      </c>
      <c r="S1336">
        <v>775.32</v>
      </c>
      <c r="T1336">
        <v>552.80999999999995</v>
      </c>
      <c r="U1336">
        <v>28.7</v>
      </c>
      <c r="V1336" t="str">
        <f>VLOOKUP(L1336,'[2]tabela de preços'!$A:$D,4,0)</f>
        <v>BRASILUX</v>
      </c>
      <c r="W1336" t="str">
        <f>VLOOKUP(L1336,'[2]tabela de preços'!$A:$F,6,0)</f>
        <v>TINTA EM PÓ</v>
      </c>
      <c r="X1336" t="str">
        <f>VLOOKUP(L1336,'[2]tabela de preços'!$A:$G,7,0)</f>
        <v>INDUSTRIAL</v>
      </c>
    </row>
    <row r="1337" spans="1:24" x14ac:dyDescent="0.3">
      <c r="A1337" t="s">
        <v>1381</v>
      </c>
      <c r="C1337" t="s">
        <v>1382</v>
      </c>
      <c r="D1337" s="1">
        <v>46038</v>
      </c>
      <c r="E1337" t="s">
        <v>1383</v>
      </c>
      <c r="F1337">
        <v>9</v>
      </c>
      <c r="G1337">
        <v>231</v>
      </c>
      <c r="H1337" t="str">
        <f>VLOOKUP(G1337,[1]OPERADORES!$A:$B,2,0)</f>
        <v>EDIJANE</v>
      </c>
      <c r="I1337" t="s">
        <v>168</v>
      </c>
      <c r="J1337" t="s">
        <v>1384</v>
      </c>
      <c r="K1337" t="s">
        <v>1385</v>
      </c>
      <c r="L1337">
        <v>85649</v>
      </c>
      <c r="M1337" t="s">
        <v>478</v>
      </c>
      <c r="O1337" t="s">
        <v>11</v>
      </c>
      <c r="P1337">
        <v>6403</v>
      </c>
      <c r="Q1337">
        <v>6</v>
      </c>
      <c r="R1337">
        <v>9.1199999999999992</v>
      </c>
      <c r="S1337">
        <v>54.72</v>
      </c>
      <c r="T1337">
        <v>41.52</v>
      </c>
      <c r="U1337">
        <v>24.12</v>
      </c>
      <c r="V1337" t="str">
        <f>VLOOKUP(L1337,'[2]tabela de preços'!$A:$D,4,0)</f>
        <v>UNIPEGA</v>
      </c>
      <c r="W1337" t="str">
        <f>VLOOKUP(L1337,'[2]tabela de preços'!$A:$F,6,0)</f>
        <v xml:space="preserve">SPRAYS </v>
      </c>
      <c r="X1337" t="str">
        <f>VLOOKUP(L1337,'[2]tabela de preços'!$A:$G,7,0)</f>
        <v>AUTOMOTIVO</v>
      </c>
    </row>
    <row r="1338" spans="1:24" x14ac:dyDescent="0.3">
      <c r="A1338" t="s">
        <v>1381</v>
      </c>
      <c r="C1338" t="s">
        <v>1386</v>
      </c>
      <c r="D1338" s="1">
        <v>46049</v>
      </c>
      <c r="E1338" t="s">
        <v>1387</v>
      </c>
      <c r="F1338">
        <v>9</v>
      </c>
      <c r="G1338">
        <v>231</v>
      </c>
      <c r="H1338" t="str">
        <f>VLOOKUP(G1338,[1]OPERADORES!$A:$B,2,0)</f>
        <v>EDIJANE</v>
      </c>
      <c r="I1338" t="s">
        <v>168</v>
      </c>
      <c r="J1338" t="s">
        <v>1384</v>
      </c>
      <c r="K1338" t="s">
        <v>1385</v>
      </c>
      <c r="L1338">
        <v>85319</v>
      </c>
      <c r="M1338" t="s">
        <v>1388</v>
      </c>
      <c r="O1338" t="s">
        <v>11</v>
      </c>
      <c r="P1338">
        <v>6102</v>
      </c>
      <c r="Q1338">
        <v>1</v>
      </c>
      <c r="R1338" s="2">
        <v>1436.71</v>
      </c>
      <c r="S1338" s="2">
        <v>1436.71</v>
      </c>
      <c r="T1338" s="2">
        <v>1049.08</v>
      </c>
      <c r="U1338">
        <v>26.98</v>
      </c>
      <c r="V1338" t="str">
        <f>VLOOKUP(L1338,'[2]tabela de preços'!$A:$D,4,0)</f>
        <v>BRASILUX</v>
      </c>
      <c r="W1338" t="str">
        <f>VLOOKUP(L1338,'[2]tabela de preços'!$A:$F,6,0)</f>
        <v>TINTA EM PÓ</v>
      </c>
      <c r="X1338" t="str">
        <f>VLOOKUP(L1338,'[2]tabela de preços'!$A:$G,7,0)</f>
        <v>INDUSTRIAL</v>
      </c>
    </row>
    <row r="1339" spans="1:24" x14ac:dyDescent="0.3">
      <c r="A1339" t="s">
        <v>1389</v>
      </c>
      <c r="C1339" t="s">
        <v>1390</v>
      </c>
      <c r="D1339" s="1">
        <v>46024</v>
      </c>
      <c r="E1339" t="s">
        <v>1391</v>
      </c>
      <c r="F1339">
        <v>9</v>
      </c>
      <c r="G1339">
        <v>230</v>
      </c>
      <c r="H1339" t="str">
        <f>VLOOKUP(G1339,[1]OPERADORES!$A:$B,2,0)</f>
        <v>SÔNIA</v>
      </c>
      <c r="I1339" t="s">
        <v>21</v>
      </c>
      <c r="J1339" t="s">
        <v>66</v>
      </c>
      <c r="K1339" t="s">
        <v>1392</v>
      </c>
      <c r="L1339">
        <v>84111</v>
      </c>
      <c r="M1339" t="s">
        <v>1393</v>
      </c>
      <c r="O1339" t="s">
        <v>11</v>
      </c>
      <c r="P1339">
        <v>5403</v>
      </c>
      <c r="Q1339">
        <v>1</v>
      </c>
      <c r="R1339">
        <v>153.99</v>
      </c>
      <c r="S1339">
        <v>153.99</v>
      </c>
      <c r="T1339">
        <v>116.88</v>
      </c>
      <c r="U1339">
        <v>24.1</v>
      </c>
      <c r="V1339" t="str">
        <f>VLOOKUP(L1339,'[2]tabela de preços'!$A:$D,4,0)</f>
        <v>BRASILUX</v>
      </c>
      <c r="W1339" t="str">
        <f>VLOOKUP(L1339,'[2]tabela de preços'!$A:$F,6,0)</f>
        <v>EPOXI</v>
      </c>
      <c r="X1339" t="str">
        <f>VLOOKUP(L1339,'[2]tabela de preços'!$A:$G,7,0)</f>
        <v>INDUSTRIAL</v>
      </c>
    </row>
    <row r="1340" spans="1:24" x14ac:dyDescent="0.3">
      <c r="A1340" t="s">
        <v>1389</v>
      </c>
      <c r="C1340" t="s">
        <v>1394</v>
      </c>
      <c r="D1340" s="1">
        <v>46027</v>
      </c>
      <c r="E1340" t="s">
        <v>1395</v>
      </c>
      <c r="F1340">
        <v>9</v>
      </c>
      <c r="G1340">
        <v>230</v>
      </c>
      <c r="H1340" t="str">
        <f>VLOOKUP(G1340,[1]OPERADORES!$A:$B,2,0)</f>
        <v>SÔNIA</v>
      </c>
      <c r="I1340" t="s">
        <v>21</v>
      </c>
      <c r="J1340" t="s">
        <v>66</v>
      </c>
      <c r="K1340" t="s">
        <v>1392</v>
      </c>
      <c r="L1340">
        <v>84111</v>
      </c>
      <c r="M1340" t="s">
        <v>1393</v>
      </c>
      <c r="O1340" t="s">
        <v>11</v>
      </c>
      <c r="P1340">
        <v>5403</v>
      </c>
      <c r="Q1340">
        <v>1</v>
      </c>
      <c r="R1340">
        <v>153.99</v>
      </c>
      <c r="S1340">
        <v>153.99</v>
      </c>
      <c r="T1340">
        <v>116.88</v>
      </c>
      <c r="U1340">
        <v>24.1</v>
      </c>
      <c r="V1340" t="str">
        <f>VLOOKUP(L1340,'[2]tabela de preços'!$A:$D,4,0)</f>
        <v>BRASILUX</v>
      </c>
      <c r="W1340" t="str">
        <f>VLOOKUP(L1340,'[2]tabela de preços'!$A:$F,6,0)</f>
        <v>EPOXI</v>
      </c>
      <c r="X1340" t="str">
        <f>VLOOKUP(L1340,'[2]tabela de preços'!$A:$G,7,0)</f>
        <v>INDUSTRIAL</v>
      </c>
    </row>
    <row r="1341" spans="1:24" x14ac:dyDescent="0.3">
      <c r="A1341" t="s">
        <v>1389</v>
      </c>
      <c r="C1341" t="s">
        <v>1396</v>
      </c>
      <c r="D1341" s="1">
        <v>46037</v>
      </c>
      <c r="E1341" t="s">
        <v>1397</v>
      </c>
      <c r="F1341">
        <v>9</v>
      </c>
      <c r="G1341">
        <v>230</v>
      </c>
      <c r="H1341" t="str">
        <f>VLOOKUP(G1341,[1]OPERADORES!$A:$B,2,0)</f>
        <v>SÔNIA</v>
      </c>
      <c r="I1341" t="s">
        <v>21</v>
      </c>
      <c r="J1341" t="s">
        <v>66</v>
      </c>
      <c r="K1341" t="s">
        <v>1392</v>
      </c>
      <c r="L1341">
        <v>84896</v>
      </c>
      <c r="M1341" t="s">
        <v>1197</v>
      </c>
      <c r="O1341" t="s">
        <v>11</v>
      </c>
      <c r="P1341">
        <v>5403</v>
      </c>
      <c r="Q1341">
        <v>1</v>
      </c>
      <c r="R1341">
        <v>155.59</v>
      </c>
      <c r="S1341">
        <v>155.59</v>
      </c>
      <c r="T1341">
        <v>118.1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EPOXI</v>
      </c>
      <c r="X1341" t="str">
        <f>VLOOKUP(L1341,'[2]tabela de preços'!$A:$G,7,0)</f>
        <v>INDUSTRIAL</v>
      </c>
    </row>
    <row r="1342" spans="1:24" x14ac:dyDescent="0.3">
      <c r="A1342" t="s">
        <v>1389</v>
      </c>
      <c r="C1342" t="s">
        <v>1396</v>
      </c>
      <c r="D1342" s="1">
        <v>46037</v>
      </c>
      <c r="E1342" t="s">
        <v>1397</v>
      </c>
      <c r="F1342">
        <v>9</v>
      </c>
      <c r="G1342">
        <v>230</v>
      </c>
      <c r="H1342" t="str">
        <f>VLOOKUP(G1342,[1]OPERADORES!$A:$B,2,0)</f>
        <v>SÔNIA</v>
      </c>
      <c r="I1342" t="s">
        <v>21</v>
      </c>
      <c r="J1342" t="s">
        <v>66</v>
      </c>
      <c r="K1342" t="s">
        <v>1392</v>
      </c>
      <c r="L1342">
        <v>84427</v>
      </c>
      <c r="M1342" t="s">
        <v>1398</v>
      </c>
      <c r="O1342" t="s">
        <v>11</v>
      </c>
      <c r="P1342">
        <v>5102</v>
      </c>
      <c r="Q1342">
        <v>1</v>
      </c>
      <c r="R1342">
        <v>6.89</v>
      </c>
      <c r="S1342">
        <v>6.89</v>
      </c>
      <c r="T1342">
        <v>5.23</v>
      </c>
      <c r="U1342">
        <v>24.09</v>
      </c>
      <c r="V1342" t="str">
        <f>VLOOKUP(L1342,'[2]tabela de preços'!$A:$D,4,0)</f>
        <v>ATLAS</v>
      </c>
      <c r="W1342" t="str">
        <f>VLOOKUP(L1342,'[2]tabela de preços'!$A:$F,6,0)</f>
        <v>ROLOS / TRINCHAS / PINCÉIS / ESPÁTULAS</v>
      </c>
      <c r="X1342" t="str">
        <f>VLOOKUP(L1342,'[2]tabela de preços'!$A:$G,7,0)</f>
        <v>IMOBILIÁRIO</v>
      </c>
    </row>
    <row r="1343" spans="1:24" x14ac:dyDescent="0.3">
      <c r="A1343" t="s">
        <v>1389</v>
      </c>
      <c r="C1343" t="s">
        <v>1396</v>
      </c>
      <c r="D1343" s="1">
        <v>46037</v>
      </c>
      <c r="E1343" t="s">
        <v>1397</v>
      </c>
      <c r="F1343">
        <v>9</v>
      </c>
      <c r="G1343">
        <v>230</v>
      </c>
      <c r="H1343" t="str">
        <f>VLOOKUP(G1343,[1]OPERADORES!$A:$B,2,0)</f>
        <v>SÔNIA</v>
      </c>
      <c r="I1343" t="s">
        <v>21</v>
      </c>
      <c r="J1343" t="s">
        <v>66</v>
      </c>
      <c r="K1343" t="s">
        <v>1392</v>
      </c>
      <c r="L1343">
        <v>85049</v>
      </c>
      <c r="M1343" t="s">
        <v>1399</v>
      </c>
      <c r="O1343" t="s">
        <v>11</v>
      </c>
      <c r="P1343">
        <v>5102</v>
      </c>
      <c r="Q1343">
        <v>1</v>
      </c>
      <c r="R1343">
        <v>12.81</v>
      </c>
      <c r="S1343">
        <v>12.81</v>
      </c>
      <c r="T1343">
        <v>9.7200000000000006</v>
      </c>
      <c r="U1343">
        <v>24.12</v>
      </c>
      <c r="V1343" t="str">
        <f>VLOOKUP(L1343,'[2]tabela de preços'!$A:$D,4,0)</f>
        <v>ATLAS</v>
      </c>
      <c r="W1343" t="str">
        <f>VLOOKUP(L1343,'[2]tabela de preços'!$A:$F,6,0)</f>
        <v>ROLOS / TRINCHAS / PINCÉIS / ESPÁTULAS</v>
      </c>
      <c r="X1343" t="str">
        <f>VLOOKUP(L1343,'[2]tabela de preços'!$A:$G,7,0)</f>
        <v>IMOBILIÁRIO</v>
      </c>
    </row>
    <row r="1344" spans="1:24" x14ac:dyDescent="0.3">
      <c r="A1344" t="s">
        <v>1389</v>
      </c>
      <c r="C1344" t="s">
        <v>1396</v>
      </c>
      <c r="D1344" s="1">
        <v>46037</v>
      </c>
      <c r="E1344" t="s">
        <v>1397</v>
      </c>
      <c r="F1344">
        <v>9</v>
      </c>
      <c r="G1344">
        <v>230</v>
      </c>
      <c r="H1344" t="str">
        <f>VLOOKUP(G1344,[1]OPERADORES!$A:$B,2,0)</f>
        <v>SÔNIA</v>
      </c>
      <c r="I1344" t="s">
        <v>21</v>
      </c>
      <c r="J1344" t="s">
        <v>66</v>
      </c>
      <c r="K1344" t="s">
        <v>1392</v>
      </c>
      <c r="L1344">
        <v>10118</v>
      </c>
      <c r="M1344" t="s">
        <v>572</v>
      </c>
      <c r="O1344" t="s">
        <v>11</v>
      </c>
      <c r="P1344">
        <v>5102</v>
      </c>
      <c r="Q1344">
        <v>2</v>
      </c>
      <c r="R1344">
        <v>5.0199999999999996</v>
      </c>
      <c r="S1344">
        <v>10.039999999999999</v>
      </c>
      <c r="T1344">
        <v>7.62</v>
      </c>
      <c r="U1344">
        <v>24.1</v>
      </c>
      <c r="V1344" t="str">
        <f>VLOOKUP(L1344,'[2]tabela de preços'!$A:$D,4,0)</f>
        <v>ATLAS</v>
      </c>
      <c r="W1344" t="str">
        <f>VLOOKUP(L1344,'[2]tabela de preços'!$A:$F,6,0)</f>
        <v>ROLOS / TRINCHAS / PINCÉIS / ESPÁTULAS</v>
      </c>
      <c r="X1344" t="str">
        <f>VLOOKUP(L1344,'[2]tabela de preços'!$A:$G,7,0)</f>
        <v>IMOBILIÁRIO</v>
      </c>
    </row>
    <row r="1345" spans="1:24" x14ac:dyDescent="0.3">
      <c r="A1345" t="s">
        <v>1389</v>
      </c>
      <c r="C1345" t="s">
        <v>1400</v>
      </c>
      <c r="D1345" s="1">
        <v>46038</v>
      </c>
      <c r="E1345" t="s">
        <v>1401</v>
      </c>
      <c r="F1345">
        <v>9</v>
      </c>
      <c r="G1345">
        <v>230</v>
      </c>
      <c r="H1345" t="str">
        <f>VLOOKUP(G1345,[1]OPERADORES!$A:$B,2,0)</f>
        <v>SÔNIA</v>
      </c>
      <c r="I1345" t="s">
        <v>21</v>
      </c>
      <c r="J1345" t="s">
        <v>66</v>
      </c>
      <c r="K1345" t="s">
        <v>1392</v>
      </c>
      <c r="L1345">
        <v>84896</v>
      </c>
      <c r="M1345" t="s">
        <v>1197</v>
      </c>
      <c r="O1345" t="s">
        <v>11</v>
      </c>
      <c r="P1345">
        <v>5403</v>
      </c>
      <c r="Q1345">
        <v>1</v>
      </c>
      <c r="R1345">
        <v>155.59</v>
      </c>
      <c r="S1345">
        <v>155.59</v>
      </c>
      <c r="T1345">
        <v>118.1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EPOXI</v>
      </c>
      <c r="X1345" t="str">
        <f>VLOOKUP(L1345,'[2]tabela de preços'!$A:$G,7,0)</f>
        <v>INDUSTRIAL</v>
      </c>
    </row>
    <row r="1346" spans="1:24" x14ac:dyDescent="0.3">
      <c r="A1346" t="s">
        <v>1389</v>
      </c>
      <c r="C1346" t="s">
        <v>1402</v>
      </c>
      <c r="D1346" s="1">
        <v>46041</v>
      </c>
      <c r="E1346" t="s">
        <v>1403</v>
      </c>
      <c r="F1346">
        <v>9</v>
      </c>
      <c r="G1346">
        <v>230</v>
      </c>
      <c r="H1346" t="str">
        <f>VLOOKUP(G1346,[1]OPERADORES!$A:$B,2,0)</f>
        <v>SÔNIA</v>
      </c>
      <c r="I1346" t="s">
        <v>21</v>
      </c>
      <c r="J1346" t="s">
        <v>66</v>
      </c>
      <c r="K1346" t="s">
        <v>1392</v>
      </c>
      <c r="L1346">
        <v>84896</v>
      </c>
      <c r="M1346" t="s">
        <v>1197</v>
      </c>
      <c r="O1346" t="s">
        <v>11</v>
      </c>
      <c r="P1346">
        <v>5403</v>
      </c>
      <c r="Q1346">
        <v>2</v>
      </c>
      <c r="R1346">
        <v>155.59</v>
      </c>
      <c r="S1346">
        <v>311.18</v>
      </c>
      <c r="T1346">
        <v>236.2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>EPOXI</v>
      </c>
      <c r="X1346" t="str">
        <f>VLOOKUP(L1346,'[2]tabela de preços'!$A:$G,7,0)</f>
        <v>INDUSTRIAL</v>
      </c>
    </row>
    <row r="1347" spans="1:24" x14ac:dyDescent="0.3">
      <c r="A1347" t="s">
        <v>1389</v>
      </c>
      <c r="C1347" t="s">
        <v>1402</v>
      </c>
      <c r="D1347" s="1">
        <v>46041</v>
      </c>
      <c r="E1347" t="s">
        <v>1403</v>
      </c>
      <c r="F1347">
        <v>9</v>
      </c>
      <c r="G1347">
        <v>230</v>
      </c>
      <c r="H1347" t="str">
        <f>VLOOKUP(G1347,[1]OPERADORES!$A:$B,2,0)</f>
        <v>SÔNIA</v>
      </c>
      <c r="I1347" t="s">
        <v>21</v>
      </c>
      <c r="J1347" t="s">
        <v>66</v>
      </c>
      <c r="K1347" t="s">
        <v>1392</v>
      </c>
      <c r="L1347">
        <v>84427</v>
      </c>
      <c r="M1347" t="s">
        <v>1398</v>
      </c>
      <c r="O1347" t="s">
        <v>11</v>
      </c>
      <c r="P1347">
        <v>5102</v>
      </c>
      <c r="Q1347">
        <v>1</v>
      </c>
      <c r="R1347">
        <v>6.89</v>
      </c>
      <c r="S1347">
        <v>6.89</v>
      </c>
      <c r="T1347">
        <v>5.23</v>
      </c>
      <c r="U1347">
        <v>24.09</v>
      </c>
      <c r="V1347" t="str">
        <f>VLOOKUP(L1347,'[2]tabela de preços'!$A:$D,4,0)</f>
        <v>ATLAS</v>
      </c>
      <c r="W1347" t="str">
        <f>VLOOKUP(L1347,'[2]tabela de preços'!$A:$F,6,0)</f>
        <v>ROLOS / TRINCHAS / PINCÉIS / ESPÁTULAS</v>
      </c>
      <c r="X1347" t="str">
        <f>VLOOKUP(L1347,'[2]tabela de preços'!$A:$G,7,0)</f>
        <v>IMOBILIÁRIO</v>
      </c>
    </row>
    <row r="1348" spans="1:24" x14ac:dyDescent="0.3">
      <c r="A1348" t="s">
        <v>1389</v>
      </c>
      <c r="C1348" t="s">
        <v>1402</v>
      </c>
      <c r="D1348" s="1">
        <v>46041</v>
      </c>
      <c r="E1348" t="s">
        <v>1403</v>
      </c>
      <c r="F1348">
        <v>9</v>
      </c>
      <c r="G1348">
        <v>230</v>
      </c>
      <c r="H1348" t="str">
        <f>VLOOKUP(G1348,[1]OPERADORES!$A:$B,2,0)</f>
        <v>SÔNIA</v>
      </c>
      <c r="I1348" t="s">
        <v>21</v>
      </c>
      <c r="J1348" t="s">
        <v>66</v>
      </c>
      <c r="K1348" t="s">
        <v>1392</v>
      </c>
      <c r="L1348">
        <v>84423</v>
      </c>
      <c r="M1348" t="s">
        <v>1198</v>
      </c>
      <c r="O1348" t="s">
        <v>11</v>
      </c>
      <c r="P1348">
        <v>5102</v>
      </c>
      <c r="Q1348">
        <v>1</v>
      </c>
      <c r="R1348">
        <v>17.82</v>
      </c>
      <c r="S1348">
        <v>17.82</v>
      </c>
      <c r="T1348">
        <v>13.52</v>
      </c>
      <c r="U1348">
        <v>24.13</v>
      </c>
      <c r="V1348" t="str">
        <f>VLOOKUP(L1348,'[2]tabela de preços'!$A:$D,4,0)</f>
        <v>ATLAS</v>
      </c>
      <c r="W1348" t="str">
        <f>VLOOKUP(L1348,'[2]tabela de preços'!$A:$F,6,0)</f>
        <v>ROLOS / TRINCHAS / PINCÉIS / ESPÁTULAS</v>
      </c>
      <c r="X1348" t="str">
        <f>VLOOKUP(L1348,'[2]tabela de preços'!$A:$G,7,0)</f>
        <v>IMOBILIÁRIO</v>
      </c>
    </row>
    <row r="1349" spans="1:24" x14ac:dyDescent="0.3">
      <c r="A1349" t="s">
        <v>1389</v>
      </c>
      <c r="C1349" t="s">
        <v>1402</v>
      </c>
      <c r="D1349" s="1">
        <v>46041</v>
      </c>
      <c r="E1349" t="s">
        <v>1403</v>
      </c>
      <c r="F1349">
        <v>9</v>
      </c>
      <c r="G1349">
        <v>230</v>
      </c>
      <c r="H1349" t="str">
        <f>VLOOKUP(G1349,[1]OPERADORES!$A:$B,2,0)</f>
        <v>SÔNIA</v>
      </c>
      <c r="I1349" t="s">
        <v>21</v>
      </c>
      <c r="J1349" t="s">
        <v>66</v>
      </c>
      <c r="K1349" t="s">
        <v>1392</v>
      </c>
      <c r="L1349">
        <v>10118</v>
      </c>
      <c r="M1349" t="s">
        <v>572</v>
      </c>
      <c r="O1349" t="s">
        <v>11</v>
      </c>
      <c r="P1349">
        <v>5102</v>
      </c>
      <c r="Q1349">
        <v>2</v>
      </c>
      <c r="R1349">
        <v>5.0199999999999996</v>
      </c>
      <c r="S1349">
        <v>10.039999999999999</v>
      </c>
      <c r="T1349">
        <v>7.62</v>
      </c>
      <c r="U1349">
        <v>24.1</v>
      </c>
      <c r="V1349" t="str">
        <f>VLOOKUP(L1349,'[2]tabela de preços'!$A:$D,4,0)</f>
        <v>ATLAS</v>
      </c>
      <c r="W1349" t="str">
        <f>VLOOKUP(L1349,'[2]tabela de preços'!$A:$F,6,0)</f>
        <v>ROLOS / TRINCHAS / PINCÉIS / ESPÁTULAS</v>
      </c>
      <c r="X1349" t="str">
        <f>VLOOKUP(L1349,'[2]tabela de preços'!$A:$G,7,0)</f>
        <v>IMOBILIÁRIO</v>
      </c>
    </row>
    <row r="1350" spans="1:24" x14ac:dyDescent="0.3">
      <c r="A1350" t="s">
        <v>1404</v>
      </c>
      <c r="C1350" t="s">
        <v>1405</v>
      </c>
      <c r="D1350" s="1">
        <v>46030</v>
      </c>
      <c r="E1350" t="s">
        <v>1406</v>
      </c>
      <c r="F1350">
        <v>9</v>
      </c>
      <c r="G1350">
        <v>236</v>
      </c>
      <c r="H1350" t="str">
        <f>VLOOKUP(G1350,[1]OPERADORES!$A:$B,2,0)</f>
        <v>DANIEL</v>
      </c>
      <c r="I1350" t="s">
        <v>282</v>
      </c>
      <c r="J1350" t="s">
        <v>1407</v>
      </c>
      <c r="K1350" t="s">
        <v>1408</v>
      </c>
      <c r="L1350">
        <v>84244</v>
      </c>
      <c r="M1350" t="s">
        <v>1409</v>
      </c>
      <c r="O1350" t="s">
        <v>11</v>
      </c>
      <c r="P1350">
        <v>6403</v>
      </c>
      <c r="Q1350">
        <v>1</v>
      </c>
      <c r="R1350">
        <v>184.59</v>
      </c>
      <c r="S1350">
        <v>184.59</v>
      </c>
      <c r="T1350">
        <v>140.11000000000001</v>
      </c>
      <c r="U1350">
        <v>24.1</v>
      </c>
      <c r="V1350" t="str">
        <f>VLOOKUP(L1350,'[2]tabela de preços'!$A:$D,4,0)</f>
        <v>BRASILUX</v>
      </c>
      <c r="W1350" t="str">
        <f>VLOOKUP(L1350,'[2]tabela de preços'!$A:$F,6,0)</f>
        <v>IMPERMEABILIZANTES</v>
      </c>
      <c r="X1350" t="str">
        <f>VLOOKUP(L1350,'[2]tabela de preços'!$A:$G,7,0)</f>
        <v>IMOBILIÁRIO</v>
      </c>
    </row>
    <row r="1351" spans="1:24" x14ac:dyDescent="0.3">
      <c r="A1351" t="s">
        <v>1404</v>
      </c>
      <c r="C1351" t="s">
        <v>1405</v>
      </c>
      <c r="D1351" s="1">
        <v>46030</v>
      </c>
      <c r="E1351" t="s">
        <v>1406</v>
      </c>
      <c r="F1351">
        <v>9</v>
      </c>
      <c r="G1351">
        <v>236</v>
      </c>
      <c r="H1351" t="str">
        <f>VLOOKUP(G1351,[1]OPERADORES!$A:$B,2,0)</f>
        <v>DANIEL</v>
      </c>
      <c r="I1351" t="s">
        <v>282</v>
      </c>
      <c r="J1351" t="s">
        <v>1407</v>
      </c>
      <c r="K1351" t="s">
        <v>1408</v>
      </c>
      <c r="L1351">
        <v>85339</v>
      </c>
      <c r="M1351" t="s">
        <v>1410</v>
      </c>
      <c r="O1351" t="s">
        <v>11</v>
      </c>
      <c r="P1351">
        <v>6403</v>
      </c>
      <c r="Q1351">
        <v>12</v>
      </c>
      <c r="R1351">
        <v>59.9</v>
      </c>
      <c r="S1351">
        <v>718.8</v>
      </c>
      <c r="T1351">
        <v>590.4</v>
      </c>
      <c r="U1351">
        <v>17.86</v>
      </c>
      <c r="V1351" t="str">
        <f>VLOOKUP(L1351,'[2]tabela de preços'!$A:$D,4,0)</f>
        <v>DÁVILA  INOVE</v>
      </c>
      <c r="W1351" t="str">
        <f>VLOOKUP(L1351,'[2]tabela de preços'!$A:$F,6,0)</f>
        <v>TEXTURA</v>
      </c>
      <c r="X1351" t="str">
        <f>VLOOKUP(L1351,'[2]tabela de preços'!$A:$G,7,0)</f>
        <v>IMOBILIÁRIO</v>
      </c>
    </row>
    <row r="1352" spans="1:24" x14ac:dyDescent="0.3">
      <c r="A1352" t="s">
        <v>1411</v>
      </c>
      <c r="C1352" t="s">
        <v>1412</v>
      </c>
      <c r="D1352" s="1">
        <v>46045</v>
      </c>
      <c r="E1352" t="s">
        <v>1413</v>
      </c>
      <c r="F1352">
        <v>9</v>
      </c>
      <c r="G1352">
        <v>197</v>
      </c>
      <c r="H1352" t="str">
        <f>VLOOKUP(G1352,[1]OPERADORES!$A:$B,2,0)</f>
        <v xml:space="preserve">POLIANA LORRANE DE AMORIM </v>
      </c>
      <c r="I1352" t="s">
        <v>21</v>
      </c>
      <c r="J1352" t="s">
        <v>1414</v>
      </c>
      <c r="K1352" t="s">
        <v>1415</v>
      </c>
      <c r="L1352">
        <v>84029</v>
      </c>
      <c r="M1352" t="s">
        <v>29</v>
      </c>
      <c r="O1352" t="s">
        <v>11</v>
      </c>
      <c r="P1352">
        <v>5102</v>
      </c>
      <c r="Q1352">
        <v>2</v>
      </c>
      <c r="R1352">
        <v>11.45</v>
      </c>
      <c r="S1352">
        <v>22.9</v>
      </c>
      <c r="T1352">
        <v>17.38</v>
      </c>
      <c r="U1352">
        <v>24.1</v>
      </c>
      <c r="V1352" t="str">
        <f>VLOOKUP(L1352,'[2]tabela de preços'!$A:$D,4,0)</f>
        <v>BRASILUX</v>
      </c>
      <c r="W1352" t="str">
        <f>VLOOKUP(L1352,'[2]tabela de preços'!$A:$F,6,0)</f>
        <v>AGUARRAS</v>
      </c>
      <c r="X1352" t="str">
        <f>VLOOKUP(L1352,'[2]tabela de preços'!$A:$G,7,0)</f>
        <v>IMOBILIÁRIO</v>
      </c>
    </row>
    <row r="1353" spans="1:24" x14ac:dyDescent="0.3">
      <c r="A1353" t="s">
        <v>1411</v>
      </c>
      <c r="C1353" t="s">
        <v>1412</v>
      </c>
      <c r="D1353" s="1">
        <v>46045</v>
      </c>
      <c r="E1353" t="s">
        <v>1413</v>
      </c>
      <c r="F1353">
        <v>9</v>
      </c>
      <c r="G1353">
        <v>197</v>
      </c>
      <c r="H1353" t="str">
        <f>VLOOKUP(G1353,[1]OPERADORES!$A:$B,2,0)</f>
        <v xml:space="preserve">POLIANA LORRANE DE AMORIM </v>
      </c>
      <c r="I1353" t="s">
        <v>21</v>
      </c>
      <c r="J1353" t="s">
        <v>1414</v>
      </c>
      <c r="K1353" t="s">
        <v>1415</v>
      </c>
      <c r="L1353">
        <v>84387</v>
      </c>
      <c r="M1353" t="s">
        <v>1416</v>
      </c>
      <c r="O1353" t="s">
        <v>11</v>
      </c>
      <c r="P1353">
        <v>5403</v>
      </c>
      <c r="Q1353">
        <v>2</v>
      </c>
      <c r="R1353">
        <v>181.31</v>
      </c>
      <c r="S1353">
        <v>362.62</v>
      </c>
      <c r="T1353">
        <v>275.22000000000003</v>
      </c>
      <c r="U1353">
        <v>24.1</v>
      </c>
      <c r="V1353" t="str">
        <f>VLOOKUP(L1353,'[2]tabela de preços'!$A:$D,4,0)</f>
        <v>BRASILUX</v>
      </c>
      <c r="W1353" t="str">
        <f>VLOOKUP(L1353,'[2]tabela de preços'!$A:$F,6,0)</f>
        <v>TINTA PARA PISO</v>
      </c>
      <c r="X1353" t="str">
        <f>VLOOKUP(L1353,'[2]tabela de preços'!$A:$G,7,0)</f>
        <v>IMOBILIÁRIO</v>
      </c>
    </row>
    <row r="1354" spans="1:24" x14ac:dyDescent="0.3">
      <c r="A1354" t="s">
        <v>1411</v>
      </c>
      <c r="C1354" t="s">
        <v>1412</v>
      </c>
      <c r="D1354" s="1">
        <v>46045</v>
      </c>
      <c r="E1354" t="s">
        <v>1413</v>
      </c>
      <c r="F1354">
        <v>9</v>
      </c>
      <c r="G1354">
        <v>197</v>
      </c>
      <c r="H1354" t="str">
        <f>VLOOKUP(G1354,[1]OPERADORES!$A:$B,2,0)</f>
        <v xml:space="preserve">POLIANA LORRANE DE AMORIM </v>
      </c>
      <c r="I1354" t="s">
        <v>21</v>
      </c>
      <c r="J1354" t="s">
        <v>1414</v>
      </c>
      <c r="K1354" t="s">
        <v>1415</v>
      </c>
      <c r="L1354">
        <v>84388</v>
      </c>
      <c r="M1354" t="s">
        <v>1417</v>
      </c>
      <c r="O1354" t="s">
        <v>11</v>
      </c>
      <c r="P1354">
        <v>5403</v>
      </c>
      <c r="Q1354">
        <v>1</v>
      </c>
      <c r="R1354">
        <v>159.9</v>
      </c>
      <c r="S1354">
        <v>159.9</v>
      </c>
      <c r="T1354">
        <v>137.61000000000001</v>
      </c>
      <c r="U1354">
        <v>13.94</v>
      </c>
      <c r="V1354" t="str">
        <f>VLOOKUP(L1354,'[2]tabela de preços'!$A:$D,4,0)</f>
        <v>BRASILUX</v>
      </c>
      <c r="W1354" t="str">
        <f>VLOOKUP(L1354,'[2]tabela de preços'!$A:$F,6,0)</f>
        <v>TINTA PARA PISO</v>
      </c>
      <c r="X1354" t="str">
        <f>VLOOKUP(L1354,'[2]tabela de preços'!$A:$G,7,0)</f>
        <v>IMOBILIÁRIO</v>
      </c>
    </row>
    <row r="1355" spans="1:24" x14ac:dyDescent="0.3">
      <c r="A1355" t="s">
        <v>1411</v>
      </c>
      <c r="C1355" t="s">
        <v>1412</v>
      </c>
      <c r="D1355" s="1">
        <v>46045</v>
      </c>
      <c r="E1355" t="s">
        <v>1413</v>
      </c>
      <c r="F1355">
        <v>9</v>
      </c>
      <c r="G1355">
        <v>197</v>
      </c>
      <c r="H1355" t="str">
        <f>VLOOKUP(G1355,[1]OPERADORES!$A:$B,2,0)</f>
        <v xml:space="preserve">POLIANA LORRANE DE AMORIM </v>
      </c>
      <c r="I1355" t="s">
        <v>21</v>
      </c>
      <c r="J1355" t="s">
        <v>1414</v>
      </c>
      <c r="K1355" t="s">
        <v>1415</v>
      </c>
      <c r="L1355">
        <v>85782</v>
      </c>
      <c r="M1355" t="s">
        <v>1418</v>
      </c>
      <c r="O1355" t="s">
        <v>11</v>
      </c>
      <c r="P1355">
        <v>5403</v>
      </c>
      <c r="Q1355">
        <v>1</v>
      </c>
      <c r="R1355">
        <v>177.38</v>
      </c>
      <c r="S1355">
        <v>177.38</v>
      </c>
      <c r="T1355">
        <v>134.63</v>
      </c>
      <c r="U1355">
        <v>24.1</v>
      </c>
      <c r="V1355" t="str">
        <f>VLOOKUP(L1355,'[2]tabela de preços'!$A:$D,4,0)</f>
        <v>CORAL</v>
      </c>
      <c r="W1355" t="str">
        <f>VLOOKUP(L1355,'[2]tabela de preços'!$A:$F,6,0)</f>
        <v>TINTA PAREDE</v>
      </c>
      <c r="X1355" t="str">
        <f>VLOOKUP(L1355,'[2]tabela de preços'!$A:$G,7,0)</f>
        <v>IMOBILIÁRIO</v>
      </c>
    </row>
    <row r="1356" spans="1:24" x14ac:dyDescent="0.3">
      <c r="A1356" t="s">
        <v>1411</v>
      </c>
      <c r="C1356" t="s">
        <v>1412</v>
      </c>
      <c r="D1356" s="1">
        <v>46045</v>
      </c>
      <c r="E1356" t="s">
        <v>1413</v>
      </c>
      <c r="F1356">
        <v>9</v>
      </c>
      <c r="G1356">
        <v>197</v>
      </c>
      <c r="H1356" t="str">
        <f>VLOOKUP(G1356,[1]OPERADORES!$A:$B,2,0)</f>
        <v xml:space="preserve">POLIANA LORRANE DE AMORIM </v>
      </c>
      <c r="I1356" t="s">
        <v>21</v>
      </c>
      <c r="J1356" t="s">
        <v>1414</v>
      </c>
      <c r="K1356" t="s">
        <v>1415</v>
      </c>
      <c r="L1356">
        <v>86627</v>
      </c>
      <c r="M1356" t="s">
        <v>1419</v>
      </c>
      <c r="O1356" t="s">
        <v>11</v>
      </c>
      <c r="P1356">
        <v>5403</v>
      </c>
      <c r="Q1356">
        <v>1</v>
      </c>
      <c r="R1356">
        <v>285.87</v>
      </c>
      <c r="S1356">
        <v>285.87</v>
      </c>
      <c r="T1356">
        <v>216.98</v>
      </c>
      <c r="U1356">
        <v>24.1</v>
      </c>
      <c r="V1356" t="str">
        <f>VLOOKUP(L1356,'[2]tabela de preços'!$A:$D,4,0)</f>
        <v>CORAL</v>
      </c>
      <c r="W1356" t="str">
        <f>VLOOKUP(L1356,'[2]tabela de preços'!$A:$F,6,0)</f>
        <v>TINTA PAREDE</v>
      </c>
      <c r="X1356" t="str">
        <f>VLOOKUP(L1356,'[2]tabela de preços'!$A:$G,7,0)</f>
        <v>IMOBILIÁRIO</v>
      </c>
    </row>
    <row r="1357" spans="1:24" x14ac:dyDescent="0.3">
      <c r="A1357" t="s">
        <v>1411</v>
      </c>
      <c r="C1357" t="s">
        <v>1412</v>
      </c>
      <c r="D1357" s="1">
        <v>46045</v>
      </c>
      <c r="E1357" t="s">
        <v>1413</v>
      </c>
      <c r="F1357">
        <v>9</v>
      </c>
      <c r="G1357">
        <v>197</v>
      </c>
      <c r="H1357" t="str">
        <f>VLOOKUP(G1357,[1]OPERADORES!$A:$B,2,0)</f>
        <v xml:space="preserve">POLIANA LORRANE DE AMORIM </v>
      </c>
      <c r="I1357" t="s">
        <v>21</v>
      </c>
      <c r="J1357" t="s">
        <v>1414</v>
      </c>
      <c r="K1357" t="s">
        <v>1415</v>
      </c>
      <c r="L1357">
        <v>86881</v>
      </c>
      <c r="M1357" t="s">
        <v>1420</v>
      </c>
      <c r="O1357" t="s">
        <v>11</v>
      </c>
      <c r="P1357">
        <v>5102</v>
      </c>
      <c r="Q1357">
        <v>2</v>
      </c>
      <c r="R1357">
        <v>64.900000000000006</v>
      </c>
      <c r="S1357">
        <v>129.80000000000001</v>
      </c>
      <c r="T1357">
        <v>105.52</v>
      </c>
      <c r="U1357">
        <v>18.71</v>
      </c>
      <c r="V1357" t="str">
        <f>VLOOKUP(L1357,'[2]tabela de preços'!$A:$D,4,0)</f>
        <v>VEDACIT</v>
      </c>
      <c r="W1357" t="str">
        <f>VLOOKUP(L1357,'[2]tabela de preços'!$A:$F,6,0)</f>
        <v>IMPERMEABILIZANTES</v>
      </c>
      <c r="X1357" t="str">
        <f>VLOOKUP(L1357,'[2]tabela de preços'!$A:$G,7,0)</f>
        <v>IMOBILIÁRIO</v>
      </c>
    </row>
    <row r="1358" spans="1:24" x14ac:dyDescent="0.3">
      <c r="A1358" t="s">
        <v>1411</v>
      </c>
      <c r="C1358" t="s">
        <v>1412</v>
      </c>
      <c r="D1358" s="1">
        <v>46045</v>
      </c>
      <c r="E1358" t="s">
        <v>1413</v>
      </c>
      <c r="F1358">
        <v>9</v>
      </c>
      <c r="G1358">
        <v>197</v>
      </c>
      <c r="H1358" t="str">
        <f>VLOOKUP(G1358,[1]OPERADORES!$A:$B,2,0)</f>
        <v xml:space="preserve">POLIANA LORRANE DE AMORIM </v>
      </c>
      <c r="I1358" t="s">
        <v>21</v>
      </c>
      <c r="J1358" t="s">
        <v>1414</v>
      </c>
      <c r="K1358" t="s">
        <v>1415</v>
      </c>
      <c r="L1358">
        <v>23124</v>
      </c>
      <c r="M1358" t="s">
        <v>1421</v>
      </c>
      <c r="O1358" t="s">
        <v>11</v>
      </c>
      <c r="P1358">
        <v>5102</v>
      </c>
      <c r="Q1358">
        <v>1</v>
      </c>
      <c r="R1358">
        <v>33.26</v>
      </c>
      <c r="S1358">
        <v>33.26</v>
      </c>
      <c r="T1358">
        <v>21.46</v>
      </c>
      <c r="U1358">
        <v>35.479999999999997</v>
      </c>
      <c r="V1358" t="str">
        <f>VLOOKUP(L1358,'[2]tabela de preços'!$A:$D,4,0)</f>
        <v>3M</v>
      </c>
      <c r="W1358" t="str">
        <f>VLOOKUP(L1358,'[2]tabela de preços'!$A:$F,6,0)</f>
        <v>FITA AUTOMOTIVA</v>
      </c>
      <c r="X1358" t="str">
        <f>VLOOKUP(L1358,'[2]tabela de preços'!$A:$G,7,0)</f>
        <v>AUTOMOTIVO</v>
      </c>
    </row>
    <row r="1359" spans="1:24" x14ac:dyDescent="0.3">
      <c r="A1359" t="s">
        <v>1411</v>
      </c>
      <c r="C1359" t="s">
        <v>1412</v>
      </c>
      <c r="D1359" s="1">
        <v>46045</v>
      </c>
      <c r="E1359" t="s">
        <v>1413</v>
      </c>
      <c r="F1359">
        <v>9</v>
      </c>
      <c r="G1359">
        <v>197</v>
      </c>
      <c r="H1359" t="str">
        <f>VLOOKUP(G1359,[1]OPERADORES!$A:$B,2,0)</f>
        <v xml:space="preserve">POLIANA LORRANE DE AMORIM </v>
      </c>
      <c r="I1359" t="s">
        <v>21</v>
      </c>
      <c r="J1359" t="s">
        <v>1414</v>
      </c>
      <c r="K1359" t="s">
        <v>1415</v>
      </c>
      <c r="L1359">
        <v>84020</v>
      </c>
      <c r="M1359" t="s">
        <v>518</v>
      </c>
      <c r="O1359" t="s">
        <v>11</v>
      </c>
      <c r="P1359">
        <v>5102</v>
      </c>
      <c r="Q1359">
        <v>25</v>
      </c>
      <c r="R1359">
        <v>0.91</v>
      </c>
      <c r="S1359">
        <v>22.75</v>
      </c>
      <c r="T1359">
        <v>17.25</v>
      </c>
      <c r="U1359">
        <v>24.18</v>
      </c>
      <c r="V1359" t="str">
        <f>VLOOKUP(L1359,'[2]tabela de preços'!$A:$D,4,0)</f>
        <v>3M</v>
      </c>
      <c r="W1359" t="str">
        <f>VLOOKUP(L1359,'[2]tabela de preços'!$A:$F,6,0)</f>
        <v>LIXA MASSA  /MADEIRA / PAREDE</v>
      </c>
      <c r="X1359" t="str">
        <f>VLOOKUP(L1359,'[2]tabela de preços'!$A:$G,7,0)</f>
        <v>IMOBILIÁRIO</v>
      </c>
    </row>
    <row r="1360" spans="1:24" x14ac:dyDescent="0.3">
      <c r="A1360" t="s">
        <v>1411</v>
      </c>
      <c r="C1360" t="s">
        <v>1412</v>
      </c>
      <c r="D1360" s="1">
        <v>46045</v>
      </c>
      <c r="E1360" t="s">
        <v>1413</v>
      </c>
      <c r="F1360">
        <v>9</v>
      </c>
      <c r="G1360">
        <v>197</v>
      </c>
      <c r="H1360" t="str">
        <f>VLOOKUP(G1360,[1]OPERADORES!$A:$B,2,0)</f>
        <v xml:space="preserve">POLIANA LORRANE DE AMORIM </v>
      </c>
      <c r="I1360" t="s">
        <v>21</v>
      </c>
      <c r="J1360" t="s">
        <v>1414</v>
      </c>
      <c r="K1360" t="s">
        <v>1415</v>
      </c>
      <c r="L1360">
        <v>86883</v>
      </c>
      <c r="M1360" t="s">
        <v>1422</v>
      </c>
      <c r="O1360" t="s">
        <v>11</v>
      </c>
      <c r="P1360">
        <v>5102</v>
      </c>
      <c r="Q1360">
        <v>1</v>
      </c>
      <c r="R1360">
        <v>41</v>
      </c>
      <c r="S1360">
        <v>41</v>
      </c>
      <c r="T1360">
        <v>33.270000000000003</v>
      </c>
      <c r="U1360">
        <v>18.850000000000001</v>
      </c>
      <c r="V1360" t="str">
        <f>VLOOKUP(L1360,'[2]tabela de preços'!$A:$D,4,0)</f>
        <v>VEDACIT</v>
      </c>
      <c r="W1360" t="str">
        <f>VLOOKUP(L1360,'[2]tabela de preços'!$A:$F,6,0)</f>
        <v>IMPERMEABILIZANTES</v>
      </c>
      <c r="X1360" t="str">
        <f>VLOOKUP(L1360,'[2]tabela de preços'!$A:$G,7,0)</f>
        <v>IMOBILIÁRIO</v>
      </c>
    </row>
    <row r="1361" spans="1:24" x14ac:dyDescent="0.3">
      <c r="A1361" t="s">
        <v>1411</v>
      </c>
      <c r="C1361" t="s">
        <v>1412</v>
      </c>
      <c r="D1361" s="1">
        <v>46045</v>
      </c>
      <c r="E1361" t="s">
        <v>1413</v>
      </c>
      <c r="F1361">
        <v>9</v>
      </c>
      <c r="G1361">
        <v>197</v>
      </c>
      <c r="H1361" t="str">
        <f>VLOOKUP(G1361,[1]OPERADORES!$A:$B,2,0)</f>
        <v xml:space="preserve">POLIANA LORRANE DE AMORIM </v>
      </c>
      <c r="I1361" t="s">
        <v>21</v>
      </c>
      <c r="J1361" t="s">
        <v>1414</v>
      </c>
      <c r="K1361" t="s">
        <v>1415</v>
      </c>
      <c r="L1361">
        <v>84703</v>
      </c>
      <c r="M1361" t="s">
        <v>1423</v>
      </c>
      <c r="O1361" t="s">
        <v>11</v>
      </c>
      <c r="P1361">
        <v>5102</v>
      </c>
      <c r="Q1361">
        <v>1</v>
      </c>
      <c r="R1361">
        <v>18.86</v>
      </c>
      <c r="S1361">
        <v>18.86</v>
      </c>
      <c r="T1361">
        <v>12.17</v>
      </c>
      <c r="U1361">
        <v>35.47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1411</v>
      </c>
      <c r="C1362" t="s">
        <v>1412</v>
      </c>
      <c r="D1362" s="1">
        <v>46045</v>
      </c>
      <c r="E1362" t="s">
        <v>1413</v>
      </c>
      <c r="F1362">
        <v>9</v>
      </c>
      <c r="G1362">
        <v>197</v>
      </c>
      <c r="H1362" t="str">
        <f>VLOOKUP(G1362,[1]OPERADORES!$A:$B,2,0)</f>
        <v xml:space="preserve">POLIANA LORRANE DE AMORIM </v>
      </c>
      <c r="I1362" t="s">
        <v>21</v>
      </c>
      <c r="J1362" t="s">
        <v>1414</v>
      </c>
      <c r="K1362" t="s">
        <v>1415</v>
      </c>
      <c r="L1362">
        <v>84497</v>
      </c>
      <c r="M1362" t="s">
        <v>1159</v>
      </c>
      <c r="O1362" t="s">
        <v>11</v>
      </c>
      <c r="P1362">
        <v>5102</v>
      </c>
      <c r="Q1362">
        <v>1</v>
      </c>
      <c r="R1362">
        <v>9.99</v>
      </c>
      <c r="S1362">
        <v>9.99</v>
      </c>
      <c r="T1362">
        <v>8.14</v>
      </c>
      <c r="U1362">
        <v>18.52</v>
      </c>
      <c r="V1362" t="str">
        <f>VLOOKUP(L1362,'[2]tabela de preços'!$A:$D,4,0)</f>
        <v>BRASILUX</v>
      </c>
      <c r="W1362" t="str">
        <f>VLOOKUP(L1362,'[2]tabela de preços'!$A:$F,6,0)</f>
        <v>THINNER DE LIMPEZA</v>
      </c>
      <c r="X1362" t="str">
        <f>VLOOKUP(L1362,'[2]tabela de preços'!$A:$G,7,0)</f>
        <v>THINNER</v>
      </c>
    </row>
    <row r="1363" spans="1:24" x14ac:dyDescent="0.3">
      <c r="A1363" t="s">
        <v>1424</v>
      </c>
      <c r="C1363" t="s">
        <v>1425</v>
      </c>
      <c r="D1363" s="1">
        <v>46024</v>
      </c>
      <c r="E1363" t="s">
        <v>1426</v>
      </c>
      <c r="F1363">
        <v>9</v>
      </c>
      <c r="G1363">
        <v>230</v>
      </c>
      <c r="H1363" t="str">
        <f>VLOOKUP(G1363,[1]OPERADORES!$A:$B,2,0)</f>
        <v>SÔNIA</v>
      </c>
      <c r="I1363" t="s">
        <v>21</v>
      </c>
      <c r="J1363" t="s">
        <v>1427</v>
      </c>
      <c r="K1363" t="s">
        <v>1428</v>
      </c>
      <c r="L1363">
        <v>84175</v>
      </c>
      <c r="M1363" t="s">
        <v>1429</v>
      </c>
      <c r="O1363" t="s">
        <v>11</v>
      </c>
      <c r="P1363">
        <v>5403</v>
      </c>
      <c r="Q1363">
        <v>1</v>
      </c>
      <c r="R1363">
        <v>91.77</v>
      </c>
      <c r="S1363">
        <v>91.77</v>
      </c>
      <c r="T1363">
        <v>69.66</v>
      </c>
      <c r="U1363">
        <v>24.09</v>
      </c>
      <c r="V1363" t="str">
        <f>VLOOKUP(L1363,'[2]tabela de preços'!$A:$D,4,0)</f>
        <v>BRASILUX</v>
      </c>
      <c r="W1363" t="str">
        <f>VLOOKUP(L1363,'[2]tabela de preços'!$A:$F,6,0)</f>
        <v>ESMALTES</v>
      </c>
      <c r="X1363" t="str">
        <f>VLOOKUP(L1363,'[2]tabela de preços'!$A:$G,7,0)</f>
        <v>INDUSTRIAL</v>
      </c>
    </row>
    <row r="1364" spans="1:24" x14ac:dyDescent="0.3">
      <c r="A1364" t="s">
        <v>1424</v>
      </c>
      <c r="C1364" t="s">
        <v>1425</v>
      </c>
      <c r="D1364" s="1">
        <v>46024</v>
      </c>
      <c r="E1364" t="s">
        <v>1426</v>
      </c>
      <c r="F1364">
        <v>9</v>
      </c>
      <c r="G1364">
        <v>230</v>
      </c>
      <c r="H1364" t="str">
        <f>VLOOKUP(G1364,[1]OPERADORES!$A:$B,2,0)</f>
        <v>SÔNIA</v>
      </c>
      <c r="I1364" t="s">
        <v>21</v>
      </c>
      <c r="J1364" t="s">
        <v>1427</v>
      </c>
      <c r="K1364" t="s">
        <v>1428</v>
      </c>
      <c r="L1364">
        <v>84113</v>
      </c>
      <c r="M1364" t="s">
        <v>737</v>
      </c>
      <c r="O1364" t="s">
        <v>11</v>
      </c>
      <c r="P1364">
        <v>5403</v>
      </c>
      <c r="Q1364">
        <v>1</v>
      </c>
      <c r="R1364">
        <v>153.99</v>
      </c>
      <c r="S1364">
        <v>153.99</v>
      </c>
      <c r="T1364">
        <v>116.88</v>
      </c>
      <c r="U1364">
        <v>24.1</v>
      </c>
      <c r="V1364" t="str">
        <f>VLOOKUP(L1364,'[2]tabela de preços'!$A:$D,4,0)</f>
        <v>BRASILUX</v>
      </c>
      <c r="W1364" t="str">
        <f>VLOOKUP(L1364,'[2]tabela de preços'!$A:$F,6,0)</f>
        <v>EPOXI</v>
      </c>
      <c r="X1364" t="str">
        <f>VLOOKUP(L1364,'[2]tabela de preços'!$A:$G,7,0)</f>
        <v>INDUSTRIAL</v>
      </c>
    </row>
    <row r="1365" spans="1:24" x14ac:dyDescent="0.3">
      <c r="A1365" t="s">
        <v>1424</v>
      </c>
      <c r="C1365" t="s">
        <v>2386</v>
      </c>
      <c r="D1365" s="1">
        <v>46052</v>
      </c>
      <c r="E1365" t="s">
        <v>2387</v>
      </c>
      <c r="F1365">
        <v>9</v>
      </c>
      <c r="G1365">
        <v>230</v>
      </c>
      <c r="H1365" t="str">
        <f>VLOOKUP(G1365,[1]OPERADORES!$A:$B,2,0)</f>
        <v>SÔNIA</v>
      </c>
      <c r="I1365" t="s">
        <v>21</v>
      </c>
      <c r="J1365" t="s">
        <v>1427</v>
      </c>
      <c r="K1365" t="s">
        <v>1428</v>
      </c>
      <c r="L1365">
        <v>84113</v>
      </c>
      <c r="M1365" t="s">
        <v>737</v>
      </c>
      <c r="O1365" t="s">
        <v>11</v>
      </c>
      <c r="P1365">
        <v>5403</v>
      </c>
      <c r="Q1365">
        <v>2</v>
      </c>
      <c r="R1365">
        <v>153.99</v>
      </c>
      <c r="S1365">
        <v>307.98</v>
      </c>
      <c r="T1365">
        <v>233.76</v>
      </c>
      <c r="U1365">
        <v>24.1</v>
      </c>
      <c r="V1365" t="str">
        <f>VLOOKUP(L1365,'[2]tabela de preços'!$A:$D,4,0)</f>
        <v>BRASILUX</v>
      </c>
      <c r="W1365" t="str">
        <f>VLOOKUP(L1365,'[2]tabela de preços'!$A:$F,6,0)</f>
        <v>EPOXI</v>
      </c>
      <c r="X1365" t="str">
        <f>VLOOKUP(L1365,'[2]tabela de preços'!$A:$G,7,0)</f>
        <v>INDUSTRIAL</v>
      </c>
    </row>
    <row r="1366" spans="1:24" x14ac:dyDescent="0.3">
      <c r="A1366" t="s">
        <v>1430</v>
      </c>
      <c r="C1366" t="s">
        <v>1431</v>
      </c>
      <c r="D1366" s="1">
        <v>46028</v>
      </c>
      <c r="E1366" t="s">
        <v>1432</v>
      </c>
      <c r="F1366">
        <v>9</v>
      </c>
      <c r="G1366">
        <v>197</v>
      </c>
      <c r="H1366" t="str">
        <f>VLOOKUP(G1366,[1]OPERADORES!$A:$B,2,0)</f>
        <v xml:space="preserve">POLIANA LORRANE DE AMORIM </v>
      </c>
      <c r="I1366" t="s">
        <v>21</v>
      </c>
      <c r="J1366" t="s">
        <v>363</v>
      </c>
      <c r="K1366" t="s">
        <v>1433</v>
      </c>
      <c r="L1366">
        <v>85318</v>
      </c>
      <c r="M1366" t="s">
        <v>258</v>
      </c>
      <c r="O1366" t="s">
        <v>11</v>
      </c>
      <c r="P1366">
        <v>5102</v>
      </c>
      <c r="Q1366">
        <v>1</v>
      </c>
      <c r="R1366">
        <v>775.32</v>
      </c>
      <c r="S1366">
        <v>775.32</v>
      </c>
      <c r="T1366">
        <v>552.80999999999995</v>
      </c>
      <c r="U1366">
        <v>28.7</v>
      </c>
      <c r="V1366" t="str">
        <f>VLOOKUP(L1366,'[2]tabela de preços'!$A:$D,4,0)</f>
        <v>BRASILUX</v>
      </c>
      <c r="W1366" t="str">
        <f>VLOOKUP(L1366,'[2]tabela de preços'!$A:$F,6,0)</f>
        <v>TINTA EM PÓ</v>
      </c>
      <c r="X1366" t="str">
        <f>VLOOKUP(L1366,'[2]tabela de preços'!$A:$G,7,0)</f>
        <v>INDUSTRIAL</v>
      </c>
    </row>
    <row r="1367" spans="1:24" x14ac:dyDescent="0.3">
      <c r="A1367" t="s">
        <v>1430</v>
      </c>
      <c r="C1367" t="s">
        <v>1431</v>
      </c>
      <c r="D1367" s="1">
        <v>46028</v>
      </c>
      <c r="E1367" t="s">
        <v>1432</v>
      </c>
      <c r="F1367">
        <v>9</v>
      </c>
      <c r="G1367">
        <v>197</v>
      </c>
      <c r="H1367" t="str">
        <f>VLOOKUP(G1367,[1]OPERADORES!$A:$B,2,0)</f>
        <v xml:space="preserve">POLIANA LORRANE DE AMORIM </v>
      </c>
      <c r="I1367" t="s">
        <v>21</v>
      </c>
      <c r="J1367" t="s">
        <v>363</v>
      </c>
      <c r="K1367" t="s">
        <v>1433</v>
      </c>
      <c r="L1367">
        <v>85401</v>
      </c>
      <c r="M1367" t="s">
        <v>261</v>
      </c>
      <c r="O1367" t="s">
        <v>11</v>
      </c>
      <c r="P1367">
        <v>5102</v>
      </c>
      <c r="Q1367">
        <v>1</v>
      </c>
      <c r="R1367">
        <v>633.42999999999995</v>
      </c>
      <c r="S1367">
        <v>633.42999999999995</v>
      </c>
      <c r="T1367">
        <v>451.64</v>
      </c>
      <c r="U1367">
        <v>28.7</v>
      </c>
      <c r="V1367" t="str">
        <f>VLOOKUP(L1367,'[2]tabela de preços'!$A:$D,4,0)</f>
        <v>BRASILUX</v>
      </c>
      <c r="W1367" t="str">
        <f>VLOOKUP(L1367,'[2]tabela de preços'!$A:$F,6,0)</f>
        <v>TINTA EM PÓ</v>
      </c>
      <c r="X1367" t="str">
        <f>VLOOKUP(L1367,'[2]tabela de preços'!$A:$G,7,0)</f>
        <v>INDUSTRIAL</v>
      </c>
    </row>
    <row r="1368" spans="1:24" x14ac:dyDescent="0.3">
      <c r="A1368" t="s">
        <v>1430</v>
      </c>
      <c r="C1368" t="s">
        <v>1431</v>
      </c>
      <c r="D1368" s="1">
        <v>46028</v>
      </c>
      <c r="E1368" t="s">
        <v>1432</v>
      </c>
      <c r="F1368">
        <v>9</v>
      </c>
      <c r="G1368">
        <v>197</v>
      </c>
      <c r="H1368" t="str">
        <f>VLOOKUP(G1368,[1]OPERADORES!$A:$B,2,0)</f>
        <v xml:space="preserve">POLIANA LORRANE DE AMORIM </v>
      </c>
      <c r="I1368" t="s">
        <v>21</v>
      </c>
      <c r="J1368" t="s">
        <v>363</v>
      </c>
      <c r="K1368" t="s">
        <v>1433</v>
      </c>
      <c r="L1368">
        <v>85355</v>
      </c>
      <c r="M1368" t="s">
        <v>1434</v>
      </c>
      <c r="O1368" t="s">
        <v>11</v>
      </c>
      <c r="P1368">
        <v>5102</v>
      </c>
      <c r="Q1368">
        <v>1</v>
      </c>
      <c r="R1368">
        <v>594.16999999999996</v>
      </c>
      <c r="S1368">
        <v>594.16999999999996</v>
      </c>
      <c r="T1368">
        <v>423.65</v>
      </c>
      <c r="U1368">
        <v>28.7</v>
      </c>
      <c r="V1368" t="str">
        <f>VLOOKUP(L1368,'[2]tabela de preços'!$A:$D,4,0)</f>
        <v>BRASILUX</v>
      </c>
      <c r="W1368" t="str">
        <f>VLOOKUP(L1368,'[2]tabela de preços'!$A:$F,6,0)</f>
        <v>TINTA EM PÓ</v>
      </c>
      <c r="X1368" t="str">
        <f>VLOOKUP(L1368,'[2]tabela de preços'!$A:$G,7,0)</f>
        <v>INDUSTRIAL</v>
      </c>
    </row>
    <row r="1369" spans="1:24" x14ac:dyDescent="0.3">
      <c r="A1369" t="s">
        <v>1430</v>
      </c>
      <c r="C1369" t="s">
        <v>1431</v>
      </c>
      <c r="D1369" s="1">
        <v>46028</v>
      </c>
      <c r="E1369" t="s">
        <v>1432</v>
      </c>
      <c r="F1369">
        <v>9</v>
      </c>
      <c r="G1369">
        <v>197</v>
      </c>
      <c r="H1369" t="str">
        <f>VLOOKUP(G1369,[1]OPERADORES!$A:$B,2,0)</f>
        <v xml:space="preserve">POLIANA LORRANE DE AMORIM </v>
      </c>
      <c r="I1369" t="s">
        <v>21</v>
      </c>
      <c r="J1369" t="s">
        <v>363</v>
      </c>
      <c r="K1369" t="s">
        <v>1433</v>
      </c>
      <c r="L1369">
        <v>85315</v>
      </c>
      <c r="M1369" t="s">
        <v>485</v>
      </c>
      <c r="O1369" t="s">
        <v>11</v>
      </c>
      <c r="P1369">
        <v>5102</v>
      </c>
      <c r="Q1369">
        <v>1</v>
      </c>
      <c r="R1369">
        <v>569.72</v>
      </c>
      <c r="S1369">
        <v>569.72</v>
      </c>
      <c r="T1369">
        <v>406.22</v>
      </c>
      <c r="U1369">
        <v>28.7</v>
      </c>
      <c r="V1369" t="str">
        <f>VLOOKUP(L1369,'[2]tabela de preços'!$A:$D,4,0)</f>
        <v>BRASILUX</v>
      </c>
      <c r="W1369" t="str">
        <f>VLOOKUP(L1369,'[2]tabela de preços'!$A:$F,6,0)</f>
        <v>TINTA EM PÓ</v>
      </c>
      <c r="X1369" t="str">
        <f>VLOOKUP(L1369,'[2]tabela de preços'!$A:$G,7,0)</f>
        <v>INDUSTRIAL</v>
      </c>
    </row>
    <row r="1370" spans="1:24" x14ac:dyDescent="0.3">
      <c r="A1370" t="s">
        <v>1430</v>
      </c>
      <c r="C1370" t="s">
        <v>1435</v>
      </c>
      <c r="D1370" s="1">
        <v>46029</v>
      </c>
      <c r="E1370" t="s">
        <v>1436</v>
      </c>
      <c r="F1370">
        <v>9</v>
      </c>
      <c r="G1370">
        <v>197</v>
      </c>
      <c r="H1370" t="str">
        <f>VLOOKUP(G1370,[1]OPERADORES!$A:$B,2,0)</f>
        <v xml:space="preserve">POLIANA LORRANE DE AMORIM </v>
      </c>
      <c r="I1370" t="s">
        <v>21</v>
      </c>
      <c r="J1370" t="s">
        <v>363</v>
      </c>
      <c r="K1370" t="s">
        <v>1433</v>
      </c>
      <c r="L1370">
        <v>85424</v>
      </c>
      <c r="M1370" t="s">
        <v>1437</v>
      </c>
      <c r="O1370" t="s">
        <v>11</v>
      </c>
      <c r="P1370">
        <v>5102</v>
      </c>
      <c r="Q1370">
        <v>1</v>
      </c>
      <c r="R1370">
        <v>530.51</v>
      </c>
      <c r="S1370">
        <v>530.51</v>
      </c>
      <c r="T1370">
        <v>378.26</v>
      </c>
      <c r="U1370">
        <v>28.7</v>
      </c>
      <c r="V1370" t="str">
        <f>VLOOKUP(L1370,'[2]tabela de preços'!$A:$D,4,0)</f>
        <v>BRASILUX</v>
      </c>
      <c r="W1370" t="str">
        <f>VLOOKUP(L1370,'[2]tabela de preços'!$A:$F,6,0)</f>
        <v>TINTA EM PÓ</v>
      </c>
      <c r="X1370" t="str">
        <f>VLOOKUP(L1370,'[2]tabela de preços'!$A:$G,7,0)</f>
        <v>INDUSTRIAL</v>
      </c>
    </row>
    <row r="1371" spans="1:24" x14ac:dyDescent="0.3">
      <c r="A1371" t="s">
        <v>1430</v>
      </c>
      <c r="C1371" t="s">
        <v>1438</v>
      </c>
      <c r="D1371" s="1">
        <v>46034</v>
      </c>
      <c r="E1371" t="s">
        <v>1439</v>
      </c>
      <c r="F1371">
        <v>9</v>
      </c>
      <c r="G1371">
        <v>197</v>
      </c>
      <c r="H1371" t="str">
        <f>VLOOKUP(G1371,[1]OPERADORES!$A:$B,2,0)</f>
        <v xml:space="preserve">POLIANA LORRANE DE AMORIM </v>
      </c>
      <c r="I1371" t="s">
        <v>21</v>
      </c>
      <c r="J1371" t="s">
        <v>363</v>
      </c>
      <c r="K1371" t="s">
        <v>1433</v>
      </c>
      <c r="L1371">
        <v>84560</v>
      </c>
      <c r="M1371" t="s">
        <v>118</v>
      </c>
      <c r="O1371" t="s">
        <v>11</v>
      </c>
      <c r="P1371">
        <v>5102</v>
      </c>
      <c r="Q1371">
        <v>1</v>
      </c>
      <c r="R1371">
        <v>47.89</v>
      </c>
      <c r="S1371">
        <v>47.89</v>
      </c>
      <c r="T1371">
        <v>39.159999999999997</v>
      </c>
      <c r="U1371">
        <v>18.23</v>
      </c>
      <c r="V1371" t="str">
        <f>VLOOKUP(L1371,'[2]tabela de preços'!$A:$D,4,0)</f>
        <v>BRASILUX</v>
      </c>
      <c r="W1371" t="str">
        <f>VLOOKUP(L1371,'[2]tabela de preços'!$A:$F,6,0)</f>
        <v>THINNER DE LIMPEZA</v>
      </c>
      <c r="X1371" t="str">
        <f>VLOOKUP(L1371,'[2]tabela de preços'!$A:$G,7,0)</f>
        <v>THINNER</v>
      </c>
    </row>
    <row r="1372" spans="1:24" x14ac:dyDescent="0.3">
      <c r="A1372" t="s">
        <v>1430</v>
      </c>
      <c r="C1372" t="s">
        <v>1438</v>
      </c>
      <c r="D1372" s="1">
        <v>46034</v>
      </c>
      <c r="E1372" t="s">
        <v>1439</v>
      </c>
      <c r="F1372">
        <v>9</v>
      </c>
      <c r="G1372">
        <v>197</v>
      </c>
      <c r="H1372" t="str">
        <f>VLOOKUP(G1372,[1]OPERADORES!$A:$B,2,0)</f>
        <v xml:space="preserve">POLIANA LORRANE DE AMORIM </v>
      </c>
      <c r="I1372" t="s">
        <v>21</v>
      </c>
      <c r="J1372" t="s">
        <v>363</v>
      </c>
      <c r="K1372" t="s">
        <v>1433</v>
      </c>
      <c r="L1372">
        <v>85321</v>
      </c>
      <c r="M1372" t="s">
        <v>1063</v>
      </c>
      <c r="O1372" t="s">
        <v>11</v>
      </c>
      <c r="P1372">
        <v>5102</v>
      </c>
      <c r="Q1372">
        <v>1</v>
      </c>
      <c r="R1372">
        <v>614.41</v>
      </c>
      <c r="S1372">
        <v>614.41</v>
      </c>
      <c r="T1372">
        <v>438.08</v>
      </c>
      <c r="U1372">
        <v>28.7</v>
      </c>
      <c r="V1372" t="str">
        <f>VLOOKUP(L1372,'[2]tabela de preços'!$A:$D,4,0)</f>
        <v>BRASILUX</v>
      </c>
      <c r="W1372" t="str">
        <f>VLOOKUP(L1372,'[2]tabela de preços'!$A:$F,6,0)</f>
        <v>TINTA EM PÓ</v>
      </c>
      <c r="X1372" t="str">
        <f>VLOOKUP(L1372,'[2]tabela de preços'!$A:$G,7,0)</f>
        <v>INDUSTRIAL</v>
      </c>
    </row>
    <row r="1373" spans="1:24" x14ac:dyDescent="0.3">
      <c r="A1373" t="s">
        <v>1430</v>
      </c>
      <c r="C1373" t="s">
        <v>1440</v>
      </c>
      <c r="D1373" s="1">
        <v>46045</v>
      </c>
      <c r="E1373" t="s">
        <v>1441</v>
      </c>
      <c r="F1373">
        <v>9</v>
      </c>
      <c r="G1373">
        <v>197</v>
      </c>
      <c r="H1373" t="str">
        <f>VLOOKUP(G1373,[1]OPERADORES!$A:$B,2,0)</f>
        <v xml:space="preserve">POLIANA LORRANE DE AMORIM </v>
      </c>
      <c r="I1373" t="s">
        <v>21</v>
      </c>
      <c r="J1373" t="s">
        <v>363</v>
      </c>
      <c r="K1373" t="s">
        <v>1433</v>
      </c>
      <c r="L1373">
        <v>85318</v>
      </c>
      <c r="M1373" t="s">
        <v>258</v>
      </c>
      <c r="O1373" t="s">
        <v>11</v>
      </c>
      <c r="P1373">
        <v>5102</v>
      </c>
      <c r="Q1373">
        <v>1</v>
      </c>
      <c r="R1373">
        <v>775.32</v>
      </c>
      <c r="S1373">
        <v>775.32</v>
      </c>
      <c r="T1373">
        <v>552.80999999999995</v>
      </c>
      <c r="U1373">
        <v>28.7</v>
      </c>
      <c r="V1373" t="str">
        <f>VLOOKUP(L1373,'[2]tabela de preços'!$A:$D,4,0)</f>
        <v>BRASILUX</v>
      </c>
      <c r="W1373" t="str">
        <f>VLOOKUP(L1373,'[2]tabela de preços'!$A:$F,6,0)</f>
        <v>TINTA EM PÓ</v>
      </c>
      <c r="X1373" t="str">
        <f>VLOOKUP(L1373,'[2]tabela de preços'!$A:$G,7,0)</f>
        <v>INDUSTRIAL</v>
      </c>
    </row>
    <row r="1374" spans="1:24" x14ac:dyDescent="0.3">
      <c r="A1374" t="s">
        <v>1430</v>
      </c>
      <c r="C1374" t="s">
        <v>1442</v>
      </c>
      <c r="D1374" s="1">
        <v>46051</v>
      </c>
      <c r="E1374" t="s">
        <v>1443</v>
      </c>
      <c r="F1374">
        <v>9</v>
      </c>
      <c r="G1374">
        <v>197</v>
      </c>
      <c r="H1374" t="str">
        <f>VLOOKUP(G1374,[1]OPERADORES!$A:$B,2,0)</f>
        <v xml:space="preserve">POLIANA LORRANE DE AMORIM </v>
      </c>
      <c r="I1374" t="s">
        <v>21</v>
      </c>
      <c r="J1374" t="s">
        <v>363</v>
      </c>
      <c r="K1374" t="s">
        <v>1433</v>
      </c>
      <c r="L1374">
        <v>85318</v>
      </c>
      <c r="M1374" t="s">
        <v>258</v>
      </c>
      <c r="O1374" t="s">
        <v>11</v>
      </c>
      <c r="P1374">
        <v>5102</v>
      </c>
      <c r="Q1374">
        <v>1</v>
      </c>
      <c r="R1374">
        <v>775.32</v>
      </c>
      <c r="S1374">
        <v>775.32</v>
      </c>
      <c r="T1374">
        <v>552.80999999999995</v>
      </c>
      <c r="U1374">
        <v>28.7</v>
      </c>
      <c r="V1374" t="str">
        <f>VLOOKUP(L1374,'[2]tabela de preços'!$A:$D,4,0)</f>
        <v>BRASILUX</v>
      </c>
      <c r="W1374" t="str">
        <f>VLOOKUP(L1374,'[2]tabela de preços'!$A:$F,6,0)</f>
        <v>TINTA EM PÓ</v>
      </c>
      <c r="X1374" t="str">
        <f>VLOOKUP(L1374,'[2]tabela de preços'!$A:$G,7,0)</f>
        <v>INDUSTRIAL</v>
      </c>
    </row>
    <row r="1375" spans="1:24" x14ac:dyDescent="0.3">
      <c r="A1375" t="s">
        <v>1444</v>
      </c>
      <c r="C1375" t="s">
        <v>1445</v>
      </c>
      <c r="D1375" s="1">
        <v>46029</v>
      </c>
      <c r="E1375" t="s">
        <v>1446</v>
      </c>
      <c r="F1375">
        <v>9</v>
      </c>
      <c r="G1375">
        <v>231</v>
      </c>
      <c r="H1375" t="str">
        <f>VLOOKUP(G1375,[1]OPERADORES!$A:$B,2,0)</f>
        <v>EDIJANE</v>
      </c>
      <c r="I1375" t="s">
        <v>21</v>
      </c>
      <c r="J1375" t="s">
        <v>363</v>
      </c>
      <c r="K1375" t="s">
        <v>1447</v>
      </c>
      <c r="L1375">
        <v>10236</v>
      </c>
      <c r="M1375" t="s">
        <v>133</v>
      </c>
      <c r="O1375" t="s">
        <v>11</v>
      </c>
      <c r="P1375">
        <v>5102</v>
      </c>
      <c r="Q1375">
        <v>102</v>
      </c>
      <c r="R1375">
        <v>2.79</v>
      </c>
      <c r="S1375">
        <v>284.58</v>
      </c>
      <c r="T1375">
        <v>241.74</v>
      </c>
      <c r="U1375">
        <v>15.05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1444</v>
      </c>
      <c r="C1376" t="s">
        <v>1445</v>
      </c>
      <c r="D1376" s="1">
        <v>46029</v>
      </c>
      <c r="E1376" t="s">
        <v>1446</v>
      </c>
      <c r="F1376">
        <v>9</v>
      </c>
      <c r="G1376">
        <v>231</v>
      </c>
      <c r="H1376" t="str">
        <f>VLOOKUP(G1376,[1]OPERADORES!$A:$B,2,0)</f>
        <v>EDIJANE</v>
      </c>
      <c r="I1376" t="s">
        <v>21</v>
      </c>
      <c r="J1376" t="s">
        <v>363</v>
      </c>
      <c r="K1376" t="s">
        <v>1447</v>
      </c>
      <c r="L1376">
        <v>10298</v>
      </c>
      <c r="M1376" t="s">
        <v>85</v>
      </c>
      <c r="O1376" t="s">
        <v>11</v>
      </c>
      <c r="P1376">
        <v>5102</v>
      </c>
      <c r="Q1376">
        <v>4</v>
      </c>
      <c r="R1376">
        <v>56.8</v>
      </c>
      <c r="S1376">
        <v>227.2</v>
      </c>
      <c r="T1376">
        <v>189.52</v>
      </c>
      <c r="U1376">
        <v>16.579999999999998</v>
      </c>
      <c r="V1376" t="str">
        <f>VLOOKUP(L1376,'[2]tabela de preços'!$A:$D,4,0)</f>
        <v>ANJO</v>
      </c>
      <c r="W1376" t="str">
        <f>VLOOKUP(L1376,'[2]tabela de preços'!$A:$F,6,0)</f>
        <v>THINNER DE LIMPEZA</v>
      </c>
      <c r="X1376" t="str">
        <f>VLOOKUP(L1376,'[2]tabela de preços'!$A:$G,7,0)</f>
        <v>THINNER</v>
      </c>
    </row>
    <row r="1377" spans="1:24" x14ac:dyDescent="0.3">
      <c r="A1377" t="s">
        <v>1444</v>
      </c>
      <c r="C1377" t="s">
        <v>1445</v>
      </c>
      <c r="D1377" s="1">
        <v>46029</v>
      </c>
      <c r="E1377" t="s">
        <v>1446</v>
      </c>
      <c r="F1377">
        <v>9</v>
      </c>
      <c r="G1377">
        <v>231</v>
      </c>
      <c r="H1377" t="str">
        <f>VLOOKUP(G1377,[1]OPERADORES!$A:$B,2,0)</f>
        <v>EDIJANE</v>
      </c>
      <c r="I1377" t="s">
        <v>21</v>
      </c>
      <c r="J1377" t="s">
        <v>363</v>
      </c>
      <c r="K1377" t="s">
        <v>1447</v>
      </c>
      <c r="L1377">
        <v>85321</v>
      </c>
      <c r="M1377" t="s">
        <v>1063</v>
      </c>
      <c r="O1377" t="s">
        <v>11</v>
      </c>
      <c r="P1377">
        <v>5102</v>
      </c>
      <c r="Q1377">
        <v>1</v>
      </c>
      <c r="R1377">
        <v>614.41</v>
      </c>
      <c r="S1377">
        <v>614.41</v>
      </c>
      <c r="T1377">
        <v>438.08</v>
      </c>
      <c r="U1377">
        <v>28.7</v>
      </c>
      <c r="V1377" t="str">
        <f>VLOOKUP(L1377,'[2]tabela de preços'!$A:$D,4,0)</f>
        <v>BRASILUX</v>
      </c>
      <c r="W1377" t="str">
        <f>VLOOKUP(L1377,'[2]tabela de preços'!$A:$F,6,0)</f>
        <v>TINTA EM PÓ</v>
      </c>
      <c r="X1377" t="str">
        <f>VLOOKUP(L1377,'[2]tabela de preços'!$A:$G,7,0)</f>
        <v>INDUSTRIAL</v>
      </c>
    </row>
    <row r="1378" spans="1:24" x14ac:dyDescent="0.3">
      <c r="A1378" t="s">
        <v>1448</v>
      </c>
      <c r="B1378" t="s">
        <v>1449</v>
      </c>
      <c r="C1378" t="s">
        <v>1450</v>
      </c>
      <c r="D1378" s="1">
        <v>46043</v>
      </c>
      <c r="E1378" t="s">
        <v>1451</v>
      </c>
      <c r="F1378">
        <v>9</v>
      </c>
      <c r="G1378">
        <v>174</v>
      </c>
      <c r="H1378" t="str">
        <f>VLOOKUP(G1378,[1]OPERADORES!$A:$B,2,0)</f>
        <v>MIRIÃ LOBATO RODRIGUES</v>
      </c>
      <c r="I1378" t="s">
        <v>21</v>
      </c>
      <c r="J1378" t="s">
        <v>1452</v>
      </c>
      <c r="K1378" t="s">
        <v>1453</v>
      </c>
      <c r="L1378">
        <v>83858</v>
      </c>
      <c r="M1378" t="s">
        <v>1454</v>
      </c>
      <c r="O1378" t="s">
        <v>11</v>
      </c>
      <c r="P1378">
        <v>5102</v>
      </c>
      <c r="Q1378">
        <v>12</v>
      </c>
      <c r="R1378">
        <v>164.9</v>
      </c>
      <c r="S1378" s="2">
        <v>1978.8</v>
      </c>
      <c r="T1378" s="2">
        <v>1501.92</v>
      </c>
      <c r="U1378">
        <v>24.1</v>
      </c>
      <c r="V1378" t="str">
        <f>VLOOKUP(L1378,'[2]tabela de preços'!$A:$D,4,0)</f>
        <v>3M</v>
      </c>
      <c r="W1378" t="str">
        <f>VLOOKUP(L1378,'[2]tabela de preços'!$A:$F,6,0)</f>
        <v>OUTRAS FITAS</v>
      </c>
      <c r="X1378" t="str">
        <f>VLOOKUP(L1378,'[2]tabela de preços'!$A:$G,7,0)</f>
        <v>IMOBILIÁRIO</v>
      </c>
    </row>
    <row r="1379" spans="1:24" x14ac:dyDescent="0.3">
      <c r="A1379" t="s">
        <v>1448</v>
      </c>
      <c r="B1379" t="s">
        <v>1449</v>
      </c>
      <c r="C1379" t="s">
        <v>1450</v>
      </c>
      <c r="D1379" s="1">
        <v>46043</v>
      </c>
      <c r="E1379" t="s">
        <v>1451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1452</v>
      </c>
      <c r="K1379" t="s">
        <v>1453</v>
      </c>
      <c r="L1379">
        <v>10298</v>
      </c>
      <c r="M1379" t="s">
        <v>85</v>
      </c>
      <c r="O1379" t="s">
        <v>11</v>
      </c>
      <c r="P1379">
        <v>5102</v>
      </c>
      <c r="Q1379">
        <v>12</v>
      </c>
      <c r="R1379">
        <v>56.8</v>
      </c>
      <c r="S1379">
        <v>681.6</v>
      </c>
      <c r="T1379">
        <v>568.55999999999995</v>
      </c>
      <c r="U1379">
        <v>16.579999999999998</v>
      </c>
      <c r="V1379" t="str">
        <f>VLOOKUP(L1379,'[2]tabela de preços'!$A:$D,4,0)</f>
        <v>ANJO</v>
      </c>
      <c r="W1379" t="str">
        <f>VLOOKUP(L1379,'[2]tabela de preços'!$A:$F,6,0)</f>
        <v>THINNER DE LIMPEZA</v>
      </c>
      <c r="X1379" t="str">
        <f>VLOOKUP(L1379,'[2]tabela de preços'!$A:$G,7,0)</f>
        <v>THINNER</v>
      </c>
    </row>
    <row r="1380" spans="1:24" x14ac:dyDescent="0.3">
      <c r="A1380" t="s">
        <v>1448</v>
      </c>
      <c r="B1380" t="s">
        <v>1449</v>
      </c>
      <c r="C1380" t="s">
        <v>1455</v>
      </c>
      <c r="D1380" s="1">
        <v>46044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1452</v>
      </c>
      <c r="K1380" t="s">
        <v>1453</v>
      </c>
      <c r="L1380">
        <v>83858</v>
      </c>
      <c r="M1380" t="s">
        <v>1454</v>
      </c>
      <c r="N1380" t="s">
        <v>1456</v>
      </c>
      <c r="O1380" t="s">
        <v>11</v>
      </c>
      <c r="P1380">
        <v>1202</v>
      </c>
      <c r="Q1380">
        <v>-12</v>
      </c>
      <c r="R1380">
        <v>164.9</v>
      </c>
      <c r="S1380" s="2">
        <v>-1978.8</v>
      </c>
      <c r="T1380" s="2">
        <v>-1501.92</v>
      </c>
      <c r="U1380">
        <v>24.1</v>
      </c>
      <c r="V1380" t="str">
        <f>VLOOKUP(L1380,'[2]tabela de preços'!$A:$D,4,0)</f>
        <v>3M</v>
      </c>
      <c r="W1380" t="str">
        <f>VLOOKUP(L1380,'[2]tabela de preços'!$A:$F,6,0)</f>
        <v>OUTRAS FITAS</v>
      </c>
      <c r="X1380" t="str">
        <f>VLOOKUP(L1380,'[2]tabela de preços'!$A:$G,7,0)</f>
        <v>IMOBILIÁRIO</v>
      </c>
    </row>
    <row r="1381" spans="1:24" x14ac:dyDescent="0.3">
      <c r="A1381" t="s">
        <v>1448</v>
      </c>
      <c r="B1381" t="s">
        <v>1449</v>
      </c>
      <c r="C1381" t="s">
        <v>1455</v>
      </c>
      <c r="D1381" s="1">
        <v>46044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1452</v>
      </c>
      <c r="K1381" t="s">
        <v>1453</v>
      </c>
      <c r="L1381">
        <v>10298</v>
      </c>
      <c r="M1381" t="s">
        <v>85</v>
      </c>
      <c r="N1381" t="s">
        <v>1456</v>
      </c>
      <c r="O1381" t="s">
        <v>11</v>
      </c>
      <c r="P1381">
        <v>1202</v>
      </c>
      <c r="Q1381">
        <v>-12</v>
      </c>
      <c r="R1381">
        <v>56.8</v>
      </c>
      <c r="S1381">
        <v>-681.6</v>
      </c>
      <c r="T1381">
        <v>-568.55999999999995</v>
      </c>
      <c r="U1381">
        <v>16.579999999999998</v>
      </c>
      <c r="V1381" t="str">
        <f>VLOOKUP(L1381,'[2]tabela de preços'!$A:$D,4,0)</f>
        <v>ANJO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1448</v>
      </c>
      <c r="B1382" t="s">
        <v>1449</v>
      </c>
      <c r="C1382" t="s">
        <v>1457</v>
      </c>
      <c r="D1382" s="1">
        <v>46044</v>
      </c>
      <c r="E1382" t="s">
        <v>1458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1452</v>
      </c>
      <c r="K1382" t="s">
        <v>1453</v>
      </c>
      <c r="L1382">
        <v>10067</v>
      </c>
      <c r="M1382" t="s">
        <v>177</v>
      </c>
      <c r="O1382" t="s">
        <v>11</v>
      </c>
      <c r="P1382">
        <v>5102</v>
      </c>
      <c r="Q1382">
        <v>3</v>
      </c>
      <c r="R1382">
        <v>96.94</v>
      </c>
      <c r="S1382">
        <v>290.82</v>
      </c>
      <c r="T1382">
        <v>220.74</v>
      </c>
      <c r="U1382">
        <v>24.1</v>
      </c>
      <c r="V1382" t="str">
        <f>VLOOKUP(L1382,'[2]tabela de preços'!$A:$D,4,0)</f>
        <v>3M</v>
      </c>
      <c r="W1382" t="str">
        <f>VLOOKUP(L1382,'[2]tabela de preços'!$A:$F,6,0)</f>
        <v>BOINAS PARA POLIMENTO</v>
      </c>
      <c r="X1382" t="str">
        <f>VLOOKUP(L1382,'[2]tabela de preços'!$A:$G,7,0)</f>
        <v>AUTOMOTIVO</v>
      </c>
    </row>
    <row r="1383" spans="1:24" x14ac:dyDescent="0.3">
      <c r="A1383" t="s">
        <v>1448</v>
      </c>
      <c r="B1383" t="s">
        <v>1449</v>
      </c>
      <c r="C1383" t="s">
        <v>1457</v>
      </c>
      <c r="D1383" s="1">
        <v>46044</v>
      </c>
      <c r="E1383" t="s">
        <v>1458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1452</v>
      </c>
      <c r="K1383" t="s">
        <v>1453</v>
      </c>
      <c r="L1383">
        <v>9751</v>
      </c>
      <c r="M1383" t="s">
        <v>1333</v>
      </c>
      <c r="O1383" t="s">
        <v>11</v>
      </c>
      <c r="P1383">
        <v>5102</v>
      </c>
      <c r="Q1383">
        <v>2</v>
      </c>
      <c r="R1383">
        <v>60.16</v>
      </c>
      <c r="S1383">
        <v>120.32</v>
      </c>
      <c r="T1383">
        <v>89.22</v>
      </c>
      <c r="U1383">
        <v>25.85</v>
      </c>
      <c r="V1383" t="str">
        <f>VLOOKUP(L1383,'[2]tabela de preços'!$A:$D,4,0)</f>
        <v>3M</v>
      </c>
      <c r="W1383" t="str">
        <f>VLOOKUP(L1383,'[2]tabela de preços'!$A:$F,6,0)</f>
        <v xml:space="preserve">LÍQUIDOS P/ POLIMENTO </v>
      </c>
      <c r="X1383" t="str">
        <f>VLOOKUP(L1383,'[2]tabela de preços'!$A:$G,7,0)</f>
        <v>AUTOMOTIVO</v>
      </c>
    </row>
    <row r="1384" spans="1:24" x14ac:dyDescent="0.3">
      <c r="A1384" t="s">
        <v>1448</v>
      </c>
      <c r="B1384" t="s">
        <v>1449</v>
      </c>
      <c r="C1384" t="s">
        <v>1457</v>
      </c>
      <c r="D1384" s="1">
        <v>46044</v>
      </c>
      <c r="E1384" t="s">
        <v>1458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1452</v>
      </c>
      <c r="K1384" t="s">
        <v>1453</v>
      </c>
      <c r="L1384">
        <v>83858</v>
      </c>
      <c r="M1384" t="s">
        <v>1454</v>
      </c>
      <c r="O1384" t="s">
        <v>11</v>
      </c>
      <c r="P1384">
        <v>5102</v>
      </c>
      <c r="Q1384">
        <v>12</v>
      </c>
      <c r="R1384">
        <v>164.9</v>
      </c>
      <c r="S1384" s="2">
        <v>1978.8</v>
      </c>
      <c r="T1384" s="2">
        <v>1501.92</v>
      </c>
      <c r="U1384">
        <v>24.1</v>
      </c>
      <c r="V1384" t="str">
        <f>VLOOKUP(L1384,'[2]tabela de preços'!$A:$D,4,0)</f>
        <v>3M</v>
      </c>
      <c r="W1384" t="str">
        <f>VLOOKUP(L1384,'[2]tabela de preços'!$A:$F,6,0)</f>
        <v>OUTRAS FITAS</v>
      </c>
      <c r="X1384" t="str">
        <f>VLOOKUP(L1384,'[2]tabela de preços'!$A:$G,7,0)</f>
        <v>IMOBILIÁRIO</v>
      </c>
    </row>
    <row r="1385" spans="1:24" x14ac:dyDescent="0.3">
      <c r="A1385" t="s">
        <v>1448</v>
      </c>
      <c r="B1385" t="s">
        <v>1449</v>
      </c>
      <c r="C1385" t="s">
        <v>1457</v>
      </c>
      <c r="D1385" s="1">
        <v>46044</v>
      </c>
      <c r="E1385" t="s">
        <v>1458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1452</v>
      </c>
      <c r="K1385" t="s">
        <v>1453</v>
      </c>
      <c r="L1385">
        <v>21203</v>
      </c>
      <c r="M1385" t="s">
        <v>1459</v>
      </c>
      <c r="O1385" t="s">
        <v>11</v>
      </c>
      <c r="P1385">
        <v>5102</v>
      </c>
      <c r="Q1385">
        <v>2</v>
      </c>
      <c r="R1385">
        <v>31.06</v>
      </c>
      <c r="S1385">
        <v>62.12</v>
      </c>
      <c r="T1385">
        <v>40.08</v>
      </c>
      <c r="U1385">
        <v>35.479999999999997</v>
      </c>
      <c r="V1385" t="str">
        <f>VLOOKUP(L1385,'[2]tabela de preços'!$A:$D,4,0)</f>
        <v>3M</v>
      </c>
      <c r="W1385" t="str">
        <f>VLOOKUP(L1385,'[2]tabela de preços'!$A:$F,6,0)</f>
        <v>MASSA DE POLIR</v>
      </c>
      <c r="X1385" t="str">
        <f>VLOOKUP(L1385,'[2]tabela de preços'!$A:$G,7,0)</f>
        <v>AUTOMOTIVO</v>
      </c>
    </row>
    <row r="1386" spans="1:24" x14ac:dyDescent="0.3">
      <c r="A1386" t="s">
        <v>1448</v>
      </c>
      <c r="B1386" t="s">
        <v>1449</v>
      </c>
      <c r="C1386" t="s">
        <v>1457</v>
      </c>
      <c r="D1386" s="1">
        <v>46044</v>
      </c>
      <c r="E1386" t="s">
        <v>1458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1452</v>
      </c>
      <c r="K1386" t="s">
        <v>1453</v>
      </c>
      <c r="L1386">
        <v>10298</v>
      </c>
      <c r="M1386" t="s">
        <v>85</v>
      </c>
      <c r="O1386" t="s">
        <v>11</v>
      </c>
      <c r="P1386">
        <v>5102</v>
      </c>
      <c r="Q1386">
        <v>12</v>
      </c>
      <c r="R1386">
        <v>56.8</v>
      </c>
      <c r="S1386">
        <v>681.6</v>
      </c>
      <c r="T1386">
        <v>568.55999999999995</v>
      </c>
      <c r="U1386">
        <v>16.579999999999998</v>
      </c>
      <c r="V1386" t="str">
        <f>VLOOKUP(L1386,'[2]tabela de preços'!$A:$D,4,0)</f>
        <v>ANJO</v>
      </c>
      <c r="W1386" t="str">
        <f>VLOOKUP(L1386,'[2]tabela de preços'!$A:$F,6,0)</f>
        <v>THINNER DE LIMPEZA</v>
      </c>
      <c r="X1386" t="str">
        <f>VLOOKUP(L1386,'[2]tabela de preços'!$A:$G,7,0)</f>
        <v>THINNER</v>
      </c>
    </row>
    <row r="1387" spans="1:24" x14ac:dyDescent="0.3">
      <c r="A1387" t="s">
        <v>1460</v>
      </c>
      <c r="C1387" t="s">
        <v>1461</v>
      </c>
      <c r="D1387" s="1">
        <v>46035</v>
      </c>
      <c r="E1387" t="s">
        <v>1462</v>
      </c>
      <c r="F1387">
        <v>9</v>
      </c>
      <c r="G1387">
        <v>231</v>
      </c>
      <c r="H1387" t="str">
        <f>VLOOKUP(G1387,[1]OPERADORES!$A:$B,2,0)</f>
        <v>EDIJANE</v>
      </c>
      <c r="I1387" t="s">
        <v>21</v>
      </c>
      <c r="J1387" t="s">
        <v>1463</v>
      </c>
      <c r="K1387" t="s">
        <v>1464</v>
      </c>
      <c r="L1387">
        <v>85318</v>
      </c>
      <c r="M1387" t="s">
        <v>258</v>
      </c>
      <c r="O1387" t="s">
        <v>11</v>
      </c>
      <c r="P1387">
        <v>5102</v>
      </c>
      <c r="Q1387">
        <v>1</v>
      </c>
      <c r="R1387">
        <v>775.32</v>
      </c>
      <c r="S1387">
        <v>775.32</v>
      </c>
      <c r="T1387">
        <v>552.80999999999995</v>
      </c>
      <c r="U1387">
        <v>28.7</v>
      </c>
      <c r="V1387" t="str">
        <f>VLOOKUP(L1387,'[2]tabela de preços'!$A:$D,4,0)</f>
        <v>BRASILUX</v>
      </c>
      <c r="W1387" t="str">
        <f>VLOOKUP(L1387,'[2]tabela de preços'!$A:$F,6,0)</f>
        <v>TINTA EM PÓ</v>
      </c>
      <c r="X1387" t="str">
        <f>VLOOKUP(L1387,'[2]tabela de preços'!$A:$G,7,0)</f>
        <v>INDUSTRIAL</v>
      </c>
    </row>
    <row r="1388" spans="1:24" x14ac:dyDescent="0.3">
      <c r="A1388" t="s">
        <v>1460</v>
      </c>
      <c r="C1388" t="s">
        <v>1461</v>
      </c>
      <c r="D1388" s="1">
        <v>46035</v>
      </c>
      <c r="E1388" t="s">
        <v>1462</v>
      </c>
      <c r="F1388">
        <v>9</v>
      </c>
      <c r="G1388">
        <v>231</v>
      </c>
      <c r="H1388" t="str">
        <f>VLOOKUP(G1388,[1]OPERADORES!$A:$B,2,0)</f>
        <v>EDIJANE</v>
      </c>
      <c r="I1388" t="s">
        <v>21</v>
      </c>
      <c r="J1388" t="s">
        <v>1463</v>
      </c>
      <c r="K1388" t="s">
        <v>1464</v>
      </c>
      <c r="L1388">
        <v>85472</v>
      </c>
      <c r="M1388" t="s">
        <v>1465</v>
      </c>
      <c r="O1388" t="s">
        <v>11</v>
      </c>
      <c r="P1388">
        <v>5102</v>
      </c>
      <c r="Q1388">
        <v>1</v>
      </c>
      <c r="R1388">
        <v>554.63</v>
      </c>
      <c r="S1388">
        <v>554.63</v>
      </c>
      <c r="T1388">
        <v>395.46</v>
      </c>
      <c r="U1388">
        <v>28.7</v>
      </c>
      <c r="V1388" t="str">
        <f>VLOOKUP(L1388,'[2]tabela de preços'!$A:$D,4,0)</f>
        <v>BRASILUX</v>
      </c>
      <c r="W1388" t="str">
        <f>VLOOKUP(L1388,'[2]tabela de preços'!$A:$F,6,0)</f>
        <v>TINTA EM PÓ</v>
      </c>
      <c r="X1388" t="str">
        <f>VLOOKUP(L1388,'[2]tabela de preços'!$A:$G,7,0)</f>
        <v>INDUSTRIAL</v>
      </c>
    </row>
    <row r="1389" spans="1:24" x14ac:dyDescent="0.3">
      <c r="A1389" t="s">
        <v>1460</v>
      </c>
      <c r="C1389" t="s">
        <v>1466</v>
      </c>
      <c r="D1389" s="1">
        <v>46050</v>
      </c>
      <c r="E1389" t="s">
        <v>1467</v>
      </c>
      <c r="F1389">
        <v>9</v>
      </c>
      <c r="G1389">
        <v>231</v>
      </c>
      <c r="H1389" t="str">
        <f>VLOOKUP(G1389,[1]OPERADORES!$A:$B,2,0)</f>
        <v>EDIJANE</v>
      </c>
      <c r="I1389" t="s">
        <v>21</v>
      </c>
      <c r="J1389" t="s">
        <v>1463</v>
      </c>
      <c r="K1389" t="s">
        <v>1464</v>
      </c>
      <c r="L1389">
        <v>85472</v>
      </c>
      <c r="M1389" t="s">
        <v>1465</v>
      </c>
      <c r="O1389" t="s">
        <v>11</v>
      </c>
      <c r="P1389">
        <v>5102</v>
      </c>
      <c r="Q1389">
        <v>1</v>
      </c>
      <c r="R1389">
        <v>554.63</v>
      </c>
      <c r="S1389">
        <v>554.63</v>
      </c>
      <c r="T1389">
        <v>395.46</v>
      </c>
      <c r="U1389">
        <v>28.7</v>
      </c>
      <c r="V1389" t="str">
        <f>VLOOKUP(L1389,'[2]tabela de preços'!$A:$D,4,0)</f>
        <v>BRASILUX</v>
      </c>
      <c r="W1389" t="str">
        <f>VLOOKUP(L1389,'[2]tabela de preços'!$A:$F,6,0)</f>
        <v>TINTA EM PÓ</v>
      </c>
      <c r="X1389" t="str">
        <f>VLOOKUP(L1389,'[2]tabela de preços'!$A:$G,7,0)</f>
        <v>INDUSTRIAL</v>
      </c>
    </row>
    <row r="1390" spans="1:24" x14ac:dyDescent="0.3">
      <c r="A1390" t="s">
        <v>1468</v>
      </c>
      <c r="C1390" t="s">
        <v>1469</v>
      </c>
      <c r="D1390" s="1">
        <v>46035</v>
      </c>
      <c r="E1390" t="s">
        <v>1470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494</v>
      </c>
      <c r="K1390" t="s">
        <v>1471</v>
      </c>
      <c r="L1390">
        <v>84107</v>
      </c>
      <c r="M1390" t="s">
        <v>1116</v>
      </c>
      <c r="O1390" t="s">
        <v>11</v>
      </c>
      <c r="P1390">
        <v>5403</v>
      </c>
      <c r="Q1390">
        <v>6</v>
      </c>
      <c r="R1390">
        <v>31.91</v>
      </c>
      <c r="S1390">
        <v>191.46</v>
      </c>
      <c r="T1390">
        <v>145.32</v>
      </c>
      <c r="U1390">
        <v>24.1</v>
      </c>
      <c r="V1390" t="str">
        <f>VLOOKUP(L1390,'[2]tabela de preços'!$A:$D,4,0)</f>
        <v>BRASILUX</v>
      </c>
      <c r="W1390" t="str">
        <f>VLOOKUP(L1390,'[2]tabela de preços'!$A:$F,6,0)</f>
        <v>TINTAS LACA</v>
      </c>
      <c r="X1390" t="str">
        <f>VLOOKUP(L1390,'[2]tabela de preços'!$A:$G,7,0)</f>
        <v>AUTOMOTIVO</v>
      </c>
    </row>
    <row r="1391" spans="1:24" x14ac:dyDescent="0.3">
      <c r="A1391" t="s">
        <v>1468</v>
      </c>
      <c r="C1391" t="s">
        <v>1469</v>
      </c>
      <c r="D1391" s="1">
        <v>46035</v>
      </c>
      <c r="E1391" t="s">
        <v>1470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494</v>
      </c>
      <c r="K1391" t="s">
        <v>1471</v>
      </c>
      <c r="L1391">
        <v>10316</v>
      </c>
      <c r="M1391" t="s">
        <v>582</v>
      </c>
      <c r="O1391" t="s">
        <v>11</v>
      </c>
      <c r="P1391">
        <v>5102</v>
      </c>
      <c r="Q1391">
        <v>24</v>
      </c>
      <c r="R1391">
        <v>13.89</v>
      </c>
      <c r="S1391">
        <v>333.36</v>
      </c>
      <c r="T1391">
        <v>279.12</v>
      </c>
      <c r="U1391">
        <v>16.27</v>
      </c>
      <c r="V1391" t="str">
        <f>VLOOKUP(L1391,'[2]tabela de preços'!$A:$D,4,0)</f>
        <v>ANJO</v>
      </c>
      <c r="W1391" t="str">
        <f>VLOOKUP(L1391,'[2]tabela de preços'!$A:$F,6,0)</f>
        <v xml:space="preserve">COLA  PLÁSTICA </v>
      </c>
      <c r="X1391" t="str">
        <f>VLOOKUP(L1391,'[2]tabela de preços'!$A:$G,7,0)</f>
        <v>AUTOMOTIVO</v>
      </c>
    </row>
    <row r="1392" spans="1:24" x14ac:dyDescent="0.3">
      <c r="A1392" t="s">
        <v>1468</v>
      </c>
      <c r="C1392" t="s">
        <v>1469</v>
      </c>
      <c r="D1392" s="1">
        <v>46035</v>
      </c>
      <c r="E1392" t="s">
        <v>1470</v>
      </c>
      <c r="F1392">
        <v>9</v>
      </c>
      <c r="G1392">
        <v>174</v>
      </c>
      <c r="H1392" t="str">
        <f>VLOOKUP(G1392,[1]OPERADORES!$A:$B,2,0)</f>
        <v>MIRIÃ LOBATO RODRIGUES</v>
      </c>
      <c r="I1392" t="s">
        <v>21</v>
      </c>
      <c r="J1392" t="s">
        <v>494</v>
      </c>
      <c r="K1392" t="s">
        <v>1471</v>
      </c>
      <c r="L1392">
        <v>10236</v>
      </c>
      <c r="M1392" t="s">
        <v>133</v>
      </c>
      <c r="O1392" t="s">
        <v>11</v>
      </c>
      <c r="P1392">
        <v>5102</v>
      </c>
      <c r="Q1392">
        <v>102</v>
      </c>
      <c r="R1392">
        <v>2.79</v>
      </c>
      <c r="S1392">
        <v>284.58</v>
      </c>
      <c r="T1392">
        <v>236.64</v>
      </c>
      <c r="U1392">
        <v>16.850000000000001</v>
      </c>
      <c r="V1392" t="str">
        <f>VLOOKUP(L1392,'[2]tabela de preços'!$A:$D,4,0)</f>
        <v>NORTON</v>
      </c>
      <c r="W1392" t="str">
        <f>VLOOKUP(L1392,'[2]tabela de preços'!$A:$F,6,0)</f>
        <v xml:space="preserve">DISCOS / LIXAS / ABRASIVOS </v>
      </c>
      <c r="X1392" t="str">
        <f>VLOOKUP(L1392,'[2]tabela de preços'!$A:$G,7,0)</f>
        <v>AUTOMOTIVO</v>
      </c>
    </row>
    <row r="1393" spans="1:24" x14ac:dyDescent="0.3">
      <c r="A1393" t="s">
        <v>1468</v>
      </c>
      <c r="C1393" t="s">
        <v>1469</v>
      </c>
      <c r="D1393" s="1">
        <v>46035</v>
      </c>
      <c r="E1393" t="s">
        <v>1470</v>
      </c>
      <c r="F1393">
        <v>9</v>
      </c>
      <c r="G1393">
        <v>174</v>
      </c>
      <c r="H1393" t="str">
        <f>VLOOKUP(G1393,[1]OPERADORES!$A:$B,2,0)</f>
        <v>MIRIÃ LOBATO RODRIGUES</v>
      </c>
      <c r="I1393" t="s">
        <v>21</v>
      </c>
      <c r="J1393" t="s">
        <v>494</v>
      </c>
      <c r="K1393" t="s">
        <v>1471</v>
      </c>
      <c r="L1393">
        <v>16</v>
      </c>
      <c r="M1393" t="s">
        <v>122</v>
      </c>
      <c r="O1393" t="s">
        <v>11</v>
      </c>
      <c r="P1393">
        <v>5102</v>
      </c>
      <c r="Q1393">
        <v>50</v>
      </c>
      <c r="R1393">
        <v>2.9</v>
      </c>
      <c r="S1393">
        <v>145</v>
      </c>
      <c r="T1393">
        <v>110</v>
      </c>
      <c r="U1393">
        <v>24.14</v>
      </c>
      <c r="V1393" t="str">
        <f>VLOOKUP(L1393,'[2]tabela de preços'!$A:$D,4,0)</f>
        <v>3M</v>
      </c>
      <c r="W1393" t="str">
        <f>VLOOKUP(L1393,'[2]tabela de preços'!$A:$F,6,0)</f>
        <v>LIXA DÁGUA</v>
      </c>
      <c r="X1393" t="str">
        <f>VLOOKUP(L1393,'[2]tabela de preços'!$A:$G,7,0)</f>
        <v>AUTOMOTIVO</v>
      </c>
    </row>
    <row r="1394" spans="1:24" x14ac:dyDescent="0.3">
      <c r="A1394" t="s">
        <v>1468</v>
      </c>
      <c r="C1394" t="s">
        <v>1469</v>
      </c>
      <c r="D1394" s="1">
        <v>46035</v>
      </c>
      <c r="E1394" t="s">
        <v>1470</v>
      </c>
      <c r="F1394">
        <v>9</v>
      </c>
      <c r="G1394">
        <v>174</v>
      </c>
      <c r="H1394" t="str">
        <f>VLOOKUP(G1394,[1]OPERADORES!$A:$B,2,0)</f>
        <v>MIRIÃ LOBATO RODRIGUES</v>
      </c>
      <c r="I1394" t="s">
        <v>21</v>
      </c>
      <c r="J1394" t="s">
        <v>494</v>
      </c>
      <c r="K1394" t="s">
        <v>1471</v>
      </c>
      <c r="L1394">
        <v>10238</v>
      </c>
      <c r="M1394" t="s">
        <v>79</v>
      </c>
      <c r="O1394" t="s">
        <v>11</v>
      </c>
      <c r="P1394">
        <v>5102</v>
      </c>
      <c r="Q1394">
        <v>100</v>
      </c>
      <c r="R1394">
        <v>2.79</v>
      </c>
      <c r="S1394">
        <v>279</v>
      </c>
      <c r="T1394">
        <v>224</v>
      </c>
      <c r="U1394">
        <v>19.71</v>
      </c>
      <c r="V1394" t="str">
        <f>VLOOKUP(L1394,'[2]tabela de preços'!$A:$D,4,0)</f>
        <v>NORTON</v>
      </c>
      <c r="W1394" t="str">
        <f>VLOOKUP(L1394,'[2]tabela de preços'!$A:$F,6,0)</f>
        <v xml:space="preserve">DISCOS / LIXAS / ABRASIVOS </v>
      </c>
      <c r="X1394" t="str">
        <f>VLOOKUP(L1394,'[2]tabela de preços'!$A:$G,7,0)</f>
        <v>AUTOMOTIVO</v>
      </c>
    </row>
    <row r="1395" spans="1:24" x14ac:dyDescent="0.3">
      <c r="A1395" t="s">
        <v>1468</v>
      </c>
      <c r="C1395" t="s">
        <v>1469</v>
      </c>
      <c r="D1395" s="1">
        <v>46035</v>
      </c>
      <c r="E1395" t="s">
        <v>1470</v>
      </c>
      <c r="F1395">
        <v>9</v>
      </c>
      <c r="G1395">
        <v>174</v>
      </c>
      <c r="H1395" t="str">
        <f>VLOOKUP(G1395,[1]OPERADORES!$A:$B,2,0)</f>
        <v>MIRIÃ LOBATO RODRIGUES</v>
      </c>
      <c r="I1395" t="s">
        <v>21</v>
      </c>
      <c r="J1395" t="s">
        <v>494</v>
      </c>
      <c r="K1395" t="s">
        <v>1471</v>
      </c>
      <c r="L1395">
        <v>10246</v>
      </c>
      <c r="M1395" t="s">
        <v>206</v>
      </c>
      <c r="O1395" t="s">
        <v>11</v>
      </c>
      <c r="P1395">
        <v>5102</v>
      </c>
      <c r="Q1395">
        <v>50</v>
      </c>
      <c r="R1395">
        <v>2.79</v>
      </c>
      <c r="S1395">
        <v>139.5</v>
      </c>
      <c r="T1395">
        <v>96.5</v>
      </c>
      <c r="U1395">
        <v>30.82</v>
      </c>
      <c r="V1395" t="str">
        <f>VLOOKUP(L1395,'[2]tabela de preços'!$A:$D,4,0)</f>
        <v>NORTON</v>
      </c>
      <c r="W1395" t="str">
        <f>VLOOKUP(L1395,'[2]tabela de preços'!$A:$F,6,0)</f>
        <v xml:space="preserve">DISCOS / LIXAS / ABRASIVOS </v>
      </c>
      <c r="X1395" t="str">
        <f>VLOOKUP(L1395,'[2]tabela de preços'!$A:$G,7,0)</f>
        <v>AUTOMOTIVO</v>
      </c>
    </row>
    <row r="1396" spans="1:24" x14ac:dyDescent="0.3">
      <c r="A1396" t="s">
        <v>1468</v>
      </c>
      <c r="C1396" t="s">
        <v>1469</v>
      </c>
      <c r="D1396" s="1">
        <v>46035</v>
      </c>
      <c r="E1396" t="s">
        <v>1470</v>
      </c>
      <c r="F1396">
        <v>9</v>
      </c>
      <c r="G1396">
        <v>174</v>
      </c>
      <c r="H1396" t="str">
        <f>VLOOKUP(G1396,[1]OPERADORES!$A:$B,2,0)</f>
        <v>MIRIÃ LOBATO RODRIGUES</v>
      </c>
      <c r="I1396" t="s">
        <v>21</v>
      </c>
      <c r="J1396" t="s">
        <v>494</v>
      </c>
      <c r="K1396" t="s">
        <v>1471</v>
      </c>
      <c r="L1396">
        <v>20817</v>
      </c>
      <c r="M1396" t="s">
        <v>153</v>
      </c>
      <c r="O1396" t="s">
        <v>11</v>
      </c>
      <c r="P1396">
        <v>5102</v>
      </c>
      <c r="Q1396">
        <v>6</v>
      </c>
      <c r="R1396">
        <v>22.89</v>
      </c>
      <c r="S1396">
        <v>137.34</v>
      </c>
      <c r="T1396">
        <v>111.72</v>
      </c>
      <c r="U1396">
        <v>18.649999999999999</v>
      </c>
      <c r="V1396" t="str">
        <f>VLOOKUP(L1396,'[2]tabela de preços'!$A:$D,4,0)</f>
        <v>AUTO AMERICA</v>
      </c>
      <c r="W1396" t="str">
        <f>VLOOKUP(L1396,'[2]tabela de preços'!$A:$F,6,0)</f>
        <v>MASSA DE POLIR</v>
      </c>
      <c r="X1396" t="str">
        <f>VLOOKUP(L1396,'[2]tabela de preços'!$A:$G,7,0)</f>
        <v>AUTOMOTIVO</v>
      </c>
    </row>
    <row r="1397" spans="1:24" x14ac:dyDescent="0.3">
      <c r="A1397" t="s">
        <v>1468</v>
      </c>
      <c r="C1397" t="s">
        <v>1469</v>
      </c>
      <c r="D1397" s="1">
        <v>46035</v>
      </c>
      <c r="E1397" t="s">
        <v>1470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494</v>
      </c>
      <c r="K1397" t="s">
        <v>1471</v>
      </c>
      <c r="L1397">
        <v>9764</v>
      </c>
      <c r="M1397" t="s">
        <v>173</v>
      </c>
      <c r="O1397" t="s">
        <v>11</v>
      </c>
      <c r="P1397">
        <v>5102</v>
      </c>
      <c r="Q1397">
        <v>3</v>
      </c>
      <c r="R1397">
        <v>33.54</v>
      </c>
      <c r="S1397">
        <v>100.62</v>
      </c>
      <c r="T1397">
        <v>76.38</v>
      </c>
      <c r="U1397">
        <v>24.09</v>
      </c>
      <c r="V1397" t="str">
        <f>VLOOKUP(L1397,'[2]tabela de preços'!$A:$D,4,0)</f>
        <v>SIKKENS</v>
      </c>
      <c r="W1397" t="str">
        <f>VLOOKUP(L1397,'[2]tabela de preços'!$A:$F,6,0)</f>
        <v>MASSA DE PEQUENOS REPAROS</v>
      </c>
      <c r="X1397" t="str">
        <f>VLOOKUP(L1397,'[2]tabela de preços'!$A:$G,7,0)</f>
        <v>AUTOMOTIVO</v>
      </c>
    </row>
    <row r="1398" spans="1:24" x14ac:dyDescent="0.3">
      <c r="A1398" t="s">
        <v>1468</v>
      </c>
      <c r="C1398" t="s">
        <v>1472</v>
      </c>
      <c r="D1398" s="1">
        <v>46038</v>
      </c>
      <c r="E1398" t="s">
        <v>1473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494</v>
      </c>
      <c r="K1398" t="s">
        <v>1471</v>
      </c>
      <c r="L1398">
        <v>10226</v>
      </c>
      <c r="M1398" t="s">
        <v>145</v>
      </c>
      <c r="O1398" t="s">
        <v>11</v>
      </c>
      <c r="P1398">
        <v>5102</v>
      </c>
      <c r="Q1398">
        <v>102</v>
      </c>
      <c r="R1398">
        <v>2.79</v>
      </c>
      <c r="S1398">
        <v>284.58</v>
      </c>
      <c r="T1398">
        <v>236.64</v>
      </c>
      <c r="U1398">
        <v>16.850000000000001</v>
      </c>
      <c r="V1398" t="str">
        <f>VLOOKUP(L1398,'[2]tabela de preços'!$A:$D,4,0)</f>
        <v>NORTON</v>
      </c>
      <c r="W1398" t="str">
        <f>VLOOKUP(L1398,'[2]tabela de preços'!$A:$F,6,0)</f>
        <v xml:space="preserve">DISCOS / LIXAS / ABRASIVOS </v>
      </c>
      <c r="X1398" t="str">
        <f>VLOOKUP(L1398,'[2]tabela de preços'!$A:$G,7,0)</f>
        <v>AUTOMOTIVO</v>
      </c>
    </row>
    <row r="1399" spans="1:24" x14ac:dyDescent="0.3">
      <c r="A1399" t="s">
        <v>1468</v>
      </c>
      <c r="C1399" t="s">
        <v>1472</v>
      </c>
      <c r="D1399" s="1">
        <v>46038</v>
      </c>
      <c r="E1399" t="s">
        <v>1473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494</v>
      </c>
      <c r="K1399" t="s">
        <v>1471</v>
      </c>
      <c r="L1399">
        <v>85498</v>
      </c>
      <c r="M1399" t="s">
        <v>1474</v>
      </c>
      <c r="O1399" t="s">
        <v>411</v>
      </c>
      <c r="P1399">
        <v>5403</v>
      </c>
      <c r="Q1399">
        <v>5</v>
      </c>
      <c r="R1399">
        <v>42.12</v>
      </c>
      <c r="S1399">
        <v>210.6</v>
      </c>
      <c r="T1399">
        <v>150.15</v>
      </c>
      <c r="U1399">
        <v>28.7</v>
      </c>
      <c r="V1399" t="str">
        <f>VLOOKUP(L1399,'[2]tabela de preços'!$A:$D,4,0)</f>
        <v>SHERWIN WILLIAMS</v>
      </c>
      <c r="W1399" t="str">
        <f>VLOOKUP(L1399,'[2]tabela de preços'!$A:$F,6,0)</f>
        <v>TINTAS POLIÉSTER</v>
      </c>
      <c r="X1399" t="str">
        <f>VLOOKUP(L1399,'[2]tabela de preços'!$A:$G,7,0)</f>
        <v>AUTOMOTIVO</v>
      </c>
    </row>
    <row r="1400" spans="1:24" x14ac:dyDescent="0.3">
      <c r="A1400" t="s">
        <v>1468</v>
      </c>
      <c r="C1400" t="s">
        <v>1472</v>
      </c>
      <c r="D1400" s="1">
        <v>46038</v>
      </c>
      <c r="E1400" t="s">
        <v>1473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494</v>
      </c>
      <c r="K1400" t="s">
        <v>1471</v>
      </c>
      <c r="L1400">
        <v>15</v>
      </c>
      <c r="M1400" t="s">
        <v>205</v>
      </c>
      <c r="O1400" t="s">
        <v>11</v>
      </c>
      <c r="P1400">
        <v>5102</v>
      </c>
      <c r="Q1400">
        <v>50</v>
      </c>
      <c r="R1400">
        <v>5.79</v>
      </c>
      <c r="S1400">
        <v>289.5</v>
      </c>
      <c r="T1400">
        <v>208</v>
      </c>
      <c r="U1400">
        <v>28.15</v>
      </c>
      <c r="V1400" t="str">
        <f>VLOOKUP(L1400,'[2]tabela de preços'!$A:$D,4,0)</f>
        <v>3M</v>
      </c>
      <c r="W1400" t="str">
        <f>VLOOKUP(L1400,'[2]tabela de preços'!$A:$F,6,0)</f>
        <v>LIXA DÁGUA</v>
      </c>
      <c r="X1400" t="str">
        <f>VLOOKUP(L1400,'[2]tabela de preços'!$A:$G,7,0)</f>
        <v>AUTOMOTIVO</v>
      </c>
    </row>
    <row r="1401" spans="1:24" x14ac:dyDescent="0.3">
      <c r="A1401" t="s">
        <v>1468</v>
      </c>
      <c r="C1401" t="s">
        <v>1472</v>
      </c>
      <c r="D1401" s="1">
        <v>46038</v>
      </c>
      <c r="E1401" t="s">
        <v>1473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494</v>
      </c>
      <c r="K1401" t="s">
        <v>1471</v>
      </c>
      <c r="L1401">
        <v>10238</v>
      </c>
      <c r="M1401" t="s">
        <v>79</v>
      </c>
      <c r="O1401" t="s">
        <v>11</v>
      </c>
      <c r="P1401">
        <v>5102</v>
      </c>
      <c r="Q1401">
        <v>200</v>
      </c>
      <c r="R1401">
        <v>2.79</v>
      </c>
      <c r="S1401">
        <v>558</v>
      </c>
      <c r="T1401">
        <v>448</v>
      </c>
      <c r="U1401">
        <v>19.71</v>
      </c>
      <c r="V1401" t="str">
        <f>VLOOKUP(L1401,'[2]tabela de preços'!$A:$D,4,0)</f>
        <v>NORTON</v>
      </c>
      <c r="W1401" t="str">
        <f>VLOOKUP(L1401,'[2]tabela de preços'!$A:$F,6,0)</f>
        <v xml:space="preserve">DISCOS / LIXAS / ABRASIVOS </v>
      </c>
      <c r="X1401" t="str">
        <f>VLOOKUP(L1401,'[2]tabela de preços'!$A:$G,7,0)</f>
        <v>AUTOMOTIVO</v>
      </c>
    </row>
    <row r="1402" spans="1:24" x14ac:dyDescent="0.3">
      <c r="A1402" t="s">
        <v>1468</v>
      </c>
      <c r="C1402" t="s">
        <v>1472</v>
      </c>
      <c r="D1402" s="1">
        <v>46038</v>
      </c>
      <c r="E1402" t="s">
        <v>1473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494</v>
      </c>
      <c r="K1402" t="s">
        <v>1471</v>
      </c>
      <c r="L1402">
        <v>10242</v>
      </c>
      <c r="M1402" t="s">
        <v>82</v>
      </c>
      <c r="O1402" t="s">
        <v>11</v>
      </c>
      <c r="P1402">
        <v>5102</v>
      </c>
      <c r="Q1402">
        <v>150</v>
      </c>
      <c r="R1402">
        <v>2.79</v>
      </c>
      <c r="S1402">
        <v>418.5</v>
      </c>
      <c r="T1402">
        <v>336</v>
      </c>
      <c r="U1402">
        <v>19.71</v>
      </c>
      <c r="V1402" t="str">
        <f>VLOOKUP(L1402,'[2]tabela de preços'!$A:$D,4,0)</f>
        <v>NORTON</v>
      </c>
      <c r="W1402" t="str">
        <f>VLOOKUP(L1402,'[2]tabela de preços'!$A:$F,6,0)</f>
        <v xml:space="preserve">DISCOS / LIXAS / ABRASIVOS </v>
      </c>
      <c r="X1402" t="str">
        <f>VLOOKUP(L1402,'[2]tabela de preços'!$A:$G,7,0)</f>
        <v>AUTOMOTIVO</v>
      </c>
    </row>
    <row r="1403" spans="1:24" x14ac:dyDescent="0.3">
      <c r="A1403" t="s">
        <v>1468</v>
      </c>
      <c r="C1403" t="s">
        <v>1472</v>
      </c>
      <c r="D1403" s="1">
        <v>46038</v>
      </c>
      <c r="E1403" t="s">
        <v>1473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494</v>
      </c>
      <c r="K1403" t="s">
        <v>1471</v>
      </c>
      <c r="L1403">
        <v>10243</v>
      </c>
      <c r="M1403" t="s">
        <v>83</v>
      </c>
      <c r="O1403" t="s">
        <v>11</v>
      </c>
      <c r="P1403">
        <v>5102</v>
      </c>
      <c r="Q1403">
        <v>200</v>
      </c>
      <c r="R1403">
        <v>2.79</v>
      </c>
      <c r="S1403">
        <v>558</v>
      </c>
      <c r="T1403">
        <v>386</v>
      </c>
      <c r="U1403">
        <v>30.82</v>
      </c>
      <c r="V1403" t="str">
        <f>VLOOKUP(L1403,'[2]tabela de preços'!$A:$D,4,0)</f>
        <v>NORTON</v>
      </c>
      <c r="W1403" t="str">
        <f>VLOOKUP(L1403,'[2]tabela de preços'!$A:$F,6,0)</f>
        <v xml:space="preserve">DISCOS / LIXAS / ABRASIVOS </v>
      </c>
      <c r="X1403" t="str">
        <f>VLOOKUP(L1403,'[2]tabela de preços'!$A:$G,7,0)</f>
        <v>AUTOMOTIVO</v>
      </c>
    </row>
    <row r="1404" spans="1:24" x14ac:dyDescent="0.3">
      <c r="A1404" t="s">
        <v>1468</v>
      </c>
      <c r="C1404" t="s">
        <v>1472</v>
      </c>
      <c r="D1404" s="1">
        <v>46038</v>
      </c>
      <c r="E1404" t="s">
        <v>1473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494</v>
      </c>
      <c r="K1404" t="s">
        <v>1471</v>
      </c>
      <c r="L1404">
        <v>10244</v>
      </c>
      <c r="M1404" t="s">
        <v>84</v>
      </c>
      <c r="O1404" t="s">
        <v>11</v>
      </c>
      <c r="P1404">
        <v>5102</v>
      </c>
      <c r="Q1404">
        <v>50</v>
      </c>
      <c r="R1404">
        <v>2.79</v>
      </c>
      <c r="S1404">
        <v>139.5</v>
      </c>
      <c r="T1404">
        <v>96.5</v>
      </c>
      <c r="U1404">
        <v>30.82</v>
      </c>
      <c r="V1404" t="str">
        <f>VLOOKUP(L1404,'[2]tabela de preços'!$A:$D,4,0)</f>
        <v>NORTON</v>
      </c>
      <c r="W1404" t="str">
        <f>VLOOKUP(L1404,'[2]tabela de preços'!$A:$F,6,0)</f>
        <v xml:space="preserve">DISCOS / LIXAS / ABRASIVOS </v>
      </c>
      <c r="X1404" t="str">
        <f>VLOOKUP(L1404,'[2]tabela de preços'!$A:$G,7,0)</f>
        <v>AUTOMOTIVO</v>
      </c>
    </row>
    <row r="1405" spans="1:24" x14ac:dyDescent="0.3">
      <c r="A1405" t="s">
        <v>1468</v>
      </c>
      <c r="C1405" t="s">
        <v>1472</v>
      </c>
      <c r="D1405" s="1">
        <v>46038</v>
      </c>
      <c r="E1405" t="s">
        <v>1473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494</v>
      </c>
      <c r="K1405" t="s">
        <v>1471</v>
      </c>
      <c r="L1405">
        <v>10245</v>
      </c>
      <c r="M1405" t="s">
        <v>195</v>
      </c>
      <c r="O1405" t="s">
        <v>11</v>
      </c>
      <c r="P1405">
        <v>5102</v>
      </c>
      <c r="Q1405">
        <v>100</v>
      </c>
      <c r="R1405">
        <v>2.79</v>
      </c>
      <c r="S1405">
        <v>279</v>
      </c>
      <c r="T1405">
        <v>193</v>
      </c>
      <c r="U1405">
        <v>30.82</v>
      </c>
      <c r="V1405" t="str">
        <f>VLOOKUP(L1405,'[2]tabela de preços'!$A:$D,4,0)</f>
        <v>NORTON</v>
      </c>
      <c r="W1405" t="str">
        <f>VLOOKUP(L1405,'[2]tabela de preços'!$A:$F,6,0)</f>
        <v xml:space="preserve">DISCOS / LIXAS / ABRASIVOS </v>
      </c>
      <c r="X1405" t="str">
        <f>VLOOKUP(L1405,'[2]tabela de preços'!$A:$G,7,0)</f>
        <v>AUTOMOTIVO</v>
      </c>
    </row>
    <row r="1406" spans="1:24" x14ac:dyDescent="0.3">
      <c r="A1406" t="s">
        <v>1468</v>
      </c>
      <c r="C1406" t="s">
        <v>1472</v>
      </c>
      <c r="D1406" s="1">
        <v>46038</v>
      </c>
      <c r="E1406" t="s">
        <v>1473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494</v>
      </c>
      <c r="K1406" t="s">
        <v>1471</v>
      </c>
      <c r="L1406">
        <v>10246</v>
      </c>
      <c r="M1406" t="s">
        <v>206</v>
      </c>
      <c r="O1406" t="s">
        <v>11</v>
      </c>
      <c r="P1406">
        <v>5102</v>
      </c>
      <c r="Q1406">
        <v>100</v>
      </c>
      <c r="R1406">
        <v>2.79</v>
      </c>
      <c r="S1406">
        <v>279</v>
      </c>
      <c r="T1406">
        <v>193</v>
      </c>
      <c r="U1406">
        <v>30.82</v>
      </c>
      <c r="V1406" t="str">
        <f>VLOOKUP(L1406,'[2]tabela de preços'!$A:$D,4,0)</f>
        <v>NORTON</v>
      </c>
      <c r="W1406" t="str">
        <f>VLOOKUP(L1406,'[2]tabela de preços'!$A:$F,6,0)</f>
        <v xml:space="preserve">DISCOS / LIXAS / ABRASIVOS </v>
      </c>
      <c r="X1406" t="str">
        <f>VLOOKUP(L1406,'[2]tabela de preços'!$A:$G,7,0)</f>
        <v>AUTOMOTIVO</v>
      </c>
    </row>
    <row r="1407" spans="1:24" x14ac:dyDescent="0.3">
      <c r="A1407" t="s">
        <v>1468</v>
      </c>
      <c r="C1407" t="s">
        <v>1472</v>
      </c>
      <c r="D1407" s="1">
        <v>46038</v>
      </c>
      <c r="E1407" t="s">
        <v>1473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494</v>
      </c>
      <c r="K1407" t="s">
        <v>1471</v>
      </c>
      <c r="L1407">
        <v>21321</v>
      </c>
      <c r="M1407" t="s">
        <v>272</v>
      </c>
      <c r="O1407" t="s">
        <v>11</v>
      </c>
      <c r="P1407">
        <v>5102</v>
      </c>
      <c r="Q1407">
        <v>8</v>
      </c>
      <c r="R1407">
        <v>20.239999999999998</v>
      </c>
      <c r="S1407">
        <v>161.91999999999999</v>
      </c>
      <c r="T1407">
        <v>122.88</v>
      </c>
      <c r="U1407">
        <v>24.11</v>
      </c>
      <c r="V1407" t="str">
        <f>VLOOKUP(L1407,'[2]tabela de preços'!$A:$D,4,0)</f>
        <v>AUTO AMERICA</v>
      </c>
      <c r="W1407" t="str">
        <f>VLOOKUP(L1407,'[2]tabela de preços'!$A:$F,6,0)</f>
        <v>CERA  / LIMPEZA /  POLIMENTO VEICULAR</v>
      </c>
      <c r="X1407" t="str">
        <f>VLOOKUP(L1407,'[2]tabela de preços'!$A:$G,7,0)</f>
        <v>AUTOMOTIVO</v>
      </c>
    </row>
    <row r="1408" spans="1:24" x14ac:dyDescent="0.3">
      <c r="A1408" t="s">
        <v>1468</v>
      </c>
      <c r="C1408" t="s">
        <v>1472</v>
      </c>
      <c r="D1408" s="1">
        <v>46038</v>
      </c>
      <c r="E1408" t="s">
        <v>1473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494</v>
      </c>
      <c r="K1408" t="s">
        <v>1471</v>
      </c>
      <c r="L1408">
        <v>23287</v>
      </c>
      <c r="M1408" t="s">
        <v>273</v>
      </c>
      <c r="O1408" t="s">
        <v>11</v>
      </c>
      <c r="P1408">
        <v>5102</v>
      </c>
      <c r="Q1408">
        <v>4</v>
      </c>
      <c r="R1408">
        <v>39.979999999999997</v>
      </c>
      <c r="S1408">
        <v>159.91999999999999</v>
      </c>
      <c r="T1408">
        <v>121.4</v>
      </c>
      <c r="U1408">
        <v>24.09</v>
      </c>
      <c r="V1408" t="str">
        <f>VLOOKUP(L1408,'[2]tabela de preços'!$A:$D,4,0)</f>
        <v>AUTO AMERICA</v>
      </c>
      <c r="W1408" t="str">
        <f>VLOOKUP(L1408,'[2]tabela de preços'!$A:$F,6,0)</f>
        <v>CERA  / LIMPEZA /  POLIMENTO VEICULAR</v>
      </c>
      <c r="X1408" t="str">
        <f>VLOOKUP(L1408,'[2]tabela de preços'!$A:$G,7,0)</f>
        <v>AUTOMOTIVO</v>
      </c>
    </row>
    <row r="1409" spans="1:24" x14ac:dyDescent="0.3">
      <c r="A1409" t="s">
        <v>1468</v>
      </c>
      <c r="C1409" t="s">
        <v>1475</v>
      </c>
      <c r="D1409" s="1">
        <v>46045</v>
      </c>
      <c r="E1409" t="s">
        <v>1476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494</v>
      </c>
      <c r="K1409" t="s">
        <v>1471</v>
      </c>
      <c r="L1409">
        <v>22180</v>
      </c>
      <c r="M1409" t="s">
        <v>404</v>
      </c>
      <c r="O1409" t="s">
        <v>11</v>
      </c>
      <c r="P1409">
        <v>5102</v>
      </c>
      <c r="Q1409">
        <v>25</v>
      </c>
      <c r="R1409">
        <v>19.29</v>
      </c>
      <c r="S1409">
        <v>482.25</v>
      </c>
      <c r="T1409">
        <v>366</v>
      </c>
      <c r="U1409">
        <v>24.11</v>
      </c>
      <c r="V1409" t="str">
        <f>VLOOKUP(L1409,'[2]tabela de preços'!$A:$D,4,0)</f>
        <v>MADRUGA</v>
      </c>
      <c r="W1409" t="str">
        <f>VLOOKUP(L1409,'[2]tabela de preços'!$A:$F,6,0)</f>
        <v>PAPEL DE MASCARAMENTO</v>
      </c>
      <c r="X1409" t="str">
        <f>VLOOKUP(L1409,'[2]tabela de preços'!$A:$G,7,0)</f>
        <v>AUTOMOTIVO</v>
      </c>
    </row>
    <row r="1410" spans="1:24" x14ac:dyDescent="0.3">
      <c r="A1410" t="s">
        <v>1468</v>
      </c>
      <c r="C1410" t="s">
        <v>1475</v>
      </c>
      <c r="D1410" s="1">
        <v>46045</v>
      </c>
      <c r="E1410" t="s">
        <v>1476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494</v>
      </c>
      <c r="K1410" t="s">
        <v>1471</v>
      </c>
      <c r="L1410">
        <v>20414</v>
      </c>
      <c r="M1410" t="s">
        <v>112</v>
      </c>
      <c r="O1410" t="s">
        <v>11</v>
      </c>
      <c r="P1410">
        <v>5102</v>
      </c>
      <c r="Q1410">
        <v>40</v>
      </c>
      <c r="R1410">
        <v>21.89</v>
      </c>
      <c r="S1410">
        <v>875.6</v>
      </c>
      <c r="T1410">
        <v>720</v>
      </c>
      <c r="U1410">
        <v>17.77</v>
      </c>
      <c r="V1410" t="str">
        <f>VLOOKUP(L1410,'[2]tabela de preços'!$A:$D,4,0)</f>
        <v>SHERWIN WILLIAMS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1468</v>
      </c>
      <c r="C1411" t="s">
        <v>1477</v>
      </c>
      <c r="D1411" s="1">
        <v>46050</v>
      </c>
      <c r="E1411" t="s">
        <v>1478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494</v>
      </c>
      <c r="K1411" t="s">
        <v>1471</v>
      </c>
      <c r="L1411">
        <v>10236</v>
      </c>
      <c r="M1411" t="s">
        <v>133</v>
      </c>
      <c r="O1411" t="s">
        <v>11</v>
      </c>
      <c r="P1411">
        <v>5102</v>
      </c>
      <c r="Q1411">
        <v>102</v>
      </c>
      <c r="R1411">
        <v>2.79</v>
      </c>
      <c r="S1411">
        <v>284.58</v>
      </c>
      <c r="T1411">
        <v>236.64</v>
      </c>
      <c r="U1411">
        <v>16.850000000000001</v>
      </c>
      <c r="V1411" t="str">
        <f>VLOOKUP(L1411,'[2]tabela de preços'!$A:$D,4,0)</f>
        <v>NORTON</v>
      </c>
      <c r="W1411" t="str">
        <f>VLOOKUP(L1411,'[2]tabela de preços'!$A:$F,6,0)</f>
        <v xml:space="preserve">DISCOS / LIXAS / ABRASIVOS </v>
      </c>
      <c r="X1411" t="str">
        <f>VLOOKUP(L1411,'[2]tabela de preços'!$A:$G,7,0)</f>
        <v>AUTOMOTIVO</v>
      </c>
    </row>
    <row r="1412" spans="1:24" x14ac:dyDescent="0.3">
      <c r="A1412" t="s">
        <v>1468</v>
      </c>
      <c r="C1412" t="s">
        <v>1477</v>
      </c>
      <c r="D1412" s="1">
        <v>46050</v>
      </c>
      <c r="E1412" t="s">
        <v>1478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494</v>
      </c>
      <c r="K1412" t="s">
        <v>1471</v>
      </c>
      <c r="L1412">
        <v>10232</v>
      </c>
      <c r="M1412" t="s">
        <v>134</v>
      </c>
      <c r="O1412" t="s">
        <v>11</v>
      </c>
      <c r="P1412">
        <v>5102</v>
      </c>
      <c r="Q1412">
        <v>102</v>
      </c>
      <c r="R1412">
        <v>2.79</v>
      </c>
      <c r="S1412">
        <v>284.58</v>
      </c>
      <c r="T1412">
        <v>229.5</v>
      </c>
      <c r="U1412">
        <v>19.350000000000001</v>
      </c>
      <c r="V1412" t="str">
        <f>VLOOKUP(L1412,'[2]tabela de preços'!$A:$D,4,0)</f>
        <v>NORTON</v>
      </c>
      <c r="W1412" t="str">
        <f>VLOOKUP(L1412,'[2]tabela de preços'!$A:$F,6,0)</f>
        <v xml:space="preserve">DISCOS / LIXAS / ABRASIVOS </v>
      </c>
      <c r="X1412" t="str">
        <f>VLOOKUP(L1412,'[2]tabela de preços'!$A:$G,7,0)</f>
        <v>AUTOMOTIVO</v>
      </c>
    </row>
    <row r="1413" spans="1:24" x14ac:dyDescent="0.3">
      <c r="A1413" t="s">
        <v>1468</v>
      </c>
      <c r="C1413" t="s">
        <v>1477</v>
      </c>
      <c r="D1413" s="1">
        <v>46050</v>
      </c>
      <c r="E1413" t="s">
        <v>1478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494</v>
      </c>
      <c r="K1413" t="s">
        <v>1471</v>
      </c>
      <c r="L1413">
        <v>23602</v>
      </c>
      <c r="M1413" t="s">
        <v>215</v>
      </c>
      <c r="O1413" t="s">
        <v>11</v>
      </c>
      <c r="P1413">
        <v>5403</v>
      </c>
      <c r="Q1413">
        <v>18</v>
      </c>
      <c r="R1413">
        <v>35.89</v>
      </c>
      <c r="S1413">
        <v>646.02</v>
      </c>
      <c r="T1413">
        <v>526.5</v>
      </c>
      <c r="U1413">
        <v>18.5</v>
      </c>
      <c r="V1413" t="str">
        <f>VLOOKUP(L1413,'[2]tabela de preços'!$A:$D,4,0)</f>
        <v>SHERWIN WILLIAMS</v>
      </c>
      <c r="W1413" t="str">
        <f>VLOOKUP(L1413,'[2]tabela de preços'!$A:$F,6,0)</f>
        <v>VERNIZ AUTOMOTIVO</v>
      </c>
      <c r="X1413" t="str">
        <f>VLOOKUP(L1413,'[2]tabela de preços'!$A:$G,7,0)</f>
        <v>AUTOMOTIVO</v>
      </c>
    </row>
    <row r="1414" spans="1:24" x14ac:dyDescent="0.3">
      <c r="A1414" t="s">
        <v>1468</v>
      </c>
      <c r="C1414" t="s">
        <v>1477</v>
      </c>
      <c r="D1414" s="1">
        <v>46050</v>
      </c>
      <c r="E1414" t="s">
        <v>1478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494</v>
      </c>
      <c r="K1414" t="s">
        <v>1471</v>
      </c>
      <c r="L1414">
        <v>20817</v>
      </c>
      <c r="M1414" t="s">
        <v>153</v>
      </c>
      <c r="O1414" t="s">
        <v>11</v>
      </c>
      <c r="P1414">
        <v>5102</v>
      </c>
      <c r="Q1414">
        <v>6</v>
      </c>
      <c r="R1414">
        <v>22.89</v>
      </c>
      <c r="S1414">
        <v>137.34</v>
      </c>
      <c r="T1414">
        <v>111.72</v>
      </c>
      <c r="U1414">
        <v>18.649999999999999</v>
      </c>
      <c r="V1414" t="str">
        <f>VLOOKUP(L1414,'[2]tabela de preços'!$A:$D,4,0)</f>
        <v>AUTO AMERICA</v>
      </c>
      <c r="W1414" t="str">
        <f>VLOOKUP(L1414,'[2]tabela de preços'!$A:$F,6,0)</f>
        <v>MASSA DE POLIR</v>
      </c>
      <c r="X1414" t="str">
        <f>VLOOKUP(L1414,'[2]tabela de preços'!$A:$G,7,0)</f>
        <v>AUTOMOTIVO</v>
      </c>
    </row>
    <row r="1415" spans="1:24" x14ac:dyDescent="0.3">
      <c r="A1415" t="s">
        <v>1479</v>
      </c>
      <c r="B1415" t="s">
        <v>1480</v>
      </c>
      <c r="C1415" t="s">
        <v>1481</v>
      </c>
      <c r="D1415" s="1">
        <v>46048</v>
      </c>
      <c r="E1415" t="s">
        <v>1482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1483</v>
      </c>
      <c r="K1415" t="s">
        <v>1484</v>
      </c>
      <c r="L1415">
        <v>84214</v>
      </c>
      <c r="M1415" t="s">
        <v>1485</v>
      </c>
      <c r="O1415" t="s">
        <v>11</v>
      </c>
      <c r="P1415">
        <v>5403</v>
      </c>
      <c r="Q1415">
        <v>1</v>
      </c>
      <c r="R1415">
        <v>242.61</v>
      </c>
      <c r="S1415">
        <v>242.61</v>
      </c>
      <c r="T1415">
        <v>184.14</v>
      </c>
      <c r="U1415">
        <v>24.1</v>
      </c>
      <c r="V1415" t="str">
        <f>VLOOKUP(L1415,'[2]tabela de preços'!$A:$D,4,0)</f>
        <v>BRASILUX</v>
      </c>
      <c r="W1415" t="str">
        <f>VLOOKUP(L1415,'[2]tabela de preços'!$A:$F,6,0)</f>
        <v>ESMALTES</v>
      </c>
      <c r="X1415" t="str">
        <f>VLOOKUP(L1415,'[2]tabela de preços'!$A:$G,7,0)</f>
        <v>INDUSTRIAL</v>
      </c>
    </row>
    <row r="1416" spans="1:24" x14ac:dyDescent="0.3">
      <c r="A1416" t="s">
        <v>1486</v>
      </c>
      <c r="C1416" t="s">
        <v>1487</v>
      </c>
      <c r="D1416" s="1">
        <v>46027</v>
      </c>
      <c r="E1416" t="s">
        <v>1488</v>
      </c>
      <c r="F1416">
        <v>9</v>
      </c>
      <c r="G1416">
        <v>236</v>
      </c>
      <c r="H1416" t="str">
        <f>VLOOKUP(G1416,[1]OPERADORES!$A:$B,2,0)</f>
        <v>DANIEL</v>
      </c>
      <c r="I1416" t="s">
        <v>1489</v>
      </c>
      <c r="J1416" t="s">
        <v>1490</v>
      </c>
      <c r="K1416" t="s">
        <v>1491</v>
      </c>
      <c r="L1416">
        <v>23076</v>
      </c>
      <c r="M1416" t="s">
        <v>97</v>
      </c>
      <c r="O1416" t="s">
        <v>11</v>
      </c>
      <c r="P1416">
        <v>6403</v>
      </c>
      <c r="Q1416">
        <v>60</v>
      </c>
      <c r="R1416">
        <v>36.26</v>
      </c>
      <c r="S1416" s="2">
        <v>2175.6</v>
      </c>
      <c r="T1416" s="2">
        <v>1591.8</v>
      </c>
      <c r="U1416">
        <v>26.83</v>
      </c>
      <c r="V1416" t="str">
        <f>VLOOKUP(L1416,'[2]tabela de preços'!$A:$D,4,0)</f>
        <v>WANDA</v>
      </c>
      <c r="W1416" t="str">
        <f>VLOOKUP(L1416,'[2]tabela de preços'!$A:$F,6,0)</f>
        <v>PRIMER AUTOMOTIVO</v>
      </c>
      <c r="X1416" t="str">
        <f>VLOOKUP(L1416,'[2]tabela de preços'!$A:$G,7,0)</f>
        <v>AUTOMOTIVO</v>
      </c>
    </row>
    <row r="1417" spans="1:24" x14ac:dyDescent="0.3">
      <c r="A1417" t="s">
        <v>1486</v>
      </c>
      <c r="C1417" t="s">
        <v>1487</v>
      </c>
      <c r="D1417" s="1">
        <v>46027</v>
      </c>
      <c r="E1417" t="s">
        <v>1488</v>
      </c>
      <c r="F1417">
        <v>9</v>
      </c>
      <c r="G1417">
        <v>236</v>
      </c>
      <c r="H1417" t="str">
        <f>VLOOKUP(G1417,[1]OPERADORES!$A:$B,2,0)</f>
        <v>DANIEL</v>
      </c>
      <c r="I1417" t="s">
        <v>1489</v>
      </c>
      <c r="J1417" t="s">
        <v>1490</v>
      </c>
      <c r="K1417" t="s">
        <v>1491</v>
      </c>
      <c r="L1417">
        <v>20525</v>
      </c>
      <c r="M1417" t="s">
        <v>137</v>
      </c>
      <c r="O1417" t="s">
        <v>11</v>
      </c>
      <c r="P1417">
        <v>6102</v>
      </c>
      <c r="Q1417">
        <v>18</v>
      </c>
      <c r="R1417">
        <v>13.65</v>
      </c>
      <c r="S1417">
        <v>245.7</v>
      </c>
      <c r="T1417">
        <v>186.48</v>
      </c>
      <c r="U1417">
        <v>24.1</v>
      </c>
      <c r="V1417" t="str">
        <f>VLOOKUP(L1417,'[2]tabela de preços'!$A:$D,4,0)</f>
        <v>SHERWIN WILLIAMS</v>
      </c>
      <c r="W1417" t="str">
        <f>VLOOKUP(L1417,'[2]tabela de preços'!$A:$F,6,0)</f>
        <v>MASSA DE PEQUENOS REPAROS</v>
      </c>
      <c r="X1417" t="str">
        <f>VLOOKUP(L1417,'[2]tabela de preços'!$A:$G,7,0)</f>
        <v>AUTOMOTIVO</v>
      </c>
    </row>
    <row r="1418" spans="1:24" x14ac:dyDescent="0.3">
      <c r="A1418" t="s">
        <v>1486</v>
      </c>
      <c r="C1418" t="s">
        <v>1487</v>
      </c>
      <c r="D1418" s="1">
        <v>46027</v>
      </c>
      <c r="E1418" t="s">
        <v>1488</v>
      </c>
      <c r="F1418">
        <v>9</v>
      </c>
      <c r="G1418">
        <v>236</v>
      </c>
      <c r="H1418" t="str">
        <f>VLOOKUP(G1418,[1]OPERADORES!$A:$B,2,0)</f>
        <v>DANIEL</v>
      </c>
      <c r="I1418" t="s">
        <v>1489</v>
      </c>
      <c r="J1418" t="s">
        <v>1490</v>
      </c>
      <c r="K1418" t="s">
        <v>1491</v>
      </c>
      <c r="L1418">
        <v>9752</v>
      </c>
      <c r="M1418" t="s">
        <v>1492</v>
      </c>
      <c r="O1418" t="s">
        <v>11</v>
      </c>
      <c r="P1418">
        <v>6403</v>
      </c>
      <c r="Q1418">
        <v>12</v>
      </c>
      <c r="R1418">
        <v>42.68</v>
      </c>
      <c r="S1418">
        <v>512.16</v>
      </c>
      <c r="T1418">
        <v>365.16</v>
      </c>
      <c r="U1418">
        <v>28.7</v>
      </c>
      <c r="V1418" t="str">
        <f>VLOOKUP(L1418,'[2]tabela de preços'!$A:$D,4,0)</f>
        <v>WANDA</v>
      </c>
      <c r="W1418" t="str">
        <f>VLOOKUP(L1418,'[2]tabela de preços'!$A:$F,6,0)</f>
        <v>SELADORA P/ PLASTICO</v>
      </c>
      <c r="X1418" t="str">
        <f>VLOOKUP(L1418,'[2]tabela de preços'!$A:$G,7,0)</f>
        <v>AUTOMOTIVO</v>
      </c>
    </row>
    <row r="1419" spans="1:24" x14ac:dyDescent="0.3">
      <c r="A1419" t="s">
        <v>1486</v>
      </c>
      <c r="C1419" t="s">
        <v>1493</v>
      </c>
      <c r="D1419" s="1">
        <v>46034</v>
      </c>
      <c r="E1419" t="s">
        <v>1494</v>
      </c>
      <c r="F1419">
        <v>9</v>
      </c>
      <c r="G1419">
        <v>236</v>
      </c>
      <c r="H1419" t="str">
        <f>VLOOKUP(G1419,[1]OPERADORES!$A:$B,2,0)</f>
        <v>DANIEL</v>
      </c>
      <c r="I1419" t="s">
        <v>1489</v>
      </c>
      <c r="J1419" t="s">
        <v>1490</v>
      </c>
      <c r="K1419" t="s">
        <v>1491</v>
      </c>
      <c r="L1419">
        <v>9894</v>
      </c>
      <c r="M1419" t="s">
        <v>1495</v>
      </c>
      <c r="O1419" t="s">
        <v>11</v>
      </c>
      <c r="P1419">
        <v>6403</v>
      </c>
      <c r="Q1419">
        <v>1</v>
      </c>
      <c r="R1419">
        <v>285.57</v>
      </c>
      <c r="S1419">
        <v>285.57</v>
      </c>
      <c r="T1419">
        <v>203.62</v>
      </c>
      <c r="U1419">
        <v>28.7</v>
      </c>
      <c r="V1419" t="str">
        <f>VLOOKUP(L1419,'[2]tabela de preços'!$A:$D,4,0)</f>
        <v>WANDA</v>
      </c>
      <c r="W1419" t="str">
        <f>VLOOKUP(L1419,'[2]tabela de preços'!$A:$F,6,0)</f>
        <v>BASES POLIÉSTER</v>
      </c>
      <c r="X1419" t="str">
        <f>VLOOKUP(L1419,'[2]tabela de preços'!$A:$G,7,0)</f>
        <v>AUTOMOTIVO</v>
      </c>
    </row>
    <row r="1420" spans="1:24" x14ac:dyDescent="0.3">
      <c r="A1420" t="s">
        <v>1486</v>
      </c>
      <c r="C1420" t="s">
        <v>1496</v>
      </c>
      <c r="D1420" s="1">
        <v>46038</v>
      </c>
      <c r="E1420" t="s">
        <v>1497</v>
      </c>
      <c r="F1420">
        <v>9</v>
      </c>
      <c r="G1420">
        <v>236</v>
      </c>
      <c r="H1420" t="str">
        <f>VLOOKUP(G1420,[1]OPERADORES!$A:$B,2,0)</f>
        <v>DANIEL</v>
      </c>
      <c r="I1420" t="s">
        <v>1489</v>
      </c>
      <c r="J1420" t="s">
        <v>1490</v>
      </c>
      <c r="K1420" t="s">
        <v>1491</v>
      </c>
      <c r="L1420">
        <v>22653</v>
      </c>
      <c r="M1420" t="s">
        <v>1498</v>
      </c>
      <c r="O1420" t="s">
        <v>11</v>
      </c>
      <c r="P1420">
        <v>6102</v>
      </c>
      <c r="Q1420">
        <v>50</v>
      </c>
      <c r="R1420">
        <v>17.79</v>
      </c>
      <c r="S1420">
        <v>889.5</v>
      </c>
      <c r="T1420">
        <v>675</v>
      </c>
      <c r="U1420">
        <v>24.11</v>
      </c>
      <c r="V1420" t="str">
        <f>VLOOKUP(L1420,'[2]tabela de preços'!$A:$D,4,0)</f>
        <v>WANDA</v>
      </c>
      <c r="W1420" t="str">
        <f>VLOOKUP(L1420,'[2]tabela de preços'!$A:$F,6,0)</f>
        <v>EMBALAGEM</v>
      </c>
      <c r="X1420" t="str">
        <f>VLOOKUP(L1420,'[2]tabela de preços'!$A:$G,7,0)</f>
        <v>AUTOMOTIVO</v>
      </c>
    </row>
    <row r="1421" spans="1:24" x14ac:dyDescent="0.3">
      <c r="A1421" t="s">
        <v>1486</v>
      </c>
      <c r="C1421" t="s">
        <v>1496</v>
      </c>
      <c r="D1421" s="1">
        <v>46038</v>
      </c>
      <c r="E1421" t="s">
        <v>1497</v>
      </c>
      <c r="F1421">
        <v>9</v>
      </c>
      <c r="G1421">
        <v>236</v>
      </c>
      <c r="H1421" t="str">
        <f>VLOOKUP(G1421,[1]OPERADORES!$A:$B,2,0)</f>
        <v>DANIEL</v>
      </c>
      <c r="I1421" t="s">
        <v>1489</v>
      </c>
      <c r="J1421" t="s">
        <v>1490</v>
      </c>
      <c r="K1421" t="s">
        <v>1491</v>
      </c>
      <c r="L1421">
        <v>9873</v>
      </c>
      <c r="M1421" t="s">
        <v>1499</v>
      </c>
      <c r="O1421" t="s">
        <v>11</v>
      </c>
      <c r="P1421">
        <v>6403</v>
      </c>
      <c r="Q1421">
        <v>1</v>
      </c>
      <c r="R1421">
        <v>663.32</v>
      </c>
      <c r="S1421">
        <v>663.32</v>
      </c>
      <c r="T1421">
        <v>472.96</v>
      </c>
      <c r="U1421">
        <v>28.7</v>
      </c>
      <c r="V1421" t="str">
        <f>VLOOKUP(L1421,'[2]tabela de preços'!$A:$D,4,0)</f>
        <v>WANDA</v>
      </c>
      <c r="W1421" t="str">
        <f>VLOOKUP(L1421,'[2]tabela de preços'!$A:$F,6,0)</f>
        <v>BASES POLIÉSTER</v>
      </c>
      <c r="X1421" t="str">
        <f>VLOOKUP(L1421,'[2]tabela de preços'!$A:$G,7,0)</f>
        <v>AUTOMOTIVO</v>
      </c>
    </row>
    <row r="1422" spans="1:24" x14ac:dyDescent="0.3">
      <c r="A1422" t="s">
        <v>1486</v>
      </c>
      <c r="C1422" t="s">
        <v>1496</v>
      </c>
      <c r="D1422" s="1">
        <v>46038</v>
      </c>
      <c r="E1422" t="s">
        <v>1497</v>
      </c>
      <c r="F1422">
        <v>9</v>
      </c>
      <c r="G1422">
        <v>236</v>
      </c>
      <c r="H1422" t="str">
        <f>VLOOKUP(G1422,[1]OPERADORES!$A:$B,2,0)</f>
        <v>DANIEL</v>
      </c>
      <c r="I1422" t="s">
        <v>1489</v>
      </c>
      <c r="J1422" t="s">
        <v>1490</v>
      </c>
      <c r="K1422" t="s">
        <v>1491</v>
      </c>
      <c r="L1422">
        <v>9884</v>
      </c>
      <c r="M1422" t="s">
        <v>1500</v>
      </c>
      <c r="O1422" t="s">
        <v>11</v>
      </c>
      <c r="P1422">
        <v>6403</v>
      </c>
      <c r="Q1422">
        <v>1</v>
      </c>
      <c r="R1422">
        <v>91.83</v>
      </c>
      <c r="S1422">
        <v>91.83</v>
      </c>
      <c r="T1422">
        <v>65.47</v>
      </c>
      <c r="U1422">
        <v>28.71</v>
      </c>
      <c r="V1422" t="str">
        <f>VLOOKUP(L1422,'[2]tabela de preços'!$A:$D,4,0)</f>
        <v>WANDA</v>
      </c>
      <c r="W1422" t="str">
        <f>VLOOKUP(L1422,'[2]tabela de preços'!$A:$F,6,0)</f>
        <v>BASES POLIÉSTER</v>
      </c>
      <c r="X1422" t="str">
        <f>VLOOKUP(L1422,'[2]tabela de preços'!$A:$G,7,0)</f>
        <v>AUTOMOTIVO</v>
      </c>
    </row>
    <row r="1423" spans="1:24" x14ac:dyDescent="0.3">
      <c r="A1423" t="s">
        <v>1486</v>
      </c>
      <c r="C1423" t="s">
        <v>1496</v>
      </c>
      <c r="D1423" s="1">
        <v>46038</v>
      </c>
      <c r="E1423" t="s">
        <v>1497</v>
      </c>
      <c r="F1423">
        <v>9</v>
      </c>
      <c r="G1423">
        <v>236</v>
      </c>
      <c r="H1423" t="str">
        <f>VLOOKUP(G1423,[1]OPERADORES!$A:$B,2,0)</f>
        <v>DANIEL</v>
      </c>
      <c r="I1423" t="s">
        <v>1489</v>
      </c>
      <c r="J1423" t="s">
        <v>1490</v>
      </c>
      <c r="K1423" t="s">
        <v>1491</v>
      </c>
      <c r="L1423">
        <v>9885</v>
      </c>
      <c r="M1423" t="s">
        <v>1501</v>
      </c>
      <c r="O1423" t="s">
        <v>11</v>
      </c>
      <c r="P1423">
        <v>6403</v>
      </c>
      <c r="Q1423">
        <v>1</v>
      </c>
      <c r="R1423">
        <v>118.92</v>
      </c>
      <c r="S1423">
        <v>118.92</v>
      </c>
      <c r="T1423">
        <v>84.79</v>
      </c>
      <c r="U1423">
        <v>28.7</v>
      </c>
      <c r="V1423" t="str">
        <f>VLOOKUP(L1423,'[2]tabela de preços'!$A:$D,4,0)</f>
        <v>WANDA</v>
      </c>
      <c r="W1423" t="str">
        <f>VLOOKUP(L1423,'[2]tabela de preços'!$A:$F,6,0)</f>
        <v>BASES POLIÉSTER</v>
      </c>
      <c r="X1423" t="str">
        <f>VLOOKUP(L1423,'[2]tabela de preços'!$A:$G,7,0)</f>
        <v>AUTOMOTIVO</v>
      </c>
    </row>
    <row r="1424" spans="1:24" x14ac:dyDescent="0.3">
      <c r="A1424" t="s">
        <v>1486</v>
      </c>
      <c r="C1424" t="s">
        <v>1496</v>
      </c>
      <c r="D1424" s="1">
        <v>46038</v>
      </c>
      <c r="E1424" t="s">
        <v>1497</v>
      </c>
      <c r="F1424">
        <v>9</v>
      </c>
      <c r="G1424">
        <v>236</v>
      </c>
      <c r="H1424" t="str">
        <f>VLOOKUP(G1424,[1]OPERADORES!$A:$B,2,0)</f>
        <v>DANIEL</v>
      </c>
      <c r="I1424" t="s">
        <v>1489</v>
      </c>
      <c r="J1424" t="s">
        <v>1490</v>
      </c>
      <c r="K1424" t="s">
        <v>1491</v>
      </c>
      <c r="L1424">
        <v>9893</v>
      </c>
      <c r="M1424" t="s">
        <v>1502</v>
      </c>
      <c r="O1424" t="s">
        <v>11</v>
      </c>
      <c r="P1424">
        <v>6403</v>
      </c>
      <c r="Q1424">
        <v>1</v>
      </c>
      <c r="R1424">
        <v>100.03</v>
      </c>
      <c r="S1424">
        <v>100.03</v>
      </c>
      <c r="T1424">
        <v>71.319999999999993</v>
      </c>
      <c r="U1424">
        <v>28.7</v>
      </c>
      <c r="V1424" t="str">
        <f>VLOOKUP(L1424,'[2]tabela de preços'!$A:$D,4,0)</f>
        <v>WANDA</v>
      </c>
      <c r="W1424" t="str">
        <f>VLOOKUP(L1424,'[2]tabela de preços'!$A:$F,6,0)</f>
        <v>BASES POLIÉSTER</v>
      </c>
      <c r="X1424" t="str">
        <f>VLOOKUP(L1424,'[2]tabela de preços'!$A:$G,7,0)</f>
        <v>AUTOMOTIVO</v>
      </c>
    </row>
    <row r="1425" spans="1:24" x14ac:dyDescent="0.3">
      <c r="A1425" t="s">
        <v>1486</v>
      </c>
      <c r="C1425" t="s">
        <v>1496</v>
      </c>
      <c r="D1425" s="1">
        <v>46038</v>
      </c>
      <c r="E1425" t="s">
        <v>1497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9895</v>
      </c>
      <c r="M1425" t="s">
        <v>383</v>
      </c>
      <c r="O1425" t="s">
        <v>11</v>
      </c>
      <c r="P1425">
        <v>6403</v>
      </c>
      <c r="Q1425">
        <v>1</v>
      </c>
      <c r="R1425">
        <v>116.02</v>
      </c>
      <c r="S1425">
        <v>116.02</v>
      </c>
      <c r="T1425">
        <v>82.72</v>
      </c>
      <c r="U1425">
        <v>28.7</v>
      </c>
      <c r="V1425" t="str">
        <f>VLOOKUP(L1425,'[2]tabela de preços'!$A:$D,4,0)</f>
        <v>WANDA</v>
      </c>
      <c r="W1425" t="str">
        <f>VLOOKUP(L1425,'[2]tabela de preços'!$A:$F,6,0)</f>
        <v>BASES POLIÉSTER</v>
      </c>
      <c r="X1425" t="str">
        <f>VLOOKUP(L1425,'[2]tabela de preços'!$A:$G,7,0)</f>
        <v>AUTOMOTIVO</v>
      </c>
    </row>
    <row r="1426" spans="1:24" x14ac:dyDescent="0.3">
      <c r="A1426" t="s">
        <v>1486</v>
      </c>
      <c r="C1426" t="s">
        <v>1496</v>
      </c>
      <c r="D1426" s="1">
        <v>46038</v>
      </c>
      <c r="E1426" t="s">
        <v>1497</v>
      </c>
      <c r="F1426">
        <v>9</v>
      </c>
      <c r="G1426">
        <v>236</v>
      </c>
      <c r="H1426" t="str">
        <f>VLOOKUP(G1426,[1]OPERADORES!$A:$B,2,0)</f>
        <v>DANIEL</v>
      </c>
      <c r="I1426" t="s">
        <v>1489</v>
      </c>
      <c r="J1426" t="s">
        <v>1490</v>
      </c>
      <c r="K1426" t="s">
        <v>1491</v>
      </c>
      <c r="L1426">
        <v>9897</v>
      </c>
      <c r="M1426" t="s">
        <v>1503</v>
      </c>
      <c r="O1426" t="s">
        <v>11</v>
      </c>
      <c r="P1426">
        <v>6403</v>
      </c>
      <c r="Q1426">
        <v>1</v>
      </c>
      <c r="R1426">
        <v>345.75</v>
      </c>
      <c r="S1426">
        <v>345.75</v>
      </c>
      <c r="T1426">
        <v>246.52</v>
      </c>
      <c r="U1426">
        <v>28.7</v>
      </c>
      <c r="V1426" t="str">
        <f>VLOOKUP(L1426,'[2]tabela de preços'!$A:$D,4,0)</f>
        <v>WANDA</v>
      </c>
      <c r="W1426" t="str">
        <f>VLOOKUP(L1426,'[2]tabela de preços'!$A:$F,6,0)</f>
        <v>BASES POLIÉSTER</v>
      </c>
      <c r="X1426" t="str">
        <f>VLOOKUP(L1426,'[2]tabela de preços'!$A:$G,7,0)</f>
        <v>AUTOMOTIVO</v>
      </c>
    </row>
    <row r="1427" spans="1:24" x14ac:dyDescent="0.3">
      <c r="A1427" t="s">
        <v>1486</v>
      </c>
      <c r="C1427" t="s">
        <v>1496</v>
      </c>
      <c r="D1427" s="1">
        <v>46038</v>
      </c>
      <c r="E1427" t="s">
        <v>1497</v>
      </c>
      <c r="F1427">
        <v>9</v>
      </c>
      <c r="G1427">
        <v>236</v>
      </c>
      <c r="H1427" t="str">
        <f>VLOOKUP(G1427,[1]OPERADORES!$A:$B,2,0)</f>
        <v>DANIEL</v>
      </c>
      <c r="I1427" t="s">
        <v>1489</v>
      </c>
      <c r="J1427" t="s">
        <v>1490</v>
      </c>
      <c r="K1427" t="s">
        <v>1491</v>
      </c>
      <c r="L1427">
        <v>9909</v>
      </c>
      <c r="M1427" t="s">
        <v>1504</v>
      </c>
      <c r="O1427" t="s">
        <v>11</v>
      </c>
      <c r="P1427">
        <v>6403</v>
      </c>
      <c r="Q1427">
        <v>1</v>
      </c>
      <c r="R1427">
        <v>206.28</v>
      </c>
      <c r="S1427">
        <v>206.28</v>
      </c>
      <c r="T1427">
        <v>147.08000000000001</v>
      </c>
      <c r="U1427">
        <v>28.7</v>
      </c>
      <c r="V1427" t="str">
        <f>VLOOKUP(L1427,'[2]tabela de preços'!$A:$D,4,0)</f>
        <v>WANDA</v>
      </c>
      <c r="W1427" t="str">
        <f>VLOOKUP(L1427,'[2]tabela de preços'!$A:$F,6,0)</f>
        <v>BASES POLIÉSTER</v>
      </c>
      <c r="X1427" t="str">
        <f>VLOOKUP(L1427,'[2]tabela de preços'!$A:$G,7,0)</f>
        <v>AUTOMOTIVO</v>
      </c>
    </row>
    <row r="1428" spans="1:24" x14ac:dyDescent="0.3">
      <c r="A1428" t="s">
        <v>1486</v>
      </c>
      <c r="C1428" t="s">
        <v>1505</v>
      </c>
      <c r="D1428" s="1">
        <v>46041</v>
      </c>
      <c r="E1428" t="s">
        <v>1506</v>
      </c>
      <c r="F1428">
        <v>9</v>
      </c>
      <c r="G1428">
        <v>236</v>
      </c>
      <c r="H1428" t="str">
        <f>VLOOKUP(G1428,[1]OPERADORES!$A:$B,2,0)</f>
        <v>DANIEL</v>
      </c>
      <c r="I1428" t="s">
        <v>1489</v>
      </c>
      <c r="J1428" t="s">
        <v>1490</v>
      </c>
      <c r="K1428" t="s">
        <v>1491</v>
      </c>
      <c r="L1428">
        <v>10298</v>
      </c>
      <c r="M1428" t="s">
        <v>85</v>
      </c>
      <c r="O1428" t="s">
        <v>11</v>
      </c>
      <c r="P1428">
        <v>6102</v>
      </c>
      <c r="Q1428">
        <v>16</v>
      </c>
      <c r="R1428">
        <v>56.89</v>
      </c>
      <c r="S1428">
        <v>910.24</v>
      </c>
      <c r="T1428">
        <v>758.08</v>
      </c>
      <c r="U1428">
        <v>16.72</v>
      </c>
      <c r="V1428" t="str">
        <f>VLOOKUP(L1428,'[2]tabela de preços'!$A:$D,4,0)</f>
        <v>ANJO</v>
      </c>
      <c r="W1428" t="str">
        <f>VLOOKUP(L1428,'[2]tabela de preços'!$A:$F,6,0)</f>
        <v>THINNER DE LIMPEZA</v>
      </c>
      <c r="X1428" t="str">
        <f>VLOOKUP(L1428,'[2]tabela de preços'!$A:$G,7,0)</f>
        <v>THINNER</v>
      </c>
    </row>
    <row r="1429" spans="1:24" x14ac:dyDescent="0.3">
      <c r="A1429" t="s">
        <v>1486</v>
      </c>
      <c r="C1429" t="s">
        <v>1505</v>
      </c>
      <c r="D1429" s="1">
        <v>46041</v>
      </c>
      <c r="E1429" t="s">
        <v>1506</v>
      </c>
      <c r="F1429">
        <v>9</v>
      </c>
      <c r="G1429">
        <v>236</v>
      </c>
      <c r="H1429" t="str">
        <f>VLOOKUP(G1429,[1]OPERADORES!$A:$B,2,0)</f>
        <v>DANIEL</v>
      </c>
      <c r="I1429" t="s">
        <v>1489</v>
      </c>
      <c r="J1429" t="s">
        <v>1490</v>
      </c>
      <c r="K1429" t="s">
        <v>1491</v>
      </c>
      <c r="L1429">
        <v>10297</v>
      </c>
      <c r="M1429" t="s">
        <v>41</v>
      </c>
      <c r="O1429" t="s">
        <v>11</v>
      </c>
      <c r="P1429">
        <v>6102</v>
      </c>
      <c r="Q1429">
        <v>120</v>
      </c>
      <c r="R1429">
        <v>10.49</v>
      </c>
      <c r="S1429" s="2">
        <v>1258.8</v>
      </c>
      <c r="T1429" s="2">
        <v>1100.4000000000001</v>
      </c>
      <c r="U1429">
        <v>12.58</v>
      </c>
      <c r="V1429" t="str">
        <f>VLOOKUP(L1429,'[2]tabela de preços'!$A:$D,4,0)</f>
        <v>ANJO</v>
      </c>
      <c r="W1429" t="str">
        <f>VLOOKUP(L1429,'[2]tabela de preços'!$A:$F,6,0)</f>
        <v>THINNER DE LIMPEZA</v>
      </c>
      <c r="X1429" t="str">
        <f>VLOOKUP(L1429,'[2]tabela de preços'!$A:$G,7,0)</f>
        <v>THINNER</v>
      </c>
    </row>
    <row r="1430" spans="1:24" x14ac:dyDescent="0.3">
      <c r="A1430" t="s">
        <v>1486</v>
      </c>
      <c r="C1430" t="s">
        <v>1507</v>
      </c>
      <c r="D1430" s="1">
        <v>46041</v>
      </c>
      <c r="E1430" t="s">
        <v>1508</v>
      </c>
      <c r="F1430">
        <v>9</v>
      </c>
      <c r="G1430">
        <v>236</v>
      </c>
      <c r="H1430" t="str">
        <f>VLOOKUP(G1430,[1]OPERADORES!$A:$B,2,0)</f>
        <v>DANIEL</v>
      </c>
      <c r="I1430" t="s">
        <v>1489</v>
      </c>
      <c r="J1430" t="s">
        <v>1490</v>
      </c>
      <c r="K1430" t="s">
        <v>1491</v>
      </c>
      <c r="L1430">
        <v>21741</v>
      </c>
      <c r="M1430" t="s">
        <v>1509</v>
      </c>
      <c r="O1430" t="s">
        <v>11</v>
      </c>
      <c r="P1430">
        <v>6102</v>
      </c>
      <c r="Q1430">
        <v>24</v>
      </c>
      <c r="R1430">
        <v>20.89</v>
      </c>
      <c r="S1430">
        <v>501.36</v>
      </c>
      <c r="T1430">
        <v>380.64</v>
      </c>
      <c r="U1430">
        <v>24.08</v>
      </c>
      <c r="V1430" t="str">
        <f>VLOOKUP(L1430,'[2]tabela de preços'!$A:$D,4,0)</f>
        <v>SOLUFIX</v>
      </c>
      <c r="W1430" t="str">
        <f>VLOOKUP(L1430,'[2]tabela de preços'!$A:$F,6,0)</f>
        <v>COLA INST./ ADESIVOS COLANTES</v>
      </c>
      <c r="X1430" t="str">
        <f>VLOOKUP(L1430,'[2]tabela de preços'!$A:$G,7,0)</f>
        <v>AUTOMOTIVO</v>
      </c>
    </row>
    <row r="1431" spans="1:24" x14ac:dyDescent="0.3">
      <c r="A1431" t="s">
        <v>1486</v>
      </c>
      <c r="C1431" t="s">
        <v>1507</v>
      </c>
      <c r="D1431" s="1">
        <v>46041</v>
      </c>
      <c r="E1431" t="s">
        <v>1508</v>
      </c>
      <c r="F1431">
        <v>9</v>
      </c>
      <c r="G1431">
        <v>236</v>
      </c>
      <c r="H1431" t="str">
        <f>VLOOKUP(G1431,[1]OPERADORES!$A:$B,2,0)</f>
        <v>DANIEL</v>
      </c>
      <c r="I1431" t="s">
        <v>1489</v>
      </c>
      <c r="J1431" t="s">
        <v>1490</v>
      </c>
      <c r="K1431" t="s">
        <v>1491</v>
      </c>
      <c r="L1431">
        <v>9913</v>
      </c>
      <c r="M1431" t="s">
        <v>1510</v>
      </c>
      <c r="O1431" t="s">
        <v>11</v>
      </c>
      <c r="P1431">
        <v>6102</v>
      </c>
      <c r="Q1431">
        <v>50</v>
      </c>
      <c r="R1431">
        <v>5.31</v>
      </c>
      <c r="S1431">
        <v>265.5</v>
      </c>
      <c r="T1431">
        <v>201.5</v>
      </c>
      <c r="U1431">
        <v>24.11</v>
      </c>
      <c r="V1431" t="str">
        <f>VLOOKUP(L1431,'[2]tabela de preços'!$A:$D,4,0)</f>
        <v>WANDA</v>
      </c>
      <c r="W1431" t="str">
        <f>VLOOKUP(L1431,'[2]tabela de preços'!$A:$F,6,0)</f>
        <v>EMBALAGEM</v>
      </c>
      <c r="X1431" t="str">
        <f>VLOOKUP(L1431,'[2]tabela de preços'!$A:$G,7,0)</f>
        <v>AUTOMOTIVO</v>
      </c>
    </row>
    <row r="1432" spans="1:24" x14ac:dyDescent="0.3">
      <c r="A1432" t="s">
        <v>1486</v>
      </c>
      <c r="C1432" t="s">
        <v>1511</v>
      </c>
      <c r="D1432" s="1">
        <v>46042</v>
      </c>
      <c r="F1432">
        <v>9</v>
      </c>
      <c r="G1432">
        <v>236</v>
      </c>
      <c r="H1432" t="str">
        <f>VLOOKUP(G1432,[1]OPERADORES!$A:$B,2,0)</f>
        <v>DANIEL</v>
      </c>
      <c r="I1432" t="s">
        <v>1489</v>
      </c>
      <c r="J1432" t="s">
        <v>1490</v>
      </c>
      <c r="K1432" t="s">
        <v>1491</v>
      </c>
      <c r="L1432">
        <v>85691</v>
      </c>
      <c r="M1432" t="s">
        <v>1231</v>
      </c>
      <c r="N1432" t="s">
        <v>1512</v>
      </c>
      <c r="O1432" t="s">
        <v>11</v>
      </c>
      <c r="P1432">
        <v>2202</v>
      </c>
      <c r="Q1432">
        <v>-24</v>
      </c>
      <c r="R1432">
        <v>14.81</v>
      </c>
      <c r="S1432">
        <v>-355.44</v>
      </c>
      <c r="T1432">
        <v>-269.76</v>
      </c>
      <c r="U1432">
        <v>24.11</v>
      </c>
      <c r="V1432" t="str">
        <f>VLOOKUP(L1432,'[2]tabela de preços'!$A:$D,4,0)</f>
        <v>UNIPEGA</v>
      </c>
      <c r="W1432" t="str">
        <f>VLOOKUP(L1432,'[2]tabela de preços'!$A:$F,6,0)</f>
        <v>COLA INST./ ADESIVOS COLANTES</v>
      </c>
      <c r="X1432" t="str">
        <f>VLOOKUP(L1432,'[2]tabela de preços'!$A:$G,7,0)</f>
        <v>AUTOMOTIVO</v>
      </c>
    </row>
    <row r="1433" spans="1:24" x14ac:dyDescent="0.3">
      <c r="A1433" t="s">
        <v>1486</v>
      </c>
      <c r="C1433" t="s">
        <v>1513</v>
      </c>
      <c r="D1433" s="1">
        <v>46048</v>
      </c>
      <c r="E1433" t="s">
        <v>1514</v>
      </c>
      <c r="F1433">
        <v>9</v>
      </c>
      <c r="G1433">
        <v>236</v>
      </c>
      <c r="H1433" t="str">
        <f>VLOOKUP(G1433,[1]OPERADORES!$A:$B,2,0)</f>
        <v>DANIEL</v>
      </c>
      <c r="I1433" t="s">
        <v>1489</v>
      </c>
      <c r="J1433" t="s">
        <v>1490</v>
      </c>
      <c r="K1433" t="s">
        <v>1491</v>
      </c>
      <c r="L1433">
        <v>23016</v>
      </c>
      <c r="M1433" t="s">
        <v>1515</v>
      </c>
      <c r="O1433" t="s">
        <v>11</v>
      </c>
      <c r="P1433">
        <v>6403</v>
      </c>
      <c r="Q1433">
        <v>1</v>
      </c>
      <c r="R1433">
        <v>815.33</v>
      </c>
      <c r="S1433">
        <v>815.33</v>
      </c>
      <c r="T1433">
        <v>581.34</v>
      </c>
      <c r="U1433">
        <v>28.7</v>
      </c>
      <c r="V1433" t="str">
        <f>VLOOKUP(L1433,'[2]tabela de preços'!$A:$D,4,0)</f>
        <v>WANDA</v>
      </c>
      <c r="W1433" t="str">
        <f>VLOOKUP(L1433,'[2]tabela de preços'!$A:$F,6,0)</f>
        <v>BASES PU</v>
      </c>
      <c r="X1433" t="str">
        <f>VLOOKUP(L1433,'[2]tabela de preços'!$A:$G,7,0)</f>
        <v>AUTOMOTIVO</v>
      </c>
    </row>
    <row r="1434" spans="1:24" x14ac:dyDescent="0.3">
      <c r="A1434" t="s">
        <v>1516</v>
      </c>
      <c r="C1434" t="s">
        <v>1517</v>
      </c>
      <c r="D1434" s="1">
        <v>46035</v>
      </c>
      <c r="E1434" t="s">
        <v>1518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372</v>
      </c>
      <c r="K1434" t="s">
        <v>1519</v>
      </c>
      <c r="L1434">
        <v>84025</v>
      </c>
      <c r="M1434" t="s">
        <v>1520</v>
      </c>
      <c r="O1434" t="s">
        <v>11</v>
      </c>
      <c r="P1434">
        <v>5102</v>
      </c>
      <c r="Q1434">
        <v>2</v>
      </c>
      <c r="R1434">
        <v>80.42</v>
      </c>
      <c r="S1434">
        <v>160.84</v>
      </c>
      <c r="T1434">
        <v>122.08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1516</v>
      </c>
      <c r="C1435" t="s">
        <v>1517</v>
      </c>
      <c r="D1435" s="1">
        <v>46035</v>
      </c>
      <c r="E1435" t="s">
        <v>1518</v>
      </c>
      <c r="F1435">
        <v>9</v>
      </c>
      <c r="G1435">
        <v>174</v>
      </c>
      <c r="H1435" t="str">
        <f>VLOOKUP(G1435,[1]OPERADORES!$A:$B,2,0)</f>
        <v>MIRIÃ LOBATO RODRIGUES</v>
      </c>
      <c r="I1435" t="s">
        <v>21</v>
      </c>
      <c r="J1435" t="s">
        <v>372</v>
      </c>
      <c r="K1435" t="s">
        <v>1519</v>
      </c>
      <c r="L1435">
        <v>84112</v>
      </c>
      <c r="M1435" t="s">
        <v>885</v>
      </c>
      <c r="O1435" t="s">
        <v>11</v>
      </c>
      <c r="P1435">
        <v>5403</v>
      </c>
      <c r="Q1435">
        <v>1</v>
      </c>
      <c r="R1435">
        <v>153.99</v>
      </c>
      <c r="S1435">
        <v>153.99</v>
      </c>
      <c r="T1435">
        <v>116.88</v>
      </c>
      <c r="U1435">
        <v>24.1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1516</v>
      </c>
      <c r="C1436" t="s">
        <v>1517</v>
      </c>
      <c r="D1436" s="1">
        <v>46035</v>
      </c>
      <c r="E1436" t="s">
        <v>1518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372</v>
      </c>
      <c r="K1436" t="s">
        <v>1519</v>
      </c>
      <c r="L1436">
        <v>84897</v>
      </c>
      <c r="M1436" t="s">
        <v>852</v>
      </c>
      <c r="O1436" t="s">
        <v>11</v>
      </c>
      <c r="P1436">
        <v>5403</v>
      </c>
      <c r="Q1436">
        <v>3</v>
      </c>
      <c r="R1436">
        <v>230.87</v>
      </c>
      <c r="S1436">
        <v>692.61</v>
      </c>
      <c r="T1436">
        <v>525.69000000000005</v>
      </c>
      <c r="U1436">
        <v>24.1</v>
      </c>
      <c r="V1436" t="str">
        <f>VLOOKUP(L1436,'[2]tabela de preços'!$A:$D,4,0)</f>
        <v>BRASILUX</v>
      </c>
      <c r="W1436" t="str">
        <f>VLOOKUP(L1436,'[2]tabela de preços'!$A:$F,6,0)</f>
        <v>EPOXI</v>
      </c>
      <c r="X1436" t="str">
        <f>VLOOKUP(L1436,'[2]tabela de preços'!$A:$G,7,0)</f>
        <v>INDUSTRIAL</v>
      </c>
    </row>
    <row r="1437" spans="1:24" x14ac:dyDescent="0.3">
      <c r="A1437" t="s">
        <v>1516</v>
      </c>
      <c r="C1437" t="s">
        <v>1517</v>
      </c>
      <c r="D1437" s="1">
        <v>46035</v>
      </c>
      <c r="E1437" t="s">
        <v>1518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372</v>
      </c>
      <c r="K1437" t="s">
        <v>1519</v>
      </c>
      <c r="L1437">
        <v>84898</v>
      </c>
      <c r="M1437" t="s">
        <v>853</v>
      </c>
      <c r="O1437" t="s">
        <v>11</v>
      </c>
      <c r="P1437">
        <v>5403</v>
      </c>
      <c r="Q1437">
        <v>12</v>
      </c>
      <c r="R1437">
        <v>209.03</v>
      </c>
      <c r="S1437" s="2">
        <v>2508.36</v>
      </c>
      <c r="T1437" s="2">
        <v>1903.92</v>
      </c>
      <c r="U1437">
        <v>24.1</v>
      </c>
      <c r="V1437" t="str">
        <f>VLOOKUP(L1437,'[2]tabela de preços'!$A:$D,4,0)</f>
        <v>BRASILUX</v>
      </c>
      <c r="W1437" t="str">
        <f>VLOOKUP(L1437,'[2]tabela de preços'!$A:$F,6,0)</f>
        <v>EPOXI</v>
      </c>
      <c r="X1437" t="str">
        <f>VLOOKUP(L1437,'[2]tabela de preços'!$A:$G,7,0)</f>
        <v>INDUSTRIAL</v>
      </c>
    </row>
    <row r="1438" spans="1:24" x14ac:dyDescent="0.3">
      <c r="A1438" t="s">
        <v>1516</v>
      </c>
      <c r="C1438" t="s">
        <v>1517</v>
      </c>
      <c r="D1438" s="1">
        <v>46035</v>
      </c>
      <c r="E1438" t="s">
        <v>1518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372</v>
      </c>
      <c r="K1438" t="s">
        <v>1519</v>
      </c>
      <c r="L1438">
        <v>84899</v>
      </c>
      <c r="M1438" t="s">
        <v>854</v>
      </c>
      <c r="O1438" t="s">
        <v>11</v>
      </c>
      <c r="P1438">
        <v>5403</v>
      </c>
      <c r="Q1438">
        <v>2</v>
      </c>
      <c r="R1438">
        <v>169.39</v>
      </c>
      <c r="S1438">
        <v>338.78</v>
      </c>
      <c r="T1438">
        <v>257.14</v>
      </c>
      <c r="U1438">
        <v>24.1</v>
      </c>
      <c r="V1438" t="str">
        <f>VLOOKUP(L1438,'[2]tabela de preços'!$A:$D,4,0)</f>
        <v>BRASILUX</v>
      </c>
      <c r="W1438" t="str">
        <f>VLOOKUP(L1438,'[2]tabela de preços'!$A:$F,6,0)</f>
        <v>EPOXI</v>
      </c>
      <c r="X1438" t="str">
        <f>VLOOKUP(L1438,'[2]tabela de preços'!$A:$G,7,0)</f>
        <v>INDUSTRIAL</v>
      </c>
    </row>
    <row r="1439" spans="1:24" x14ac:dyDescent="0.3">
      <c r="A1439" t="s">
        <v>1516</v>
      </c>
      <c r="C1439" t="s">
        <v>1517</v>
      </c>
      <c r="D1439" s="1">
        <v>46035</v>
      </c>
      <c r="E1439" t="s">
        <v>1518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372</v>
      </c>
      <c r="K1439" t="s">
        <v>1519</v>
      </c>
      <c r="L1439">
        <v>86935</v>
      </c>
      <c r="M1439" t="s">
        <v>1521</v>
      </c>
      <c r="O1439" t="s">
        <v>11</v>
      </c>
      <c r="P1439">
        <v>5403</v>
      </c>
      <c r="Q1439">
        <v>7</v>
      </c>
      <c r="R1439">
        <v>219.88</v>
      </c>
      <c r="S1439" s="2">
        <v>1539.16</v>
      </c>
      <c r="T1439" s="2">
        <v>1168.23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EPOXI</v>
      </c>
      <c r="X1439" t="str">
        <f>VLOOKUP(L1439,'[2]tabela de preços'!$A:$G,7,0)</f>
        <v>INDUSTRIAL</v>
      </c>
    </row>
    <row r="1440" spans="1:24" x14ac:dyDescent="0.3">
      <c r="A1440" t="s">
        <v>1516</v>
      </c>
      <c r="C1440" t="s">
        <v>1522</v>
      </c>
      <c r="D1440" s="1">
        <v>46044</v>
      </c>
      <c r="E1440" t="s">
        <v>1523</v>
      </c>
      <c r="F1440">
        <v>9</v>
      </c>
      <c r="G1440">
        <v>174</v>
      </c>
      <c r="H1440" t="str">
        <f>VLOOKUP(G1440,[1]OPERADORES!$A:$B,2,0)</f>
        <v>MIRIÃ LOBATO RODRIGUES</v>
      </c>
      <c r="I1440" t="s">
        <v>21</v>
      </c>
      <c r="J1440" t="s">
        <v>372</v>
      </c>
      <c r="K1440" t="s">
        <v>1519</v>
      </c>
      <c r="L1440">
        <v>84897</v>
      </c>
      <c r="M1440" t="s">
        <v>852</v>
      </c>
      <c r="O1440" t="s">
        <v>11</v>
      </c>
      <c r="P1440">
        <v>5403</v>
      </c>
      <c r="Q1440">
        <v>2</v>
      </c>
      <c r="R1440">
        <v>230.87</v>
      </c>
      <c r="S1440">
        <v>461.74</v>
      </c>
      <c r="T1440">
        <v>350.46</v>
      </c>
      <c r="U1440">
        <v>24.1</v>
      </c>
      <c r="V1440" t="str">
        <f>VLOOKUP(L1440,'[2]tabela de preços'!$A:$D,4,0)</f>
        <v>BRASILUX</v>
      </c>
      <c r="W1440" t="str">
        <f>VLOOKUP(L1440,'[2]tabela de preços'!$A:$F,6,0)</f>
        <v>EPOXI</v>
      </c>
      <c r="X1440" t="str">
        <f>VLOOKUP(L1440,'[2]tabela de preços'!$A:$G,7,0)</f>
        <v>INDUSTRIAL</v>
      </c>
    </row>
    <row r="1441" spans="1:24" x14ac:dyDescent="0.3">
      <c r="A1441" t="s">
        <v>1524</v>
      </c>
      <c r="B1441" t="s">
        <v>1525</v>
      </c>
      <c r="C1441" t="s">
        <v>1526</v>
      </c>
      <c r="D1441" s="1">
        <v>46029</v>
      </c>
      <c r="E1441" t="s">
        <v>1527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762</v>
      </c>
      <c r="K1441" t="s">
        <v>1528</v>
      </c>
      <c r="L1441">
        <v>84384</v>
      </c>
      <c r="M1441" t="s">
        <v>1529</v>
      </c>
      <c r="O1441" t="s">
        <v>11</v>
      </c>
      <c r="P1441">
        <v>5403</v>
      </c>
      <c r="Q1441">
        <v>2</v>
      </c>
      <c r="R1441">
        <v>162.9</v>
      </c>
      <c r="S1441">
        <v>325.8</v>
      </c>
      <c r="T1441">
        <v>271.54000000000002</v>
      </c>
      <c r="U1441">
        <v>16.649999999999999</v>
      </c>
      <c r="V1441" t="str">
        <f>VLOOKUP(L1441,'[2]tabela de preços'!$A:$D,4,0)</f>
        <v>BRASILUX</v>
      </c>
      <c r="W1441" t="str">
        <f>VLOOKUP(L1441,'[2]tabela de preços'!$A:$F,6,0)</f>
        <v>TINTA PARA PISO</v>
      </c>
      <c r="X1441" t="str">
        <f>VLOOKUP(L1441,'[2]tabela de preços'!$A:$G,7,0)</f>
        <v>IMOBILIÁRIO</v>
      </c>
    </row>
    <row r="1442" spans="1:24" x14ac:dyDescent="0.3">
      <c r="A1442" t="s">
        <v>1524</v>
      </c>
      <c r="B1442" t="s">
        <v>1525</v>
      </c>
      <c r="C1442" t="s">
        <v>1526</v>
      </c>
      <c r="D1442" s="1">
        <v>46029</v>
      </c>
      <c r="E1442" t="s">
        <v>1527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762</v>
      </c>
      <c r="K1442" t="s">
        <v>1528</v>
      </c>
      <c r="L1442">
        <v>85280</v>
      </c>
      <c r="M1442" t="s">
        <v>943</v>
      </c>
      <c r="O1442" t="s">
        <v>11</v>
      </c>
      <c r="P1442">
        <v>5102</v>
      </c>
      <c r="Q1442">
        <v>3</v>
      </c>
      <c r="R1442">
        <v>55.72</v>
      </c>
      <c r="S1442">
        <v>167.16</v>
      </c>
      <c r="T1442">
        <v>126.87</v>
      </c>
      <c r="U1442">
        <v>24.1</v>
      </c>
      <c r="V1442" t="str">
        <f>VLOOKUP(L1442,'[2]tabela de preços'!$A:$D,4,0)</f>
        <v>BRASILUX</v>
      </c>
      <c r="W1442" t="str">
        <f>VLOOKUP(L1442,'[2]tabela de preços'!$A:$F,6,0)</f>
        <v>CATALISADORES INDIVIDUAIS</v>
      </c>
      <c r="X1442" t="str">
        <f>VLOOKUP(L1442,'[2]tabela de preços'!$A:$G,7,0)</f>
        <v>IMOBILIÁRIO</v>
      </c>
    </row>
    <row r="1443" spans="1:24" x14ac:dyDescent="0.3">
      <c r="A1443" t="s">
        <v>1524</v>
      </c>
      <c r="B1443" t="s">
        <v>1525</v>
      </c>
      <c r="C1443" t="s">
        <v>1526</v>
      </c>
      <c r="D1443" s="1">
        <v>46029</v>
      </c>
      <c r="E1443" t="s">
        <v>1527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762</v>
      </c>
      <c r="K1443" t="s">
        <v>1528</v>
      </c>
      <c r="L1443">
        <v>23690</v>
      </c>
      <c r="M1443" t="s">
        <v>98</v>
      </c>
      <c r="O1443" t="s">
        <v>11</v>
      </c>
      <c r="P1443">
        <v>5403</v>
      </c>
      <c r="Q1443">
        <v>1</v>
      </c>
      <c r="R1443">
        <v>39.89</v>
      </c>
      <c r="S1443">
        <v>39.89</v>
      </c>
      <c r="T1443">
        <v>31.61</v>
      </c>
      <c r="U1443">
        <v>20.76</v>
      </c>
      <c r="V1443" t="str">
        <f>VLOOKUP(L1443,'[2]tabela de preços'!$A:$D,4,0)</f>
        <v>WANDA</v>
      </c>
      <c r="W1443" t="str">
        <f>VLOOKUP(L1443,'[2]tabela de preços'!$A:$F,6,0)</f>
        <v>VERNIZ AUTOMOTIVO</v>
      </c>
      <c r="X1443" t="str">
        <f>VLOOKUP(L1443,'[2]tabela de preços'!$A:$G,7,0)</f>
        <v>AUTOMOTIVO</v>
      </c>
    </row>
    <row r="1444" spans="1:24" x14ac:dyDescent="0.3">
      <c r="A1444" t="s">
        <v>1524</v>
      </c>
      <c r="B1444" t="s">
        <v>1525</v>
      </c>
      <c r="C1444" t="s">
        <v>1530</v>
      </c>
      <c r="D1444" s="1">
        <v>46031</v>
      </c>
      <c r="E1444" t="s">
        <v>1531</v>
      </c>
      <c r="F1444">
        <v>9</v>
      </c>
      <c r="G1444">
        <v>236</v>
      </c>
      <c r="H1444" t="str">
        <f>VLOOKUP(G1444,[1]OPERADORES!$A:$B,2,0)</f>
        <v>DANIEL</v>
      </c>
      <c r="I1444" t="s">
        <v>21</v>
      </c>
      <c r="J1444" t="s">
        <v>762</v>
      </c>
      <c r="K1444" t="s">
        <v>1528</v>
      </c>
      <c r="L1444">
        <v>84174</v>
      </c>
      <c r="M1444" t="s">
        <v>1532</v>
      </c>
      <c r="O1444" t="s">
        <v>11</v>
      </c>
      <c r="P1444">
        <v>5403</v>
      </c>
      <c r="Q1444">
        <v>4</v>
      </c>
      <c r="R1444">
        <v>92.33</v>
      </c>
      <c r="S1444">
        <v>369.32</v>
      </c>
      <c r="T1444">
        <v>280.32</v>
      </c>
      <c r="U1444">
        <v>24.1</v>
      </c>
      <c r="V1444" t="str">
        <f>VLOOKUP(L1444,'[2]tabela de preços'!$A:$D,4,0)</f>
        <v>BRASILUX</v>
      </c>
      <c r="W1444" t="str">
        <f>VLOOKUP(L1444,'[2]tabela de preços'!$A:$F,6,0)</f>
        <v>ESMALTES</v>
      </c>
      <c r="X1444" t="str">
        <f>VLOOKUP(L1444,'[2]tabela de preços'!$A:$G,7,0)</f>
        <v>INDUSTRIAL</v>
      </c>
    </row>
    <row r="1445" spans="1:24" x14ac:dyDescent="0.3">
      <c r="A1445" t="s">
        <v>1524</v>
      </c>
      <c r="B1445" t="s">
        <v>1525</v>
      </c>
      <c r="C1445" t="s">
        <v>1530</v>
      </c>
      <c r="D1445" s="1">
        <v>46031</v>
      </c>
      <c r="E1445" t="s">
        <v>1531</v>
      </c>
      <c r="F1445">
        <v>9</v>
      </c>
      <c r="G1445">
        <v>236</v>
      </c>
      <c r="H1445" t="str">
        <f>VLOOKUP(G1445,[1]OPERADORES!$A:$B,2,0)</f>
        <v>DANIEL</v>
      </c>
      <c r="I1445" t="s">
        <v>21</v>
      </c>
      <c r="J1445" t="s">
        <v>762</v>
      </c>
      <c r="K1445" t="s">
        <v>1528</v>
      </c>
      <c r="L1445">
        <v>86998</v>
      </c>
      <c r="M1445" t="s">
        <v>1533</v>
      </c>
      <c r="O1445" t="s">
        <v>11</v>
      </c>
      <c r="P1445">
        <v>5403</v>
      </c>
      <c r="Q1445">
        <v>3</v>
      </c>
      <c r="R1445">
        <v>28.55</v>
      </c>
      <c r="S1445">
        <v>85.65</v>
      </c>
      <c r="T1445">
        <v>65.010000000000005</v>
      </c>
      <c r="U1445">
        <v>24.1</v>
      </c>
      <c r="V1445" t="str">
        <f>VLOOKUP(L1445,'[2]tabela de preços'!$A:$D,4,0)</f>
        <v>BRASILUX</v>
      </c>
      <c r="W1445" t="str">
        <f>VLOOKUP(L1445,'[2]tabela de preços'!$A:$F,6,0)</f>
        <v>ESMALTES</v>
      </c>
      <c r="X1445" t="str">
        <f>VLOOKUP(L1445,'[2]tabela de preços'!$A:$G,7,0)</f>
        <v>INDUSTRIAL</v>
      </c>
    </row>
    <row r="1446" spans="1:24" x14ac:dyDescent="0.3">
      <c r="A1446" t="s">
        <v>1524</v>
      </c>
      <c r="B1446" t="s">
        <v>1525</v>
      </c>
      <c r="C1446" t="s">
        <v>1534</v>
      </c>
      <c r="D1446" s="1">
        <v>46034</v>
      </c>
      <c r="E1446" t="s">
        <v>1535</v>
      </c>
      <c r="F1446">
        <v>9</v>
      </c>
      <c r="G1446">
        <v>236</v>
      </c>
      <c r="H1446" t="str">
        <f>VLOOKUP(G1446,[1]OPERADORES!$A:$B,2,0)</f>
        <v>DANIEL</v>
      </c>
      <c r="I1446" t="s">
        <v>21</v>
      </c>
      <c r="J1446" t="s">
        <v>762</v>
      </c>
      <c r="K1446" t="s">
        <v>1528</v>
      </c>
      <c r="L1446">
        <v>84383</v>
      </c>
      <c r="M1446" t="s">
        <v>836</v>
      </c>
      <c r="O1446" t="s">
        <v>11</v>
      </c>
      <c r="P1446">
        <v>5403</v>
      </c>
      <c r="Q1446">
        <v>1</v>
      </c>
      <c r="R1446">
        <v>159.9</v>
      </c>
      <c r="S1446">
        <v>159.9</v>
      </c>
      <c r="T1446">
        <v>137.61000000000001</v>
      </c>
      <c r="U1446">
        <v>13.94</v>
      </c>
      <c r="V1446" t="str">
        <f>VLOOKUP(L1446,'[2]tabela de preços'!$A:$D,4,0)</f>
        <v>BRASILUX</v>
      </c>
      <c r="W1446" t="str">
        <f>VLOOKUP(L1446,'[2]tabela de preços'!$A:$F,6,0)</f>
        <v>TINTA PARA PISO</v>
      </c>
      <c r="X1446" t="str">
        <f>VLOOKUP(L1446,'[2]tabela de preços'!$A:$G,7,0)</f>
        <v>IMOBILIÁRIO</v>
      </c>
    </row>
    <row r="1447" spans="1:24" x14ac:dyDescent="0.3">
      <c r="A1447" t="s">
        <v>1524</v>
      </c>
      <c r="B1447" t="s">
        <v>1525</v>
      </c>
      <c r="C1447" t="s">
        <v>1534</v>
      </c>
      <c r="D1447" s="1">
        <v>46034</v>
      </c>
      <c r="E1447" t="s">
        <v>1535</v>
      </c>
      <c r="F1447">
        <v>9</v>
      </c>
      <c r="G1447">
        <v>236</v>
      </c>
      <c r="H1447" t="str">
        <f>VLOOKUP(G1447,[1]OPERADORES!$A:$B,2,0)</f>
        <v>DANIEL</v>
      </c>
      <c r="I1447" t="s">
        <v>21</v>
      </c>
      <c r="J1447" t="s">
        <v>762</v>
      </c>
      <c r="K1447" t="s">
        <v>1528</v>
      </c>
      <c r="L1447">
        <v>84384</v>
      </c>
      <c r="M1447" t="s">
        <v>1529</v>
      </c>
      <c r="O1447" t="s">
        <v>11</v>
      </c>
      <c r="P1447">
        <v>5403</v>
      </c>
      <c r="Q1447">
        <v>5</v>
      </c>
      <c r="R1447">
        <v>159.9</v>
      </c>
      <c r="S1447">
        <v>799.5</v>
      </c>
      <c r="T1447">
        <v>688.05</v>
      </c>
      <c r="U1447">
        <v>13.94</v>
      </c>
      <c r="V1447" t="str">
        <f>VLOOKUP(L1447,'[2]tabela de preços'!$A:$D,4,0)</f>
        <v>BRASILUX</v>
      </c>
      <c r="W1447" t="str">
        <f>VLOOKUP(L1447,'[2]tabela de preços'!$A:$F,6,0)</f>
        <v>TINTA PARA PISO</v>
      </c>
      <c r="X1447" t="str">
        <f>VLOOKUP(L1447,'[2]tabela de preços'!$A:$G,7,0)</f>
        <v>IMOBILIÁRIO</v>
      </c>
    </row>
    <row r="1448" spans="1:24" x14ac:dyDescent="0.3">
      <c r="A1448" t="s">
        <v>1524</v>
      </c>
      <c r="B1448" t="s">
        <v>1525</v>
      </c>
      <c r="C1448" t="s">
        <v>1534</v>
      </c>
      <c r="D1448" s="1">
        <v>46034</v>
      </c>
      <c r="E1448" t="s">
        <v>1535</v>
      </c>
      <c r="F1448">
        <v>9</v>
      </c>
      <c r="G1448">
        <v>236</v>
      </c>
      <c r="H1448" t="str">
        <f>VLOOKUP(G1448,[1]OPERADORES!$A:$B,2,0)</f>
        <v>DANIEL</v>
      </c>
      <c r="I1448" t="s">
        <v>21</v>
      </c>
      <c r="J1448" t="s">
        <v>762</v>
      </c>
      <c r="K1448" t="s">
        <v>1528</v>
      </c>
      <c r="L1448">
        <v>84389</v>
      </c>
      <c r="M1448" t="s">
        <v>832</v>
      </c>
      <c r="O1448" t="s">
        <v>11</v>
      </c>
      <c r="P1448">
        <v>5403</v>
      </c>
      <c r="Q1448">
        <v>2</v>
      </c>
      <c r="R1448">
        <v>159.9</v>
      </c>
      <c r="S1448">
        <v>319.8</v>
      </c>
      <c r="T1448">
        <v>275.22000000000003</v>
      </c>
      <c r="U1448">
        <v>13.94</v>
      </c>
      <c r="V1448" t="str">
        <f>VLOOKUP(L1448,'[2]tabela de preços'!$A:$D,4,0)</f>
        <v>BRASILUX</v>
      </c>
      <c r="W1448" t="str">
        <f>VLOOKUP(L1448,'[2]tabela de preços'!$A:$F,6,0)</f>
        <v>TINTA PARA PISO</v>
      </c>
      <c r="X1448" t="str">
        <f>VLOOKUP(L1448,'[2]tabela de preços'!$A:$G,7,0)</f>
        <v>IMOBILIÁRIO</v>
      </c>
    </row>
    <row r="1449" spans="1:24" x14ac:dyDescent="0.3">
      <c r="A1449" t="s">
        <v>1524</v>
      </c>
      <c r="B1449" t="s">
        <v>1525</v>
      </c>
      <c r="C1449" t="s">
        <v>1534</v>
      </c>
      <c r="D1449" s="1">
        <v>46034</v>
      </c>
      <c r="E1449" t="s">
        <v>1535</v>
      </c>
      <c r="F1449">
        <v>9</v>
      </c>
      <c r="G1449">
        <v>236</v>
      </c>
      <c r="H1449" t="str">
        <f>VLOOKUP(G1449,[1]OPERADORES!$A:$B,2,0)</f>
        <v>DANIEL</v>
      </c>
      <c r="I1449" t="s">
        <v>21</v>
      </c>
      <c r="J1449" t="s">
        <v>762</v>
      </c>
      <c r="K1449" t="s">
        <v>1528</v>
      </c>
      <c r="L1449">
        <v>85280</v>
      </c>
      <c r="M1449" t="s">
        <v>943</v>
      </c>
      <c r="O1449" t="s">
        <v>11</v>
      </c>
      <c r="P1449">
        <v>5102</v>
      </c>
      <c r="Q1449">
        <v>3</v>
      </c>
      <c r="R1449">
        <v>55.72</v>
      </c>
      <c r="S1449">
        <v>167.16</v>
      </c>
      <c r="T1449">
        <v>126.87</v>
      </c>
      <c r="U1449">
        <v>24.1</v>
      </c>
      <c r="V1449" t="str">
        <f>VLOOKUP(L1449,'[2]tabela de preços'!$A:$D,4,0)</f>
        <v>BRASILUX</v>
      </c>
      <c r="W1449" t="str">
        <f>VLOOKUP(L1449,'[2]tabela de preços'!$A:$F,6,0)</f>
        <v>CATALISADORES INDIVIDUAIS</v>
      </c>
      <c r="X1449" t="str">
        <f>VLOOKUP(L1449,'[2]tabela de preços'!$A:$G,7,0)</f>
        <v>IMOBILIÁRIO</v>
      </c>
    </row>
    <row r="1450" spans="1:24" x14ac:dyDescent="0.3">
      <c r="A1450" t="s">
        <v>1524</v>
      </c>
      <c r="B1450" t="s">
        <v>1525</v>
      </c>
      <c r="C1450" t="s">
        <v>1536</v>
      </c>
      <c r="D1450" s="1">
        <v>46035</v>
      </c>
      <c r="E1450" t="s">
        <v>1537</v>
      </c>
      <c r="F1450">
        <v>9</v>
      </c>
      <c r="G1450">
        <v>236</v>
      </c>
      <c r="H1450" t="str">
        <f>VLOOKUP(G1450,[1]OPERADORES!$A:$B,2,0)</f>
        <v>DANIEL</v>
      </c>
      <c r="I1450" t="s">
        <v>21</v>
      </c>
      <c r="J1450" t="s">
        <v>762</v>
      </c>
      <c r="K1450" t="s">
        <v>1528</v>
      </c>
      <c r="L1450">
        <v>84495</v>
      </c>
      <c r="M1450" t="s">
        <v>1538</v>
      </c>
      <c r="O1450" t="s">
        <v>11</v>
      </c>
      <c r="P1450">
        <v>5403</v>
      </c>
      <c r="Q1450">
        <v>5</v>
      </c>
      <c r="R1450">
        <v>81.459999999999994</v>
      </c>
      <c r="S1450">
        <v>407.3</v>
      </c>
      <c r="T1450">
        <v>309.14999999999998</v>
      </c>
      <c r="U1450">
        <v>24.1</v>
      </c>
      <c r="V1450" t="str">
        <f>VLOOKUP(L1450,'[2]tabela de preços'!$A:$D,4,0)</f>
        <v>BRASILUX</v>
      </c>
      <c r="W1450" t="str">
        <f>VLOOKUP(L1450,'[2]tabela de preços'!$A:$F,6,0)</f>
        <v xml:space="preserve">BASES SISTEMA NO MACHINE </v>
      </c>
      <c r="X1450" t="str">
        <f>VLOOKUP(L1450,'[2]tabela de preços'!$A:$G,7,0)</f>
        <v>INDUSTRIAL</v>
      </c>
    </row>
    <row r="1451" spans="1:24" x14ac:dyDescent="0.3">
      <c r="A1451" t="s">
        <v>1524</v>
      </c>
      <c r="B1451" t="s">
        <v>1525</v>
      </c>
      <c r="C1451" t="s">
        <v>1536</v>
      </c>
      <c r="D1451" s="1">
        <v>46035</v>
      </c>
      <c r="E1451" t="s">
        <v>1537</v>
      </c>
      <c r="F1451">
        <v>9</v>
      </c>
      <c r="G1451">
        <v>236</v>
      </c>
      <c r="H1451" t="str">
        <f>VLOOKUP(G1451,[1]OPERADORES!$A:$B,2,0)</f>
        <v>DANIEL</v>
      </c>
      <c r="I1451" t="s">
        <v>21</v>
      </c>
      <c r="J1451" t="s">
        <v>762</v>
      </c>
      <c r="K1451" t="s">
        <v>1528</v>
      </c>
      <c r="L1451">
        <v>84494</v>
      </c>
      <c r="M1451" t="s">
        <v>1539</v>
      </c>
      <c r="O1451" t="s">
        <v>11</v>
      </c>
      <c r="P1451">
        <v>5403</v>
      </c>
      <c r="Q1451">
        <v>1</v>
      </c>
      <c r="R1451">
        <v>150.94</v>
      </c>
      <c r="S1451">
        <v>150.94</v>
      </c>
      <c r="T1451">
        <v>114.57</v>
      </c>
      <c r="U1451">
        <v>24.1</v>
      </c>
      <c r="V1451" t="str">
        <f>VLOOKUP(L1451,'[2]tabela de preços'!$A:$D,4,0)</f>
        <v>BRASILUX</v>
      </c>
      <c r="W1451" t="str">
        <f>VLOOKUP(L1451,'[2]tabela de preços'!$A:$F,6,0)</f>
        <v xml:space="preserve">BASES SISTEMA NO MACHINE </v>
      </c>
      <c r="X1451" t="str">
        <f>VLOOKUP(L1451,'[2]tabela de preços'!$A:$G,7,0)</f>
        <v>INDUSTRIAL</v>
      </c>
    </row>
    <row r="1452" spans="1:24" x14ac:dyDescent="0.3">
      <c r="A1452" t="s">
        <v>1524</v>
      </c>
      <c r="B1452" t="s">
        <v>1525</v>
      </c>
      <c r="C1452" t="s">
        <v>1536</v>
      </c>
      <c r="D1452" s="1">
        <v>46035</v>
      </c>
      <c r="E1452" t="s">
        <v>1537</v>
      </c>
      <c r="F1452">
        <v>9</v>
      </c>
      <c r="G1452">
        <v>236</v>
      </c>
      <c r="H1452" t="str">
        <f>VLOOKUP(G1452,[1]OPERADORES!$A:$B,2,0)</f>
        <v>DANIEL</v>
      </c>
      <c r="I1452" t="s">
        <v>21</v>
      </c>
      <c r="J1452" t="s">
        <v>762</v>
      </c>
      <c r="K1452" t="s">
        <v>1528</v>
      </c>
      <c r="L1452">
        <v>84891</v>
      </c>
      <c r="M1452" t="s">
        <v>1540</v>
      </c>
      <c r="O1452" t="s">
        <v>11</v>
      </c>
      <c r="P1452">
        <v>5403</v>
      </c>
      <c r="Q1452">
        <v>1</v>
      </c>
      <c r="R1452">
        <v>322.86</v>
      </c>
      <c r="S1452">
        <v>322.86</v>
      </c>
      <c r="T1452">
        <v>245.06</v>
      </c>
      <c r="U1452">
        <v>24.1</v>
      </c>
      <c r="V1452" t="str">
        <f>VLOOKUP(L1452,'[2]tabela de preços'!$A:$D,4,0)</f>
        <v>BRASILUX</v>
      </c>
      <c r="W1452" t="str">
        <f>VLOOKUP(L1452,'[2]tabela de preços'!$A:$F,6,0)</f>
        <v xml:space="preserve">BASES SISTEMA NO MACHINE </v>
      </c>
      <c r="X1452" t="str">
        <f>VLOOKUP(L1452,'[2]tabela de preços'!$A:$G,7,0)</f>
        <v>INDUSTRIAL</v>
      </c>
    </row>
    <row r="1453" spans="1:24" x14ac:dyDescent="0.3">
      <c r="A1453" t="s">
        <v>1524</v>
      </c>
      <c r="B1453" t="s">
        <v>1525</v>
      </c>
      <c r="C1453" t="s">
        <v>1536</v>
      </c>
      <c r="D1453" s="1">
        <v>46035</v>
      </c>
      <c r="E1453" t="s">
        <v>1537</v>
      </c>
      <c r="F1453">
        <v>9</v>
      </c>
      <c r="G1453">
        <v>236</v>
      </c>
      <c r="H1453" t="str">
        <f>VLOOKUP(G1453,[1]OPERADORES!$A:$B,2,0)</f>
        <v>DANIEL</v>
      </c>
      <c r="I1453" t="s">
        <v>21</v>
      </c>
      <c r="J1453" t="s">
        <v>762</v>
      </c>
      <c r="K1453" t="s">
        <v>1528</v>
      </c>
      <c r="L1453">
        <v>85280</v>
      </c>
      <c r="M1453" t="s">
        <v>943</v>
      </c>
      <c r="O1453" t="s">
        <v>11</v>
      </c>
      <c r="P1453">
        <v>5102</v>
      </c>
      <c r="Q1453">
        <v>3</v>
      </c>
      <c r="R1453">
        <v>55.72</v>
      </c>
      <c r="S1453">
        <v>167.16</v>
      </c>
      <c r="T1453">
        <v>126.87</v>
      </c>
      <c r="U1453">
        <v>24.1</v>
      </c>
      <c r="V1453" t="str">
        <f>VLOOKUP(L1453,'[2]tabela de preços'!$A:$D,4,0)</f>
        <v>BRASILUX</v>
      </c>
      <c r="W1453" t="str">
        <f>VLOOKUP(L1453,'[2]tabela de preços'!$A:$F,6,0)</f>
        <v>CATALISADORES INDIVIDUAIS</v>
      </c>
      <c r="X1453" t="str">
        <f>VLOOKUP(L1453,'[2]tabela de preços'!$A:$G,7,0)</f>
        <v>IMOBILIÁRIO</v>
      </c>
    </row>
    <row r="1454" spans="1:24" x14ac:dyDescent="0.3">
      <c r="A1454" t="s">
        <v>1524</v>
      </c>
      <c r="B1454" t="s">
        <v>1525</v>
      </c>
      <c r="C1454" t="s">
        <v>1536</v>
      </c>
      <c r="D1454" s="1">
        <v>46035</v>
      </c>
      <c r="E1454" t="s">
        <v>1537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762</v>
      </c>
      <c r="K1454" t="s">
        <v>1528</v>
      </c>
      <c r="L1454">
        <v>23878</v>
      </c>
      <c r="M1454" t="s">
        <v>851</v>
      </c>
      <c r="O1454" t="s">
        <v>11</v>
      </c>
      <c r="P1454">
        <v>5102</v>
      </c>
      <c r="Q1454">
        <v>12</v>
      </c>
      <c r="R1454">
        <v>7.2</v>
      </c>
      <c r="S1454">
        <v>86.4</v>
      </c>
      <c r="T1454">
        <v>76.56</v>
      </c>
      <c r="U1454">
        <v>11.39</v>
      </c>
      <c r="V1454" t="str">
        <f>VLOOKUP(L1454,'[2]tabela de preços'!$A:$D,4,0)</f>
        <v>ATLAS</v>
      </c>
      <c r="W1454" t="str">
        <f>VLOOKUP(L1454,'[2]tabela de preços'!$A:$F,6,0)</f>
        <v>ROLOS / TRINCHAS / PINCÉIS / ESPÁTULAS</v>
      </c>
      <c r="X1454" t="str">
        <f>VLOOKUP(L1454,'[2]tabela de preços'!$A:$G,7,0)</f>
        <v>IMOBILIÁRIO</v>
      </c>
    </row>
    <row r="1455" spans="1:24" x14ac:dyDescent="0.3">
      <c r="A1455" t="s">
        <v>1524</v>
      </c>
      <c r="B1455" t="s">
        <v>1525</v>
      </c>
      <c r="C1455" t="s">
        <v>1541</v>
      </c>
      <c r="D1455" s="1">
        <v>46036</v>
      </c>
      <c r="E1455" t="s">
        <v>1542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762</v>
      </c>
      <c r="K1455" t="s">
        <v>1528</v>
      </c>
      <c r="L1455">
        <v>84134</v>
      </c>
      <c r="M1455" t="s">
        <v>589</v>
      </c>
      <c r="O1455" t="s">
        <v>11</v>
      </c>
      <c r="P1455">
        <v>5403</v>
      </c>
      <c r="Q1455">
        <v>12</v>
      </c>
      <c r="R1455">
        <v>7.55</v>
      </c>
      <c r="S1455">
        <v>90.6</v>
      </c>
      <c r="T1455">
        <v>68.760000000000005</v>
      </c>
      <c r="U1455">
        <v>24.11</v>
      </c>
      <c r="V1455" t="str">
        <f>VLOOKUP(L1455,'[2]tabela de preços'!$A:$D,4,0)</f>
        <v>BRASILUX</v>
      </c>
      <c r="W1455" t="str">
        <f>VLOOKUP(L1455,'[2]tabela de preços'!$A:$F,6,0)</f>
        <v>ESMALTES</v>
      </c>
      <c r="X1455" t="str">
        <f>VLOOKUP(L1455,'[2]tabela de preços'!$A:$G,7,0)</f>
        <v>INDUSTRIAL</v>
      </c>
    </row>
    <row r="1456" spans="1:24" x14ac:dyDescent="0.3">
      <c r="A1456" t="s">
        <v>1524</v>
      </c>
      <c r="B1456" t="s">
        <v>1525</v>
      </c>
      <c r="C1456" t="s">
        <v>1541</v>
      </c>
      <c r="D1456" s="1">
        <v>46036</v>
      </c>
      <c r="E1456" t="s">
        <v>1542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762</v>
      </c>
      <c r="K1456" t="s">
        <v>1528</v>
      </c>
      <c r="L1456">
        <v>84344</v>
      </c>
      <c r="M1456" t="s">
        <v>1000</v>
      </c>
      <c r="O1456" t="s">
        <v>11</v>
      </c>
      <c r="P1456">
        <v>5403</v>
      </c>
      <c r="Q1456">
        <v>2</v>
      </c>
      <c r="R1456">
        <v>59.98</v>
      </c>
      <c r="S1456">
        <v>119.96</v>
      </c>
      <c r="T1456">
        <v>99.32</v>
      </c>
      <c r="U1456">
        <v>17.21</v>
      </c>
      <c r="V1456" t="str">
        <f>VLOOKUP(L1456,'[2]tabela de preços'!$A:$D,4,0)</f>
        <v>BRASILUX</v>
      </c>
      <c r="W1456" t="str">
        <f>VLOOKUP(L1456,'[2]tabela de preços'!$A:$F,6,0)</f>
        <v>ESMALTES</v>
      </c>
      <c r="X1456" t="str">
        <f>VLOOKUP(L1456,'[2]tabela de preços'!$A:$G,7,0)</f>
        <v>INDUSTRIAL</v>
      </c>
    </row>
    <row r="1457" spans="1:24" x14ac:dyDescent="0.3">
      <c r="A1457" t="s">
        <v>1524</v>
      </c>
      <c r="B1457" t="s">
        <v>1525</v>
      </c>
      <c r="C1457" t="s">
        <v>1543</v>
      </c>
      <c r="D1457" s="1">
        <v>46036</v>
      </c>
      <c r="E1457" t="s">
        <v>1544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762</v>
      </c>
      <c r="K1457" t="s">
        <v>1528</v>
      </c>
      <c r="L1457">
        <v>84247</v>
      </c>
      <c r="M1457" t="s">
        <v>1545</v>
      </c>
      <c r="O1457" t="s">
        <v>11</v>
      </c>
      <c r="P1457">
        <v>5403</v>
      </c>
      <c r="Q1457">
        <v>3</v>
      </c>
      <c r="R1457">
        <v>453.93</v>
      </c>
      <c r="S1457" s="2">
        <v>1361.79</v>
      </c>
      <c r="T1457" s="2">
        <v>1033.6199999999999</v>
      </c>
      <c r="U1457">
        <v>24.1</v>
      </c>
      <c r="V1457" t="str">
        <f>VLOOKUP(L1457,'[2]tabela de preços'!$A:$D,4,0)</f>
        <v>BRASILUX</v>
      </c>
      <c r="W1457" t="str">
        <f>VLOOKUP(L1457,'[2]tabela de preços'!$A:$F,6,0)</f>
        <v>IMPERMEABILIZANTES</v>
      </c>
      <c r="X1457" t="str">
        <f>VLOOKUP(L1457,'[2]tabela de preços'!$A:$G,7,0)</f>
        <v>IMOBILIÁRIO</v>
      </c>
    </row>
    <row r="1458" spans="1:24" x14ac:dyDescent="0.3">
      <c r="A1458" t="s">
        <v>1524</v>
      </c>
      <c r="B1458" t="s">
        <v>1525</v>
      </c>
      <c r="C1458" t="s">
        <v>1546</v>
      </c>
      <c r="D1458" s="1">
        <v>46041</v>
      </c>
      <c r="E1458" t="s">
        <v>1547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762</v>
      </c>
      <c r="K1458" t="s">
        <v>1528</v>
      </c>
      <c r="L1458">
        <v>84222</v>
      </c>
      <c r="M1458" t="s">
        <v>1548</v>
      </c>
      <c r="O1458" t="s">
        <v>11</v>
      </c>
      <c r="P1458">
        <v>5403</v>
      </c>
      <c r="Q1458">
        <v>6</v>
      </c>
      <c r="R1458">
        <v>16.8</v>
      </c>
      <c r="S1458">
        <v>100.8</v>
      </c>
      <c r="T1458">
        <v>76.5</v>
      </c>
      <c r="U1458">
        <v>24.11</v>
      </c>
      <c r="V1458" t="str">
        <f>VLOOKUP(L1458,'[2]tabela de preços'!$A:$D,4,0)</f>
        <v>BRASILUX</v>
      </c>
      <c r="W1458" t="str">
        <f>VLOOKUP(L1458,'[2]tabela de preços'!$A:$F,6,0)</f>
        <v>ESMALTES</v>
      </c>
      <c r="X1458" t="str">
        <f>VLOOKUP(L1458,'[2]tabela de preços'!$A:$G,7,0)</f>
        <v>INDUSTRIAL</v>
      </c>
    </row>
    <row r="1459" spans="1:24" x14ac:dyDescent="0.3">
      <c r="A1459" t="s">
        <v>1524</v>
      </c>
      <c r="B1459" t="s">
        <v>1525</v>
      </c>
      <c r="C1459" t="s">
        <v>1546</v>
      </c>
      <c r="D1459" s="1">
        <v>46041</v>
      </c>
      <c r="E1459" t="s">
        <v>1547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762</v>
      </c>
      <c r="K1459" t="s">
        <v>1528</v>
      </c>
      <c r="L1459">
        <v>85269</v>
      </c>
      <c r="M1459" t="s">
        <v>1549</v>
      </c>
      <c r="O1459" t="s">
        <v>11</v>
      </c>
      <c r="P1459">
        <v>5403</v>
      </c>
      <c r="Q1459">
        <v>6</v>
      </c>
      <c r="R1459">
        <v>27.11</v>
      </c>
      <c r="S1459">
        <v>162.66</v>
      </c>
      <c r="T1459">
        <v>123.42</v>
      </c>
      <c r="U1459">
        <v>24.12</v>
      </c>
      <c r="V1459" t="str">
        <f>VLOOKUP(L1459,'[2]tabela de preços'!$A:$D,4,0)</f>
        <v>BRASILUX</v>
      </c>
      <c r="W1459" t="str">
        <f>VLOOKUP(L1459,'[2]tabela de preços'!$A:$F,6,0)</f>
        <v>ESMALTES</v>
      </c>
      <c r="X1459" t="str">
        <f>VLOOKUP(L1459,'[2]tabela de preços'!$A:$G,7,0)</f>
        <v>INDUSTRIAL</v>
      </c>
    </row>
    <row r="1460" spans="1:24" x14ac:dyDescent="0.3">
      <c r="A1460" t="s">
        <v>1524</v>
      </c>
      <c r="B1460" t="s">
        <v>1525</v>
      </c>
      <c r="C1460" t="s">
        <v>1546</v>
      </c>
      <c r="D1460" s="1">
        <v>46041</v>
      </c>
      <c r="E1460" t="s">
        <v>1547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762</v>
      </c>
      <c r="K1460" t="s">
        <v>1528</v>
      </c>
      <c r="L1460">
        <v>84176</v>
      </c>
      <c r="M1460" t="s">
        <v>1550</v>
      </c>
      <c r="O1460" t="s">
        <v>11</v>
      </c>
      <c r="P1460">
        <v>5403</v>
      </c>
      <c r="Q1460">
        <v>4</v>
      </c>
      <c r="R1460">
        <v>92.33</v>
      </c>
      <c r="S1460">
        <v>369.32</v>
      </c>
      <c r="T1460">
        <v>280.32</v>
      </c>
      <c r="U1460">
        <v>24.1</v>
      </c>
      <c r="V1460" t="str">
        <f>VLOOKUP(L1460,'[2]tabela de preços'!$A:$D,4,0)</f>
        <v>BRASILUX</v>
      </c>
      <c r="W1460" t="str">
        <f>VLOOKUP(L1460,'[2]tabela de preços'!$A:$F,6,0)</f>
        <v>ESMALTES</v>
      </c>
      <c r="X1460" t="str">
        <f>VLOOKUP(L1460,'[2]tabela de preços'!$A:$G,7,0)</f>
        <v>INDUSTRIAL</v>
      </c>
    </row>
    <row r="1461" spans="1:24" x14ac:dyDescent="0.3">
      <c r="A1461" t="s">
        <v>1524</v>
      </c>
      <c r="B1461" t="s">
        <v>1525</v>
      </c>
      <c r="C1461" t="s">
        <v>1546</v>
      </c>
      <c r="D1461" s="1">
        <v>46041</v>
      </c>
      <c r="E1461" t="s">
        <v>1547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762</v>
      </c>
      <c r="K1461" t="s">
        <v>1528</v>
      </c>
      <c r="L1461">
        <v>84179</v>
      </c>
      <c r="M1461" t="s">
        <v>1551</v>
      </c>
      <c r="O1461" t="s">
        <v>11</v>
      </c>
      <c r="P1461">
        <v>5403</v>
      </c>
      <c r="Q1461">
        <v>5</v>
      </c>
      <c r="R1461">
        <v>26.56</v>
      </c>
      <c r="S1461">
        <v>132.80000000000001</v>
      </c>
      <c r="T1461">
        <v>100.8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ESMALTES</v>
      </c>
      <c r="X1461" t="str">
        <f>VLOOKUP(L1461,'[2]tabela de preços'!$A:$G,7,0)</f>
        <v>INDUSTRIAL</v>
      </c>
    </row>
    <row r="1462" spans="1:24" x14ac:dyDescent="0.3">
      <c r="A1462" t="s">
        <v>1524</v>
      </c>
      <c r="B1462" t="s">
        <v>1525</v>
      </c>
      <c r="C1462" t="s">
        <v>1546</v>
      </c>
      <c r="D1462" s="1">
        <v>46041</v>
      </c>
      <c r="E1462" t="s">
        <v>1547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762</v>
      </c>
      <c r="K1462" t="s">
        <v>1528</v>
      </c>
      <c r="L1462">
        <v>84111</v>
      </c>
      <c r="M1462" t="s">
        <v>1393</v>
      </c>
      <c r="O1462" t="s">
        <v>11</v>
      </c>
      <c r="P1462">
        <v>5403</v>
      </c>
      <c r="Q1462">
        <v>2</v>
      </c>
      <c r="R1462">
        <v>153.99</v>
      </c>
      <c r="S1462">
        <v>307.98</v>
      </c>
      <c r="T1462">
        <v>233.76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1524</v>
      </c>
      <c r="B1463" t="s">
        <v>1525</v>
      </c>
      <c r="C1463" t="s">
        <v>1546</v>
      </c>
      <c r="D1463" s="1">
        <v>46041</v>
      </c>
      <c r="E1463" t="s">
        <v>1547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762</v>
      </c>
      <c r="K1463" t="s">
        <v>1528</v>
      </c>
      <c r="L1463">
        <v>84200</v>
      </c>
      <c r="M1463" t="s">
        <v>1552</v>
      </c>
      <c r="O1463" t="s">
        <v>11</v>
      </c>
      <c r="P1463">
        <v>5403</v>
      </c>
      <c r="Q1463">
        <v>2</v>
      </c>
      <c r="R1463">
        <v>224.04</v>
      </c>
      <c r="S1463">
        <v>448.08</v>
      </c>
      <c r="T1463">
        <v>340.1</v>
      </c>
      <c r="U1463">
        <v>24.1</v>
      </c>
      <c r="V1463" t="str">
        <f>VLOOKUP(L1463,'[2]tabela de preços'!$A:$D,4,0)</f>
        <v>BRASILUX</v>
      </c>
      <c r="W1463" t="str">
        <f>VLOOKUP(L1463,'[2]tabela de preços'!$A:$F,6,0)</f>
        <v>EPOXI</v>
      </c>
      <c r="X1463" t="str">
        <f>VLOOKUP(L1463,'[2]tabela de preços'!$A:$G,7,0)</f>
        <v>INDUSTRIAL</v>
      </c>
    </row>
    <row r="1464" spans="1:24" x14ac:dyDescent="0.3">
      <c r="A1464" t="s">
        <v>1524</v>
      </c>
      <c r="B1464" t="s">
        <v>1525</v>
      </c>
      <c r="C1464" t="s">
        <v>1553</v>
      </c>
      <c r="D1464" s="1">
        <v>46045</v>
      </c>
      <c r="E1464" t="s">
        <v>1554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762</v>
      </c>
      <c r="K1464" t="s">
        <v>1528</v>
      </c>
      <c r="L1464">
        <v>84324</v>
      </c>
      <c r="M1464" t="s">
        <v>359</v>
      </c>
      <c r="O1464" t="s">
        <v>11</v>
      </c>
      <c r="P1464">
        <v>5403</v>
      </c>
      <c r="Q1464">
        <v>8</v>
      </c>
      <c r="R1464">
        <v>91.84</v>
      </c>
      <c r="S1464">
        <v>734.72</v>
      </c>
      <c r="T1464">
        <v>557.67999999999995</v>
      </c>
      <c r="U1464">
        <v>24.1</v>
      </c>
      <c r="V1464" t="str">
        <f>VLOOKUP(L1464,'[2]tabela de preços'!$A:$D,4,0)</f>
        <v>BRASILUX</v>
      </c>
      <c r="W1464" t="str">
        <f>VLOOKUP(L1464,'[2]tabela de preços'!$A:$F,6,0)</f>
        <v>ESMALTES</v>
      </c>
      <c r="X1464" t="str">
        <f>VLOOKUP(L1464,'[2]tabela de preços'!$A:$G,7,0)</f>
        <v>INDUSTRIAL</v>
      </c>
    </row>
    <row r="1465" spans="1:24" x14ac:dyDescent="0.3">
      <c r="A1465" t="s">
        <v>1524</v>
      </c>
      <c r="B1465" t="s">
        <v>1525</v>
      </c>
      <c r="C1465" t="s">
        <v>1553</v>
      </c>
      <c r="D1465" s="1">
        <v>46045</v>
      </c>
      <c r="E1465" t="s">
        <v>1554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762</v>
      </c>
      <c r="K1465" t="s">
        <v>1528</v>
      </c>
      <c r="L1465">
        <v>85280</v>
      </c>
      <c r="M1465" t="s">
        <v>943</v>
      </c>
      <c r="O1465" t="s">
        <v>11</v>
      </c>
      <c r="P1465">
        <v>5102</v>
      </c>
      <c r="Q1465">
        <v>8</v>
      </c>
      <c r="R1465">
        <v>55.72</v>
      </c>
      <c r="S1465">
        <v>445.76</v>
      </c>
      <c r="T1465">
        <v>338.32</v>
      </c>
      <c r="U1465">
        <v>24.1</v>
      </c>
      <c r="V1465" t="str">
        <f>VLOOKUP(L1465,'[2]tabela de preços'!$A:$D,4,0)</f>
        <v>BRASILUX</v>
      </c>
      <c r="W1465" t="str">
        <f>VLOOKUP(L1465,'[2]tabela de preços'!$A:$F,6,0)</f>
        <v>CATALISADORES INDIVIDUAIS</v>
      </c>
      <c r="X1465" t="str">
        <f>VLOOKUP(L1465,'[2]tabela de preços'!$A:$G,7,0)</f>
        <v>IMOBILIÁRIO</v>
      </c>
    </row>
    <row r="1466" spans="1:24" x14ac:dyDescent="0.3">
      <c r="A1466" t="s">
        <v>1524</v>
      </c>
      <c r="B1466" t="s">
        <v>1525</v>
      </c>
      <c r="C1466" t="s">
        <v>1553</v>
      </c>
      <c r="D1466" s="1">
        <v>46045</v>
      </c>
      <c r="E1466" t="s">
        <v>1554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10298</v>
      </c>
      <c r="M1466" t="s">
        <v>85</v>
      </c>
      <c r="O1466" t="s">
        <v>11</v>
      </c>
      <c r="P1466">
        <v>5102</v>
      </c>
      <c r="Q1466">
        <v>4</v>
      </c>
      <c r="R1466">
        <v>56.89</v>
      </c>
      <c r="S1466">
        <v>227.56</v>
      </c>
      <c r="T1466">
        <v>189.52</v>
      </c>
      <c r="U1466">
        <v>16.72</v>
      </c>
      <c r="V1466" t="str">
        <f>VLOOKUP(L1466,'[2]tabela de preços'!$A:$D,4,0)</f>
        <v>ANJO</v>
      </c>
      <c r="W1466" t="str">
        <f>VLOOKUP(L1466,'[2]tabela de preços'!$A:$F,6,0)</f>
        <v>THINNER DE LIMPEZA</v>
      </c>
      <c r="X1466" t="str">
        <f>VLOOKUP(L1466,'[2]tabela de preços'!$A:$G,7,0)</f>
        <v>THINNER</v>
      </c>
    </row>
    <row r="1467" spans="1:24" x14ac:dyDescent="0.3">
      <c r="A1467" t="s">
        <v>1524</v>
      </c>
      <c r="B1467" t="s">
        <v>1525</v>
      </c>
      <c r="C1467" t="s">
        <v>1555</v>
      </c>
      <c r="D1467" s="1">
        <v>46051</v>
      </c>
      <c r="E1467" t="s">
        <v>1556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84188</v>
      </c>
      <c r="M1467" t="s">
        <v>1557</v>
      </c>
      <c r="O1467" t="s">
        <v>11</v>
      </c>
      <c r="P1467">
        <v>5403</v>
      </c>
      <c r="Q1467">
        <v>4</v>
      </c>
      <c r="R1467">
        <v>78.05</v>
      </c>
      <c r="S1467">
        <v>312.2</v>
      </c>
      <c r="T1467">
        <v>236.96</v>
      </c>
      <c r="U1467">
        <v>24.1</v>
      </c>
      <c r="V1467" t="str">
        <f>VLOOKUP(L1467,'[2]tabela de preços'!$A:$D,4,0)</f>
        <v>BRASILUX</v>
      </c>
      <c r="W1467" t="str">
        <f>VLOOKUP(L1467,'[2]tabela de preços'!$A:$F,6,0)</f>
        <v>LINHA MOVELEIRA</v>
      </c>
      <c r="X1467" t="str">
        <f>VLOOKUP(L1467,'[2]tabela de preços'!$A:$G,7,0)</f>
        <v>MOVELEIRA</v>
      </c>
    </row>
    <row r="1468" spans="1:24" x14ac:dyDescent="0.3">
      <c r="A1468" t="s">
        <v>1524</v>
      </c>
      <c r="B1468" t="s">
        <v>1525</v>
      </c>
      <c r="C1468" t="s">
        <v>1555</v>
      </c>
      <c r="D1468" s="1">
        <v>46051</v>
      </c>
      <c r="E1468" t="s">
        <v>1556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84191</v>
      </c>
      <c r="M1468" t="s">
        <v>889</v>
      </c>
      <c r="O1468" t="s">
        <v>11</v>
      </c>
      <c r="P1468">
        <v>5403</v>
      </c>
      <c r="Q1468">
        <v>6</v>
      </c>
      <c r="R1468">
        <v>22.02</v>
      </c>
      <c r="S1468">
        <v>132.12</v>
      </c>
      <c r="T1468">
        <v>100.32</v>
      </c>
      <c r="U1468">
        <v>24.07</v>
      </c>
      <c r="V1468" t="str">
        <f>VLOOKUP(L1468,'[2]tabela de preços'!$A:$D,4,0)</f>
        <v>BRASILUX</v>
      </c>
      <c r="W1468" t="str">
        <f>VLOOKUP(L1468,'[2]tabela de preços'!$A:$F,6,0)</f>
        <v>LINHA MOVELEIRA</v>
      </c>
      <c r="X1468" t="str">
        <f>VLOOKUP(L1468,'[2]tabela de preços'!$A:$G,7,0)</f>
        <v>MOVELEIRA</v>
      </c>
    </row>
    <row r="1469" spans="1:24" x14ac:dyDescent="0.3">
      <c r="A1469" t="s">
        <v>1524</v>
      </c>
      <c r="B1469" t="s">
        <v>1525</v>
      </c>
      <c r="C1469" t="s">
        <v>1555</v>
      </c>
      <c r="D1469" s="1">
        <v>46051</v>
      </c>
      <c r="E1469" t="s">
        <v>1556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84190</v>
      </c>
      <c r="M1469" t="s">
        <v>1558</v>
      </c>
      <c r="O1469" t="s">
        <v>11</v>
      </c>
      <c r="P1469">
        <v>5403</v>
      </c>
      <c r="Q1469">
        <v>4</v>
      </c>
      <c r="R1469">
        <v>78.05</v>
      </c>
      <c r="S1469">
        <v>312.2</v>
      </c>
      <c r="T1469">
        <v>236.96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LINHA MOVELEIRA</v>
      </c>
      <c r="X1469" t="str">
        <f>VLOOKUP(L1469,'[2]tabela de preços'!$A:$G,7,0)</f>
        <v>MOVELEIRA</v>
      </c>
    </row>
    <row r="1470" spans="1:24" x14ac:dyDescent="0.3">
      <c r="A1470" t="s">
        <v>1524</v>
      </c>
      <c r="B1470" t="s">
        <v>1525</v>
      </c>
      <c r="C1470" t="s">
        <v>1555</v>
      </c>
      <c r="D1470" s="1">
        <v>46051</v>
      </c>
      <c r="E1470" t="s">
        <v>1556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762</v>
      </c>
      <c r="K1470" t="s">
        <v>1528</v>
      </c>
      <c r="L1470">
        <v>84193</v>
      </c>
      <c r="M1470" t="s">
        <v>1559</v>
      </c>
      <c r="O1470" t="s">
        <v>11</v>
      </c>
      <c r="P1470">
        <v>5403</v>
      </c>
      <c r="Q1470">
        <v>6</v>
      </c>
      <c r="R1470">
        <v>22.3</v>
      </c>
      <c r="S1470">
        <v>133.80000000000001</v>
      </c>
      <c r="T1470">
        <v>101.58</v>
      </c>
      <c r="U1470">
        <v>24.08</v>
      </c>
      <c r="V1470" t="str">
        <f>VLOOKUP(L1470,'[2]tabela de preços'!$A:$D,4,0)</f>
        <v>BRASILUX</v>
      </c>
      <c r="W1470" t="str">
        <f>VLOOKUP(L1470,'[2]tabela de preços'!$A:$F,6,0)</f>
        <v>LINHA MOVELEIRA</v>
      </c>
      <c r="X1470" t="str">
        <f>VLOOKUP(L1470,'[2]tabela de preços'!$A:$G,7,0)</f>
        <v>MOVELEIRA</v>
      </c>
    </row>
    <row r="1471" spans="1:24" x14ac:dyDescent="0.3">
      <c r="A1471" t="s">
        <v>1524</v>
      </c>
      <c r="B1471" t="s">
        <v>1525</v>
      </c>
      <c r="C1471" t="s">
        <v>1555</v>
      </c>
      <c r="D1471" s="1">
        <v>46051</v>
      </c>
      <c r="E1471" t="s">
        <v>1556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762</v>
      </c>
      <c r="K1471" t="s">
        <v>1528</v>
      </c>
      <c r="L1471">
        <v>87175</v>
      </c>
      <c r="M1471" t="s">
        <v>1560</v>
      </c>
      <c r="O1471" t="s">
        <v>11</v>
      </c>
      <c r="P1471">
        <v>5403</v>
      </c>
      <c r="Q1471">
        <v>8</v>
      </c>
      <c r="R1471">
        <v>96.16</v>
      </c>
      <c r="S1471">
        <v>769.28</v>
      </c>
      <c r="T1471">
        <v>524.24</v>
      </c>
      <c r="U1471">
        <v>31.85</v>
      </c>
      <c r="V1471" t="str">
        <f>VLOOKUP(L1471,'[2]tabela de preços'!$A:$D,4,0)</f>
        <v>BRASILUX</v>
      </c>
      <c r="W1471" t="str">
        <f>VLOOKUP(L1471,'[2]tabela de preços'!$A:$F,6,0)</f>
        <v>ESMALTES</v>
      </c>
      <c r="X1471" t="str">
        <f>VLOOKUP(L1471,'[2]tabela de preços'!$A:$G,7,0)</f>
        <v>INDUSTRIAL</v>
      </c>
    </row>
    <row r="1472" spans="1:24" x14ac:dyDescent="0.3">
      <c r="A1472" t="s">
        <v>1561</v>
      </c>
      <c r="C1472" t="s">
        <v>1562</v>
      </c>
      <c r="D1472" s="1">
        <v>46028</v>
      </c>
      <c r="E1472" t="s">
        <v>1563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84268</v>
      </c>
      <c r="M1472" t="s">
        <v>1566</v>
      </c>
      <c r="O1472" t="s">
        <v>11</v>
      </c>
      <c r="P1472">
        <v>5403</v>
      </c>
      <c r="Q1472">
        <v>5</v>
      </c>
      <c r="R1472">
        <v>228.14</v>
      </c>
      <c r="S1472" s="2">
        <v>1140.7</v>
      </c>
      <c r="T1472">
        <v>735.95</v>
      </c>
      <c r="U1472">
        <v>35.479999999999997</v>
      </c>
      <c r="V1472" t="str">
        <f>VLOOKUP(L1472,'[2]tabela de preços'!$A:$D,4,0)</f>
        <v>BRASILUX</v>
      </c>
      <c r="W1472" t="str">
        <f>VLOOKUP(L1472,'[2]tabela de preços'!$A:$F,6,0)</f>
        <v>TINTA PAREDE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1562</v>
      </c>
      <c r="D1473" s="1">
        <v>46028</v>
      </c>
      <c r="E1473" t="s">
        <v>1563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84036</v>
      </c>
      <c r="M1473" t="s">
        <v>289</v>
      </c>
      <c r="O1473" t="s">
        <v>11</v>
      </c>
      <c r="P1473">
        <v>5102</v>
      </c>
      <c r="Q1473">
        <v>5</v>
      </c>
      <c r="R1473">
        <v>47.89</v>
      </c>
      <c r="S1473">
        <v>239.45</v>
      </c>
      <c r="T1473">
        <v>208.15</v>
      </c>
      <c r="U1473">
        <v>13.07</v>
      </c>
      <c r="V1473" t="str">
        <f>VLOOKUP(L1473,'[2]tabela de preços'!$A:$D,4,0)</f>
        <v>BRASILUX</v>
      </c>
      <c r="W1473" t="str">
        <f>VLOOKUP(L1473,'[2]tabela de preços'!$A:$F,6,0)</f>
        <v>MASSA CORRIDA / ACRÍLICA</v>
      </c>
      <c r="X1473" t="str">
        <f>VLOOKUP(L1473,'[2]tabela de preços'!$A:$G,7,0)</f>
        <v>IMOBILIÁRIO</v>
      </c>
    </row>
    <row r="1474" spans="1:24" x14ac:dyDescent="0.3">
      <c r="A1474" t="s">
        <v>1561</v>
      </c>
      <c r="C1474" t="s">
        <v>1567</v>
      </c>
      <c r="D1474" s="1">
        <v>46029</v>
      </c>
      <c r="E1474" t="s">
        <v>1568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84334</v>
      </c>
      <c r="M1474" t="s">
        <v>895</v>
      </c>
      <c r="O1474" t="s">
        <v>11</v>
      </c>
      <c r="P1474">
        <v>5403</v>
      </c>
      <c r="Q1474">
        <v>4</v>
      </c>
      <c r="R1474">
        <v>60.89</v>
      </c>
      <c r="S1474">
        <v>243.56</v>
      </c>
      <c r="T1474">
        <v>190.64</v>
      </c>
      <c r="U1474">
        <v>21.73</v>
      </c>
      <c r="V1474" t="str">
        <f>VLOOKUP(L1474,'[2]tabela de preços'!$A:$D,4,0)</f>
        <v>BRASILUX</v>
      </c>
      <c r="W1474" t="str">
        <f>VLOOKUP(L1474,'[2]tabela de preços'!$A:$F,6,0)</f>
        <v>ESMALTES</v>
      </c>
      <c r="X1474" t="str">
        <f>VLOOKUP(L1474,'[2]tabela de preços'!$A:$G,7,0)</f>
        <v>INDUSTRIAL</v>
      </c>
    </row>
    <row r="1475" spans="1:24" x14ac:dyDescent="0.3">
      <c r="A1475" t="s">
        <v>1561</v>
      </c>
      <c r="C1475" t="s">
        <v>1569</v>
      </c>
      <c r="D1475" s="1">
        <v>46031</v>
      </c>
      <c r="E1475" t="s">
        <v>1570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1564</v>
      </c>
      <c r="K1475" t="s">
        <v>1565</v>
      </c>
      <c r="L1475">
        <v>84219</v>
      </c>
      <c r="M1475" t="s">
        <v>878</v>
      </c>
      <c r="O1475" t="s">
        <v>11</v>
      </c>
      <c r="P1475">
        <v>5403</v>
      </c>
      <c r="Q1475">
        <v>1</v>
      </c>
      <c r="R1475">
        <v>55.84</v>
      </c>
      <c r="S1475">
        <v>55.84</v>
      </c>
      <c r="T1475">
        <v>40.03</v>
      </c>
      <c r="U1475">
        <v>28.31</v>
      </c>
      <c r="V1475" t="str">
        <f>VLOOKUP(L1475,'[2]tabela de preços'!$A:$D,4,0)</f>
        <v>BRASILUX</v>
      </c>
      <c r="W1475" t="str">
        <f>VLOOKUP(L1475,'[2]tabela de preços'!$A:$F,6,0)</f>
        <v>ESMALTES</v>
      </c>
      <c r="X1475" t="str">
        <f>VLOOKUP(L1475,'[2]tabela de preços'!$A:$G,7,0)</f>
        <v>INDUSTRIAL</v>
      </c>
    </row>
    <row r="1476" spans="1:24" x14ac:dyDescent="0.3">
      <c r="A1476" t="s">
        <v>1561</v>
      </c>
      <c r="C1476" t="s">
        <v>1571</v>
      </c>
      <c r="D1476" s="1">
        <v>46034</v>
      </c>
      <c r="E1476" t="s">
        <v>1572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1564</v>
      </c>
      <c r="K1476" t="s">
        <v>1565</v>
      </c>
      <c r="L1476">
        <v>86230</v>
      </c>
      <c r="M1476" t="s">
        <v>375</v>
      </c>
      <c r="O1476" t="s">
        <v>11</v>
      </c>
      <c r="P1476">
        <v>5403</v>
      </c>
      <c r="Q1476">
        <v>1</v>
      </c>
      <c r="R1476">
        <v>290.88</v>
      </c>
      <c r="S1476">
        <v>290.88</v>
      </c>
      <c r="T1476">
        <v>220.78</v>
      </c>
      <c r="U1476">
        <v>24.1</v>
      </c>
      <c r="V1476" t="str">
        <f>VLOOKUP(L1476,'[2]tabela de preços'!$A:$D,4,0)</f>
        <v>CORAL</v>
      </c>
      <c r="W1476" t="str">
        <f>VLOOKUP(L1476,'[2]tabela de preços'!$A:$F,6,0)</f>
        <v>TINTA PAREDE</v>
      </c>
      <c r="X1476" t="str">
        <f>VLOOKUP(L1476,'[2]tabela de preços'!$A:$G,7,0)</f>
        <v>IMOBILIÁRIO</v>
      </c>
    </row>
    <row r="1477" spans="1:24" x14ac:dyDescent="0.3">
      <c r="A1477" t="s">
        <v>1561</v>
      </c>
      <c r="C1477" t="s">
        <v>1571</v>
      </c>
      <c r="D1477" s="1">
        <v>46034</v>
      </c>
      <c r="E1477" t="s">
        <v>1572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1564</v>
      </c>
      <c r="K1477" t="s">
        <v>1565</v>
      </c>
      <c r="L1477">
        <v>84032</v>
      </c>
      <c r="M1477" t="s">
        <v>1573</v>
      </c>
      <c r="O1477" t="s">
        <v>11</v>
      </c>
      <c r="P1477">
        <v>5102</v>
      </c>
      <c r="Q1477">
        <v>3</v>
      </c>
      <c r="R1477">
        <v>96.39</v>
      </c>
      <c r="S1477">
        <v>289.17</v>
      </c>
      <c r="T1477">
        <v>219.48</v>
      </c>
      <c r="U1477">
        <v>24.1</v>
      </c>
      <c r="V1477" t="str">
        <f>VLOOKUP(L1477,'[2]tabela de preços'!$A:$D,4,0)</f>
        <v>BRASILUX</v>
      </c>
      <c r="W1477" t="str">
        <f>VLOOKUP(L1477,'[2]tabela de preços'!$A:$F,6,0)</f>
        <v>MASSA CORRIDA / ACRÍLICA</v>
      </c>
      <c r="X1477" t="str">
        <f>VLOOKUP(L1477,'[2]tabela de preços'!$A:$G,7,0)</f>
        <v>IMOBILIÁRIO</v>
      </c>
    </row>
    <row r="1478" spans="1:24" x14ac:dyDescent="0.3">
      <c r="A1478" t="s">
        <v>1561</v>
      </c>
      <c r="C1478" t="s">
        <v>1571</v>
      </c>
      <c r="D1478" s="1">
        <v>46034</v>
      </c>
      <c r="E1478" t="s">
        <v>1572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1564</v>
      </c>
      <c r="K1478" t="s">
        <v>1565</v>
      </c>
      <c r="L1478">
        <v>84036</v>
      </c>
      <c r="M1478" t="s">
        <v>289</v>
      </c>
      <c r="O1478" t="s">
        <v>11</v>
      </c>
      <c r="P1478">
        <v>5102</v>
      </c>
      <c r="Q1478">
        <v>8</v>
      </c>
      <c r="R1478">
        <v>47.9</v>
      </c>
      <c r="S1478">
        <v>383.2</v>
      </c>
      <c r="T1478">
        <v>333.04</v>
      </c>
      <c r="U1478">
        <v>13.09</v>
      </c>
      <c r="V1478" t="str">
        <f>VLOOKUP(L1478,'[2]tabela de preços'!$A:$D,4,0)</f>
        <v>BRASILUX</v>
      </c>
      <c r="W1478" t="str">
        <f>VLOOKUP(L1478,'[2]tabela de preços'!$A:$F,6,0)</f>
        <v>MASSA CORRIDA / ACRÍLICA</v>
      </c>
      <c r="X1478" t="str">
        <f>VLOOKUP(L1478,'[2]tabela de preços'!$A:$G,7,0)</f>
        <v>IMOBILIÁRIO</v>
      </c>
    </row>
    <row r="1479" spans="1:24" x14ac:dyDescent="0.3">
      <c r="A1479" t="s">
        <v>1561</v>
      </c>
      <c r="C1479" t="s">
        <v>1574</v>
      </c>
      <c r="D1479" s="1">
        <v>46034</v>
      </c>
      <c r="E1479" t="s">
        <v>1575</v>
      </c>
      <c r="F1479">
        <v>9</v>
      </c>
      <c r="G1479">
        <v>174</v>
      </c>
      <c r="H1479" t="str">
        <f>VLOOKUP(G1479,[1]OPERADORES!$A:$B,2,0)</f>
        <v>MIRIÃ LOBATO RODRIGUES</v>
      </c>
      <c r="I1479" t="s">
        <v>21</v>
      </c>
      <c r="J1479" t="s">
        <v>1564</v>
      </c>
      <c r="K1479" t="s">
        <v>1565</v>
      </c>
      <c r="L1479">
        <v>84334</v>
      </c>
      <c r="M1479" t="s">
        <v>895</v>
      </c>
      <c r="O1479" t="s">
        <v>11</v>
      </c>
      <c r="P1479">
        <v>5403</v>
      </c>
      <c r="Q1479">
        <v>4</v>
      </c>
      <c r="R1479">
        <v>59.98</v>
      </c>
      <c r="S1479">
        <v>239.92</v>
      </c>
      <c r="T1479">
        <v>190.64</v>
      </c>
      <c r="U1479">
        <v>20.54</v>
      </c>
      <c r="V1479" t="str">
        <f>VLOOKUP(L1479,'[2]tabela de preços'!$A:$D,4,0)</f>
        <v>BRASILUX</v>
      </c>
      <c r="W1479" t="str">
        <f>VLOOKUP(L1479,'[2]tabela de preços'!$A:$F,6,0)</f>
        <v>ESMALTES</v>
      </c>
      <c r="X1479" t="str">
        <f>VLOOKUP(L1479,'[2]tabela de preços'!$A:$G,7,0)</f>
        <v>INDUSTRIAL</v>
      </c>
    </row>
    <row r="1480" spans="1:24" x14ac:dyDescent="0.3">
      <c r="A1480" t="s">
        <v>1561</v>
      </c>
      <c r="C1480" t="s">
        <v>1574</v>
      </c>
      <c r="D1480" s="1">
        <v>46034</v>
      </c>
      <c r="E1480" t="s">
        <v>1575</v>
      </c>
      <c r="F1480">
        <v>9</v>
      </c>
      <c r="G1480">
        <v>174</v>
      </c>
      <c r="H1480" t="str">
        <f>VLOOKUP(G1480,[1]OPERADORES!$A:$B,2,0)</f>
        <v>MIRIÃ LOBATO RODRIGUES</v>
      </c>
      <c r="I1480" t="s">
        <v>21</v>
      </c>
      <c r="J1480" t="s">
        <v>1564</v>
      </c>
      <c r="K1480" t="s">
        <v>1565</v>
      </c>
      <c r="L1480">
        <v>86846</v>
      </c>
      <c r="M1480" t="s">
        <v>1576</v>
      </c>
      <c r="O1480" t="s">
        <v>11</v>
      </c>
      <c r="P1480">
        <v>5403</v>
      </c>
      <c r="Q1480">
        <v>2</v>
      </c>
      <c r="R1480">
        <v>290.88</v>
      </c>
      <c r="S1480">
        <v>581.76</v>
      </c>
      <c r="T1480">
        <v>441.56</v>
      </c>
      <c r="U1480">
        <v>24.1</v>
      </c>
      <c r="V1480" t="str">
        <f>VLOOKUP(L1480,'[2]tabela de preços'!$A:$D,4,0)</f>
        <v>CORAL</v>
      </c>
      <c r="W1480" t="str">
        <f>VLOOKUP(L1480,'[2]tabela de preços'!$A:$F,6,0)</f>
        <v>TINTA PAREDE</v>
      </c>
      <c r="X1480" t="str">
        <f>VLOOKUP(L1480,'[2]tabela de preços'!$A:$G,7,0)</f>
        <v>IMOBILIÁRIO</v>
      </c>
    </row>
    <row r="1481" spans="1:24" x14ac:dyDescent="0.3">
      <c r="A1481" t="s">
        <v>1561</v>
      </c>
      <c r="C1481" t="s">
        <v>1577</v>
      </c>
      <c r="D1481" s="1">
        <v>46036</v>
      </c>
      <c r="E1481" t="s">
        <v>1578</v>
      </c>
      <c r="F1481">
        <v>9</v>
      </c>
      <c r="G1481">
        <v>174</v>
      </c>
      <c r="H1481" t="str">
        <f>VLOOKUP(G1481,[1]OPERADORES!$A:$B,2,0)</f>
        <v>MIRIÃ LOBATO RODRIGUES</v>
      </c>
      <c r="I1481" t="s">
        <v>21</v>
      </c>
      <c r="J1481" t="s">
        <v>1564</v>
      </c>
      <c r="K1481" t="s">
        <v>1565</v>
      </c>
      <c r="L1481">
        <v>84036</v>
      </c>
      <c r="M1481" t="s">
        <v>289</v>
      </c>
      <c r="O1481" t="s">
        <v>11</v>
      </c>
      <c r="P1481">
        <v>5102</v>
      </c>
      <c r="Q1481">
        <v>6</v>
      </c>
      <c r="R1481">
        <v>47.9</v>
      </c>
      <c r="S1481">
        <v>287.39999999999998</v>
      </c>
      <c r="T1481">
        <v>249.78</v>
      </c>
      <c r="U1481">
        <v>13.09</v>
      </c>
      <c r="V1481" t="str">
        <f>VLOOKUP(L1481,'[2]tabela de preços'!$A:$D,4,0)</f>
        <v>BRASILUX</v>
      </c>
      <c r="W1481" t="str">
        <f>VLOOKUP(L1481,'[2]tabela de preços'!$A:$F,6,0)</f>
        <v>MASSA CORRIDA / ACRÍLICA</v>
      </c>
      <c r="X1481" t="str">
        <f>VLOOKUP(L1481,'[2]tabela de preços'!$A:$G,7,0)</f>
        <v>IMOBILIÁRIO</v>
      </c>
    </row>
    <row r="1482" spans="1:24" x14ac:dyDescent="0.3">
      <c r="A1482" t="s">
        <v>1561</v>
      </c>
      <c r="C1482" t="s">
        <v>1579</v>
      </c>
      <c r="D1482" s="1">
        <v>46037</v>
      </c>
      <c r="E1482" t="s">
        <v>1580</v>
      </c>
      <c r="F1482">
        <v>9</v>
      </c>
      <c r="G1482">
        <v>174</v>
      </c>
      <c r="H1482" t="str">
        <f>VLOOKUP(G1482,[1]OPERADORES!$A:$B,2,0)</f>
        <v>MIRIÃ LOBATO RODRIGUES</v>
      </c>
      <c r="I1482" t="s">
        <v>21</v>
      </c>
      <c r="J1482" t="s">
        <v>1564</v>
      </c>
      <c r="K1482" t="s">
        <v>1565</v>
      </c>
      <c r="L1482">
        <v>84386</v>
      </c>
      <c r="M1482" t="s">
        <v>552</v>
      </c>
      <c r="O1482" t="s">
        <v>11</v>
      </c>
      <c r="P1482">
        <v>5403</v>
      </c>
      <c r="Q1482">
        <v>6</v>
      </c>
      <c r="R1482">
        <v>159.9</v>
      </c>
      <c r="S1482">
        <v>959.4</v>
      </c>
      <c r="T1482">
        <v>825.66</v>
      </c>
      <c r="U1482">
        <v>13.94</v>
      </c>
      <c r="V1482" t="str">
        <f>VLOOKUP(L1482,'[2]tabela de preços'!$A:$D,4,0)</f>
        <v>BRASILUX</v>
      </c>
      <c r="W1482" t="str">
        <f>VLOOKUP(L1482,'[2]tabela de preços'!$A:$F,6,0)</f>
        <v>TINTA PARA PISO</v>
      </c>
      <c r="X1482" t="str">
        <f>VLOOKUP(L1482,'[2]tabela de preços'!$A:$G,7,0)</f>
        <v>IMOBILIÁRIO</v>
      </c>
    </row>
    <row r="1483" spans="1:24" x14ac:dyDescent="0.3">
      <c r="A1483" t="s">
        <v>1561</v>
      </c>
      <c r="C1483" t="s">
        <v>1581</v>
      </c>
      <c r="D1483" s="1">
        <v>46038</v>
      </c>
      <c r="E1483" t="s">
        <v>1582</v>
      </c>
      <c r="F1483">
        <v>9</v>
      </c>
      <c r="G1483">
        <v>174</v>
      </c>
      <c r="H1483" t="str">
        <f>VLOOKUP(G1483,[1]OPERADORES!$A:$B,2,0)</f>
        <v>MIRIÃ LOBATO RODRIGUES</v>
      </c>
      <c r="I1483" t="s">
        <v>21</v>
      </c>
      <c r="J1483" t="s">
        <v>1564</v>
      </c>
      <c r="K1483" t="s">
        <v>1565</v>
      </c>
      <c r="L1483">
        <v>84268</v>
      </c>
      <c r="M1483" t="s">
        <v>1566</v>
      </c>
      <c r="O1483" t="s">
        <v>11</v>
      </c>
      <c r="P1483">
        <v>5403</v>
      </c>
      <c r="Q1483">
        <v>1</v>
      </c>
      <c r="R1483">
        <v>193.92</v>
      </c>
      <c r="S1483">
        <v>193.92</v>
      </c>
      <c r="T1483">
        <v>147.19</v>
      </c>
      <c r="U1483">
        <v>24.1</v>
      </c>
      <c r="V1483" t="str">
        <f>VLOOKUP(L1483,'[2]tabela de preços'!$A:$D,4,0)</f>
        <v>BRASILUX</v>
      </c>
      <c r="W1483" t="str">
        <f>VLOOKUP(L1483,'[2]tabela de preços'!$A:$F,6,0)</f>
        <v>TINTA PAREDE</v>
      </c>
      <c r="X1483" t="str">
        <f>VLOOKUP(L1483,'[2]tabela de preços'!$A:$G,7,0)</f>
        <v>IMOBILIÁRIO</v>
      </c>
    </row>
    <row r="1484" spans="1:24" x14ac:dyDescent="0.3">
      <c r="A1484" t="s">
        <v>1561</v>
      </c>
      <c r="C1484" t="s">
        <v>1581</v>
      </c>
      <c r="D1484" s="1">
        <v>46038</v>
      </c>
      <c r="E1484" t="s">
        <v>1582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1564</v>
      </c>
      <c r="K1484" t="s">
        <v>1565</v>
      </c>
      <c r="L1484">
        <v>86846</v>
      </c>
      <c r="M1484" t="s">
        <v>1576</v>
      </c>
      <c r="O1484" t="s">
        <v>11</v>
      </c>
      <c r="P1484">
        <v>5403</v>
      </c>
      <c r="Q1484">
        <v>1</v>
      </c>
      <c r="R1484">
        <v>290.88</v>
      </c>
      <c r="S1484">
        <v>290.88</v>
      </c>
      <c r="T1484">
        <v>220.78</v>
      </c>
      <c r="U1484">
        <v>24.1</v>
      </c>
      <c r="V1484" t="str">
        <f>VLOOKUP(L1484,'[2]tabela de preços'!$A:$D,4,0)</f>
        <v>CORAL</v>
      </c>
      <c r="W1484" t="str">
        <f>VLOOKUP(L1484,'[2]tabela de preços'!$A:$F,6,0)</f>
        <v>TINTA PAREDE</v>
      </c>
      <c r="X1484" t="str">
        <f>VLOOKUP(L1484,'[2]tabela de preços'!$A:$G,7,0)</f>
        <v>IMOBILIÁRIO</v>
      </c>
    </row>
    <row r="1485" spans="1:24" x14ac:dyDescent="0.3">
      <c r="A1485" t="s">
        <v>1561</v>
      </c>
      <c r="C1485" t="s">
        <v>1581</v>
      </c>
      <c r="D1485" s="1">
        <v>46038</v>
      </c>
      <c r="E1485" t="s">
        <v>1582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1564</v>
      </c>
      <c r="K1485" t="s">
        <v>1565</v>
      </c>
      <c r="L1485">
        <v>84032</v>
      </c>
      <c r="M1485" t="s">
        <v>1573</v>
      </c>
      <c r="O1485" t="s">
        <v>11</v>
      </c>
      <c r="P1485">
        <v>5102</v>
      </c>
      <c r="Q1485">
        <v>5</v>
      </c>
      <c r="R1485">
        <v>96.39</v>
      </c>
      <c r="S1485">
        <v>481.95</v>
      </c>
      <c r="T1485">
        <v>365.8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MASSA CORRIDA / ACRÍLICA</v>
      </c>
      <c r="X1485" t="str">
        <f>VLOOKUP(L1485,'[2]tabela de preços'!$A:$G,7,0)</f>
        <v>IMOBILIÁRIO</v>
      </c>
    </row>
    <row r="1486" spans="1:24" x14ac:dyDescent="0.3">
      <c r="A1486" t="s">
        <v>1561</v>
      </c>
      <c r="C1486" t="s">
        <v>1583</v>
      </c>
      <c r="D1486" s="1">
        <v>46038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1564</v>
      </c>
      <c r="K1486" t="s">
        <v>1565</v>
      </c>
      <c r="L1486">
        <v>84386</v>
      </c>
      <c r="M1486" t="s">
        <v>552</v>
      </c>
      <c r="N1486" t="s">
        <v>1584</v>
      </c>
      <c r="O1486" t="s">
        <v>11</v>
      </c>
      <c r="P1486">
        <v>1411</v>
      </c>
      <c r="Q1486">
        <v>-6</v>
      </c>
      <c r="R1486">
        <v>159.9</v>
      </c>
      <c r="S1486">
        <v>-959.4</v>
      </c>
      <c r="T1486">
        <v>-825.66</v>
      </c>
      <c r="U1486">
        <v>13.94</v>
      </c>
      <c r="V1486" t="str">
        <f>VLOOKUP(L1486,'[2]tabela de preços'!$A:$D,4,0)</f>
        <v>BRASILUX</v>
      </c>
      <c r="W1486" t="str">
        <f>VLOOKUP(L1486,'[2]tabela de preços'!$A:$F,6,0)</f>
        <v>TINTA PARA PISO</v>
      </c>
      <c r="X1486" t="str">
        <f>VLOOKUP(L1486,'[2]tabela de preços'!$A:$G,7,0)</f>
        <v>IMOBILIÁRIO</v>
      </c>
    </row>
    <row r="1487" spans="1:24" x14ac:dyDescent="0.3">
      <c r="A1487" t="s">
        <v>1561</v>
      </c>
      <c r="C1487" t="s">
        <v>1585</v>
      </c>
      <c r="D1487" s="1">
        <v>46041</v>
      </c>
      <c r="E1487" t="s">
        <v>1586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1564</v>
      </c>
      <c r="K1487" t="s">
        <v>1565</v>
      </c>
      <c r="L1487">
        <v>84268</v>
      </c>
      <c r="M1487" t="s">
        <v>1566</v>
      </c>
      <c r="O1487" t="s">
        <v>11</v>
      </c>
      <c r="P1487">
        <v>5403</v>
      </c>
      <c r="Q1487">
        <v>2</v>
      </c>
      <c r="R1487">
        <v>193.92</v>
      </c>
      <c r="S1487">
        <v>387.84</v>
      </c>
      <c r="T1487">
        <v>294.38</v>
      </c>
      <c r="U1487">
        <v>24.1</v>
      </c>
      <c r="V1487" t="str">
        <f>VLOOKUP(L1487,'[2]tabela de preços'!$A:$D,4,0)</f>
        <v>BRASILUX</v>
      </c>
      <c r="W1487" t="str">
        <f>VLOOKUP(L1487,'[2]tabela de preços'!$A:$F,6,0)</f>
        <v>TINTA PAREDE</v>
      </c>
      <c r="X1487" t="str">
        <f>VLOOKUP(L1487,'[2]tabela de preços'!$A:$G,7,0)</f>
        <v>IMOBILIÁRIO</v>
      </c>
    </row>
    <row r="1488" spans="1:24" x14ac:dyDescent="0.3">
      <c r="A1488" t="s">
        <v>1561</v>
      </c>
      <c r="C1488" t="s">
        <v>1587</v>
      </c>
      <c r="D1488" s="1">
        <v>46042</v>
      </c>
      <c r="E1488" t="s">
        <v>1588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1564</v>
      </c>
      <c r="K1488" t="s">
        <v>1565</v>
      </c>
      <c r="L1488">
        <v>84036</v>
      </c>
      <c r="M1488" t="s">
        <v>289</v>
      </c>
      <c r="O1488" t="s">
        <v>11</v>
      </c>
      <c r="P1488">
        <v>5102</v>
      </c>
      <c r="Q1488">
        <v>3</v>
      </c>
      <c r="R1488">
        <v>47.9</v>
      </c>
      <c r="S1488">
        <v>143.69999999999999</v>
      </c>
      <c r="T1488">
        <v>124.89</v>
      </c>
      <c r="U1488">
        <v>13.09</v>
      </c>
      <c r="V1488" t="str">
        <f>VLOOKUP(L1488,'[2]tabela de preços'!$A:$D,4,0)</f>
        <v>BRASILUX</v>
      </c>
      <c r="W1488" t="str">
        <f>VLOOKUP(L1488,'[2]tabela de preços'!$A:$F,6,0)</f>
        <v>MASSA CORRIDA / ACRÍLICA</v>
      </c>
      <c r="X1488" t="str">
        <f>VLOOKUP(L1488,'[2]tabela de preços'!$A:$G,7,0)</f>
        <v>IMOBILIÁRIO</v>
      </c>
    </row>
    <row r="1489" spans="1:24" x14ac:dyDescent="0.3">
      <c r="A1489" t="s">
        <v>1561</v>
      </c>
      <c r="C1489" t="s">
        <v>1589</v>
      </c>
      <c r="D1489" s="1">
        <v>46043</v>
      </c>
      <c r="E1489" t="s">
        <v>1590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1564</v>
      </c>
      <c r="K1489" t="s">
        <v>1565</v>
      </c>
      <c r="L1489">
        <v>84744</v>
      </c>
      <c r="M1489" t="s">
        <v>1591</v>
      </c>
      <c r="O1489" t="s">
        <v>11</v>
      </c>
      <c r="P1489">
        <v>5403</v>
      </c>
      <c r="Q1489">
        <v>1</v>
      </c>
      <c r="R1489">
        <v>363.89</v>
      </c>
      <c r="S1489">
        <v>363.89</v>
      </c>
      <c r="T1489">
        <v>276.2</v>
      </c>
      <c r="U1489">
        <v>24.1</v>
      </c>
      <c r="V1489" t="str">
        <f>VLOOKUP(L1489,'[2]tabela de preços'!$A:$D,4,0)</f>
        <v>BRASILUX</v>
      </c>
      <c r="W1489" t="str">
        <f>VLOOKUP(L1489,'[2]tabela de preços'!$A:$F,6,0)</f>
        <v>TINTA PAREDE</v>
      </c>
      <c r="X1489" t="str">
        <f>VLOOKUP(L1489,'[2]tabela de preços'!$A:$G,7,0)</f>
        <v>IMOBILIÁRIO</v>
      </c>
    </row>
    <row r="1490" spans="1:24" x14ac:dyDescent="0.3">
      <c r="A1490" t="s">
        <v>1561</v>
      </c>
      <c r="C1490" t="s">
        <v>1589</v>
      </c>
      <c r="D1490" s="1">
        <v>46043</v>
      </c>
      <c r="E1490" t="s">
        <v>1590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1564</v>
      </c>
      <c r="K1490" t="s">
        <v>1565</v>
      </c>
      <c r="L1490">
        <v>84215</v>
      </c>
      <c r="M1490" t="s">
        <v>822</v>
      </c>
      <c r="O1490" t="s">
        <v>11</v>
      </c>
      <c r="P1490">
        <v>5403</v>
      </c>
      <c r="Q1490">
        <v>1</v>
      </c>
      <c r="R1490">
        <v>254.37</v>
      </c>
      <c r="S1490">
        <v>254.37</v>
      </c>
      <c r="T1490">
        <v>193.07</v>
      </c>
      <c r="U1490">
        <v>24.1</v>
      </c>
      <c r="V1490" t="str">
        <f>VLOOKUP(L1490,'[2]tabela de preços'!$A:$D,4,0)</f>
        <v>BRASILUX</v>
      </c>
      <c r="W1490" t="str">
        <f>VLOOKUP(L1490,'[2]tabela de preços'!$A:$F,6,0)</f>
        <v>ESMALTES</v>
      </c>
      <c r="X1490" t="str">
        <f>VLOOKUP(L1490,'[2]tabela de preços'!$A:$G,7,0)</f>
        <v>INDUSTRIAL</v>
      </c>
    </row>
    <row r="1491" spans="1:24" x14ac:dyDescent="0.3">
      <c r="A1491" t="s">
        <v>1561</v>
      </c>
      <c r="C1491" t="s">
        <v>1589</v>
      </c>
      <c r="D1491" s="1">
        <v>46043</v>
      </c>
      <c r="E1491" t="s">
        <v>1590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1564</v>
      </c>
      <c r="K1491" t="s">
        <v>1565</v>
      </c>
      <c r="L1491">
        <v>84219</v>
      </c>
      <c r="M1491" t="s">
        <v>878</v>
      </c>
      <c r="O1491" t="s">
        <v>11</v>
      </c>
      <c r="P1491">
        <v>5403</v>
      </c>
      <c r="Q1491">
        <v>1</v>
      </c>
      <c r="R1491">
        <v>52.73</v>
      </c>
      <c r="S1491">
        <v>52.73</v>
      </c>
      <c r="T1491">
        <v>40.03</v>
      </c>
      <c r="U1491">
        <v>24.08</v>
      </c>
      <c r="V1491" t="str">
        <f>VLOOKUP(L1491,'[2]tabela de preços'!$A:$D,4,0)</f>
        <v>BRASILUX</v>
      </c>
      <c r="W1491" t="str">
        <f>VLOOKUP(L1491,'[2]tabela de preços'!$A:$F,6,0)</f>
        <v>ESMALTES</v>
      </c>
      <c r="X1491" t="str">
        <f>VLOOKUP(L1491,'[2]tabela de preços'!$A:$G,7,0)</f>
        <v>INDUSTRIAL</v>
      </c>
    </row>
    <row r="1492" spans="1:24" x14ac:dyDescent="0.3">
      <c r="A1492" t="s">
        <v>1561</v>
      </c>
      <c r="C1492" t="s">
        <v>1589</v>
      </c>
      <c r="D1492" s="1">
        <v>46043</v>
      </c>
      <c r="E1492" t="s">
        <v>1590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1564</v>
      </c>
      <c r="K1492" t="s">
        <v>1565</v>
      </c>
      <c r="L1492">
        <v>84420</v>
      </c>
      <c r="M1492" t="s">
        <v>353</v>
      </c>
      <c r="O1492" t="s">
        <v>11</v>
      </c>
      <c r="P1492">
        <v>5102</v>
      </c>
      <c r="Q1492">
        <v>2</v>
      </c>
      <c r="R1492">
        <v>20.34</v>
      </c>
      <c r="S1492">
        <v>40.68</v>
      </c>
      <c r="T1492">
        <v>30.88</v>
      </c>
      <c r="U1492">
        <v>24.09</v>
      </c>
      <c r="V1492" t="str">
        <f>VLOOKUP(L1492,'[2]tabela de preços'!$A:$D,4,0)</f>
        <v>ATLAS</v>
      </c>
      <c r="W1492" t="str">
        <f>VLOOKUP(L1492,'[2]tabela de preços'!$A:$F,6,0)</f>
        <v>ROLOS / TRINCHAS / PINCÉIS / ESPÁTULAS</v>
      </c>
      <c r="X1492" t="str">
        <f>VLOOKUP(L1492,'[2]tabela de preços'!$A:$G,7,0)</f>
        <v>IMOBILIÁRIO</v>
      </c>
    </row>
    <row r="1493" spans="1:24" x14ac:dyDescent="0.3">
      <c r="A1493" t="s">
        <v>1561</v>
      </c>
      <c r="C1493" t="s">
        <v>1589</v>
      </c>
      <c r="D1493" s="1">
        <v>46043</v>
      </c>
      <c r="E1493" t="s">
        <v>1590</v>
      </c>
      <c r="F1493">
        <v>9</v>
      </c>
      <c r="G1493">
        <v>174</v>
      </c>
      <c r="H1493" t="str">
        <f>VLOOKUP(G1493,[1]OPERADORES!$A:$B,2,0)</f>
        <v>MIRIÃ LOBATO RODRIGUES</v>
      </c>
      <c r="I1493" t="s">
        <v>21</v>
      </c>
      <c r="J1493" t="s">
        <v>1564</v>
      </c>
      <c r="K1493" t="s">
        <v>1565</v>
      </c>
      <c r="L1493">
        <v>10298</v>
      </c>
      <c r="M1493" t="s">
        <v>85</v>
      </c>
      <c r="O1493" t="s">
        <v>11</v>
      </c>
      <c r="P1493">
        <v>5102</v>
      </c>
      <c r="Q1493">
        <v>3</v>
      </c>
      <c r="R1493">
        <v>56.89</v>
      </c>
      <c r="S1493">
        <v>170.67</v>
      </c>
      <c r="T1493">
        <v>142.13999999999999</v>
      </c>
      <c r="U1493">
        <v>16.72</v>
      </c>
      <c r="V1493" t="str">
        <f>VLOOKUP(L1493,'[2]tabela de preços'!$A:$D,4,0)</f>
        <v>ANJO</v>
      </c>
      <c r="W1493" t="str">
        <f>VLOOKUP(L1493,'[2]tabela de preços'!$A:$F,6,0)</f>
        <v>THINNER DE LIMPEZA</v>
      </c>
      <c r="X1493" t="str">
        <f>VLOOKUP(L1493,'[2]tabela de preços'!$A:$G,7,0)</f>
        <v>THINNER</v>
      </c>
    </row>
    <row r="1494" spans="1:24" x14ac:dyDescent="0.3">
      <c r="A1494" t="s">
        <v>1561</v>
      </c>
      <c r="C1494" t="s">
        <v>1592</v>
      </c>
      <c r="D1494" s="1">
        <v>46043</v>
      </c>
      <c r="E1494" t="s">
        <v>1593</v>
      </c>
      <c r="F1494">
        <v>9</v>
      </c>
      <c r="G1494">
        <v>174</v>
      </c>
      <c r="H1494" t="str">
        <f>VLOOKUP(G1494,[1]OPERADORES!$A:$B,2,0)</f>
        <v>MIRIÃ LOBATO RODRIGUES</v>
      </c>
      <c r="I1494" t="s">
        <v>21</v>
      </c>
      <c r="J1494" t="s">
        <v>1564</v>
      </c>
      <c r="K1494" t="s">
        <v>1565</v>
      </c>
      <c r="L1494">
        <v>84142</v>
      </c>
      <c r="M1494" t="s">
        <v>1594</v>
      </c>
      <c r="O1494" t="s">
        <v>11</v>
      </c>
      <c r="P1494">
        <v>5403</v>
      </c>
      <c r="Q1494">
        <v>5</v>
      </c>
      <c r="R1494">
        <v>74.94</v>
      </c>
      <c r="S1494">
        <v>374.7</v>
      </c>
      <c r="T1494">
        <v>284.39999999999998</v>
      </c>
      <c r="U1494">
        <v>24.1</v>
      </c>
      <c r="V1494" t="str">
        <f>VLOOKUP(L1494,'[2]tabela de preços'!$A:$D,4,0)</f>
        <v>BRASILUX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1561</v>
      </c>
      <c r="C1495" t="s">
        <v>1595</v>
      </c>
      <c r="D1495" s="1">
        <v>46044</v>
      </c>
      <c r="E1495" t="s">
        <v>1596</v>
      </c>
      <c r="F1495">
        <v>9</v>
      </c>
      <c r="G1495">
        <v>174</v>
      </c>
      <c r="H1495" t="str">
        <f>VLOOKUP(G1495,[1]OPERADORES!$A:$B,2,0)</f>
        <v>MIRIÃ LOBATO RODRIGUES</v>
      </c>
      <c r="I1495" t="s">
        <v>21</v>
      </c>
      <c r="J1495" t="s">
        <v>1564</v>
      </c>
      <c r="K1495" t="s">
        <v>1565</v>
      </c>
      <c r="L1495">
        <v>84219</v>
      </c>
      <c r="M1495" t="s">
        <v>878</v>
      </c>
      <c r="O1495" t="s">
        <v>11</v>
      </c>
      <c r="P1495">
        <v>5403</v>
      </c>
      <c r="Q1495">
        <v>3</v>
      </c>
      <c r="R1495">
        <v>52.73</v>
      </c>
      <c r="S1495">
        <v>158.19</v>
      </c>
      <c r="T1495">
        <v>120.09</v>
      </c>
      <c r="U1495">
        <v>24.08</v>
      </c>
      <c r="V1495" t="str">
        <f>VLOOKUP(L1495,'[2]tabela de preços'!$A:$D,4,0)</f>
        <v>BRASILUX</v>
      </c>
      <c r="W1495" t="str">
        <f>VLOOKUP(L1495,'[2]tabela de preços'!$A:$F,6,0)</f>
        <v>ESMALTES</v>
      </c>
      <c r="X1495" t="str">
        <f>VLOOKUP(L1495,'[2]tabela de preços'!$A:$G,7,0)</f>
        <v>INDUSTRIAL</v>
      </c>
    </row>
    <row r="1496" spans="1:24" x14ac:dyDescent="0.3">
      <c r="A1496" t="s">
        <v>1561</v>
      </c>
      <c r="C1496" t="s">
        <v>1595</v>
      </c>
      <c r="D1496" s="1">
        <v>46044</v>
      </c>
      <c r="E1496" t="s">
        <v>1596</v>
      </c>
      <c r="F1496">
        <v>9</v>
      </c>
      <c r="G1496">
        <v>174</v>
      </c>
      <c r="H1496" t="str">
        <f>VLOOKUP(G1496,[1]OPERADORES!$A:$B,2,0)</f>
        <v>MIRIÃ LOBATO RODRIGUES</v>
      </c>
      <c r="I1496" t="s">
        <v>21</v>
      </c>
      <c r="J1496" t="s">
        <v>1564</v>
      </c>
      <c r="K1496" t="s">
        <v>1565</v>
      </c>
      <c r="L1496">
        <v>85224</v>
      </c>
      <c r="M1496" t="s">
        <v>1597</v>
      </c>
      <c r="O1496" t="s">
        <v>11</v>
      </c>
      <c r="P1496">
        <v>5102</v>
      </c>
      <c r="Q1496">
        <v>2</v>
      </c>
      <c r="R1496">
        <v>12.19</v>
      </c>
      <c r="S1496">
        <v>24.38</v>
      </c>
      <c r="T1496">
        <v>18.5</v>
      </c>
      <c r="U1496">
        <v>24.12</v>
      </c>
      <c r="V1496" t="str">
        <f>VLOOKUP(L1496,'[2]tabela de preços'!$A:$D,4,0)</f>
        <v>ATLAS</v>
      </c>
      <c r="W1496" t="str">
        <f>VLOOKUP(L1496,'[2]tabela de preços'!$A:$F,6,0)</f>
        <v>ROLOS / TRINCHAS / PINCÉIS / ESPÁTULAS</v>
      </c>
      <c r="X1496" t="str">
        <f>VLOOKUP(L1496,'[2]tabela de preços'!$A:$G,7,0)</f>
        <v>IMOBILIÁRIO</v>
      </c>
    </row>
    <row r="1497" spans="1:24" x14ac:dyDescent="0.3">
      <c r="A1497" t="s">
        <v>1561</v>
      </c>
      <c r="C1497" t="s">
        <v>1598</v>
      </c>
      <c r="D1497" s="1">
        <v>46045</v>
      </c>
      <c r="E1497" t="s">
        <v>1599</v>
      </c>
      <c r="F1497">
        <v>9</v>
      </c>
      <c r="G1497">
        <v>174</v>
      </c>
      <c r="H1497" t="str">
        <f>VLOOKUP(G1497,[1]OPERADORES!$A:$B,2,0)</f>
        <v>MIRIÃ LOBATO RODRIGUES</v>
      </c>
      <c r="I1497" t="s">
        <v>21</v>
      </c>
      <c r="J1497" t="s">
        <v>1564</v>
      </c>
      <c r="K1497" t="s">
        <v>1565</v>
      </c>
      <c r="L1497">
        <v>84029</v>
      </c>
      <c r="M1497" t="s">
        <v>29</v>
      </c>
      <c r="O1497" t="s">
        <v>11</v>
      </c>
      <c r="P1497">
        <v>5102</v>
      </c>
      <c r="Q1497">
        <v>2</v>
      </c>
      <c r="R1497">
        <v>13.47</v>
      </c>
      <c r="S1497">
        <v>26.94</v>
      </c>
      <c r="T1497">
        <v>17.38</v>
      </c>
      <c r="U1497">
        <v>35.49</v>
      </c>
      <c r="V1497" t="str">
        <f>VLOOKUP(L1497,'[2]tabela de preços'!$A:$D,4,0)</f>
        <v>BRASILUX</v>
      </c>
      <c r="W1497" t="str">
        <f>VLOOKUP(L1497,'[2]tabela de preços'!$A:$F,6,0)</f>
        <v>AGUARRAS</v>
      </c>
      <c r="X1497" t="str">
        <f>VLOOKUP(L1497,'[2]tabela de preços'!$A:$G,7,0)</f>
        <v>IMOBILIÁRIO</v>
      </c>
    </row>
    <row r="1498" spans="1:24" x14ac:dyDescent="0.3">
      <c r="A1498" t="s">
        <v>1561</v>
      </c>
      <c r="C1498" t="s">
        <v>1598</v>
      </c>
      <c r="D1498" s="1">
        <v>46045</v>
      </c>
      <c r="E1498" t="s">
        <v>1599</v>
      </c>
      <c r="F1498">
        <v>9</v>
      </c>
      <c r="G1498">
        <v>174</v>
      </c>
      <c r="H1498" t="str">
        <f>VLOOKUP(G1498,[1]OPERADORES!$A:$B,2,0)</f>
        <v>MIRIÃ LOBATO RODRIGUES</v>
      </c>
      <c r="I1498" t="s">
        <v>21</v>
      </c>
      <c r="J1498" t="s">
        <v>1564</v>
      </c>
      <c r="K1498" t="s">
        <v>1565</v>
      </c>
      <c r="L1498">
        <v>84497</v>
      </c>
      <c r="M1498" t="s">
        <v>1159</v>
      </c>
      <c r="O1498" t="s">
        <v>11</v>
      </c>
      <c r="P1498">
        <v>5102</v>
      </c>
      <c r="Q1498">
        <v>2</v>
      </c>
      <c r="R1498">
        <v>9.99</v>
      </c>
      <c r="S1498">
        <v>19.98</v>
      </c>
      <c r="T1498">
        <v>16.28</v>
      </c>
      <c r="U1498">
        <v>18.52</v>
      </c>
      <c r="V1498" t="str">
        <f>VLOOKUP(L1498,'[2]tabela de preços'!$A:$D,4,0)</f>
        <v>BRASILUX</v>
      </c>
      <c r="W1498" t="str">
        <f>VLOOKUP(L1498,'[2]tabela de preços'!$A:$F,6,0)</f>
        <v>THINNER DE LIMPEZA</v>
      </c>
      <c r="X1498" t="str">
        <f>VLOOKUP(L1498,'[2]tabela de preços'!$A:$G,7,0)</f>
        <v>THINNER</v>
      </c>
    </row>
    <row r="1499" spans="1:24" x14ac:dyDescent="0.3">
      <c r="A1499" t="s">
        <v>1561</v>
      </c>
      <c r="C1499" t="s">
        <v>1600</v>
      </c>
      <c r="D1499" s="1">
        <v>46049</v>
      </c>
      <c r="E1499" t="s">
        <v>1601</v>
      </c>
      <c r="F1499">
        <v>9</v>
      </c>
      <c r="G1499">
        <v>174</v>
      </c>
      <c r="H1499" t="str">
        <f>VLOOKUP(G1499,[1]OPERADORES!$A:$B,2,0)</f>
        <v>MIRIÃ LOBATO RODRIGUES</v>
      </c>
      <c r="I1499" t="s">
        <v>21</v>
      </c>
      <c r="J1499" t="s">
        <v>1564</v>
      </c>
      <c r="K1499" t="s">
        <v>1565</v>
      </c>
      <c r="L1499">
        <v>84268</v>
      </c>
      <c r="M1499" t="s">
        <v>1566</v>
      </c>
      <c r="O1499" t="s">
        <v>11</v>
      </c>
      <c r="P1499">
        <v>5403</v>
      </c>
      <c r="Q1499">
        <v>3</v>
      </c>
      <c r="R1499">
        <v>193.92</v>
      </c>
      <c r="S1499">
        <v>581.76</v>
      </c>
      <c r="T1499">
        <v>441.57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TINTA PAREDE</v>
      </c>
      <c r="X1499" t="str">
        <f>VLOOKUP(L1499,'[2]tabela de preços'!$A:$G,7,0)</f>
        <v>IMOBILIÁRIO</v>
      </c>
    </row>
    <row r="1500" spans="1:24" x14ac:dyDescent="0.3">
      <c r="A1500" t="s">
        <v>1561</v>
      </c>
      <c r="C1500" t="s">
        <v>2388</v>
      </c>
      <c r="D1500" s="1">
        <v>46052</v>
      </c>
      <c r="E1500" t="s">
        <v>2389</v>
      </c>
      <c r="F1500">
        <v>9</v>
      </c>
      <c r="G1500">
        <v>174</v>
      </c>
      <c r="H1500" t="str">
        <f>VLOOKUP(G1500,[1]OPERADORES!$A:$B,2,0)</f>
        <v>MIRIÃ LOBATO RODRIGUES</v>
      </c>
      <c r="I1500" t="s">
        <v>21</v>
      </c>
      <c r="J1500" t="s">
        <v>1564</v>
      </c>
      <c r="K1500" t="s">
        <v>1565</v>
      </c>
      <c r="L1500">
        <v>84029</v>
      </c>
      <c r="M1500" t="s">
        <v>29</v>
      </c>
      <c r="O1500" t="s">
        <v>11</v>
      </c>
      <c r="P1500">
        <v>5102</v>
      </c>
      <c r="Q1500">
        <v>1</v>
      </c>
      <c r="R1500">
        <v>11.72</v>
      </c>
      <c r="S1500">
        <v>11.72</v>
      </c>
      <c r="T1500">
        <v>8.69</v>
      </c>
      <c r="U1500">
        <v>25.85</v>
      </c>
      <c r="V1500" t="str">
        <f>VLOOKUP(L1500,'[2]tabela de preços'!$A:$D,4,0)</f>
        <v>BRASILUX</v>
      </c>
      <c r="W1500" t="str">
        <f>VLOOKUP(L1500,'[2]tabela de preços'!$A:$F,6,0)</f>
        <v>AGUARRAS</v>
      </c>
      <c r="X1500" t="str">
        <f>VLOOKUP(L1500,'[2]tabela de preços'!$A:$G,7,0)</f>
        <v>IMOBILIÁRIO</v>
      </c>
    </row>
    <row r="1501" spans="1:24" x14ac:dyDescent="0.3">
      <c r="A1501" t="s">
        <v>1561</v>
      </c>
      <c r="C1501" t="s">
        <v>2388</v>
      </c>
      <c r="D1501" s="1">
        <v>46052</v>
      </c>
      <c r="E1501" t="s">
        <v>2389</v>
      </c>
      <c r="F1501">
        <v>9</v>
      </c>
      <c r="G1501">
        <v>174</v>
      </c>
      <c r="H1501" t="str">
        <f>VLOOKUP(G1501,[1]OPERADORES!$A:$B,2,0)</f>
        <v>MIRIÃ LOBATO RODRIGUES</v>
      </c>
      <c r="I1501" t="s">
        <v>21</v>
      </c>
      <c r="J1501" t="s">
        <v>1564</v>
      </c>
      <c r="K1501" t="s">
        <v>1565</v>
      </c>
      <c r="L1501">
        <v>84276</v>
      </c>
      <c r="M1501" t="s">
        <v>1990</v>
      </c>
      <c r="O1501" t="s">
        <v>11</v>
      </c>
      <c r="P1501">
        <v>5403</v>
      </c>
      <c r="Q1501">
        <v>1</v>
      </c>
      <c r="R1501">
        <v>44.76</v>
      </c>
      <c r="S1501">
        <v>44.76</v>
      </c>
      <c r="T1501">
        <v>33.97</v>
      </c>
      <c r="U1501">
        <v>24.11</v>
      </c>
      <c r="V1501" t="str">
        <f>VLOOKUP(L1501,'[2]tabela de preços'!$A:$D,4,0)</f>
        <v>BRASILUX</v>
      </c>
      <c r="W1501" t="str">
        <f>VLOOKUP(L1501,'[2]tabela de preços'!$A:$F,6,0)</f>
        <v>TINTA PAREDE</v>
      </c>
      <c r="X1501" t="str">
        <f>VLOOKUP(L1501,'[2]tabela de preços'!$A:$G,7,0)</f>
        <v>IMOBILIÁRIO</v>
      </c>
    </row>
    <row r="1502" spans="1:24" x14ac:dyDescent="0.3">
      <c r="A1502" t="s">
        <v>1561</v>
      </c>
      <c r="C1502" t="s">
        <v>2388</v>
      </c>
      <c r="D1502" s="1">
        <v>46052</v>
      </c>
      <c r="E1502" t="s">
        <v>2389</v>
      </c>
      <c r="F1502">
        <v>9</v>
      </c>
      <c r="G1502">
        <v>174</v>
      </c>
      <c r="H1502" t="str">
        <f>VLOOKUP(G1502,[1]OPERADORES!$A:$B,2,0)</f>
        <v>MIRIÃ LOBATO RODRIGUES</v>
      </c>
      <c r="I1502" t="s">
        <v>21</v>
      </c>
      <c r="J1502" t="s">
        <v>1564</v>
      </c>
      <c r="K1502" t="s">
        <v>1565</v>
      </c>
      <c r="L1502">
        <v>84277</v>
      </c>
      <c r="M1502" t="s">
        <v>295</v>
      </c>
      <c r="O1502" t="s">
        <v>11</v>
      </c>
      <c r="P1502">
        <v>5403</v>
      </c>
      <c r="Q1502">
        <v>1</v>
      </c>
      <c r="R1502">
        <v>48.6</v>
      </c>
      <c r="S1502">
        <v>48.6</v>
      </c>
      <c r="T1502">
        <v>36.89</v>
      </c>
      <c r="U1502">
        <v>24.09</v>
      </c>
      <c r="V1502" t="str">
        <f>VLOOKUP(L1502,'[2]tabela de preços'!$A:$D,4,0)</f>
        <v>BRASILUX</v>
      </c>
      <c r="W1502" t="str">
        <f>VLOOKUP(L1502,'[2]tabela de preços'!$A:$F,6,0)</f>
        <v>TINTA PAREDE</v>
      </c>
      <c r="X1502" t="str">
        <f>VLOOKUP(L1502,'[2]tabela de preços'!$A:$G,7,0)</f>
        <v>IMOBILIÁRIO</v>
      </c>
    </row>
    <row r="1503" spans="1:24" x14ac:dyDescent="0.3">
      <c r="A1503" t="s">
        <v>1561</v>
      </c>
      <c r="C1503" t="s">
        <v>2388</v>
      </c>
      <c r="D1503" s="1">
        <v>46052</v>
      </c>
      <c r="E1503" t="s">
        <v>2389</v>
      </c>
      <c r="F1503">
        <v>9</v>
      </c>
      <c r="G1503">
        <v>174</v>
      </c>
      <c r="H1503" t="str">
        <f>VLOOKUP(G1503,[1]OPERADORES!$A:$B,2,0)</f>
        <v>MIRIÃ LOBATO RODRIGUES</v>
      </c>
      <c r="I1503" t="s">
        <v>21</v>
      </c>
      <c r="J1503" t="s">
        <v>1564</v>
      </c>
      <c r="K1503" t="s">
        <v>1565</v>
      </c>
      <c r="L1503">
        <v>5</v>
      </c>
      <c r="M1503" t="s">
        <v>147</v>
      </c>
      <c r="O1503" t="s">
        <v>11</v>
      </c>
      <c r="P1503">
        <v>5102</v>
      </c>
      <c r="Q1503">
        <v>1</v>
      </c>
      <c r="R1503">
        <v>5.15</v>
      </c>
      <c r="S1503">
        <v>5.15</v>
      </c>
      <c r="T1503">
        <v>3.91</v>
      </c>
      <c r="U1503">
        <v>24.08</v>
      </c>
      <c r="V1503" t="str">
        <f>VLOOKUP(L1503,'[2]tabela de preços'!$A:$D,4,0)</f>
        <v>BRILHO ESTOPA</v>
      </c>
      <c r="W1503" t="str">
        <f>VLOOKUP(L1503,'[2]tabela de preços'!$A:$F,6,0)</f>
        <v>ESTOPAS</v>
      </c>
      <c r="X1503" t="str">
        <f>VLOOKUP(L1503,'[2]tabela de preços'!$A:$G,7,0)</f>
        <v>AUTOMOTIVO</v>
      </c>
    </row>
    <row r="1504" spans="1:24" x14ac:dyDescent="0.3">
      <c r="A1504" t="s">
        <v>1602</v>
      </c>
      <c r="C1504" t="s">
        <v>1603</v>
      </c>
      <c r="D1504" s="1">
        <v>46041</v>
      </c>
      <c r="E1504" t="s">
        <v>1604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1188</v>
      </c>
      <c r="K1504" t="s">
        <v>1605</v>
      </c>
      <c r="L1504">
        <v>84347</v>
      </c>
      <c r="M1504" t="s">
        <v>1150</v>
      </c>
      <c r="O1504" t="s">
        <v>11</v>
      </c>
      <c r="P1504">
        <v>5403</v>
      </c>
      <c r="Q1504">
        <v>8</v>
      </c>
      <c r="R1504">
        <v>59.98</v>
      </c>
      <c r="S1504">
        <v>479.84</v>
      </c>
      <c r="T1504">
        <v>416</v>
      </c>
      <c r="U1504">
        <v>13.3</v>
      </c>
      <c r="V1504" t="str">
        <f>VLOOKUP(L1504,'[2]tabela de preços'!$A:$D,4,0)</f>
        <v>BRASILUX</v>
      </c>
      <c r="W1504" t="str">
        <f>VLOOKUP(L1504,'[2]tabela de preços'!$A:$F,6,0)</f>
        <v>ESMALTES</v>
      </c>
      <c r="X1504" t="str">
        <f>VLOOKUP(L1504,'[2]tabela de preços'!$A:$G,7,0)</f>
        <v>INDUSTRIAL</v>
      </c>
    </row>
    <row r="1505" spans="1:24" x14ac:dyDescent="0.3">
      <c r="A1505" t="s">
        <v>1606</v>
      </c>
      <c r="C1505" t="s">
        <v>1607</v>
      </c>
      <c r="D1505" s="1">
        <v>46030</v>
      </c>
      <c r="E1505" t="s">
        <v>1608</v>
      </c>
      <c r="F1505">
        <v>9</v>
      </c>
      <c r="G1505">
        <v>230</v>
      </c>
      <c r="H1505" t="str">
        <f>VLOOKUP(G1505,[1]OPERADORES!$A:$B,2,0)</f>
        <v>SÔNIA</v>
      </c>
      <c r="I1505" t="s">
        <v>21</v>
      </c>
      <c r="J1505" t="s">
        <v>397</v>
      </c>
      <c r="K1505" t="s">
        <v>1609</v>
      </c>
      <c r="L1505">
        <v>84489</v>
      </c>
      <c r="M1505" t="s">
        <v>1610</v>
      </c>
      <c r="O1505" t="s">
        <v>11</v>
      </c>
      <c r="P1505">
        <v>5403</v>
      </c>
      <c r="Q1505">
        <v>1</v>
      </c>
      <c r="R1505">
        <v>480.28</v>
      </c>
      <c r="S1505">
        <v>480.28</v>
      </c>
      <c r="T1505">
        <v>364.54</v>
      </c>
      <c r="U1505">
        <v>24.1</v>
      </c>
      <c r="V1505" t="str">
        <f>VLOOKUP(L1505,'[2]tabela de preços'!$A:$D,4,0)</f>
        <v>BRASILUX</v>
      </c>
      <c r="W1505" t="str">
        <f>VLOOKUP(L1505,'[2]tabela de preços'!$A:$F,6,0)</f>
        <v xml:space="preserve">BASES SISTEMA NO MACHINE </v>
      </c>
      <c r="X1505" t="str">
        <f>VLOOKUP(L1505,'[2]tabela de preços'!$A:$G,7,0)</f>
        <v>INDUSTRIAL</v>
      </c>
    </row>
    <row r="1506" spans="1:24" x14ac:dyDescent="0.3">
      <c r="A1506" t="s">
        <v>1606</v>
      </c>
      <c r="C1506" t="s">
        <v>1607</v>
      </c>
      <c r="D1506" s="1">
        <v>46030</v>
      </c>
      <c r="E1506" t="s">
        <v>1608</v>
      </c>
      <c r="F1506">
        <v>9</v>
      </c>
      <c r="G1506">
        <v>230</v>
      </c>
      <c r="H1506" t="str">
        <f>VLOOKUP(G1506,[1]OPERADORES!$A:$B,2,0)</f>
        <v>SÔNIA</v>
      </c>
      <c r="I1506" t="s">
        <v>21</v>
      </c>
      <c r="J1506" t="s">
        <v>397</v>
      </c>
      <c r="K1506" t="s">
        <v>1609</v>
      </c>
      <c r="L1506">
        <v>84624</v>
      </c>
      <c r="M1506" t="s">
        <v>1611</v>
      </c>
      <c r="O1506" t="s">
        <v>11</v>
      </c>
      <c r="P1506">
        <v>5403</v>
      </c>
      <c r="Q1506">
        <v>1</v>
      </c>
      <c r="R1506">
        <v>82.09</v>
      </c>
      <c r="S1506">
        <v>82.09</v>
      </c>
      <c r="T1506">
        <v>62.31</v>
      </c>
      <c r="U1506">
        <v>24.1</v>
      </c>
      <c r="V1506" t="str">
        <f>VLOOKUP(L1506,'[2]tabela de preços'!$A:$D,4,0)</f>
        <v>BRASILUX</v>
      </c>
      <c r="W1506" t="str">
        <f>VLOOKUP(L1506,'[2]tabela de preços'!$A:$F,6,0)</f>
        <v xml:space="preserve">BASES SISTEMA NO MACHINE </v>
      </c>
      <c r="X1506" t="str">
        <f>VLOOKUP(L1506,'[2]tabela de preços'!$A:$G,7,0)</f>
        <v>INDUSTRIAL</v>
      </c>
    </row>
    <row r="1507" spans="1:24" x14ac:dyDescent="0.3">
      <c r="A1507" t="s">
        <v>1606</v>
      </c>
      <c r="C1507" t="s">
        <v>1607</v>
      </c>
      <c r="D1507" s="1">
        <v>46030</v>
      </c>
      <c r="E1507" t="s">
        <v>1608</v>
      </c>
      <c r="F1507">
        <v>9</v>
      </c>
      <c r="G1507">
        <v>230</v>
      </c>
      <c r="H1507" t="str">
        <f>VLOOKUP(G1507,[1]OPERADORES!$A:$B,2,0)</f>
        <v>SÔNIA</v>
      </c>
      <c r="I1507" t="s">
        <v>21</v>
      </c>
      <c r="J1507" t="s">
        <v>397</v>
      </c>
      <c r="K1507" t="s">
        <v>1609</v>
      </c>
      <c r="L1507">
        <v>84625</v>
      </c>
      <c r="M1507" t="s">
        <v>1612</v>
      </c>
      <c r="O1507" t="s">
        <v>11</v>
      </c>
      <c r="P1507">
        <v>5403</v>
      </c>
      <c r="Q1507">
        <v>1</v>
      </c>
      <c r="R1507">
        <v>82.99</v>
      </c>
      <c r="S1507">
        <v>82.99</v>
      </c>
      <c r="T1507">
        <v>62.99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 xml:space="preserve">BASES SISTEMA NO MACHINE </v>
      </c>
      <c r="X1507" t="str">
        <f>VLOOKUP(L1507,'[2]tabela de preços'!$A:$G,7,0)</f>
        <v>INDUSTRIAL</v>
      </c>
    </row>
    <row r="1508" spans="1:24" x14ac:dyDescent="0.3">
      <c r="A1508" t="s">
        <v>1606</v>
      </c>
      <c r="C1508" t="s">
        <v>1607</v>
      </c>
      <c r="D1508" s="1">
        <v>46030</v>
      </c>
      <c r="E1508" t="s">
        <v>1608</v>
      </c>
      <c r="F1508">
        <v>9</v>
      </c>
      <c r="G1508">
        <v>230</v>
      </c>
      <c r="H1508" t="str">
        <f>VLOOKUP(G1508,[1]OPERADORES!$A:$B,2,0)</f>
        <v>SÔNIA</v>
      </c>
      <c r="I1508" t="s">
        <v>21</v>
      </c>
      <c r="J1508" t="s">
        <v>397</v>
      </c>
      <c r="K1508" t="s">
        <v>1609</v>
      </c>
      <c r="L1508">
        <v>84629</v>
      </c>
      <c r="M1508" t="s">
        <v>1613</v>
      </c>
      <c r="O1508" t="s">
        <v>11</v>
      </c>
      <c r="P1508">
        <v>5403</v>
      </c>
      <c r="Q1508">
        <v>1</v>
      </c>
      <c r="R1508">
        <v>53.43</v>
      </c>
      <c r="S1508">
        <v>53.43</v>
      </c>
      <c r="T1508">
        <v>40.549999999999997</v>
      </c>
      <c r="U1508">
        <v>24.11</v>
      </c>
      <c r="V1508" t="str">
        <f>VLOOKUP(L1508,'[2]tabela de preços'!$A:$D,4,0)</f>
        <v>BRASILUX</v>
      </c>
      <c r="W1508" t="str">
        <f>VLOOKUP(L1508,'[2]tabela de preços'!$A:$F,6,0)</f>
        <v xml:space="preserve">BASES SISTEMA NO MACHINE </v>
      </c>
      <c r="X1508" t="str">
        <f>VLOOKUP(L1508,'[2]tabela de preços'!$A:$G,7,0)</f>
        <v>INDUSTRIAL</v>
      </c>
    </row>
    <row r="1509" spans="1:24" x14ac:dyDescent="0.3">
      <c r="A1509" t="s">
        <v>1606</v>
      </c>
      <c r="C1509" t="s">
        <v>1607</v>
      </c>
      <c r="D1509" s="1">
        <v>46030</v>
      </c>
      <c r="E1509" t="s">
        <v>1608</v>
      </c>
      <c r="F1509">
        <v>9</v>
      </c>
      <c r="G1509">
        <v>230</v>
      </c>
      <c r="H1509" t="str">
        <f>VLOOKUP(G1509,[1]OPERADORES!$A:$B,2,0)</f>
        <v>SÔNIA</v>
      </c>
      <c r="I1509" t="s">
        <v>21</v>
      </c>
      <c r="J1509" t="s">
        <v>397</v>
      </c>
      <c r="K1509" t="s">
        <v>1609</v>
      </c>
      <c r="L1509">
        <v>84632</v>
      </c>
      <c r="M1509" t="s">
        <v>1614</v>
      </c>
      <c r="O1509" t="s">
        <v>11</v>
      </c>
      <c r="P1509">
        <v>5403</v>
      </c>
      <c r="Q1509">
        <v>1</v>
      </c>
      <c r="R1509">
        <v>95.22</v>
      </c>
      <c r="S1509">
        <v>95.22</v>
      </c>
      <c r="T1509">
        <v>72.27</v>
      </c>
      <c r="U1509">
        <v>24.1</v>
      </c>
      <c r="V1509" t="str">
        <f>VLOOKUP(L1509,'[2]tabela de preços'!$A:$D,4,0)</f>
        <v>BRASILUX</v>
      </c>
      <c r="W1509" t="str">
        <f>VLOOKUP(L1509,'[2]tabela de preços'!$A:$F,6,0)</f>
        <v xml:space="preserve">BASES SISTEMA NO MACHINE </v>
      </c>
      <c r="X1509" t="str">
        <f>VLOOKUP(L1509,'[2]tabela de preços'!$A:$G,7,0)</f>
        <v>INDUSTRIAL</v>
      </c>
    </row>
    <row r="1510" spans="1:24" x14ac:dyDescent="0.3">
      <c r="A1510" t="s">
        <v>1606</v>
      </c>
      <c r="C1510" t="s">
        <v>1607</v>
      </c>
      <c r="D1510" s="1">
        <v>46030</v>
      </c>
      <c r="E1510" t="s">
        <v>1608</v>
      </c>
      <c r="F1510">
        <v>9</v>
      </c>
      <c r="G1510">
        <v>230</v>
      </c>
      <c r="H1510" t="str">
        <f>VLOOKUP(G1510,[1]OPERADORES!$A:$B,2,0)</f>
        <v>SÔNIA</v>
      </c>
      <c r="I1510" t="s">
        <v>21</v>
      </c>
      <c r="J1510" t="s">
        <v>397</v>
      </c>
      <c r="K1510" t="s">
        <v>1609</v>
      </c>
      <c r="L1510">
        <v>84631</v>
      </c>
      <c r="M1510" t="s">
        <v>1615</v>
      </c>
      <c r="O1510" t="s">
        <v>11</v>
      </c>
      <c r="P1510">
        <v>5403</v>
      </c>
      <c r="Q1510">
        <v>1</v>
      </c>
      <c r="R1510">
        <v>51.12</v>
      </c>
      <c r="S1510">
        <v>51.12</v>
      </c>
      <c r="T1510">
        <v>38.799999999999997</v>
      </c>
      <c r="U1510">
        <v>24.1</v>
      </c>
      <c r="V1510" t="str">
        <f>VLOOKUP(L1510,'[2]tabela de preços'!$A:$D,4,0)</f>
        <v>BRASILUX</v>
      </c>
      <c r="W1510" t="str">
        <f>VLOOKUP(L1510,'[2]tabela de preços'!$A:$F,6,0)</f>
        <v xml:space="preserve">BASES SISTEMA NO MACHINE </v>
      </c>
      <c r="X1510" t="str">
        <f>VLOOKUP(L1510,'[2]tabela de preços'!$A:$G,7,0)</f>
        <v>INDUSTRIAL</v>
      </c>
    </row>
    <row r="1511" spans="1:24" x14ac:dyDescent="0.3">
      <c r="A1511" t="s">
        <v>1606</v>
      </c>
      <c r="C1511" t="s">
        <v>1616</v>
      </c>
      <c r="D1511" s="1">
        <v>46031</v>
      </c>
      <c r="E1511" t="s">
        <v>1617</v>
      </c>
      <c r="F1511">
        <v>9</v>
      </c>
      <c r="G1511">
        <v>230</v>
      </c>
      <c r="H1511" t="str">
        <f>VLOOKUP(G1511,[1]OPERADORES!$A:$B,2,0)</f>
        <v>SÔNIA</v>
      </c>
      <c r="I1511" t="s">
        <v>21</v>
      </c>
      <c r="J1511" t="s">
        <v>397</v>
      </c>
      <c r="K1511" t="s">
        <v>1609</v>
      </c>
      <c r="L1511">
        <v>22173</v>
      </c>
      <c r="M1511" t="s">
        <v>194</v>
      </c>
      <c r="O1511" t="s">
        <v>11</v>
      </c>
      <c r="P1511">
        <v>5102</v>
      </c>
      <c r="Q1511">
        <v>192</v>
      </c>
      <c r="R1511">
        <v>4.58</v>
      </c>
      <c r="S1511">
        <v>879.36</v>
      </c>
      <c r="T1511">
        <v>668.16</v>
      </c>
      <c r="U1511">
        <v>24.02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1606</v>
      </c>
      <c r="C1512" t="s">
        <v>1618</v>
      </c>
      <c r="D1512" s="1">
        <v>46048</v>
      </c>
      <c r="E1512" t="s">
        <v>1619</v>
      </c>
      <c r="F1512">
        <v>9</v>
      </c>
      <c r="G1512">
        <v>230</v>
      </c>
      <c r="H1512" t="str">
        <f>VLOOKUP(G1512,[1]OPERADORES!$A:$B,2,0)</f>
        <v>SÔNIA</v>
      </c>
      <c r="I1512" t="s">
        <v>21</v>
      </c>
      <c r="J1512" t="s">
        <v>397</v>
      </c>
      <c r="K1512" t="s">
        <v>1609</v>
      </c>
      <c r="L1512">
        <v>84489</v>
      </c>
      <c r="M1512" t="s">
        <v>1610</v>
      </c>
      <c r="O1512" t="s">
        <v>11</v>
      </c>
      <c r="P1512">
        <v>5403</v>
      </c>
      <c r="Q1512">
        <v>1</v>
      </c>
      <c r="R1512">
        <v>480.28</v>
      </c>
      <c r="S1512">
        <v>480.28</v>
      </c>
      <c r="T1512">
        <v>364.54</v>
      </c>
      <c r="U1512">
        <v>24.1</v>
      </c>
      <c r="V1512" t="str">
        <f>VLOOKUP(L1512,'[2]tabela de preços'!$A:$D,4,0)</f>
        <v>BRASILUX</v>
      </c>
      <c r="W1512" t="str">
        <f>VLOOKUP(L1512,'[2]tabela de preços'!$A:$F,6,0)</f>
        <v xml:space="preserve">BASES SISTEMA NO MACHINE </v>
      </c>
      <c r="X1512" t="str">
        <f>VLOOKUP(L1512,'[2]tabela de preços'!$A:$G,7,0)</f>
        <v>INDUSTRIAL</v>
      </c>
    </row>
    <row r="1513" spans="1:24" x14ac:dyDescent="0.3">
      <c r="A1513" t="s">
        <v>1606</v>
      </c>
      <c r="C1513" t="s">
        <v>1618</v>
      </c>
      <c r="D1513" s="1">
        <v>46048</v>
      </c>
      <c r="E1513" t="s">
        <v>1619</v>
      </c>
      <c r="F1513">
        <v>9</v>
      </c>
      <c r="G1513">
        <v>230</v>
      </c>
      <c r="H1513" t="str">
        <f>VLOOKUP(G1513,[1]OPERADORES!$A:$B,2,0)</f>
        <v>SÔNIA</v>
      </c>
      <c r="I1513" t="s">
        <v>21</v>
      </c>
      <c r="J1513" t="s">
        <v>397</v>
      </c>
      <c r="K1513" t="s">
        <v>1609</v>
      </c>
      <c r="L1513">
        <v>84624</v>
      </c>
      <c r="M1513" t="s">
        <v>1611</v>
      </c>
      <c r="O1513" t="s">
        <v>11</v>
      </c>
      <c r="P1513">
        <v>5403</v>
      </c>
      <c r="Q1513">
        <v>2</v>
      </c>
      <c r="R1513">
        <v>82.09</v>
      </c>
      <c r="S1513">
        <v>164.18</v>
      </c>
      <c r="T1513">
        <v>124.62</v>
      </c>
      <c r="U1513">
        <v>24.1</v>
      </c>
      <c r="V1513" t="str">
        <f>VLOOKUP(L1513,'[2]tabela de preços'!$A:$D,4,0)</f>
        <v>BRASILUX</v>
      </c>
      <c r="W1513" t="str">
        <f>VLOOKUP(L1513,'[2]tabela de preços'!$A:$F,6,0)</f>
        <v xml:space="preserve">BASES SISTEMA NO MACHINE </v>
      </c>
      <c r="X1513" t="str">
        <f>VLOOKUP(L1513,'[2]tabela de preços'!$A:$G,7,0)</f>
        <v>INDUSTRIAL</v>
      </c>
    </row>
    <row r="1514" spans="1:24" x14ac:dyDescent="0.3">
      <c r="A1514" t="s">
        <v>1606</v>
      </c>
      <c r="C1514" t="s">
        <v>1618</v>
      </c>
      <c r="D1514" s="1">
        <v>46048</v>
      </c>
      <c r="E1514" t="s">
        <v>1619</v>
      </c>
      <c r="F1514">
        <v>9</v>
      </c>
      <c r="G1514">
        <v>230</v>
      </c>
      <c r="H1514" t="str">
        <f>VLOOKUP(G1514,[1]OPERADORES!$A:$B,2,0)</f>
        <v>SÔNIA</v>
      </c>
      <c r="I1514" t="s">
        <v>21</v>
      </c>
      <c r="J1514" t="s">
        <v>397</v>
      </c>
      <c r="K1514" t="s">
        <v>1609</v>
      </c>
      <c r="L1514">
        <v>84629</v>
      </c>
      <c r="M1514" t="s">
        <v>1613</v>
      </c>
      <c r="O1514" t="s">
        <v>11</v>
      </c>
      <c r="P1514">
        <v>5403</v>
      </c>
      <c r="Q1514">
        <v>2</v>
      </c>
      <c r="R1514">
        <v>53.43</v>
      </c>
      <c r="S1514">
        <v>106.86</v>
      </c>
      <c r="T1514">
        <v>81.099999999999994</v>
      </c>
      <c r="U1514">
        <v>24.11</v>
      </c>
      <c r="V1514" t="str">
        <f>VLOOKUP(L1514,'[2]tabela de preços'!$A:$D,4,0)</f>
        <v>BRASILUX</v>
      </c>
      <c r="W1514" t="str">
        <f>VLOOKUP(L1514,'[2]tabela de preços'!$A:$F,6,0)</f>
        <v xml:space="preserve">BASES SISTEMA NO MACHINE </v>
      </c>
      <c r="X1514" t="str">
        <f>VLOOKUP(L1514,'[2]tabela de preços'!$A:$G,7,0)</f>
        <v>INDUSTRIAL</v>
      </c>
    </row>
    <row r="1515" spans="1:24" x14ac:dyDescent="0.3">
      <c r="A1515" t="s">
        <v>1606</v>
      </c>
      <c r="C1515" t="s">
        <v>1620</v>
      </c>
      <c r="D1515" s="1">
        <v>46050</v>
      </c>
      <c r="E1515" t="s">
        <v>1621</v>
      </c>
      <c r="F1515">
        <v>9</v>
      </c>
      <c r="G1515">
        <v>230</v>
      </c>
      <c r="H1515" t="str">
        <f>VLOOKUP(G1515,[1]OPERADORES!$A:$B,2,0)</f>
        <v>SÔNIA</v>
      </c>
      <c r="I1515" t="s">
        <v>21</v>
      </c>
      <c r="J1515" t="s">
        <v>397</v>
      </c>
      <c r="K1515" t="s">
        <v>1609</v>
      </c>
      <c r="L1515">
        <v>84887</v>
      </c>
      <c r="M1515" t="s">
        <v>1622</v>
      </c>
      <c r="O1515" t="s">
        <v>11</v>
      </c>
      <c r="P1515">
        <v>5403</v>
      </c>
      <c r="Q1515">
        <v>1</v>
      </c>
      <c r="R1515">
        <v>372.16</v>
      </c>
      <c r="S1515">
        <v>372.16</v>
      </c>
      <c r="T1515">
        <v>282.48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 xml:space="preserve">BASES SISTEMA NO MACHINE </v>
      </c>
      <c r="X1515" t="str">
        <f>VLOOKUP(L1515,'[2]tabela de preços'!$A:$G,7,0)</f>
        <v>INDUSTRIAL</v>
      </c>
    </row>
    <row r="1516" spans="1:24" x14ac:dyDescent="0.3">
      <c r="A1516" t="s">
        <v>1623</v>
      </c>
      <c r="C1516" t="s">
        <v>1624</v>
      </c>
      <c r="D1516" s="1">
        <v>46028</v>
      </c>
      <c r="E1516" t="s">
        <v>1625</v>
      </c>
      <c r="F1516">
        <v>9</v>
      </c>
      <c r="G1516">
        <v>231</v>
      </c>
      <c r="H1516" t="str">
        <f>VLOOKUP(G1516,[1]OPERADORES!$A:$B,2,0)</f>
        <v>EDIJANE</v>
      </c>
      <c r="I1516" t="s">
        <v>21</v>
      </c>
      <c r="J1516" t="s">
        <v>531</v>
      </c>
      <c r="K1516" t="s">
        <v>1626</v>
      </c>
      <c r="L1516">
        <v>85321</v>
      </c>
      <c r="M1516" t="s">
        <v>1063</v>
      </c>
      <c r="O1516" t="s">
        <v>11</v>
      </c>
      <c r="P1516">
        <v>5102</v>
      </c>
      <c r="Q1516">
        <v>1</v>
      </c>
      <c r="R1516">
        <v>614.41</v>
      </c>
      <c r="S1516">
        <v>614.41</v>
      </c>
      <c r="T1516">
        <v>438.08</v>
      </c>
      <c r="U1516">
        <v>28.7</v>
      </c>
      <c r="V1516" t="str">
        <f>VLOOKUP(L1516,'[2]tabela de preços'!$A:$D,4,0)</f>
        <v>BRASILUX</v>
      </c>
      <c r="W1516" t="str">
        <f>VLOOKUP(L1516,'[2]tabela de preços'!$A:$F,6,0)</f>
        <v>TINTA EM PÓ</v>
      </c>
      <c r="X1516" t="str">
        <f>VLOOKUP(L1516,'[2]tabela de preços'!$A:$G,7,0)</f>
        <v>INDUSTRIAL</v>
      </c>
    </row>
    <row r="1517" spans="1:24" x14ac:dyDescent="0.3">
      <c r="A1517" t="s">
        <v>1623</v>
      </c>
      <c r="C1517" t="s">
        <v>1624</v>
      </c>
      <c r="D1517" s="1">
        <v>46028</v>
      </c>
      <c r="E1517" t="s">
        <v>1625</v>
      </c>
      <c r="F1517">
        <v>9</v>
      </c>
      <c r="G1517">
        <v>231</v>
      </c>
      <c r="H1517" t="str">
        <f>VLOOKUP(G1517,[1]OPERADORES!$A:$B,2,0)</f>
        <v>EDIJANE</v>
      </c>
      <c r="I1517" t="s">
        <v>21</v>
      </c>
      <c r="J1517" t="s">
        <v>531</v>
      </c>
      <c r="K1517" t="s">
        <v>1626</v>
      </c>
      <c r="L1517">
        <v>85401</v>
      </c>
      <c r="M1517" t="s">
        <v>261</v>
      </c>
      <c r="O1517" t="s">
        <v>11</v>
      </c>
      <c r="P1517">
        <v>5102</v>
      </c>
      <c r="Q1517">
        <v>4</v>
      </c>
      <c r="R1517">
        <v>633.42999999999995</v>
      </c>
      <c r="S1517" s="2">
        <v>2533.7199999999998</v>
      </c>
      <c r="T1517" s="2">
        <v>1806.56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1623</v>
      </c>
      <c r="C1518" t="s">
        <v>1624</v>
      </c>
      <c r="D1518" s="1">
        <v>46028</v>
      </c>
      <c r="E1518" t="s">
        <v>1625</v>
      </c>
      <c r="F1518">
        <v>9</v>
      </c>
      <c r="G1518">
        <v>231</v>
      </c>
      <c r="H1518" t="str">
        <f>VLOOKUP(G1518,[1]OPERADORES!$A:$B,2,0)</f>
        <v>EDIJANE</v>
      </c>
      <c r="I1518" t="s">
        <v>21</v>
      </c>
      <c r="J1518" t="s">
        <v>531</v>
      </c>
      <c r="K1518" t="s">
        <v>1626</v>
      </c>
      <c r="L1518">
        <v>85326</v>
      </c>
      <c r="M1518" t="s">
        <v>1627</v>
      </c>
      <c r="O1518" t="s">
        <v>11</v>
      </c>
      <c r="P1518">
        <v>5102</v>
      </c>
      <c r="Q1518">
        <v>1</v>
      </c>
      <c r="R1518">
        <v>565.9</v>
      </c>
      <c r="S1518">
        <v>565.9</v>
      </c>
      <c r="T1518">
        <v>403.49</v>
      </c>
      <c r="U1518">
        <v>28.7</v>
      </c>
      <c r="V1518" t="str">
        <f>VLOOKUP(L1518,'[2]tabela de preços'!$A:$D,4,0)</f>
        <v>BRASILUX</v>
      </c>
      <c r="W1518" t="str">
        <f>VLOOKUP(L1518,'[2]tabela de preços'!$A:$F,6,0)</f>
        <v>TINTA EM PÓ</v>
      </c>
      <c r="X1518" t="str">
        <f>VLOOKUP(L1518,'[2]tabela de preços'!$A:$G,7,0)</f>
        <v>INDUSTRIAL</v>
      </c>
    </row>
    <row r="1519" spans="1:24" x14ac:dyDescent="0.3">
      <c r="A1519" t="s">
        <v>1623</v>
      </c>
      <c r="C1519" t="s">
        <v>1628</v>
      </c>
      <c r="D1519" s="1">
        <v>46048</v>
      </c>
      <c r="E1519" t="s">
        <v>1629</v>
      </c>
      <c r="F1519">
        <v>9</v>
      </c>
      <c r="G1519">
        <v>231</v>
      </c>
      <c r="H1519" t="str">
        <f>VLOOKUP(G1519,[1]OPERADORES!$A:$B,2,0)</f>
        <v>EDIJANE</v>
      </c>
      <c r="I1519" t="s">
        <v>21</v>
      </c>
      <c r="J1519" t="s">
        <v>531</v>
      </c>
      <c r="K1519" t="s">
        <v>1626</v>
      </c>
      <c r="L1519">
        <v>85401</v>
      </c>
      <c r="M1519" t="s">
        <v>261</v>
      </c>
      <c r="O1519" t="s">
        <v>11</v>
      </c>
      <c r="P1519">
        <v>5102</v>
      </c>
      <c r="Q1519">
        <v>6</v>
      </c>
      <c r="R1519">
        <v>633.42999999999995</v>
      </c>
      <c r="S1519" s="2">
        <v>3800.58</v>
      </c>
      <c r="T1519" s="2">
        <v>2709.84</v>
      </c>
      <c r="U1519">
        <v>28.7</v>
      </c>
      <c r="V1519" t="str">
        <f>VLOOKUP(L1519,'[2]tabela de preços'!$A:$D,4,0)</f>
        <v>BRASILUX</v>
      </c>
      <c r="W1519" t="str">
        <f>VLOOKUP(L1519,'[2]tabela de preços'!$A:$F,6,0)</f>
        <v>TINTA EM PÓ</v>
      </c>
      <c r="X1519" t="str">
        <f>VLOOKUP(L1519,'[2]tabela de preços'!$A:$G,7,0)</f>
        <v>INDUSTRIAL</v>
      </c>
    </row>
    <row r="1520" spans="1:24" x14ac:dyDescent="0.3">
      <c r="A1520" t="s">
        <v>1630</v>
      </c>
      <c r="C1520" t="s">
        <v>1631</v>
      </c>
      <c r="D1520" s="1">
        <v>46027</v>
      </c>
      <c r="E1520" t="s">
        <v>1632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762</v>
      </c>
      <c r="K1520" t="s">
        <v>1633</v>
      </c>
      <c r="L1520">
        <v>16</v>
      </c>
      <c r="M1520" t="s">
        <v>122</v>
      </c>
      <c r="O1520" t="s">
        <v>11</v>
      </c>
      <c r="P1520">
        <v>5102</v>
      </c>
      <c r="Q1520">
        <v>50</v>
      </c>
      <c r="R1520">
        <v>2.9</v>
      </c>
      <c r="S1520">
        <v>145</v>
      </c>
      <c r="T1520">
        <v>110</v>
      </c>
      <c r="U1520">
        <v>24.14</v>
      </c>
      <c r="V1520" t="str">
        <f>VLOOKUP(L1520,'[2]tabela de preços'!$A:$D,4,0)</f>
        <v>3M</v>
      </c>
      <c r="W1520" t="str">
        <f>VLOOKUP(L1520,'[2]tabela de preços'!$A:$F,6,0)</f>
        <v>LIXA DÁGUA</v>
      </c>
      <c r="X1520" t="str">
        <f>VLOOKUP(L1520,'[2]tabela de preços'!$A:$G,7,0)</f>
        <v>AUTOMOTIVO</v>
      </c>
    </row>
    <row r="1521" spans="1:24" x14ac:dyDescent="0.3">
      <c r="A1521" t="s">
        <v>1630</v>
      </c>
      <c r="C1521" t="s">
        <v>1631</v>
      </c>
      <c r="D1521" s="1">
        <v>46027</v>
      </c>
      <c r="E1521" t="s">
        <v>1632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762</v>
      </c>
      <c r="K1521" t="s">
        <v>1633</v>
      </c>
      <c r="L1521">
        <v>83819</v>
      </c>
      <c r="M1521" t="s">
        <v>1237</v>
      </c>
      <c r="O1521" t="s">
        <v>11</v>
      </c>
      <c r="P1521">
        <v>5102</v>
      </c>
      <c r="Q1521">
        <v>50</v>
      </c>
      <c r="R1521">
        <v>3.49</v>
      </c>
      <c r="S1521">
        <v>174.5</v>
      </c>
      <c r="T1521">
        <v>132.5</v>
      </c>
      <c r="U1521">
        <v>24.07</v>
      </c>
      <c r="V1521" t="str">
        <f>VLOOKUP(L1521,'[2]tabela de preços'!$A:$D,4,0)</f>
        <v>3M</v>
      </c>
      <c r="W1521" t="str">
        <f>VLOOKUP(L1521,'[2]tabela de preços'!$A:$F,6,0)</f>
        <v>LIXA DÁGUA</v>
      </c>
      <c r="X1521" t="str">
        <f>VLOOKUP(L1521,'[2]tabela de preços'!$A:$G,7,0)</f>
        <v>AUTOMOTIVO</v>
      </c>
    </row>
    <row r="1522" spans="1:24" x14ac:dyDescent="0.3">
      <c r="A1522" t="s">
        <v>1630</v>
      </c>
      <c r="C1522" t="s">
        <v>1631</v>
      </c>
      <c r="D1522" s="1">
        <v>46027</v>
      </c>
      <c r="E1522" t="s">
        <v>1632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762</v>
      </c>
      <c r="K1522" t="s">
        <v>1633</v>
      </c>
      <c r="L1522">
        <v>21067</v>
      </c>
      <c r="M1522" t="s">
        <v>640</v>
      </c>
      <c r="O1522" t="s">
        <v>11</v>
      </c>
      <c r="P1522">
        <v>5102</v>
      </c>
      <c r="Q1522">
        <v>6</v>
      </c>
      <c r="R1522">
        <v>37.58</v>
      </c>
      <c r="S1522">
        <v>225.48</v>
      </c>
      <c r="T1522">
        <v>171.12</v>
      </c>
      <c r="U1522">
        <v>24.11</v>
      </c>
      <c r="V1522" t="str">
        <f>VLOOKUP(L1522,'[2]tabela de preços'!$A:$D,4,0)</f>
        <v>SIKKENS</v>
      </c>
      <c r="W1522" t="str">
        <f>VLOOKUP(L1522,'[2]tabela de preços'!$A:$F,6,0)</f>
        <v>DILUENTE</v>
      </c>
      <c r="X1522" t="str">
        <f>VLOOKUP(L1522,'[2]tabela de preços'!$A:$G,7,0)</f>
        <v>AUTOMOTIVO</v>
      </c>
    </row>
    <row r="1523" spans="1:24" x14ac:dyDescent="0.3">
      <c r="A1523" t="s">
        <v>1630</v>
      </c>
      <c r="C1523" t="s">
        <v>1634</v>
      </c>
      <c r="D1523" s="1">
        <v>46034</v>
      </c>
      <c r="E1523" t="s">
        <v>1635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762</v>
      </c>
      <c r="K1523" t="s">
        <v>1633</v>
      </c>
      <c r="L1523">
        <v>9799</v>
      </c>
      <c r="M1523" t="s">
        <v>1636</v>
      </c>
      <c r="O1523" t="s">
        <v>11</v>
      </c>
      <c r="P1523">
        <v>5102</v>
      </c>
      <c r="Q1523">
        <v>7</v>
      </c>
      <c r="R1523">
        <v>34.729999999999997</v>
      </c>
      <c r="S1523">
        <v>243.11</v>
      </c>
      <c r="T1523">
        <v>184.52</v>
      </c>
      <c r="U1523">
        <v>24.1</v>
      </c>
      <c r="V1523" t="str">
        <f>VLOOKUP(L1523,'[2]tabela de preços'!$A:$D,4,0)</f>
        <v>WANDA</v>
      </c>
      <c r="W1523" t="str">
        <f>VLOOKUP(L1523,'[2]tabela de preços'!$A:$F,6,0)</f>
        <v>FERRUGEM</v>
      </c>
      <c r="X1523" t="str">
        <f>VLOOKUP(L1523,'[2]tabela de preços'!$A:$G,7,0)</f>
        <v>AUTOMOTIVO</v>
      </c>
    </row>
    <row r="1524" spans="1:24" x14ac:dyDescent="0.3">
      <c r="A1524" t="s">
        <v>1630</v>
      </c>
      <c r="C1524" t="s">
        <v>1634</v>
      </c>
      <c r="D1524" s="1">
        <v>46034</v>
      </c>
      <c r="E1524" t="s">
        <v>1635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762</v>
      </c>
      <c r="K1524" t="s">
        <v>1633</v>
      </c>
      <c r="L1524">
        <v>23465</v>
      </c>
      <c r="M1524" t="s">
        <v>110</v>
      </c>
      <c r="O1524" t="s">
        <v>11</v>
      </c>
      <c r="P1524">
        <v>5102</v>
      </c>
      <c r="Q1524">
        <v>24</v>
      </c>
      <c r="R1524">
        <v>3.76</v>
      </c>
      <c r="S1524">
        <v>90.24</v>
      </c>
      <c r="T1524">
        <v>68.400000000000006</v>
      </c>
      <c r="U1524">
        <v>24.2</v>
      </c>
      <c r="V1524" t="str">
        <f>VLOOKUP(L1524,'[2]tabela de preços'!$A:$D,4,0)</f>
        <v>3M</v>
      </c>
      <c r="W1524" t="str">
        <f>VLOOKUP(L1524,'[2]tabela de preços'!$A:$F,6,0)</f>
        <v>EPI´S</v>
      </c>
      <c r="X1524" t="str">
        <f>VLOOKUP(L1524,'[2]tabela de preços'!$A:$G,7,0)</f>
        <v>AUTOMOTIVO</v>
      </c>
    </row>
    <row r="1525" spans="1:24" x14ac:dyDescent="0.3">
      <c r="A1525" t="s">
        <v>1630</v>
      </c>
      <c r="C1525" t="s">
        <v>1637</v>
      </c>
      <c r="D1525" s="1">
        <v>46042</v>
      </c>
      <c r="E1525" t="s">
        <v>1638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762</v>
      </c>
      <c r="K1525" t="s">
        <v>1633</v>
      </c>
      <c r="L1525">
        <v>56</v>
      </c>
      <c r="M1525" t="s">
        <v>1639</v>
      </c>
      <c r="O1525" t="s">
        <v>11</v>
      </c>
      <c r="P1525">
        <v>5102</v>
      </c>
      <c r="Q1525">
        <v>100</v>
      </c>
      <c r="R1525">
        <v>1.53</v>
      </c>
      <c r="S1525">
        <v>153</v>
      </c>
      <c r="T1525">
        <v>99</v>
      </c>
      <c r="U1525">
        <v>35.29</v>
      </c>
      <c r="V1525" t="str">
        <f>VLOOKUP(L1525,'[2]tabela de preços'!$A:$D,4,0)</f>
        <v>3M</v>
      </c>
      <c r="W1525" t="str">
        <f>VLOOKUP(L1525,'[2]tabela de preços'!$A:$F,6,0)</f>
        <v>LIXA DÁGUA</v>
      </c>
      <c r="X1525" t="str">
        <f>VLOOKUP(L1525,'[2]tabela de preços'!$A:$G,7,0)</f>
        <v>AUTOMOTIVO</v>
      </c>
    </row>
    <row r="1526" spans="1:24" x14ac:dyDescent="0.3">
      <c r="A1526" t="s">
        <v>1630</v>
      </c>
      <c r="C1526" t="s">
        <v>1637</v>
      </c>
      <c r="D1526" s="1">
        <v>46042</v>
      </c>
      <c r="E1526" t="s">
        <v>1638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762</v>
      </c>
      <c r="K1526" t="s">
        <v>1633</v>
      </c>
      <c r="L1526">
        <v>55</v>
      </c>
      <c r="M1526" t="s">
        <v>1640</v>
      </c>
      <c r="O1526" t="s">
        <v>11</v>
      </c>
      <c r="P1526">
        <v>5102</v>
      </c>
      <c r="Q1526">
        <v>50</v>
      </c>
      <c r="R1526">
        <v>1.1299999999999999</v>
      </c>
      <c r="S1526">
        <v>56.5</v>
      </c>
      <c r="T1526">
        <v>36.5</v>
      </c>
      <c r="U1526">
        <v>35.4</v>
      </c>
      <c r="V1526" t="str">
        <f>VLOOKUP(L1526,'[2]tabela de preços'!$A:$D,4,0)</f>
        <v>3M</v>
      </c>
      <c r="W1526" t="str">
        <f>VLOOKUP(L1526,'[2]tabela de preços'!$A:$F,6,0)</f>
        <v>LIXA DÁGUA</v>
      </c>
      <c r="X1526" t="str">
        <f>VLOOKUP(L1526,'[2]tabela de preços'!$A:$G,7,0)</f>
        <v>AUTOMOTIVO</v>
      </c>
    </row>
    <row r="1527" spans="1:24" x14ac:dyDescent="0.3">
      <c r="A1527" t="s">
        <v>1630</v>
      </c>
      <c r="C1527" t="s">
        <v>1637</v>
      </c>
      <c r="D1527" s="1">
        <v>46042</v>
      </c>
      <c r="E1527" t="s">
        <v>1638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762</v>
      </c>
      <c r="K1527" t="s">
        <v>1633</v>
      </c>
      <c r="L1527">
        <v>57</v>
      </c>
      <c r="M1527" t="s">
        <v>1089</v>
      </c>
      <c r="O1527" t="s">
        <v>11</v>
      </c>
      <c r="P1527">
        <v>5102</v>
      </c>
      <c r="Q1527">
        <v>50</v>
      </c>
      <c r="R1527">
        <v>1.1299999999999999</v>
      </c>
      <c r="S1527">
        <v>56.5</v>
      </c>
      <c r="T1527">
        <v>36.5</v>
      </c>
      <c r="U1527">
        <v>35.4</v>
      </c>
      <c r="V1527" t="str">
        <f>VLOOKUP(L1527,'[2]tabela de preços'!$A:$D,4,0)</f>
        <v>3M</v>
      </c>
      <c r="W1527" t="str">
        <f>VLOOKUP(L1527,'[2]tabela de preços'!$A:$F,6,0)</f>
        <v>LIXA DÁGUA</v>
      </c>
      <c r="X1527" t="str">
        <f>VLOOKUP(L1527,'[2]tabela de preços'!$A:$G,7,0)</f>
        <v>AUTOMOTIVO</v>
      </c>
    </row>
    <row r="1528" spans="1:24" x14ac:dyDescent="0.3">
      <c r="A1528" t="s">
        <v>1630</v>
      </c>
      <c r="C1528" t="s">
        <v>1641</v>
      </c>
      <c r="D1528" s="1">
        <v>46042</v>
      </c>
      <c r="E1528" t="s">
        <v>1642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762</v>
      </c>
      <c r="K1528" t="s">
        <v>1633</v>
      </c>
      <c r="L1528">
        <v>9799</v>
      </c>
      <c r="M1528" t="s">
        <v>1636</v>
      </c>
      <c r="O1528" t="s">
        <v>11</v>
      </c>
      <c r="P1528">
        <v>5102</v>
      </c>
      <c r="Q1528">
        <v>24</v>
      </c>
      <c r="R1528">
        <v>34.729999999999997</v>
      </c>
      <c r="S1528">
        <v>833.52</v>
      </c>
      <c r="T1528">
        <v>632.64</v>
      </c>
      <c r="U1528">
        <v>24.1</v>
      </c>
      <c r="V1528" t="str">
        <f>VLOOKUP(L1528,'[2]tabela de preços'!$A:$D,4,0)</f>
        <v>WANDA</v>
      </c>
      <c r="W1528" t="str">
        <f>VLOOKUP(L1528,'[2]tabela de preços'!$A:$F,6,0)</f>
        <v>FERRUGEM</v>
      </c>
      <c r="X1528" t="str">
        <f>VLOOKUP(L1528,'[2]tabela de preços'!$A:$G,7,0)</f>
        <v>AUTOMOTIVO</v>
      </c>
    </row>
    <row r="1529" spans="1:24" x14ac:dyDescent="0.3">
      <c r="A1529" t="s">
        <v>1630</v>
      </c>
      <c r="C1529" t="s">
        <v>1641</v>
      </c>
      <c r="D1529" s="1">
        <v>46042</v>
      </c>
      <c r="E1529" t="s">
        <v>1642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762</v>
      </c>
      <c r="K1529" t="s">
        <v>1633</v>
      </c>
      <c r="L1529">
        <v>21067</v>
      </c>
      <c r="M1529" t="s">
        <v>640</v>
      </c>
      <c r="O1529" t="s">
        <v>11</v>
      </c>
      <c r="P1529">
        <v>5102</v>
      </c>
      <c r="Q1529">
        <v>6</v>
      </c>
      <c r="R1529">
        <v>36.07</v>
      </c>
      <c r="S1529">
        <v>216.42</v>
      </c>
      <c r="T1529">
        <v>164.28</v>
      </c>
      <c r="U1529">
        <v>24.09</v>
      </c>
      <c r="V1529" t="str">
        <f>VLOOKUP(L1529,'[2]tabela de preços'!$A:$D,4,0)</f>
        <v>SIKKENS</v>
      </c>
      <c r="W1529" t="str">
        <f>VLOOKUP(L1529,'[2]tabela de preços'!$A:$F,6,0)</f>
        <v>DILUENTE</v>
      </c>
      <c r="X1529" t="str">
        <f>VLOOKUP(L1529,'[2]tabela de preços'!$A:$G,7,0)</f>
        <v>AUTOMOTIVO</v>
      </c>
    </row>
    <row r="1530" spans="1:24" x14ac:dyDescent="0.3">
      <c r="A1530" t="s">
        <v>1630</v>
      </c>
      <c r="C1530" t="s">
        <v>1641</v>
      </c>
      <c r="D1530" s="1">
        <v>46042</v>
      </c>
      <c r="E1530" t="s">
        <v>1642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762</v>
      </c>
      <c r="K1530" t="s">
        <v>1633</v>
      </c>
      <c r="L1530">
        <v>85558</v>
      </c>
      <c r="M1530" t="s">
        <v>1643</v>
      </c>
      <c r="O1530" t="s">
        <v>11</v>
      </c>
      <c r="P1530">
        <v>5405</v>
      </c>
      <c r="Q1530">
        <v>2</v>
      </c>
      <c r="R1530">
        <v>164.47</v>
      </c>
      <c r="S1530">
        <v>328.94</v>
      </c>
      <c r="T1530">
        <v>249.66</v>
      </c>
      <c r="U1530">
        <v>24.1</v>
      </c>
      <c r="V1530" t="str">
        <f>VLOOKUP(L1530,'[2]tabela de preços'!$A:$D,4,0)</f>
        <v>BRASILUX</v>
      </c>
      <c r="W1530" t="str">
        <f>VLOOKUP(L1530,'[2]tabela de preços'!$A:$F,6,0)</f>
        <v>EPOXI</v>
      </c>
      <c r="X1530" t="str">
        <f>VLOOKUP(L1530,'[2]tabela de preços'!$A:$G,7,0)</f>
        <v>INDUSTRIAL</v>
      </c>
    </row>
    <row r="1531" spans="1:24" x14ac:dyDescent="0.3">
      <c r="A1531" t="s">
        <v>1630</v>
      </c>
      <c r="C1531" t="s">
        <v>1644</v>
      </c>
      <c r="D1531" s="1">
        <v>46042</v>
      </c>
      <c r="E1531" t="s">
        <v>1645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762</v>
      </c>
      <c r="K1531" t="s">
        <v>1633</v>
      </c>
      <c r="L1531">
        <v>10246</v>
      </c>
      <c r="M1531" t="s">
        <v>206</v>
      </c>
      <c r="O1531" t="s">
        <v>11</v>
      </c>
      <c r="P1531">
        <v>5102</v>
      </c>
      <c r="Q1531">
        <v>200</v>
      </c>
      <c r="R1531">
        <v>2.79</v>
      </c>
      <c r="S1531">
        <v>558</v>
      </c>
      <c r="T1531">
        <v>386</v>
      </c>
      <c r="U1531">
        <v>30.82</v>
      </c>
      <c r="V1531" t="str">
        <f>VLOOKUP(L1531,'[2]tabela de preços'!$A:$D,4,0)</f>
        <v>NORTON</v>
      </c>
      <c r="W1531" t="str">
        <f>VLOOKUP(L1531,'[2]tabela de preços'!$A:$F,6,0)</f>
        <v xml:space="preserve">DISCOS / LIXAS / ABRASIVOS </v>
      </c>
      <c r="X1531" t="str">
        <f>VLOOKUP(L1531,'[2]tabela de preços'!$A:$G,7,0)</f>
        <v>AUTOMOTIVO</v>
      </c>
    </row>
    <row r="1532" spans="1:24" x14ac:dyDescent="0.3">
      <c r="A1532" t="s">
        <v>1630</v>
      </c>
      <c r="C1532" t="s">
        <v>1644</v>
      </c>
      <c r="D1532" s="1">
        <v>46042</v>
      </c>
      <c r="E1532" t="s">
        <v>1645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762</v>
      </c>
      <c r="K1532" t="s">
        <v>1633</v>
      </c>
      <c r="L1532">
        <v>85558</v>
      </c>
      <c r="M1532" t="s">
        <v>1643</v>
      </c>
      <c r="O1532" t="s">
        <v>11</v>
      </c>
      <c r="P1532">
        <v>5405</v>
      </c>
      <c r="Q1532">
        <v>2</v>
      </c>
      <c r="R1532">
        <v>164.47</v>
      </c>
      <c r="S1532">
        <v>328.94</v>
      </c>
      <c r="T1532">
        <v>249.66</v>
      </c>
      <c r="U1532">
        <v>24.1</v>
      </c>
      <c r="V1532" t="str">
        <f>VLOOKUP(L1532,'[2]tabela de preços'!$A:$D,4,0)</f>
        <v>BRASILUX</v>
      </c>
      <c r="W1532" t="str">
        <f>VLOOKUP(L1532,'[2]tabela de preços'!$A:$F,6,0)</f>
        <v>EPOXI</v>
      </c>
      <c r="X1532" t="str">
        <f>VLOOKUP(L1532,'[2]tabela de preços'!$A:$G,7,0)</f>
        <v>INDUSTRIAL</v>
      </c>
    </row>
    <row r="1533" spans="1:24" x14ac:dyDescent="0.3">
      <c r="A1533" t="s">
        <v>1630</v>
      </c>
      <c r="C1533" t="s">
        <v>1646</v>
      </c>
      <c r="D1533" s="1">
        <v>46044</v>
      </c>
      <c r="E1533" t="s">
        <v>1647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762</v>
      </c>
      <c r="K1533" t="s">
        <v>1633</v>
      </c>
      <c r="L1533">
        <v>84012</v>
      </c>
      <c r="M1533" t="s">
        <v>1648</v>
      </c>
      <c r="O1533" t="s">
        <v>11</v>
      </c>
      <c r="P1533">
        <v>5102</v>
      </c>
      <c r="Q1533">
        <v>100</v>
      </c>
      <c r="R1533">
        <v>2.62</v>
      </c>
      <c r="S1533">
        <v>262</v>
      </c>
      <c r="T1533">
        <v>169</v>
      </c>
      <c r="U1533">
        <v>35.5</v>
      </c>
      <c r="V1533" t="str">
        <f>VLOOKUP(L1533,'[2]tabela de preços'!$A:$D,4,0)</f>
        <v>3M</v>
      </c>
      <c r="W1533" t="str">
        <f>VLOOKUP(L1533,'[2]tabela de preços'!$A:$F,6,0)</f>
        <v>LIXA FERRO</v>
      </c>
      <c r="X1533" t="str">
        <f>VLOOKUP(L1533,'[2]tabela de preços'!$A:$G,7,0)</f>
        <v>IMOBILIÁRIO</v>
      </c>
    </row>
    <row r="1534" spans="1:24" x14ac:dyDescent="0.3">
      <c r="A1534" t="s">
        <v>1630</v>
      </c>
      <c r="C1534" t="s">
        <v>1646</v>
      </c>
      <c r="D1534" s="1">
        <v>46044</v>
      </c>
      <c r="E1534" t="s">
        <v>1647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762</v>
      </c>
      <c r="K1534" t="s">
        <v>1633</v>
      </c>
      <c r="L1534">
        <v>85558</v>
      </c>
      <c r="M1534" t="s">
        <v>1643</v>
      </c>
      <c r="O1534" t="s">
        <v>11</v>
      </c>
      <c r="P1534">
        <v>5405</v>
      </c>
      <c r="Q1534">
        <v>8</v>
      </c>
      <c r="R1534">
        <v>164.47</v>
      </c>
      <c r="S1534" s="2">
        <v>1315.76</v>
      </c>
      <c r="T1534">
        <v>998.64</v>
      </c>
      <c r="U1534">
        <v>24.1</v>
      </c>
      <c r="V1534" t="str">
        <f>VLOOKUP(L1534,'[2]tabela de preços'!$A:$D,4,0)</f>
        <v>BRASILUX</v>
      </c>
      <c r="W1534" t="str">
        <f>VLOOKUP(L1534,'[2]tabela de preços'!$A:$F,6,0)</f>
        <v>EPOXI</v>
      </c>
      <c r="X1534" t="str">
        <f>VLOOKUP(L1534,'[2]tabela de preços'!$A:$G,7,0)</f>
        <v>INDUSTRIAL</v>
      </c>
    </row>
    <row r="1535" spans="1:24" x14ac:dyDescent="0.3">
      <c r="A1535" t="s">
        <v>1630</v>
      </c>
      <c r="C1535" t="s">
        <v>2390</v>
      </c>
      <c r="D1535" s="1">
        <v>46052</v>
      </c>
      <c r="E1535" t="s">
        <v>2391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762</v>
      </c>
      <c r="K1535" t="s">
        <v>1633</v>
      </c>
      <c r="L1535">
        <v>10238</v>
      </c>
      <c r="M1535" t="s">
        <v>79</v>
      </c>
      <c r="O1535" t="s">
        <v>11</v>
      </c>
      <c r="P1535">
        <v>5102</v>
      </c>
      <c r="Q1535">
        <v>200</v>
      </c>
      <c r="R1535">
        <v>2.79</v>
      </c>
      <c r="S1535">
        <v>558</v>
      </c>
      <c r="T1535">
        <v>448</v>
      </c>
      <c r="U1535">
        <v>19.71</v>
      </c>
      <c r="V1535" t="str">
        <f>VLOOKUP(L1535,'[2]tabela de preços'!$A:$D,4,0)</f>
        <v>NORTON</v>
      </c>
      <c r="W1535" t="str">
        <f>VLOOKUP(L1535,'[2]tabela de preços'!$A:$F,6,0)</f>
        <v xml:space="preserve">DISCOS / LIXAS / ABRASIVOS </v>
      </c>
      <c r="X1535" t="str">
        <f>VLOOKUP(L1535,'[2]tabela de preços'!$A:$G,7,0)</f>
        <v>AUTOMOTIVO</v>
      </c>
    </row>
    <row r="1536" spans="1:24" x14ac:dyDescent="0.3">
      <c r="A1536" t="s">
        <v>1630</v>
      </c>
      <c r="C1536" t="s">
        <v>2390</v>
      </c>
      <c r="D1536" s="1">
        <v>46052</v>
      </c>
      <c r="E1536" t="s">
        <v>2391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762</v>
      </c>
      <c r="K1536" t="s">
        <v>1633</v>
      </c>
      <c r="L1536">
        <v>10245</v>
      </c>
      <c r="M1536" t="s">
        <v>195</v>
      </c>
      <c r="O1536" t="s">
        <v>11</v>
      </c>
      <c r="P1536">
        <v>5102</v>
      </c>
      <c r="Q1536">
        <v>100</v>
      </c>
      <c r="R1536">
        <v>2.79</v>
      </c>
      <c r="S1536">
        <v>279</v>
      </c>
      <c r="T1536">
        <v>193</v>
      </c>
      <c r="U1536">
        <v>30.82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1630</v>
      </c>
      <c r="C1537" t="s">
        <v>2390</v>
      </c>
      <c r="D1537" s="1">
        <v>46052</v>
      </c>
      <c r="E1537" t="s">
        <v>2391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762</v>
      </c>
      <c r="K1537" t="s">
        <v>1633</v>
      </c>
      <c r="L1537">
        <v>10246</v>
      </c>
      <c r="M1537" t="s">
        <v>206</v>
      </c>
      <c r="O1537" t="s">
        <v>11</v>
      </c>
      <c r="P1537">
        <v>5102</v>
      </c>
      <c r="Q1537">
        <v>100</v>
      </c>
      <c r="R1537">
        <v>2.79</v>
      </c>
      <c r="S1537">
        <v>279</v>
      </c>
      <c r="T1537">
        <v>193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1649</v>
      </c>
      <c r="B1538" t="s">
        <v>1650</v>
      </c>
      <c r="C1538" t="s">
        <v>1651</v>
      </c>
      <c r="D1538" s="1">
        <v>46035</v>
      </c>
      <c r="E1538" t="s">
        <v>1652</v>
      </c>
      <c r="F1538">
        <v>9</v>
      </c>
      <c r="G1538">
        <v>236</v>
      </c>
      <c r="H1538" t="str">
        <f>VLOOKUP(G1538,[1]OPERADORES!$A:$B,2,0)</f>
        <v>DANIEL</v>
      </c>
      <c r="I1538" t="s">
        <v>21</v>
      </c>
      <c r="J1538" t="s">
        <v>1653</v>
      </c>
      <c r="K1538" t="s">
        <v>1654</v>
      </c>
      <c r="L1538">
        <v>20135</v>
      </c>
      <c r="M1538" t="s">
        <v>459</v>
      </c>
      <c r="O1538" t="s">
        <v>11</v>
      </c>
      <c r="P1538">
        <v>5102</v>
      </c>
      <c r="Q1538">
        <v>30</v>
      </c>
      <c r="R1538">
        <v>25.37</v>
      </c>
      <c r="S1538">
        <v>761.1</v>
      </c>
      <c r="T1538">
        <v>577.79999999999995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1649</v>
      </c>
      <c r="B1539" t="s">
        <v>1650</v>
      </c>
      <c r="C1539" t="s">
        <v>1651</v>
      </c>
      <c r="D1539" s="1">
        <v>46035</v>
      </c>
      <c r="E1539" t="s">
        <v>1652</v>
      </c>
      <c r="F1539">
        <v>9</v>
      </c>
      <c r="G1539">
        <v>236</v>
      </c>
      <c r="H1539" t="str">
        <f>VLOOKUP(G1539,[1]OPERADORES!$A:$B,2,0)</f>
        <v>DANIEL</v>
      </c>
      <c r="I1539" t="s">
        <v>21</v>
      </c>
      <c r="J1539" t="s">
        <v>1653</v>
      </c>
      <c r="K1539" t="s">
        <v>1654</v>
      </c>
      <c r="L1539">
        <v>24248</v>
      </c>
      <c r="M1539" t="s">
        <v>107</v>
      </c>
      <c r="O1539" t="s">
        <v>11</v>
      </c>
      <c r="P1539">
        <v>5102</v>
      </c>
      <c r="Q1539">
        <v>48</v>
      </c>
      <c r="R1539">
        <v>8</v>
      </c>
      <c r="S1539">
        <v>384</v>
      </c>
      <c r="T1539">
        <v>307.68</v>
      </c>
      <c r="U1539">
        <v>19.88</v>
      </c>
      <c r="V1539" t="str">
        <f>VLOOKUP(L1539,'[2]tabela de preços'!$A:$D,4,0)</f>
        <v>SHERWIN WILLIAMS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1649</v>
      </c>
      <c r="B1540" t="s">
        <v>1650</v>
      </c>
      <c r="C1540" t="s">
        <v>1651</v>
      </c>
      <c r="D1540" s="1">
        <v>46035</v>
      </c>
      <c r="E1540" t="s">
        <v>1652</v>
      </c>
      <c r="F1540">
        <v>9</v>
      </c>
      <c r="G1540">
        <v>236</v>
      </c>
      <c r="H1540" t="str">
        <f>VLOOKUP(G1540,[1]OPERADORES!$A:$B,2,0)</f>
        <v>DANIEL</v>
      </c>
      <c r="I1540" t="s">
        <v>21</v>
      </c>
      <c r="J1540" t="s">
        <v>1653</v>
      </c>
      <c r="K1540" t="s">
        <v>1654</v>
      </c>
      <c r="L1540">
        <v>10097</v>
      </c>
      <c r="M1540" t="s">
        <v>461</v>
      </c>
      <c r="O1540" t="s">
        <v>11</v>
      </c>
      <c r="P1540">
        <v>5102</v>
      </c>
      <c r="Q1540">
        <v>20</v>
      </c>
      <c r="R1540">
        <v>9.1300000000000008</v>
      </c>
      <c r="S1540">
        <v>182.6</v>
      </c>
      <c r="T1540">
        <v>134</v>
      </c>
      <c r="U1540">
        <v>26.62</v>
      </c>
      <c r="V1540" t="str">
        <f>VLOOKUP(L1540,'[2]tabela de preços'!$A:$D,4,0)</f>
        <v>3M</v>
      </c>
      <c r="W1540" t="str">
        <f>VLOOKUP(L1540,'[2]tabela de preços'!$A:$F,6,0)</f>
        <v>EPI´S</v>
      </c>
      <c r="X1540" t="str">
        <f>VLOOKUP(L1540,'[2]tabela de preços'!$A:$G,7,0)</f>
        <v>AUTOMOTIVO</v>
      </c>
    </row>
    <row r="1541" spans="1:24" x14ac:dyDescent="0.3">
      <c r="A1541" t="s">
        <v>1649</v>
      </c>
      <c r="B1541" t="s">
        <v>1650</v>
      </c>
      <c r="C1541" t="s">
        <v>1651</v>
      </c>
      <c r="D1541" s="1">
        <v>46035</v>
      </c>
      <c r="E1541" t="s">
        <v>1652</v>
      </c>
      <c r="F1541">
        <v>9</v>
      </c>
      <c r="G1541">
        <v>236</v>
      </c>
      <c r="H1541" t="str">
        <f>VLOOKUP(G1541,[1]OPERADORES!$A:$B,2,0)</f>
        <v>DANIEL</v>
      </c>
      <c r="I1541" t="s">
        <v>21</v>
      </c>
      <c r="J1541" t="s">
        <v>1653</v>
      </c>
      <c r="K1541" t="s">
        <v>1654</v>
      </c>
      <c r="L1541">
        <v>24183</v>
      </c>
      <c r="M1541" t="s">
        <v>1655</v>
      </c>
      <c r="O1541" t="s">
        <v>11</v>
      </c>
      <c r="P1541">
        <v>5102</v>
      </c>
      <c r="Q1541">
        <v>48</v>
      </c>
      <c r="R1541">
        <v>30.45</v>
      </c>
      <c r="S1541" s="2">
        <v>1461.6</v>
      </c>
      <c r="T1541" s="2">
        <v>1109.28</v>
      </c>
      <c r="U1541">
        <v>24.11</v>
      </c>
      <c r="V1541" t="str">
        <f>VLOOKUP(L1541,'[2]tabela de preços'!$A:$D,4,0)</f>
        <v>3M</v>
      </c>
      <c r="W1541" t="str">
        <f>VLOOKUP(L1541,'[2]tabela de preços'!$A:$F,6,0)</f>
        <v>FITA DUPLA FACE</v>
      </c>
      <c r="X1541" t="str">
        <f>VLOOKUP(L1541,'[2]tabela de preços'!$A:$G,7,0)</f>
        <v>AUTOMOTIVO</v>
      </c>
    </row>
    <row r="1542" spans="1:24" x14ac:dyDescent="0.3">
      <c r="A1542" t="s">
        <v>1649</v>
      </c>
      <c r="B1542" t="s">
        <v>1650</v>
      </c>
      <c r="C1542" t="s">
        <v>1651</v>
      </c>
      <c r="D1542" s="1">
        <v>46035</v>
      </c>
      <c r="E1542" t="s">
        <v>1652</v>
      </c>
      <c r="F1542">
        <v>9</v>
      </c>
      <c r="G1542">
        <v>236</v>
      </c>
      <c r="H1542" t="str">
        <f>VLOOKUP(G1542,[1]OPERADORES!$A:$B,2,0)</f>
        <v>DANIEL</v>
      </c>
      <c r="I1542" t="s">
        <v>21</v>
      </c>
      <c r="J1542" t="s">
        <v>1653</v>
      </c>
      <c r="K1542" t="s">
        <v>1654</v>
      </c>
      <c r="L1542">
        <v>85621</v>
      </c>
      <c r="M1542" t="s">
        <v>1656</v>
      </c>
      <c r="O1542" t="s">
        <v>11</v>
      </c>
      <c r="P1542">
        <v>5102</v>
      </c>
      <c r="Q1542">
        <v>22</v>
      </c>
      <c r="R1542">
        <v>16.75</v>
      </c>
      <c r="S1542">
        <v>368.5</v>
      </c>
      <c r="T1542">
        <v>270.16000000000003</v>
      </c>
      <c r="U1542">
        <v>26.69</v>
      </c>
      <c r="V1542" t="str">
        <f>VLOOKUP(L1542,'[2]tabela de preços'!$A:$D,4,0)</f>
        <v>ADERE</v>
      </c>
      <c r="W1542" t="str">
        <f>VLOOKUP(L1542,'[2]tabela de preços'!$A:$F,6,0)</f>
        <v xml:space="preserve">FITA DE USO GERAL </v>
      </c>
      <c r="X1542" t="str">
        <f>VLOOKUP(L1542,'[2]tabela de preços'!$A:$G,7,0)</f>
        <v>IMOBILIÁRIO</v>
      </c>
    </row>
    <row r="1543" spans="1:24" x14ac:dyDescent="0.3">
      <c r="A1543" t="s">
        <v>1649</v>
      </c>
      <c r="B1543" t="s">
        <v>1650</v>
      </c>
      <c r="C1543" t="s">
        <v>1651</v>
      </c>
      <c r="D1543" s="1">
        <v>46035</v>
      </c>
      <c r="E1543" t="s">
        <v>1652</v>
      </c>
      <c r="F1543">
        <v>9</v>
      </c>
      <c r="G1543">
        <v>236</v>
      </c>
      <c r="H1543" t="str">
        <f>VLOOKUP(G1543,[1]OPERADORES!$A:$B,2,0)</f>
        <v>DANIEL</v>
      </c>
      <c r="I1543" t="s">
        <v>21</v>
      </c>
      <c r="J1543" t="s">
        <v>1653</v>
      </c>
      <c r="K1543" t="s">
        <v>1654</v>
      </c>
      <c r="L1543">
        <v>21078</v>
      </c>
      <c r="M1543" t="s">
        <v>141</v>
      </c>
      <c r="O1543" t="s">
        <v>11</v>
      </c>
      <c r="P1543">
        <v>5102</v>
      </c>
      <c r="Q1543">
        <v>36</v>
      </c>
      <c r="R1543">
        <v>22.89</v>
      </c>
      <c r="S1543">
        <v>824.04</v>
      </c>
      <c r="T1543">
        <v>671.76</v>
      </c>
      <c r="U1543">
        <v>18.48</v>
      </c>
      <c r="V1543" t="str">
        <f>VLOOKUP(L1543,'[2]tabela de preços'!$A:$D,4,0)</f>
        <v>SHERWIN WILLIAMS</v>
      </c>
      <c r="W1543" t="str">
        <f>VLOOKUP(L1543,'[2]tabela de preços'!$A:$F,6,0)</f>
        <v>MASSA POLIÉSTER</v>
      </c>
      <c r="X1543" t="str">
        <f>VLOOKUP(L1543,'[2]tabela de preços'!$A:$G,7,0)</f>
        <v>AUTOMOTIVO</v>
      </c>
    </row>
    <row r="1544" spans="1:24" x14ac:dyDescent="0.3">
      <c r="A1544" t="s">
        <v>1649</v>
      </c>
      <c r="B1544" t="s">
        <v>1650</v>
      </c>
      <c r="C1544" t="s">
        <v>1651</v>
      </c>
      <c r="D1544" s="1">
        <v>46035</v>
      </c>
      <c r="E1544" t="s">
        <v>1652</v>
      </c>
      <c r="F1544">
        <v>9</v>
      </c>
      <c r="G1544">
        <v>236</v>
      </c>
      <c r="H1544" t="str">
        <f>VLOOKUP(G1544,[1]OPERADORES!$A:$B,2,0)</f>
        <v>DANIEL</v>
      </c>
      <c r="I1544" t="s">
        <v>21</v>
      </c>
      <c r="J1544" t="s">
        <v>1653</v>
      </c>
      <c r="K1544" t="s">
        <v>1654</v>
      </c>
      <c r="L1544">
        <v>24247</v>
      </c>
      <c r="M1544" t="s">
        <v>111</v>
      </c>
      <c r="O1544" t="s">
        <v>11</v>
      </c>
      <c r="P1544">
        <v>5403</v>
      </c>
      <c r="Q1544">
        <v>48</v>
      </c>
      <c r="R1544">
        <v>21</v>
      </c>
      <c r="S1544" s="2">
        <v>1008</v>
      </c>
      <c r="T1544">
        <v>796.8</v>
      </c>
      <c r="U1544">
        <v>20.95</v>
      </c>
      <c r="V1544" t="str">
        <f>VLOOKUP(L1544,'[2]tabela de preços'!$A:$D,4,0)</f>
        <v>SHERWIN WILLIAMS</v>
      </c>
      <c r="W1544" t="str">
        <f>VLOOKUP(L1544,'[2]tabela de preços'!$A:$F,6,0)</f>
        <v>PRIMER AUTOMOTIVO</v>
      </c>
      <c r="X1544" t="str">
        <f>VLOOKUP(L1544,'[2]tabela de preços'!$A:$G,7,0)</f>
        <v>AUTOMOTIVO</v>
      </c>
    </row>
    <row r="1545" spans="1:24" x14ac:dyDescent="0.3">
      <c r="A1545" t="s">
        <v>1649</v>
      </c>
      <c r="B1545" t="s">
        <v>1650</v>
      </c>
      <c r="C1545" t="s">
        <v>1657</v>
      </c>
      <c r="D1545" s="1">
        <v>46036</v>
      </c>
      <c r="E1545" t="s">
        <v>1658</v>
      </c>
      <c r="F1545">
        <v>9</v>
      </c>
      <c r="G1545">
        <v>236</v>
      </c>
      <c r="H1545" t="str">
        <f>VLOOKUP(G1545,[1]OPERADORES!$A:$B,2,0)</f>
        <v>DANIEL</v>
      </c>
      <c r="I1545" t="s">
        <v>21</v>
      </c>
      <c r="J1545" t="s">
        <v>1653</v>
      </c>
      <c r="K1545" t="s">
        <v>1654</v>
      </c>
      <c r="L1545">
        <v>84925</v>
      </c>
      <c r="M1545" t="s">
        <v>1659</v>
      </c>
      <c r="O1545" t="s">
        <v>11</v>
      </c>
      <c r="P1545">
        <v>5403</v>
      </c>
      <c r="Q1545">
        <v>20</v>
      </c>
      <c r="R1545">
        <v>159.41999999999999</v>
      </c>
      <c r="S1545" s="2">
        <v>3188.4</v>
      </c>
      <c r="T1545" s="2">
        <v>2337.6</v>
      </c>
      <c r="U1545">
        <v>26.68</v>
      </c>
      <c r="V1545" t="str">
        <f>VLOOKUP(L1545,'[2]tabela de preços'!$A:$D,4,0)</f>
        <v>BRASILUX</v>
      </c>
      <c r="W1545" t="str">
        <f>VLOOKUP(L1545,'[2]tabela de preços'!$A:$F,6,0)</f>
        <v>EPOXI</v>
      </c>
      <c r="X1545" t="str">
        <f>VLOOKUP(L1545,'[2]tabela de preços'!$A:$G,7,0)</f>
        <v>INDUSTRIAL</v>
      </c>
    </row>
    <row r="1546" spans="1:24" x14ac:dyDescent="0.3">
      <c r="A1546" t="s">
        <v>1649</v>
      </c>
      <c r="B1546" t="s">
        <v>1650</v>
      </c>
      <c r="C1546" t="s">
        <v>1660</v>
      </c>
      <c r="D1546" s="1">
        <v>46037</v>
      </c>
      <c r="E1546" t="s">
        <v>1661</v>
      </c>
      <c r="F1546">
        <v>9</v>
      </c>
      <c r="G1546">
        <v>236</v>
      </c>
      <c r="H1546" t="str">
        <f>VLOOKUP(G1546,[1]OPERADORES!$A:$B,2,0)</f>
        <v>DANIEL</v>
      </c>
      <c r="I1546" t="s">
        <v>21</v>
      </c>
      <c r="J1546" t="s">
        <v>1653</v>
      </c>
      <c r="K1546" t="s">
        <v>1654</v>
      </c>
      <c r="L1546">
        <v>84925</v>
      </c>
      <c r="M1546" t="s">
        <v>1659</v>
      </c>
      <c r="O1546" t="s">
        <v>11</v>
      </c>
      <c r="P1546">
        <v>5403</v>
      </c>
      <c r="Q1546">
        <v>16</v>
      </c>
      <c r="R1546">
        <v>159.41999999999999</v>
      </c>
      <c r="S1546" s="2">
        <v>2550.7199999999998</v>
      </c>
      <c r="T1546" s="2">
        <v>1870.08</v>
      </c>
      <c r="U1546">
        <v>26.68</v>
      </c>
      <c r="V1546" t="str">
        <f>VLOOKUP(L1546,'[2]tabela de preços'!$A:$D,4,0)</f>
        <v>BRASILUX</v>
      </c>
      <c r="W1546" t="str">
        <f>VLOOKUP(L1546,'[2]tabela de preços'!$A:$F,6,0)</f>
        <v>EPOXI</v>
      </c>
      <c r="X1546" t="str">
        <f>VLOOKUP(L1546,'[2]tabela de preços'!$A:$G,7,0)</f>
        <v>INDUSTRIAL</v>
      </c>
    </row>
    <row r="1547" spans="1:24" x14ac:dyDescent="0.3">
      <c r="A1547" t="s">
        <v>1649</v>
      </c>
      <c r="B1547" t="s">
        <v>1650</v>
      </c>
      <c r="C1547" t="s">
        <v>1660</v>
      </c>
      <c r="D1547" s="1">
        <v>46037</v>
      </c>
      <c r="E1547" t="s">
        <v>1661</v>
      </c>
      <c r="F1547">
        <v>9</v>
      </c>
      <c r="G1547">
        <v>236</v>
      </c>
      <c r="H1547" t="str">
        <f>VLOOKUP(G1547,[1]OPERADORES!$A:$B,2,0)</f>
        <v>DANIEL</v>
      </c>
      <c r="I1547" t="s">
        <v>21</v>
      </c>
      <c r="J1547" t="s">
        <v>1653</v>
      </c>
      <c r="K1547" t="s">
        <v>1654</v>
      </c>
      <c r="L1547">
        <v>85188</v>
      </c>
      <c r="M1547" t="s">
        <v>1662</v>
      </c>
      <c r="O1547" t="s">
        <v>11</v>
      </c>
      <c r="P1547">
        <v>5102</v>
      </c>
      <c r="Q1547">
        <v>1</v>
      </c>
      <c r="R1547">
        <v>169.85</v>
      </c>
      <c r="S1547">
        <v>169.85</v>
      </c>
      <c r="T1547">
        <v>124.52</v>
      </c>
      <c r="U1547">
        <v>26.69</v>
      </c>
      <c r="V1547" t="str">
        <f>VLOOKUP(L1547,'[2]tabela de preços'!$A:$D,4,0)</f>
        <v>BRASILUX</v>
      </c>
      <c r="W1547" t="str">
        <f>VLOOKUP(L1547,'[2]tabela de preços'!$A:$F,6,0)</f>
        <v>EPOXI</v>
      </c>
      <c r="X1547" t="str">
        <f>VLOOKUP(L1547,'[2]tabela de preços'!$A:$G,7,0)</f>
        <v>INDUSTRIAL</v>
      </c>
    </row>
    <row r="1548" spans="1:24" x14ac:dyDescent="0.3">
      <c r="A1548" t="s">
        <v>1649</v>
      </c>
      <c r="B1548" t="s">
        <v>1650</v>
      </c>
      <c r="C1548" t="s">
        <v>1663</v>
      </c>
      <c r="D1548" s="1">
        <v>46041</v>
      </c>
      <c r="E1548" t="s">
        <v>1664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1653</v>
      </c>
      <c r="K1548" t="s">
        <v>1654</v>
      </c>
      <c r="L1548">
        <v>87043</v>
      </c>
      <c r="M1548" t="s">
        <v>217</v>
      </c>
      <c r="O1548" t="s">
        <v>11</v>
      </c>
      <c r="P1548">
        <v>5102</v>
      </c>
      <c r="Q1548">
        <v>40</v>
      </c>
      <c r="R1548">
        <v>21.95</v>
      </c>
      <c r="S1548">
        <v>878</v>
      </c>
      <c r="T1548">
        <v>720.8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1649</v>
      </c>
      <c r="B1549" t="s">
        <v>1650</v>
      </c>
      <c r="C1549" t="s">
        <v>1665</v>
      </c>
      <c r="D1549" s="1">
        <v>46042</v>
      </c>
      <c r="E1549" t="s">
        <v>1666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1653</v>
      </c>
      <c r="K1549" t="s">
        <v>1654</v>
      </c>
      <c r="L1549">
        <v>84925</v>
      </c>
      <c r="M1549" t="s">
        <v>1659</v>
      </c>
      <c r="O1549" t="s">
        <v>11</v>
      </c>
      <c r="P1549">
        <v>5403</v>
      </c>
      <c r="Q1549">
        <v>8</v>
      </c>
      <c r="R1549">
        <v>159.41999999999999</v>
      </c>
      <c r="S1549" s="2">
        <v>1275.3599999999999</v>
      </c>
      <c r="T1549">
        <v>935.04</v>
      </c>
      <c r="U1549">
        <v>26.68</v>
      </c>
      <c r="V1549" t="str">
        <f>VLOOKUP(L1549,'[2]tabela de preços'!$A:$D,4,0)</f>
        <v>BRASILUX</v>
      </c>
      <c r="W1549" t="str">
        <f>VLOOKUP(L1549,'[2]tabela de preços'!$A:$F,6,0)</f>
        <v>EPOXI</v>
      </c>
      <c r="X1549" t="str">
        <f>VLOOKUP(L1549,'[2]tabela de preços'!$A:$G,7,0)</f>
        <v>INDUSTRIAL</v>
      </c>
    </row>
    <row r="1550" spans="1:24" x14ac:dyDescent="0.3">
      <c r="A1550" t="s">
        <v>1649</v>
      </c>
      <c r="B1550" t="s">
        <v>1650</v>
      </c>
      <c r="C1550" t="s">
        <v>1667</v>
      </c>
      <c r="D1550" s="1">
        <v>46044</v>
      </c>
      <c r="E1550" t="s">
        <v>1668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1653</v>
      </c>
      <c r="K1550" t="s">
        <v>1654</v>
      </c>
      <c r="L1550">
        <v>87043</v>
      </c>
      <c r="M1550" t="s">
        <v>217</v>
      </c>
      <c r="O1550" t="s">
        <v>11</v>
      </c>
      <c r="P1550">
        <v>5102</v>
      </c>
      <c r="Q1550">
        <v>80</v>
      </c>
      <c r="R1550">
        <v>21.95</v>
      </c>
      <c r="S1550" s="2">
        <v>1756</v>
      </c>
      <c r="T1550" s="2">
        <v>1441.6</v>
      </c>
      <c r="U1550">
        <v>17.899999999999999</v>
      </c>
      <c r="V1550" t="str">
        <f>VLOOKUP(L1550,'[2]tabela de preços'!$A:$D,4,0)</f>
        <v>ROBERLO</v>
      </c>
      <c r="W1550" t="str">
        <f>VLOOKUP(L1550,'[2]tabela de preços'!$A:$F,6,0)</f>
        <v>MASSA POLIÉSTER</v>
      </c>
      <c r="X1550" t="str">
        <f>VLOOKUP(L1550,'[2]tabela de preços'!$A:$G,7,0)</f>
        <v>AUTOMOTIVO</v>
      </c>
    </row>
    <row r="1551" spans="1:24" x14ac:dyDescent="0.3">
      <c r="A1551" t="s">
        <v>1649</v>
      </c>
      <c r="B1551" t="s">
        <v>1650</v>
      </c>
      <c r="C1551" t="s">
        <v>1669</v>
      </c>
      <c r="D1551" s="1">
        <v>46050</v>
      </c>
      <c r="E1551" t="s">
        <v>1670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1653</v>
      </c>
      <c r="K1551" t="s">
        <v>1654</v>
      </c>
      <c r="L1551">
        <v>24240</v>
      </c>
      <c r="M1551" t="s">
        <v>240</v>
      </c>
      <c r="O1551" t="s">
        <v>11</v>
      </c>
      <c r="P1551">
        <v>5102</v>
      </c>
      <c r="Q1551">
        <v>64</v>
      </c>
      <c r="R1551">
        <v>3.81</v>
      </c>
      <c r="S1551">
        <v>243.84</v>
      </c>
      <c r="T1551">
        <v>209.92</v>
      </c>
      <c r="U1551">
        <v>13.91</v>
      </c>
      <c r="V1551" t="str">
        <f>VLOOKUP(L1551,'[2]tabela de preços'!$A:$D,4,0)</f>
        <v>ADERE</v>
      </c>
      <c r="W1551" t="str">
        <f>VLOOKUP(L1551,'[2]tabela de preços'!$A:$F,6,0)</f>
        <v>FITA AUTOMOTIVA</v>
      </c>
      <c r="X1551" t="str">
        <f>VLOOKUP(L1551,'[2]tabela de preços'!$A:$G,7,0)</f>
        <v>AUTOMOTIVO</v>
      </c>
    </row>
    <row r="1552" spans="1:24" x14ac:dyDescent="0.3">
      <c r="A1552" t="s">
        <v>1649</v>
      </c>
      <c r="B1552" t="s">
        <v>1650</v>
      </c>
      <c r="C1552" t="s">
        <v>1669</v>
      </c>
      <c r="D1552" s="1">
        <v>46050</v>
      </c>
      <c r="E1552" t="s">
        <v>1670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1653</v>
      </c>
      <c r="K1552" t="s">
        <v>1654</v>
      </c>
      <c r="L1552">
        <v>87043</v>
      </c>
      <c r="M1552" t="s">
        <v>217</v>
      </c>
      <c r="O1552" t="s">
        <v>11</v>
      </c>
      <c r="P1552">
        <v>5102</v>
      </c>
      <c r="Q1552">
        <v>24</v>
      </c>
      <c r="R1552">
        <v>21.95</v>
      </c>
      <c r="S1552">
        <v>526.79999999999995</v>
      </c>
      <c r="T1552">
        <v>432.48</v>
      </c>
      <c r="U1552">
        <v>17.899999999999999</v>
      </c>
      <c r="V1552" t="str">
        <f>VLOOKUP(L1552,'[2]tabela de preços'!$A:$D,4,0)</f>
        <v>ROBERLO</v>
      </c>
      <c r="W1552" t="str">
        <f>VLOOKUP(L1552,'[2]tabela de preços'!$A:$F,6,0)</f>
        <v>MASSA POLIÉSTER</v>
      </c>
      <c r="X1552" t="str">
        <f>VLOOKUP(L1552,'[2]tabela de preços'!$A:$G,7,0)</f>
        <v>AUTOMOTIVO</v>
      </c>
    </row>
    <row r="1553" spans="1:24" x14ac:dyDescent="0.3">
      <c r="A1553" t="s">
        <v>1671</v>
      </c>
      <c r="B1553" t="s">
        <v>1672</v>
      </c>
      <c r="C1553" t="s">
        <v>1673</v>
      </c>
      <c r="D1553" s="1">
        <v>46035</v>
      </c>
      <c r="E1553" t="s">
        <v>1674</v>
      </c>
      <c r="F1553">
        <v>9</v>
      </c>
      <c r="G1553">
        <v>236</v>
      </c>
      <c r="H1553" t="str">
        <f>VLOOKUP(G1553,[1]OPERADORES!$A:$B,2,0)</f>
        <v>DANIEL</v>
      </c>
      <c r="I1553" t="s">
        <v>21</v>
      </c>
      <c r="J1553" t="s">
        <v>494</v>
      </c>
      <c r="K1553" t="s">
        <v>1675</v>
      </c>
      <c r="L1553">
        <v>84762</v>
      </c>
      <c r="M1553" t="s">
        <v>1014</v>
      </c>
      <c r="O1553" t="s">
        <v>11</v>
      </c>
      <c r="P1553">
        <v>5403</v>
      </c>
      <c r="Q1553">
        <v>1</v>
      </c>
      <c r="R1553">
        <v>163.04</v>
      </c>
      <c r="S1553">
        <v>163.04</v>
      </c>
      <c r="T1553">
        <v>116.88</v>
      </c>
      <c r="U1553">
        <v>28.31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1671</v>
      </c>
      <c r="B1554" t="s">
        <v>1672</v>
      </c>
      <c r="C1554" t="s">
        <v>1673</v>
      </c>
      <c r="D1554" s="1">
        <v>46035</v>
      </c>
      <c r="E1554" t="s">
        <v>1674</v>
      </c>
      <c r="F1554">
        <v>9</v>
      </c>
      <c r="G1554">
        <v>236</v>
      </c>
      <c r="H1554" t="str">
        <f>VLOOKUP(G1554,[1]OPERADORES!$A:$B,2,0)</f>
        <v>DANIEL</v>
      </c>
      <c r="I1554" t="s">
        <v>21</v>
      </c>
      <c r="J1554" t="s">
        <v>494</v>
      </c>
      <c r="K1554" t="s">
        <v>1675</v>
      </c>
      <c r="L1554">
        <v>84767</v>
      </c>
      <c r="M1554" t="s">
        <v>732</v>
      </c>
      <c r="O1554" t="s">
        <v>11</v>
      </c>
      <c r="P1554">
        <v>5403</v>
      </c>
      <c r="Q1554">
        <v>1</v>
      </c>
      <c r="R1554">
        <v>163.04</v>
      </c>
      <c r="S1554">
        <v>163.04</v>
      </c>
      <c r="T1554">
        <v>116.88</v>
      </c>
      <c r="U1554">
        <v>28.31</v>
      </c>
      <c r="V1554" t="str">
        <f>VLOOKUP(L1554,'[2]tabela de preços'!$A:$D,4,0)</f>
        <v>BRASILUX</v>
      </c>
      <c r="W1554" t="str">
        <f>VLOOKUP(L1554,'[2]tabela de preços'!$A:$F,6,0)</f>
        <v>EPOXI</v>
      </c>
      <c r="X1554" t="str">
        <f>VLOOKUP(L1554,'[2]tabela de preços'!$A:$G,7,0)</f>
        <v>INDUSTRIAL</v>
      </c>
    </row>
    <row r="1555" spans="1:24" x14ac:dyDescent="0.3">
      <c r="A1555" t="s">
        <v>1676</v>
      </c>
      <c r="C1555" t="s">
        <v>1677</v>
      </c>
      <c r="D1555" s="1">
        <v>46035</v>
      </c>
      <c r="E1555" t="s">
        <v>1678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306</v>
      </c>
      <c r="K1555" t="s">
        <v>1679</v>
      </c>
      <c r="L1555">
        <v>24248</v>
      </c>
      <c r="M1555" t="s">
        <v>107</v>
      </c>
      <c r="O1555" t="s">
        <v>11</v>
      </c>
      <c r="P1555">
        <v>5102</v>
      </c>
      <c r="Q1555">
        <v>5</v>
      </c>
      <c r="R1555">
        <v>8</v>
      </c>
      <c r="S1555">
        <v>40</v>
      </c>
      <c r="T1555">
        <v>32.049999999999997</v>
      </c>
      <c r="U1555">
        <v>19.88</v>
      </c>
      <c r="V1555" t="str">
        <f>VLOOKUP(L1555,'[2]tabela de preços'!$A:$D,4,0)</f>
        <v>SHERWIN WILLIAMS</v>
      </c>
      <c r="W1555" t="str">
        <f>VLOOKUP(L1555,'[2]tabela de preços'!$A:$F,6,0)</f>
        <v>PRIMER AUTOMOTIVO</v>
      </c>
      <c r="X1555" t="str">
        <f>VLOOKUP(L1555,'[2]tabela de preços'!$A:$G,7,0)</f>
        <v>AUTOMOTIVO</v>
      </c>
    </row>
    <row r="1556" spans="1:24" x14ac:dyDescent="0.3">
      <c r="A1556" t="s">
        <v>1676</v>
      </c>
      <c r="C1556" t="s">
        <v>1677</v>
      </c>
      <c r="D1556" s="1">
        <v>46035</v>
      </c>
      <c r="E1556" t="s">
        <v>1678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306</v>
      </c>
      <c r="K1556" t="s">
        <v>1679</v>
      </c>
      <c r="L1556">
        <v>24240</v>
      </c>
      <c r="M1556" t="s">
        <v>240</v>
      </c>
      <c r="O1556" t="s">
        <v>11</v>
      </c>
      <c r="P1556">
        <v>5102</v>
      </c>
      <c r="Q1556">
        <v>32</v>
      </c>
      <c r="R1556">
        <v>3.81</v>
      </c>
      <c r="S1556">
        <v>121.92</v>
      </c>
      <c r="T1556">
        <v>104.96</v>
      </c>
      <c r="U1556">
        <v>13.91</v>
      </c>
      <c r="V1556" t="str">
        <f>VLOOKUP(L1556,'[2]tabela de preços'!$A:$D,4,0)</f>
        <v>ADERE</v>
      </c>
      <c r="W1556" t="str">
        <f>VLOOKUP(L1556,'[2]tabela de preços'!$A:$F,6,0)</f>
        <v>FITA AUTOMOTIVA</v>
      </c>
      <c r="X1556" t="str">
        <f>VLOOKUP(L1556,'[2]tabela de preços'!$A:$G,7,0)</f>
        <v>AUTOMOTIVO</v>
      </c>
    </row>
    <row r="1557" spans="1:24" x14ac:dyDescent="0.3">
      <c r="A1557" t="s">
        <v>1676</v>
      </c>
      <c r="C1557" t="s">
        <v>1677</v>
      </c>
      <c r="D1557" s="1">
        <v>46035</v>
      </c>
      <c r="E1557" t="s">
        <v>1678</v>
      </c>
      <c r="F1557">
        <v>9</v>
      </c>
      <c r="G1557">
        <v>174</v>
      </c>
      <c r="H1557" t="str">
        <f>VLOOKUP(G1557,[1]OPERADORES!$A:$B,2,0)</f>
        <v>MIRIÃ LOBATO RODRIGUES</v>
      </c>
      <c r="I1557" t="s">
        <v>21</v>
      </c>
      <c r="J1557" t="s">
        <v>306</v>
      </c>
      <c r="K1557" t="s">
        <v>1679</v>
      </c>
      <c r="L1557">
        <v>23602</v>
      </c>
      <c r="M1557" t="s">
        <v>215</v>
      </c>
      <c r="O1557" t="s">
        <v>11</v>
      </c>
      <c r="P1557">
        <v>5405</v>
      </c>
      <c r="Q1557">
        <v>5</v>
      </c>
      <c r="R1557">
        <v>35.89</v>
      </c>
      <c r="S1557">
        <v>179.45</v>
      </c>
      <c r="T1557">
        <v>146.25</v>
      </c>
      <c r="U1557">
        <v>18.5</v>
      </c>
      <c r="V1557" t="str">
        <f>VLOOKUP(L1557,'[2]tabela de preços'!$A:$D,4,0)</f>
        <v>SHERWIN WILLIAMS</v>
      </c>
      <c r="W1557" t="str">
        <f>VLOOKUP(L1557,'[2]tabela de preços'!$A:$F,6,0)</f>
        <v>VERNIZ AUTOMOTIVO</v>
      </c>
      <c r="X1557" t="str">
        <f>VLOOKUP(L1557,'[2]tabela de preços'!$A:$G,7,0)</f>
        <v>AUTOMOTIVO</v>
      </c>
    </row>
    <row r="1558" spans="1:24" x14ac:dyDescent="0.3">
      <c r="A1558" t="s">
        <v>1676</v>
      </c>
      <c r="C1558" t="s">
        <v>1677</v>
      </c>
      <c r="D1558" s="1">
        <v>46035</v>
      </c>
      <c r="E1558" t="s">
        <v>1678</v>
      </c>
      <c r="F1558">
        <v>9</v>
      </c>
      <c r="G1558">
        <v>174</v>
      </c>
      <c r="H1558" t="str">
        <f>VLOOKUP(G1558,[1]OPERADORES!$A:$B,2,0)</f>
        <v>MIRIÃ LOBATO RODRIGUES</v>
      </c>
      <c r="I1558" t="s">
        <v>21</v>
      </c>
      <c r="J1558" t="s">
        <v>306</v>
      </c>
      <c r="K1558" t="s">
        <v>1679</v>
      </c>
      <c r="L1558">
        <v>87043</v>
      </c>
      <c r="M1558" t="s">
        <v>217</v>
      </c>
      <c r="O1558" t="s">
        <v>11</v>
      </c>
      <c r="P1558">
        <v>5102</v>
      </c>
      <c r="Q1558">
        <v>5</v>
      </c>
      <c r="R1558">
        <v>21.95</v>
      </c>
      <c r="S1558">
        <v>109.75</v>
      </c>
      <c r="T1558">
        <v>90.1</v>
      </c>
      <c r="U1558">
        <v>17.899999999999999</v>
      </c>
      <c r="V1558" t="str">
        <f>VLOOKUP(L1558,'[2]tabela de preços'!$A:$D,4,0)</f>
        <v>ROBERLO</v>
      </c>
      <c r="W1558" t="str">
        <f>VLOOKUP(L1558,'[2]tabela de preços'!$A:$F,6,0)</f>
        <v>MASSA POLIÉSTER</v>
      </c>
      <c r="X1558" t="str">
        <f>VLOOKUP(L1558,'[2]tabela de preços'!$A:$G,7,0)</f>
        <v>AUTOMOTIVO</v>
      </c>
    </row>
    <row r="1559" spans="1:24" x14ac:dyDescent="0.3">
      <c r="A1559" t="s">
        <v>1676</v>
      </c>
      <c r="C1559" t="s">
        <v>1677</v>
      </c>
      <c r="D1559" s="1">
        <v>46035</v>
      </c>
      <c r="E1559" t="s">
        <v>1678</v>
      </c>
      <c r="F1559">
        <v>9</v>
      </c>
      <c r="G1559">
        <v>174</v>
      </c>
      <c r="H1559" t="str">
        <f>VLOOKUP(G1559,[1]OPERADORES!$A:$B,2,0)</f>
        <v>MIRIÃ LOBATO RODRIGUES</v>
      </c>
      <c r="I1559" t="s">
        <v>21</v>
      </c>
      <c r="J1559" t="s">
        <v>306</v>
      </c>
      <c r="K1559" t="s">
        <v>1679</v>
      </c>
      <c r="L1559">
        <v>24247</v>
      </c>
      <c r="M1559" t="s">
        <v>111</v>
      </c>
      <c r="O1559" t="s">
        <v>11</v>
      </c>
      <c r="P1559">
        <v>5405</v>
      </c>
      <c r="Q1559">
        <v>5</v>
      </c>
      <c r="R1559">
        <v>21</v>
      </c>
      <c r="S1559">
        <v>105</v>
      </c>
      <c r="T1559">
        <v>83</v>
      </c>
      <c r="U1559">
        <v>20.95</v>
      </c>
      <c r="V1559" t="str">
        <f>VLOOKUP(L1559,'[2]tabela de preços'!$A:$D,4,0)</f>
        <v>SHERWIN WILLIAMS</v>
      </c>
      <c r="W1559" t="str">
        <f>VLOOKUP(L1559,'[2]tabela de preços'!$A:$F,6,0)</f>
        <v>PRIMER AUTOMOTIVO</v>
      </c>
      <c r="X1559" t="str">
        <f>VLOOKUP(L1559,'[2]tabela de preços'!$A:$G,7,0)</f>
        <v>AUTOMOTIVO</v>
      </c>
    </row>
    <row r="1560" spans="1:24" x14ac:dyDescent="0.3">
      <c r="A1560" t="s">
        <v>1676</v>
      </c>
      <c r="C1560" t="s">
        <v>1680</v>
      </c>
      <c r="D1560" s="1">
        <v>46049</v>
      </c>
      <c r="E1560" t="s">
        <v>1681</v>
      </c>
      <c r="F1560">
        <v>9</v>
      </c>
      <c r="G1560">
        <v>174</v>
      </c>
      <c r="H1560" t="str">
        <f>VLOOKUP(G1560,[1]OPERADORES!$A:$B,2,0)</f>
        <v>MIRIÃ LOBATO RODRIGUES</v>
      </c>
      <c r="I1560" t="s">
        <v>21</v>
      </c>
      <c r="J1560" t="s">
        <v>306</v>
      </c>
      <c r="K1560" t="s">
        <v>1679</v>
      </c>
      <c r="L1560">
        <v>24248</v>
      </c>
      <c r="M1560" t="s">
        <v>107</v>
      </c>
      <c r="O1560" t="s">
        <v>11</v>
      </c>
      <c r="P1560">
        <v>5102</v>
      </c>
      <c r="Q1560">
        <v>6</v>
      </c>
      <c r="R1560">
        <v>8</v>
      </c>
      <c r="S1560">
        <v>48</v>
      </c>
      <c r="T1560">
        <v>39</v>
      </c>
      <c r="U1560">
        <v>18.75</v>
      </c>
      <c r="V1560" t="str">
        <f>VLOOKUP(L1560,'[2]tabela de preços'!$A:$D,4,0)</f>
        <v>SHERWIN WILLIAMS</v>
      </c>
      <c r="W1560" t="str">
        <f>VLOOKUP(L1560,'[2]tabela de preços'!$A:$F,6,0)</f>
        <v>PRIMER AUTOMOTIVO</v>
      </c>
      <c r="X1560" t="str">
        <f>VLOOKUP(L1560,'[2]tabela de preços'!$A:$G,7,0)</f>
        <v>AUTOMOTIVO</v>
      </c>
    </row>
    <row r="1561" spans="1:24" x14ac:dyDescent="0.3">
      <c r="A1561" t="s">
        <v>1676</v>
      </c>
      <c r="C1561" t="s">
        <v>1680</v>
      </c>
      <c r="D1561" s="1">
        <v>46049</v>
      </c>
      <c r="E1561" t="s">
        <v>1681</v>
      </c>
      <c r="F1561">
        <v>9</v>
      </c>
      <c r="G1561">
        <v>174</v>
      </c>
      <c r="H1561" t="str">
        <f>VLOOKUP(G1561,[1]OPERADORES!$A:$B,2,0)</f>
        <v>MIRIÃ LOBATO RODRIGUES</v>
      </c>
      <c r="I1561" t="s">
        <v>21</v>
      </c>
      <c r="J1561" t="s">
        <v>306</v>
      </c>
      <c r="K1561" t="s">
        <v>1679</v>
      </c>
      <c r="L1561">
        <v>13</v>
      </c>
      <c r="M1561" t="s">
        <v>152</v>
      </c>
      <c r="O1561" t="s">
        <v>11</v>
      </c>
      <c r="P1561">
        <v>5102</v>
      </c>
      <c r="Q1561">
        <v>15</v>
      </c>
      <c r="R1561">
        <v>5.79</v>
      </c>
      <c r="S1561">
        <v>86.85</v>
      </c>
      <c r="T1561">
        <v>62.4</v>
      </c>
      <c r="U1561">
        <v>28.15</v>
      </c>
      <c r="V1561" t="str">
        <f>VLOOKUP(L1561,'[2]tabela de preços'!$A:$D,4,0)</f>
        <v>3M</v>
      </c>
      <c r="W1561" t="str">
        <f>VLOOKUP(L1561,'[2]tabela de preços'!$A:$F,6,0)</f>
        <v>LIXA DÁGUA</v>
      </c>
      <c r="X1561" t="str">
        <f>VLOOKUP(L1561,'[2]tabela de preços'!$A:$G,7,0)</f>
        <v>AUTOMOTIVO</v>
      </c>
    </row>
    <row r="1562" spans="1:24" x14ac:dyDescent="0.3">
      <c r="A1562" t="s">
        <v>1676</v>
      </c>
      <c r="C1562" t="s">
        <v>1680</v>
      </c>
      <c r="D1562" s="1">
        <v>46049</v>
      </c>
      <c r="E1562" t="s">
        <v>1681</v>
      </c>
      <c r="F1562">
        <v>9</v>
      </c>
      <c r="G1562">
        <v>174</v>
      </c>
      <c r="H1562" t="str">
        <f>VLOOKUP(G1562,[1]OPERADORES!$A:$B,2,0)</f>
        <v>MIRIÃ LOBATO RODRIGUES</v>
      </c>
      <c r="I1562" t="s">
        <v>21</v>
      </c>
      <c r="J1562" t="s">
        <v>306</v>
      </c>
      <c r="K1562" t="s">
        <v>1679</v>
      </c>
      <c r="L1562">
        <v>87043</v>
      </c>
      <c r="M1562" t="s">
        <v>217</v>
      </c>
      <c r="O1562" t="s">
        <v>11</v>
      </c>
      <c r="P1562">
        <v>5102</v>
      </c>
      <c r="Q1562">
        <v>8</v>
      </c>
      <c r="R1562">
        <v>21.95</v>
      </c>
      <c r="S1562">
        <v>175.6</v>
      </c>
      <c r="T1562">
        <v>144.16</v>
      </c>
      <c r="U1562">
        <v>17.899999999999999</v>
      </c>
      <c r="V1562" t="str">
        <f>VLOOKUP(L1562,'[2]tabela de preços'!$A:$D,4,0)</f>
        <v>ROBERLO</v>
      </c>
      <c r="W1562" t="str">
        <f>VLOOKUP(L1562,'[2]tabela de preços'!$A:$F,6,0)</f>
        <v>MASSA POLIÉSTER</v>
      </c>
      <c r="X1562" t="str">
        <f>VLOOKUP(L1562,'[2]tabela de preços'!$A:$G,7,0)</f>
        <v>AUTOMOTIVO</v>
      </c>
    </row>
    <row r="1563" spans="1:24" x14ac:dyDescent="0.3">
      <c r="A1563" t="s">
        <v>1676</v>
      </c>
      <c r="C1563" t="s">
        <v>1680</v>
      </c>
      <c r="D1563" s="1">
        <v>46049</v>
      </c>
      <c r="E1563" t="s">
        <v>1681</v>
      </c>
      <c r="F1563">
        <v>9</v>
      </c>
      <c r="G1563">
        <v>174</v>
      </c>
      <c r="H1563" t="str">
        <f>VLOOKUP(G1563,[1]OPERADORES!$A:$B,2,0)</f>
        <v>MIRIÃ LOBATO RODRIGUES</v>
      </c>
      <c r="I1563" t="s">
        <v>21</v>
      </c>
      <c r="J1563" t="s">
        <v>306</v>
      </c>
      <c r="K1563" t="s">
        <v>1679</v>
      </c>
      <c r="L1563">
        <v>24247</v>
      </c>
      <c r="M1563" t="s">
        <v>160</v>
      </c>
      <c r="O1563" t="s">
        <v>11</v>
      </c>
      <c r="P1563">
        <v>5405</v>
      </c>
      <c r="Q1563">
        <v>6</v>
      </c>
      <c r="R1563">
        <v>21</v>
      </c>
      <c r="S1563">
        <v>126</v>
      </c>
      <c r="T1563">
        <v>101.22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1676</v>
      </c>
      <c r="C1564" t="s">
        <v>1680</v>
      </c>
      <c r="D1564" s="1">
        <v>46049</v>
      </c>
      <c r="E1564" t="s">
        <v>1681</v>
      </c>
      <c r="F1564">
        <v>9</v>
      </c>
      <c r="G1564">
        <v>174</v>
      </c>
      <c r="H1564" t="str">
        <f>VLOOKUP(G1564,[1]OPERADORES!$A:$B,2,0)</f>
        <v>MIRIÃ LOBATO RODRIGUES</v>
      </c>
      <c r="I1564" t="s">
        <v>21</v>
      </c>
      <c r="J1564" t="s">
        <v>306</v>
      </c>
      <c r="K1564" t="s">
        <v>1679</v>
      </c>
      <c r="L1564">
        <v>10297</v>
      </c>
      <c r="M1564" t="s">
        <v>41</v>
      </c>
      <c r="O1564" t="s">
        <v>11</v>
      </c>
      <c r="P1564">
        <v>5102</v>
      </c>
      <c r="Q1564">
        <v>12</v>
      </c>
      <c r="R1564">
        <v>10.89</v>
      </c>
      <c r="S1564">
        <v>130.68</v>
      </c>
      <c r="T1564">
        <v>110.04</v>
      </c>
      <c r="U1564">
        <v>15.79</v>
      </c>
      <c r="V1564" t="str">
        <f>VLOOKUP(L1564,'[2]tabela de preços'!$A:$D,4,0)</f>
        <v>ANJO</v>
      </c>
      <c r="W1564" t="str">
        <f>VLOOKUP(L1564,'[2]tabela de preços'!$A:$F,6,0)</f>
        <v>THINNER DE LIMPEZA</v>
      </c>
      <c r="X1564" t="str">
        <f>VLOOKUP(L1564,'[2]tabela de preços'!$A:$G,7,0)</f>
        <v>THINNER</v>
      </c>
    </row>
    <row r="1565" spans="1:24" x14ac:dyDescent="0.3">
      <c r="A1565" t="s">
        <v>1682</v>
      </c>
      <c r="C1565" t="s">
        <v>1683</v>
      </c>
      <c r="D1565" s="1">
        <v>46035</v>
      </c>
      <c r="E1565" t="s">
        <v>1684</v>
      </c>
      <c r="F1565">
        <v>9</v>
      </c>
      <c r="G1565">
        <v>174</v>
      </c>
      <c r="H1565" t="str">
        <f>VLOOKUP(G1565,[1]OPERADORES!$A:$B,2,0)</f>
        <v>MIRIÃ LOBATO RODRIGUES</v>
      </c>
      <c r="I1565" t="s">
        <v>21</v>
      </c>
      <c r="J1565" t="s">
        <v>95</v>
      </c>
      <c r="K1565" t="s">
        <v>1685</v>
      </c>
      <c r="L1565">
        <v>23580</v>
      </c>
      <c r="M1565" t="s">
        <v>115</v>
      </c>
      <c r="O1565" t="s">
        <v>11</v>
      </c>
      <c r="P1565">
        <v>5102</v>
      </c>
      <c r="Q1565">
        <v>7</v>
      </c>
      <c r="R1565">
        <v>0.56000000000000005</v>
      </c>
      <c r="S1565">
        <v>3.92</v>
      </c>
      <c r="T1565">
        <v>2.52</v>
      </c>
      <c r="U1565">
        <v>35.71</v>
      </c>
      <c r="V1565" t="str">
        <f>VLOOKUP(L1565,'[2]tabela de preços'!$A:$D,4,0)</f>
        <v>RENOVA COADORES</v>
      </c>
      <c r="W1565" t="str">
        <f>VLOOKUP(L1565,'[2]tabela de preços'!$A:$F,6,0)</f>
        <v>COADORES</v>
      </c>
      <c r="X1565" t="str">
        <f>VLOOKUP(L1565,'[2]tabela de preços'!$A:$G,7,0)</f>
        <v>AUTOMOTIVO</v>
      </c>
    </row>
    <row r="1566" spans="1:24" x14ac:dyDescent="0.3">
      <c r="A1566" t="s">
        <v>1682</v>
      </c>
      <c r="C1566" t="s">
        <v>1683</v>
      </c>
      <c r="D1566" s="1">
        <v>46035</v>
      </c>
      <c r="E1566" t="s">
        <v>1684</v>
      </c>
      <c r="F1566">
        <v>9</v>
      </c>
      <c r="G1566">
        <v>174</v>
      </c>
      <c r="H1566" t="str">
        <f>VLOOKUP(G1566,[1]OPERADORES!$A:$B,2,0)</f>
        <v>MIRIÃ LOBATO RODRIGUES</v>
      </c>
      <c r="I1566" t="s">
        <v>21</v>
      </c>
      <c r="J1566" t="s">
        <v>95</v>
      </c>
      <c r="K1566" t="s">
        <v>1685</v>
      </c>
      <c r="L1566">
        <v>24248</v>
      </c>
      <c r="M1566" t="s">
        <v>107</v>
      </c>
      <c r="O1566" t="s">
        <v>11</v>
      </c>
      <c r="P1566">
        <v>5102</v>
      </c>
      <c r="Q1566">
        <v>12</v>
      </c>
      <c r="R1566">
        <v>8</v>
      </c>
      <c r="S1566">
        <v>96</v>
      </c>
      <c r="T1566">
        <v>76.92</v>
      </c>
      <c r="U1566">
        <v>19.88</v>
      </c>
      <c r="V1566" t="str">
        <f>VLOOKUP(L1566,'[2]tabela de preços'!$A:$D,4,0)</f>
        <v>SHERWIN WILLIAMS</v>
      </c>
      <c r="W1566" t="str">
        <f>VLOOKUP(L1566,'[2]tabela de preços'!$A:$F,6,0)</f>
        <v>PRIMER AUTOMOTIVO</v>
      </c>
      <c r="X1566" t="str">
        <f>VLOOKUP(L1566,'[2]tabela de preços'!$A:$G,7,0)</f>
        <v>AUTOMOTIVO</v>
      </c>
    </row>
    <row r="1567" spans="1:24" x14ac:dyDescent="0.3">
      <c r="A1567" t="s">
        <v>1682</v>
      </c>
      <c r="C1567" t="s">
        <v>1683</v>
      </c>
      <c r="D1567" s="1">
        <v>46035</v>
      </c>
      <c r="E1567" t="s">
        <v>1684</v>
      </c>
      <c r="F1567">
        <v>9</v>
      </c>
      <c r="G1567">
        <v>174</v>
      </c>
      <c r="H1567" t="str">
        <f>VLOOKUP(G1567,[1]OPERADORES!$A:$B,2,0)</f>
        <v>MIRIÃ LOBATO RODRIGUES</v>
      </c>
      <c r="I1567" t="s">
        <v>21</v>
      </c>
      <c r="J1567" t="s">
        <v>95</v>
      </c>
      <c r="K1567" t="s">
        <v>1685</v>
      </c>
      <c r="L1567">
        <v>22684</v>
      </c>
      <c r="M1567" t="s">
        <v>73</v>
      </c>
      <c r="O1567" t="s">
        <v>11</v>
      </c>
      <c r="P1567">
        <v>5102</v>
      </c>
      <c r="Q1567">
        <v>80</v>
      </c>
      <c r="R1567">
        <v>3.65</v>
      </c>
      <c r="S1567">
        <v>292</v>
      </c>
      <c r="T1567">
        <v>246.4</v>
      </c>
      <c r="U1567">
        <v>15.62</v>
      </c>
      <c r="V1567" t="str">
        <f>VLOOKUP(L1567,'[2]tabela de preços'!$A:$D,4,0)</f>
        <v>3M</v>
      </c>
      <c r="W1567" t="str">
        <f>VLOOKUP(L1567,'[2]tabela de preços'!$A:$F,6,0)</f>
        <v>FITA AUTOMOTIVA</v>
      </c>
      <c r="X1567" t="str">
        <f>VLOOKUP(L1567,'[2]tabela de preços'!$A:$G,7,0)</f>
        <v>AUTOMOTIVO</v>
      </c>
    </row>
    <row r="1568" spans="1:24" x14ac:dyDescent="0.3">
      <c r="A1568" t="s">
        <v>1682</v>
      </c>
      <c r="C1568" t="s">
        <v>1683</v>
      </c>
      <c r="D1568" s="1">
        <v>46035</v>
      </c>
      <c r="E1568" t="s">
        <v>1684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21</v>
      </c>
      <c r="J1568" t="s">
        <v>95</v>
      </c>
      <c r="K1568" t="s">
        <v>1685</v>
      </c>
      <c r="L1568">
        <v>24247</v>
      </c>
      <c r="M1568" t="s">
        <v>111</v>
      </c>
      <c r="O1568" t="s">
        <v>11</v>
      </c>
      <c r="P1568">
        <v>5403</v>
      </c>
      <c r="Q1568">
        <v>12</v>
      </c>
      <c r="R1568">
        <v>21</v>
      </c>
      <c r="S1568">
        <v>252</v>
      </c>
      <c r="T1568">
        <v>199.2</v>
      </c>
      <c r="U1568">
        <v>20.95</v>
      </c>
      <c r="V1568" t="str">
        <f>VLOOKUP(L1568,'[2]tabela de preços'!$A:$D,4,0)</f>
        <v>SHERWIN WILLIAMS</v>
      </c>
      <c r="W1568" t="str">
        <f>VLOOKUP(L1568,'[2]tabela de preços'!$A:$F,6,0)</f>
        <v>PRIMER AUTOMOTIVO</v>
      </c>
      <c r="X1568" t="str">
        <f>VLOOKUP(L1568,'[2]tabela de preços'!$A:$G,7,0)</f>
        <v>AUTOMOTIVO</v>
      </c>
    </row>
    <row r="1569" spans="1:24" x14ac:dyDescent="0.3">
      <c r="A1569" t="s">
        <v>1682</v>
      </c>
      <c r="C1569" t="s">
        <v>1683</v>
      </c>
      <c r="D1569" s="1">
        <v>46035</v>
      </c>
      <c r="E1569" t="s">
        <v>1684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21</v>
      </c>
      <c r="J1569" t="s">
        <v>95</v>
      </c>
      <c r="K1569" t="s">
        <v>1685</v>
      </c>
      <c r="L1569">
        <v>84560</v>
      </c>
      <c r="M1569" t="s">
        <v>118</v>
      </c>
      <c r="O1569" t="s">
        <v>11</v>
      </c>
      <c r="P1569">
        <v>5102</v>
      </c>
      <c r="Q1569">
        <v>6</v>
      </c>
      <c r="R1569">
        <v>47.89</v>
      </c>
      <c r="S1569">
        <v>287.33999999999997</v>
      </c>
      <c r="T1569">
        <v>234.96</v>
      </c>
      <c r="U1569">
        <v>18.23</v>
      </c>
      <c r="V1569" t="str">
        <f>VLOOKUP(L1569,'[2]tabela de preços'!$A:$D,4,0)</f>
        <v>BRASILUX</v>
      </c>
      <c r="W1569" t="str">
        <f>VLOOKUP(L1569,'[2]tabela de preços'!$A:$F,6,0)</f>
        <v>THINNER DE LIMPEZA</v>
      </c>
      <c r="X1569" t="str">
        <f>VLOOKUP(L1569,'[2]tabela de preços'!$A:$G,7,0)</f>
        <v>THINNER</v>
      </c>
    </row>
    <row r="1570" spans="1:24" x14ac:dyDescent="0.3">
      <c r="A1570" t="s">
        <v>1682</v>
      </c>
      <c r="C1570" t="s">
        <v>1683</v>
      </c>
      <c r="D1570" s="1">
        <v>46035</v>
      </c>
      <c r="E1570" t="s">
        <v>1684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21</v>
      </c>
      <c r="J1570" t="s">
        <v>95</v>
      </c>
      <c r="K1570" t="s">
        <v>1685</v>
      </c>
      <c r="L1570">
        <v>20414</v>
      </c>
      <c r="M1570" t="s">
        <v>112</v>
      </c>
      <c r="O1570" t="s">
        <v>11</v>
      </c>
      <c r="P1570">
        <v>5102</v>
      </c>
      <c r="Q1570">
        <v>7</v>
      </c>
      <c r="R1570">
        <v>21.89</v>
      </c>
      <c r="S1570">
        <v>153.22999999999999</v>
      </c>
      <c r="T1570">
        <v>126</v>
      </c>
      <c r="U1570">
        <v>17.77</v>
      </c>
      <c r="V1570" t="str">
        <f>VLOOKUP(L1570,'[2]tabela de preços'!$A:$D,4,0)</f>
        <v>SHERWIN WILLIAMS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1682</v>
      </c>
      <c r="C1571" t="s">
        <v>1683</v>
      </c>
      <c r="D1571" s="1">
        <v>46035</v>
      </c>
      <c r="E1571" t="s">
        <v>1684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21</v>
      </c>
      <c r="J1571" t="s">
        <v>95</v>
      </c>
      <c r="K1571" t="s">
        <v>1685</v>
      </c>
      <c r="L1571">
        <v>84460</v>
      </c>
      <c r="M1571" t="s">
        <v>322</v>
      </c>
      <c r="O1571" t="s">
        <v>11</v>
      </c>
      <c r="P1571">
        <v>5102</v>
      </c>
      <c r="Q1571">
        <v>2</v>
      </c>
      <c r="R1571">
        <v>31.07</v>
      </c>
      <c r="S1571">
        <v>62.14</v>
      </c>
      <c r="T1571">
        <v>47.16</v>
      </c>
      <c r="U1571">
        <v>24.11</v>
      </c>
      <c r="V1571" t="str">
        <f>VLOOKUP(L1571,'[2]tabela de preços'!$A:$D,4,0)</f>
        <v>BRASILUX</v>
      </c>
      <c r="W1571" t="str">
        <f>VLOOKUP(L1571,'[2]tabela de preços'!$A:$F,6,0)</f>
        <v>VEDADORES / SELANTES</v>
      </c>
      <c r="X1571" t="str">
        <f>VLOOKUP(L1571,'[2]tabela de preços'!$A:$G,7,0)</f>
        <v>AUTOMOTIVO</v>
      </c>
    </row>
    <row r="1572" spans="1:24" x14ac:dyDescent="0.3">
      <c r="A1572" t="s">
        <v>1682</v>
      </c>
      <c r="C1572" t="s">
        <v>1686</v>
      </c>
      <c r="D1572" s="1">
        <v>46049</v>
      </c>
      <c r="E1572" t="s">
        <v>1687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95</v>
      </c>
      <c r="K1572" t="s">
        <v>1685</v>
      </c>
      <c r="L1572">
        <v>23580</v>
      </c>
      <c r="M1572" t="s">
        <v>115</v>
      </c>
      <c r="O1572" t="s">
        <v>11</v>
      </c>
      <c r="P1572">
        <v>5102</v>
      </c>
      <c r="Q1572">
        <v>70</v>
      </c>
      <c r="R1572">
        <v>0.56000000000000005</v>
      </c>
      <c r="S1572">
        <v>39.200000000000003</v>
      </c>
      <c r="T1572">
        <v>25.2</v>
      </c>
      <c r="U1572">
        <v>35.71</v>
      </c>
      <c r="V1572" t="str">
        <f>VLOOKUP(L1572,'[2]tabela de preços'!$A:$D,4,0)</f>
        <v>RENOVA COADORES</v>
      </c>
      <c r="W1572" t="str">
        <f>VLOOKUP(L1572,'[2]tabela de preços'!$A:$F,6,0)</f>
        <v>COADORES</v>
      </c>
      <c r="X1572" t="str">
        <f>VLOOKUP(L1572,'[2]tabela de preços'!$A:$G,7,0)</f>
        <v>AUTOMOTIVO</v>
      </c>
    </row>
    <row r="1573" spans="1:24" x14ac:dyDescent="0.3">
      <c r="A1573" t="s">
        <v>1682</v>
      </c>
      <c r="C1573" t="s">
        <v>1686</v>
      </c>
      <c r="D1573" s="1">
        <v>46049</v>
      </c>
      <c r="E1573" t="s">
        <v>1687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95</v>
      </c>
      <c r="K1573" t="s">
        <v>1685</v>
      </c>
      <c r="L1573">
        <v>20433</v>
      </c>
      <c r="M1573" t="s">
        <v>460</v>
      </c>
      <c r="O1573" t="s">
        <v>11</v>
      </c>
      <c r="P1573">
        <v>5102</v>
      </c>
      <c r="Q1573">
        <v>6</v>
      </c>
      <c r="R1573">
        <v>32.19</v>
      </c>
      <c r="S1573">
        <v>193.14</v>
      </c>
      <c r="T1573">
        <v>146.58000000000001</v>
      </c>
      <c r="U1573">
        <v>24.11</v>
      </c>
      <c r="V1573" t="str">
        <f>VLOOKUP(L1573,'[2]tabela de preços'!$A:$D,4,0)</f>
        <v>SHERWIN WILLIAMS</v>
      </c>
      <c r="W1573" t="str">
        <f>VLOOKUP(L1573,'[2]tabela de preços'!$A:$F,6,0)</f>
        <v>VERNIZ AUTOMOTIVO</v>
      </c>
      <c r="X1573" t="str">
        <f>VLOOKUP(L1573,'[2]tabela de preços'!$A:$G,7,0)</f>
        <v>AUTOMOTIVO</v>
      </c>
    </row>
    <row r="1574" spans="1:24" x14ac:dyDescent="0.3">
      <c r="A1574" t="s">
        <v>1682</v>
      </c>
      <c r="C1574" t="s">
        <v>1686</v>
      </c>
      <c r="D1574" s="1">
        <v>46049</v>
      </c>
      <c r="E1574" t="s">
        <v>1687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95</v>
      </c>
      <c r="K1574" t="s">
        <v>1685</v>
      </c>
      <c r="L1574">
        <v>24248</v>
      </c>
      <c r="M1574" t="s">
        <v>107</v>
      </c>
      <c r="O1574" t="s">
        <v>11</v>
      </c>
      <c r="P1574">
        <v>5102</v>
      </c>
      <c r="Q1574">
        <v>6</v>
      </c>
      <c r="R1574">
        <v>8</v>
      </c>
      <c r="S1574">
        <v>48</v>
      </c>
      <c r="T1574">
        <v>39</v>
      </c>
      <c r="U1574">
        <v>18.75</v>
      </c>
      <c r="V1574" t="str">
        <f>VLOOKUP(L1574,'[2]tabela de preços'!$A:$D,4,0)</f>
        <v>SHERWIN WILLIAMS</v>
      </c>
      <c r="W1574" t="str">
        <f>VLOOKUP(L1574,'[2]tabela de preços'!$A:$F,6,0)</f>
        <v>PRIMER AUTOMOTIVO</v>
      </c>
      <c r="X1574" t="str">
        <f>VLOOKUP(L1574,'[2]tabela de preços'!$A:$G,7,0)</f>
        <v>AUTOMOTIVO</v>
      </c>
    </row>
    <row r="1575" spans="1:24" x14ac:dyDescent="0.3">
      <c r="A1575" t="s">
        <v>1682</v>
      </c>
      <c r="C1575" t="s">
        <v>1686</v>
      </c>
      <c r="D1575" s="1">
        <v>46049</v>
      </c>
      <c r="E1575" t="s">
        <v>1687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95</v>
      </c>
      <c r="K1575" t="s">
        <v>1685</v>
      </c>
      <c r="L1575">
        <v>5</v>
      </c>
      <c r="M1575" t="s">
        <v>147</v>
      </c>
      <c r="O1575" t="s">
        <v>11</v>
      </c>
      <c r="P1575">
        <v>5102</v>
      </c>
      <c r="Q1575">
        <v>5</v>
      </c>
      <c r="R1575">
        <v>5.15</v>
      </c>
      <c r="S1575">
        <v>25.75</v>
      </c>
      <c r="T1575">
        <v>19.55</v>
      </c>
      <c r="U1575">
        <v>24.08</v>
      </c>
      <c r="V1575" t="str">
        <f>VLOOKUP(L1575,'[2]tabela de preços'!$A:$D,4,0)</f>
        <v>BRILHO ESTOPA</v>
      </c>
      <c r="W1575" t="str">
        <f>VLOOKUP(L1575,'[2]tabela de preços'!$A:$F,6,0)</f>
        <v>ESTOPAS</v>
      </c>
      <c r="X1575" t="str">
        <f>VLOOKUP(L1575,'[2]tabela de preços'!$A:$G,7,0)</f>
        <v>AUTOMOTIVO</v>
      </c>
    </row>
    <row r="1576" spans="1:24" x14ac:dyDescent="0.3">
      <c r="A1576" t="s">
        <v>1682</v>
      </c>
      <c r="C1576" t="s">
        <v>1686</v>
      </c>
      <c r="D1576" s="1">
        <v>46049</v>
      </c>
      <c r="E1576" t="s">
        <v>1687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95</v>
      </c>
      <c r="K1576" t="s">
        <v>1685</v>
      </c>
      <c r="L1576">
        <v>86995</v>
      </c>
      <c r="M1576" t="s">
        <v>37</v>
      </c>
      <c r="O1576" t="s">
        <v>11</v>
      </c>
      <c r="P1576">
        <v>5102</v>
      </c>
      <c r="Q1576">
        <v>5</v>
      </c>
      <c r="R1576">
        <v>7.29</v>
      </c>
      <c r="S1576">
        <v>36.450000000000003</v>
      </c>
      <c r="T1576">
        <v>29.15</v>
      </c>
      <c r="U1576">
        <v>20.03</v>
      </c>
      <c r="V1576" t="str">
        <f>VLOOKUP(L1576,'[2]tabela de preços'!$A:$D,4,0)</f>
        <v>AUTOAMERICA</v>
      </c>
      <c r="W1576" t="str">
        <f>VLOOKUP(L1576,'[2]tabela de preços'!$A:$F,6,0)</f>
        <v>FLANELAS / PANOS</v>
      </c>
      <c r="X1576" t="str">
        <f>VLOOKUP(L1576,'[2]tabela de preços'!$A:$G,7,0)</f>
        <v>AUTOMOTIVO</v>
      </c>
    </row>
    <row r="1577" spans="1:24" x14ac:dyDescent="0.3">
      <c r="A1577" t="s">
        <v>1682</v>
      </c>
      <c r="C1577" t="s">
        <v>1686</v>
      </c>
      <c r="D1577" s="1">
        <v>46049</v>
      </c>
      <c r="E1577" t="s">
        <v>1687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95</v>
      </c>
      <c r="K1577" t="s">
        <v>1685</v>
      </c>
      <c r="L1577">
        <v>10243</v>
      </c>
      <c r="M1577" t="s">
        <v>83</v>
      </c>
      <c r="O1577" t="s">
        <v>11</v>
      </c>
      <c r="P1577">
        <v>5102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1682</v>
      </c>
      <c r="C1578" t="s">
        <v>1686</v>
      </c>
      <c r="D1578" s="1">
        <v>46049</v>
      </c>
      <c r="E1578" t="s">
        <v>1687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95</v>
      </c>
      <c r="K1578" t="s">
        <v>1685</v>
      </c>
      <c r="L1578">
        <v>10244</v>
      </c>
      <c r="M1578" t="s">
        <v>84</v>
      </c>
      <c r="O1578" t="s">
        <v>11</v>
      </c>
      <c r="P1578">
        <v>5102</v>
      </c>
      <c r="Q1578">
        <v>50</v>
      </c>
      <c r="R1578">
        <v>2.79</v>
      </c>
      <c r="S1578">
        <v>139.5</v>
      </c>
      <c r="T1578">
        <v>96.5</v>
      </c>
      <c r="U1578">
        <v>30.82</v>
      </c>
      <c r="V1578" t="str">
        <f>VLOOKUP(L1578,'[2]tabela de preços'!$A:$D,4,0)</f>
        <v>NORTON</v>
      </c>
      <c r="W1578" t="str">
        <f>VLOOKUP(L1578,'[2]tabela de preços'!$A:$F,6,0)</f>
        <v xml:space="preserve">DISCOS / LIXAS / ABRASIVOS </v>
      </c>
      <c r="X1578" t="str">
        <f>VLOOKUP(L1578,'[2]tabela de preços'!$A:$G,7,0)</f>
        <v>AUTOMOTIVO</v>
      </c>
    </row>
    <row r="1579" spans="1:24" x14ac:dyDescent="0.3">
      <c r="A1579" t="s">
        <v>1682</v>
      </c>
      <c r="C1579" t="s">
        <v>1686</v>
      </c>
      <c r="D1579" s="1">
        <v>46049</v>
      </c>
      <c r="E1579" t="s">
        <v>1687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21</v>
      </c>
      <c r="J1579" t="s">
        <v>95</v>
      </c>
      <c r="K1579" t="s">
        <v>1685</v>
      </c>
      <c r="L1579">
        <v>24247</v>
      </c>
      <c r="M1579" t="s">
        <v>160</v>
      </c>
      <c r="O1579" t="s">
        <v>11</v>
      </c>
      <c r="P1579">
        <v>5403</v>
      </c>
      <c r="Q1579">
        <v>6</v>
      </c>
      <c r="R1579">
        <v>21</v>
      </c>
      <c r="S1579">
        <v>126</v>
      </c>
      <c r="T1579">
        <v>101.22</v>
      </c>
      <c r="U1579">
        <v>19.670000000000002</v>
      </c>
      <c r="V1579" t="str">
        <f>VLOOKUP(L1579,'[2]tabela de preços'!$A:$D,4,0)</f>
        <v>SHERWIN WILLIAMS</v>
      </c>
      <c r="W1579" t="str">
        <f>VLOOKUP(L1579,'[2]tabela de preços'!$A:$F,6,0)</f>
        <v>PRIMER AUTOMOTIVO</v>
      </c>
      <c r="X1579" t="str">
        <f>VLOOKUP(L1579,'[2]tabela de preços'!$A:$G,7,0)</f>
        <v>AUTOMOTIVO</v>
      </c>
    </row>
    <row r="1580" spans="1:24" x14ac:dyDescent="0.3">
      <c r="A1580" t="s">
        <v>1682</v>
      </c>
      <c r="C1580" t="s">
        <v>1686</v>
      </c>
      <c r="D1580" s="1">
        <v>46049</v>
      </c>
      <c r="E1580" t="s">
        <v>1687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21</v>
      </c>
      <c r="J1580" t="s">
        <v>95</v>
      </c>
      <c r="K1580" t="s">
        <v>1685</v>
      </c>
      <c r="L1580">
        <v>20414</v>
      </c>
      <c r="M1580" t="s">
        <v>112</v>
      </c>
      <c r="O1580" t="s">
        <v>11</v>
      </c>
      <c r="P1580">
        <v>5102</v>
      </c>
      <c r="Q1580">
        <v>3</v>
      </c>
      <c r="R1580">
        <v>21.89</v>
      </c>
      <c r="S1580">
        <v>65.67</v>
      </c>
      <c r="T1580">
        <v>54</v>
      </c>
      <c r="U1580">
        <v>17.77</v>
      </c>
      <c r="V1580" t="str">
        <f>VLOOKUP(L1580,'[2]tabela de preços'!$A:$D,4,0)</f>
        <v>SHERWIN WILLIAMS</v>
      </c>
      <c r="W1580" t="str">
        <f>VLOOKUP(L1580,'[2]tabela de preços'!$A:$F,6,0)</f>
        <v>DILUENTE</v>
      </c>
      <c r="X1580" t="str">
        <f>VLOOKUP(L1580,'[2]tabela de preços'!$A:$G,7,0)</f>
        <v>AUTOMOTIVO</v>
      </c>
    </row>
    <row r="1581" spans="1:24" x14ac:dyDescent="0.3">
      <c r="A1581" t="s">
        <v>1682</v>
      </c>
      <c r="C1581" t="s">
        <v>1686</v>
      </c>
      <c r="D1581" s="1">
        <v>46049</v>
      </c>
      <c r="E1581" t="s">
        <v>1687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95</v>
      </c>
      <c r="K1581" t="s">
        <v>1685</v>
      </c>
      <c r="L1581">
        <v>20399</v>
      </c>
      <c r="M1581" t="s">
        <v>465</v>
      </c>
      <c r="O1581" t="s">
        <v>11</v>
      </c>
      <c r="P1581">
        <v>5403</v>
      </c>
      <c r="Q1581">
        <v>6</v>
      </c>
      <c r="R1581">
        <v>35.26</v>
      </c>
      <c r="S1581">
        <v>211.56</v>
      </c>
      <c r="T1581">
        <v>160.68</v>
      </c>
      <c r="U1581">
        <v>24.05</v>
      </c>
      <c r="V1581" t="str">
        <f>VLOOKUP(L1581,'[2]tabela de preços'!$A:$D,4,0)</f>
        <v>SHERWIN WILLIAMS</v>
      </c>
      <c r="W1581" t="str">
        <f>VLOOKUP(L1581,'[2]tabela de preços'!$A:$F,6,0)</f>
        <v>VERNIZ AUTOMOTIVO</v>
      </c>
      <c r="X1581" t="str">
        <f>VLOOKUP(L1581,'[2]tabela de preços'!$A:$G,7,0)</f>
        <v>AUTOMOTIVO</v>
      </c>
    </row>
    <row r="1582" spans="1:24" x14ac:dyDescent="0.3">
      <c r="A1582" t="s">
        <v>1688</v>
      </c>
      <c r="C1582" t="s">
        <v>1689</v>
      </c>
      <c r="D1582" s="1">
        <v>46031</v>
      </c>
      <c r="E1582" t="s">
        <v>1690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1691</v>
      </c>
      <c r="K1582" t="s">
        <v>1692</v>
      </c>
      <c r="L1582">
        <v>84823</v>
      </c>
      <c r="M1582" t="s">
        <v>331</v>
      </c>
      <c r="O1582" t="s">
        <v>11</v>
      </c>
      <c r="P1582">
        <v>5102</v>
      </c>
      <c r="Q1582">
        <v>1</v>
      </c>
      <c r="R1582">
        <v>94.64</v>
      </c>
      <c r="S1582">
        <v>94.64</v>
      </c>
      <c r="T1582">
        <v>71.83</v>
      </c>
      <c r="U1582">
        <v>24.1</v>
      </c>
      <c r="V1582" t="str">
        <f>VLOOKUP(L1582,'[2]tabela de preços'!$A:$D,4,0)</f>
        <v>BRASILUX</v>
      </c>
      <c r="W1582" t="str">
        <f>VLOOKUP(L1582,'[2]tabela de preços'!$A:$F,6,0)</f>
        <v>DILUENTE</v>
      </c>
      <c r="X1582" t="str">
        <f>VLOOKUP(L1582,'[2]tabela de preços'!$A:$G,7,0)</f>
        <v>AUTOMOTIVO</v>
      </c>
    </row>
    <row r="1583" spans="1:24" x14ac:dyDescent="0.3">
      <c r="A1583" t="s">
        <v>1688</v>
      </c>
      <c r="C1583" t="s">
        <v>1689</v>
      </c>
      <c r="D1583" s="1">
        <v>46031</v>
      </c>
      <c r="E1583" t="s">
        <v>1690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1691</v>
      </c>
      <c r="K1583" t="s">
        <v>1692</v>
      </c>
      <c r="L1583">
        <v>86995</v>
      </c>
      <c r="M1583" t="s">
        <v>37</v>
      </c>
      <c r="O1583" t="s">
        <v>11</v>
      </c>
      <c r="P1583">
        <v>5102</v>
      </c>
      <c r="Q1583">
        <v>2</v>
      </c>
      <c r="R1583">
        <v>7.39</v>
      </c>
      <c r="S1583">
        <v>14.78</v>
      </c>
      <c r="T1583">
        <v>11.66</v>
      </c>
      <c r="U1583">
        <v>21.11</v>
      </c>
      <c r="V1583" t="str">
        <f>VLOOKUP(L1583,'[2]tabela de preços'!$A:$D,4,0)</f>
        <v>AUTOAMERICA</v>
      </c>
      <c r="W1583" t="str">
        <f>VLOOKUP(L1583,'[2]tabela de preços'!$A:$F,6,0)</f>
        <v>FLANELAS / PANOS</v>
      </c>
      <c r="X1583" t="str">
        <f>VLOOKUP(L1583,'[2]tabela de preços'!$A:$G,7,0)</f>
        <v>AUTOMOTIVO</v>
      </c>
    </row>
    <row r="1584" spans="1:24" x14ac:dyDescent="0.3">
      <c r="A1584" t="s">
        <v>1688</v>
      </c>
      <c r="C1584" t="s">
        <v>1689</v>
      </c>
      <c r="D1584" s="1">
        <v>46031</v>
      </c>
      <c r="E1584" t="s">
        <v>1690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1691</v>
      </c>
      <c r="K1584" t="s">
        <v>1692</v>
      </c>
      <c r="L1584">
        <v>84560</v>
      </c>
      <c r="M1584" t="s">
        <v>118</v>
      </c>
      <c r="O1584" t="s">
        <v>11</v>
      </c>
      <c r="P1584">
        <v>5102</v>
      </c>
      <c r="Q1584">
        <v>1</v>
      </c>
      <c r="R1584">
        <v>46.9</v>
      </c>
      <c r="S1584">
        <v>46.9</v>
      </c>
      <c r="T1584">
        <v>39.159999999999997</v>
      </c>
      <c r="U1584">
        <v>16.5</v>
      </c>
      <c r="V1584" t="str">
        <f>VLOOKUP(L1584,'[2]tabela de preços'!$A:$D,4,0)</f>
        <v>BRASILUX</v>
      </c>
      <c r="W1584" t="str">
        <f>VLOOKUP(L1584,'[2]tabela de preços'!$A:$F,6,0)</f>
        <v>THINNER DE LIMPEZA</v>
      </c>
      <c r="X1584" t="str">
        <f>VLOOKUP(L1584,'[2]tabela de preços'!$A:$G,7,0)</f>
        <v>THINNER</v>
      </c>
    </row>
    <row r="1585" spans="1:24" x14ac:dyDescent="0.3">
      <c r="A1585" t="s">
        <v>1688</v>
      </c>
      <c r="C1585" t="s">
        <v>1693</v>
      </c>
      <c r="D1585" s="1">
        <v>46043</v>
      </c>
      <c r="E1585" t="s">
        <v>1694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1691</v>
      </c>
      <c r="K1585" t="s">
        <v>1692</v>
      </c>
      <c r="L1585">
        <v>84388</v>
      </c>
      <c r="M1585" t="s">
        <v>1417</v>
      </c>
      <c r="O1585" t="s">
        <v>11</v>
      </c>
      <c r="P1585">
        <v>5403</v>
      </c>
      <c r="Q1585">
        <v>1</v>
      </c>
      <c r="R1585">
        <v>159.9</v>
      </c>
      <c r="S1585">
        <v>159.9</v>
      </c>
      <c r="T1585">
        <v>137.61000000000001</v>
      </c>
      <c r="U1585">
        <v>13.94</v>
      </c>
      <c r="V1585" t="str">
        <f>VLOOKUP(L1585,'[2]tabela de preços'!$A:$D,4,0)</f>
        <v>BRASILUX</v>
      </c>
      <c r="W1585" t="str">
        <f>VLOOKUP(L1585,'[2]tabela de preços'!$A:$F,6,0)</f>
        <v>TINTA PARA PISO</v>
      </c>
      <c r="X1585" t="str">
        <f>VLOOKUP(L1585,'[2]tabela de preços'!$A:$G,7,0)</f>
        <v>IMOBILIÁRIO</v>
      </c>
    </row>
    <row r="1586" spans="1:24" x14ac:dyDescent="0.3">
      <c r="A1586" t="s">
        <v>1688</v>
      </c>
      <c r="C1586" t="s">
        <v>1693</v>
      </c>
      <c r="D1586" s="1">
        <v>46043</v>
      </c>
      <c r="E1586" t="s">
        <v>1694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1691</v>
      </c>
      <c r="K1586" t="s">
        <v>1692</v>
      </c>
      <c r="L1586">
        <v>84437</v>
      </c>
      <c r="M1586" t="s">
        <v>1695</v>
      </c>
      <c r="O1586" t="s">
        <v>11</v>
      </c>
      <c r="P1586">
        <v>5102</v>
      </c>
      <c r="Q1586">
        <v>1</v>
      </c>
      <c r="R1586">
        <v>7.42</v>
      </c>
      <c r="S1586">
        <v>7.42</v>
      </c>
      <c r="T1586">
        <v>5.63</v>
      </c>
      <c r="U1586">
        <v>24.12</v>
      </c>
      <c r="V1586" t="str">
        <f>VLOOKUP(L1586,'[2]tabela de preços'!$A:$D,4,0)</f>
        <v>ATLAS</v>
      </c>
      <c r="W1586" t="str">
        <f>VLOOKUP(L1586,'[2]tabela de preços'!$A:$F,6,0)</f>
        <v>ROLOS / TRINCHAS / PINCÉIS / ESPÁTULAS</v>
      </c>
      <c r="X1586" t="str">
        <f>VLOOKUP(L1586,'[2]tabela de preços'!$A:$G,7,0)</f>
        <v>IMOBILIÁRIO</v>
      </c>
    </row>
    <row r="1587" spans="1:24" x14ac:dyDescent="0.3">
      <c r="A1587" t="s">
        <v>1688</v>
      </c>
      <c r="C1587" t="s">
        <v>1693</v>
      </c>
      <c r="D1587" s="1">
        <v>46043</v>
      </c>
      <c r="E1587" t="s">
        <v>1694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1691</v>
      </c>
      <c r="K1587" t="s">
        <v>1692</v>
      </c>
      <c r="L1587">
        <v>23580</v>
      </c>
      <c r="M1587" t="s">
        <v>115</v>
      </c>
      <c r="O1587" t="s">
        <v>11</v>
      </c>
      <c r="P1587">
        <v>5102</v>
      </c>
      <c r="Q1587">
        <v>10</v>
      </c>
      <c r="R1587">
        <v>0.56000000000000005</v>
      </c>
      <c r="S1587">
        <v>5.6</v>
      </c>
      <c r="T1587">
        <v>3.6</v>
      </c>
      <c r="U1587">
        <v>35.71</v>
      </c>
      <c r="V1587" t="str">
        <f>VLOOKUP(L1587,'[2]tabela de preços'!$A:$D,4,0)</f>
        <v>RENOVA COADORES</v>
      </c>
      <c r="W1587" t="str">
        <f>VLOOKUP(L1587,'[2]tabela de preços'!$A:$F,6,0)</f>
        <v>COADORES</v>
      </c>
      <c r="X1587" t="str">
        <f>VLOOKUP(L1587,'[2]tabela de preços'!$A:$G,7,0)</f>
        <v>AUTOMOTIVO</v>
      </c>
    </row>
    <row r="1588" spans="1:24" x14ac:dyDescent="0.3">
      <c r="A1588" t="s">
        <v>1688</v>
      </c>
      <c r="C1588" t="s">
        <v>1693</v>
      </c>
      <c r="D1588" s="1">
        <v>46043</v>
      </c>
      <c r="E1588" t="s">
        <v>1694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1691</v>
      </c>
      <c r="K1588" t="s">
        <v>1692</v>
      </c>
      <c r="L1588">
        <v>83825</v>
      </c>
      <c r="M1588" t="s">
        <v>332</v>
      </c>
      <c r="O1588" t="s">
        <v>11</v>
      </c>
      <c r="P1588">
        <v>5102</v>
      </c>
      <c r="Q1588">
        <v>10</v>
      </c>
      <c r="R1588">
        <v>2.75</v>
      </c>
      <c r="S1588">
        <v>27.5</v>
      </c>
      <c r="T1588">
        <v>20.2</v>
      </c>
      <c r="U1588">
        <v>26.55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1688</v>
      </c>
      <c r="C1589" t="s">
        <v>1693</v>
      </c>
      <c r="D1589" s="1">
        <v>46043</v>
      </c>
      <c r="E1589" t="s">
        <v>1694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1691</v>
      </c>
      <c r="K1589" t="s">
        <v>1692</v>
      </c>
      <c r="L1589">
        <v>10230</v>
      </c>
      <c r="M1589" t="s">
        <v>193</v>
      </c>
      <c r="O1589" t="s">
        <v>11</v>
      </c>
      <c r="P1589">
        <v>5102</v>
      </c>
      <c r="Q1589">
        <v>50</v>
      </c>
      <c r="R1589">
        <v>2.79</v>
      </c>
      <c r="S1589">
        <v>139.5</v>
      </c>
      <c r="T1589">
        <v>116</v>
      </c>
      <c r="U1589">
        <v>16.850000000000001</v>
      </c>
      <c r="V1589" t="str">
        <f>VLOOKUP(L1589,'[2]tabela de preços'!$A:$D,4,0)</f>
        <v>NORTON</v>
      </c>
      <c r="W1589" t="str">
        <f>VLOOKUP(L1589,'[2]tabela de preços'!$A:$F,6,0)</f>
        <v xml:space="preserve">DISCOS / LIXAS / ABRASIVOS </v>
      </c>
      <c r="X1589" t="str">
        <f>VLOOKUP(L1589,'[2]tabela de preços'!$A:$G,7,0)</f>
        <v>AUTOMOTIVO</v>
      </c>
    </row>
    <row r="1590" spans="1:24" x14ac:dyDescent="0.3">
      <c r="A1590" t="s">
        <v>1688</v>
      </c>
      <c r="C1590" t="s">
        <v>1693</v>
      </c>
      <c r="D1590" s="1">
        <v>46043</v>
      </c>
      <c r="E1590" t="s">
        <v>1694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1691</v>
      </c>
      <c r="K1590" t="s">
        <v>1692</v>
      </c>
      <c r="L1590">
        <v>24248</v>
      </c>
      <c r="M1590" t="s">
        <v>107</v>
      </c>
      <c r="O1590" t="s">
        <v>11</v>
      </c>
      <c r="P1590">
        <v>5102</v>
      </c>
      <c r="Q1590">
        <v>12</v>
      </c>
      <c r="R1590">
        <v>8</v>
      </c>
      <c r="S1590">
        <v>96</v>
      </c>
      <c r="T1590">
        <v>78</v>
      </c>
      <c r="U1590">
        <v>18.75</v>
      </c>
      <c r="V1590" t="str">
        <f>VLOOKUP(L1590,'[2]tabela de preços'!$A:$D,4,0)</f>
        <v>SHERWIN WILLIAMS</v>
      </c>
      <c r="W1590" t="str">
        <f>VLOOKUP(L1590,'[2]tabela de preços'!$A:$F,6,0)</f>
        <v>PRIMER AUTOMOTIVO</v>
      </c>
      <c r="X1590" t="str">
        <f>VLOOKUP(L1590,'[2]tabela de preços'!$A:$G,7,0)</f>
        <v>AUTOMOTIVO</v>
      </c>
    </row>
    <row r="1591" spans="1:24" x14ac:dyDescent="0.3">
      <c r="A1591" t="s">
        <v>1688</v>
      </c>
      <c r="C1591" t="s">
        <v>1693</v>
      </c>
      <c r="D1591" s="1">
        <v>46043</v>
      </c>
      <c r="E1591" t="s">
        <v>1694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1691</v>
      </c>
      <c r="K1591" t="s">
        <v>1692</v>
      </c>
      <c r="L1591">
        <v>21037</v>
      </c>
      <c r="M1591" t="s">
        <v>108</v>
      </c>
      <c r="O1591" t="s">
        <v>11</v>
      </c>
      <c r="P1591">
        <v>5102</v>
      </c>
      <c r="Q1591">
        <v>6</v>
      </c>
      <c r="R1591">
        <v>17.03</v>
      </c>
      <c r="S1591">
        <v>102.18</v>
      </c>
      <c r="T1591">
        <v>77.52</v>
      </c>
      <c r="U1591">
        <v>24.13</v>
      </c>
      <c r="V1591" t="str">
        <f>VLOOKUP(L1591,'[2]tabela de preços'!$A:$D,4,0)</f>
        <v>SHERWIN WILLIAMS</v>
      </c>
      <c r="W1591" t="str">
        <f>VLOOKUP(L1591,'[2]tabela de preços'!$A:$F,6,0)</f>
        <v>CATALISADORES INDIVIDUAS</v>
      </c>
      <c r="X1591" t="str">
        <f>VLOOKUP(L1591,'[2]tabela de preços'!$A:$G,7,0)</f>
        <v>AUTOMOTIVO</v>
      </c>
    </row>
    <row r="1592" spans="1:24" x14ac:dyDescent="0.3">
      <c r="A1592" t="s">
        <v>1688</v>
      </c>
      <c r="C1592" t="s">
        <v>1693</v>
      </c>
      <c r="D1592" s="1">
        <v>46043</v>
      </c>
      <c r="E1592" t="s">
        <v>1694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1691</v>
      </c>
      <c r="K1592" t="s">
        <v>1692</v>
      </c>
      <c r="L1592">
        <v>20321</v>
      </c>
      <c r="M1592" t="s">
        <v>639</v>
      </c>
      <c r="O1592" t="s">
        <v>11</v>
      </c>
      <c r="P1592">
        <v>5403</v>
      </c>
      <c r="Q1592">
        <v>6</v>
      </c>
      <c r="R1592">
        <v>35.200000000000003</v>
      </c>
      <c r="S1592">
        <v>211.2</v>
      </c>
      <c r="T1592">
        <v>150.6</v>
      </c>
      <c r="U1592">
        <v>28.69</v>
      </c>
      <c r="V1592" t="str">
        <f>VLOOKUP(L1592,'[2]tabela de preços'!$A:$D,4,0)</f>
        <v>SHERWIN WILLIAMS</v>
      </c>
      <c r="W1592" t="str">
        <f>VLOOKUP(L1592,'[2]tabela de preços'!$A:$F,6,0)</f>
        <v>TINTAS POLIÉSTER</v>
      </c>
      <c r="X1592" t="str">
        <f>VLOOKUP(L1592,'[2]tabela de preços'!$A:$G,7,0)</f>
        <v>AUTOMOTIVO</v>
      </c>
    </row>
    <row r="1593" spans="1:24" x14ac:dyDescent="0.3">
      <c r="A1593" t="s">
        <v>1688</v>
      </c>
      <c r="C1593" t="s">
        <v>1693</v>
      </c>
      <c r="D1593" s="1">
        <v>46043</v>
      </c>
      <c r="E1593" t="s">
        <v>1694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1691</v>
      </c>
      <c r="K1593" t="s">
        <v>1692</v>
      </c>
      <c r="L1593">
        <v>21036</v>
      </c>
      <c r="M1593" t="s">
        <v>399</v>
      </c>
      <c r="O1593" t="s">
        <v>11</v>
      </c>
      <c r="P1593">
        <v>5403</v>
      </c>
      <c r="Q1593">
        <v>3</v>
      </c>
      <c r="R1593">
        <v>34.33</v>
      </c>
      <c r="S1593">
        <v>102.99</v>
      </c>
      <c r="T1593">
        <v>78.180000000000007</v>
      </c>
      <c r="U1593">
        <v>24.09</v>
      </c>
      <c r="V1593" t="str">
        <f>VLOOKUP(L1593,'[2]tabela de preços'!$A:$D,4,0)</f>
        <v>SHERWIN WILLIAMS</v>
      </c>
      <c r="W1593" t="str">
        <f>VLOOKUP(L1593,'[2]tabela de preços'!$A:$F,6,0)</f>
        <v>TINTAS PU</v>
      </c>
      <c r="X1593" t="str">
        <f>VLOOKUP(L1593,'[2]tabela de preços'!$A:$G,7,0)</f>
        <v>AUTOMOTIVO</v>
      </c>
    </row>
    <row r="1594" spans="1:24" x14ac:dyDescent="0.3">
      <c r="A1594" t="s">
        <v>1688</v>
      </c>
      <c r="C1594" t="s">
        <v>1693</v>
      </c>
      <c r="D1594" s="1">
        <v>46043</v>
      </c>
      <c r="E1594" t="s">
        <v>1694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1691</v>
      </c>
      <c r="K1594" t="s">
        <v>1692</v>
      </c>
      <c r="L1594">
        <v>24247</v>
      </c>
      <c r="M1594" t="s">
        <v>160</v>
      </c>
      <c r="O1594" t="s">
        <v>11</v>
      </c>
      <c r="P1594">
        <v>5403</v>
      </c>
      <c r="Q1594">
        <v>12</v>
      </c>
      <c r="R1594">
        <v>21</v>
      </c>
      <c r="S1594">
        <v>252</v>
      </c>
      <c r="T1594">
        <v>202.44</v>
      </c>
      <c r="U1594">
        <v>19.670000000000002</v>
      </c>
      <c r="V1594" t="str">
        <f>VLOOKUP(L1594,'[2]tabela de preços'!$A:$D,4,0)</f>
        <v>SHERWIN WILLIAMS</v>
      </c>
      <c r="W1594" t="str">
        <f>VLOOKUP(L1594,'[2]tabela de preços'!$A:$F,6,0)</f>
        <v>PRIMER AUTOMOTIVO</v>
      </c>
      <c r="X1594" t="str">
        <f>VLOOKUP(L1594,'[2]tabela de preços'!$A:$G,7,0)</f>
        <v>AUTOMOTIVO</v>
      </c>
    </row>
    <row r="1595" spans="1:24" x14ac:dyDescent="0.3">
      <c r="A1595" t="s">
        <v>1688</v>
      </c>
      <c r="C1595" t="s">
        <v>1693</v>
      </c>
      <c r="D1595" s="1">
        <v>46043</v>
      </c>
      <c r="E1595" t="s">
        <v>1694</v>
      </c>
      <c r="F1595">
        <v>9</v>
      </c>
      <c r="G1595">
        <v>174</v>
      </c>
      <c r="H1595" t="str">
        <f>VLOOKUP(G1595,[1]OPERADORES!$A:$B,2,0)</f>
        <v>MIRIÃ LOBATO RODRIGUES</v>
      </c>
      <c r="I1595" t="s">
        <v>21</v>
      </c>
      <c r="J1595" t="s">
        <v>1691</v>
      </c>
      <c r="K1595" t="s">
        <v>1692</v>
      </c>
      <c r="L1595">
        <v>86939</v>
      </c>
      <c r="M1595" t="s">
        <v>346</v>
      </c>
      <c r="O1595" t="s">
        <v>11</v>
      </c>
      <c r="P1595">
        <v>5102</v>
      </c>
      <c r="Q1595">
        <v>1</v>
      </c>
      <c r="R1595">
        <v>52.92</v>
      </c>
      <c r="S1595">
        <v>52.92</v>
      </c>
      <c r="T1595">
        <v>40.17</v>
      </c>
      <c r="U1595">
        <v>24.09</v>
      </c>
      <c r="V1595" t="str">
        <f>VLOOKUP(L1595,'[2]tabela de preços'!$A:$D,4,0)</f>
        <v>ATLAS</v>
      </c>
      <c r="W1595" t="str">
        <f>VLOOKUP(L1595,'[2]tabela de preços'!$A:$F,6,0)</f>
        <v>ROLOS / TRINCHAS / PINCÉIS / ESPÁTULAS</v>
      </c>
      <c r="X1595" t="str">
        <f>VLOOKUP(L1595,'[2]tabela de preços'!$A:$G,7,0)</f>
        <v>IMOBILIÁRIO</v>
      </c>
    </row>
    <row r="1596" spans="1:24" x14ac:dyDescent="0.3">
      <c r="A1596" t="s">
        <v>1688</v>
      </c>
      <c r="C1596" t="s">
        <v>1693</v>
      </c>
      <c r="D1596" s="1">
        <v>46043</v>
      </c>
      <c r="E1596" t="s">
        <v>1694</v>
      </c>
      <c r="F1596">
        <v>9</v>
      </c>
      <c r="G1596">
        <v>174</v>
      </c>
      <c r="H1596" t="str">
        <f>VLOOKUP(G1596,[1]OPERADORES!$A:$B,2,0)</f>
        <v>MIRIÃ LOBATO RODRIGUES</v>
      </c>
      <c r="I1596" t="s">
        <v>21</v>
      </c>
      <c r="J1596" t="s">
        <v>1691</v>
      </c>
      <c r="K1596" t="s">
        <v>1692</v>
      </c>
      <c r="L1596">
        <v>21067</v>
      </c>
      <c r="M1596" t="s">
        <v>640</v>
      </c>
      <c r="O1596" t="s">
        <v>11</v>
      </c>
      <c r="P1596">
        <v>5102</v>
      </c>
      <c r="Q1596">
        <v>1</v>
      </c>
      <c r="R1596">
        <v>36.07</v>
      </c>
      <c r="S1596">
        <v>36.07</v>
      </c>
      <c r="T1596">
        <v>27.38</v>
      </c>
      <c r="U1596">
        <v>24.09</v>
      </c>
      <c r="V1596" t="str">
        <f>VLOOKUP(L1596,'[2]tabela de preços'!$A:$D,4,0)</f>
        <v>SIKKENS</v>
      </c>
      <c r="W1596" t="str">
        <f>VLOOKUP(L1596,'[2]tabela de preços'!$A:$F,6,0)</f>
        <v>DILUENTE</v>
      </c>
      <c r="X1596" t="str">
        <f>VLOOKUP(L1596,'[2]tabela de preços'!$A:$G,7,0)</f>
        <v>AUTOMOTIVO</v>
      </c>
    </row>
    <row r="1597" spans="1:24" x14ac:dyDescent="0.3">
      <c r="A1597" t="s">
        <v>1688</v>
      </c>
      <c r="C1597" t="s">
        <v>1696</v>
      </c>
      <c r="D1597" s="1">
        <v>46043</v>
      </c>
      <c r="E1597" t="s">
        <v>1697</v>
      </c>
      <c r="F1597">
        <v>9</v>
      </c>
      <c r="G1597">
        <v>174</v>
      </c>
      <c r="H1597" t="str">
        <f>VLOOKUP(G1597,[1]OPERADORES!$A:$B,2,0)</f>
        <v>MIRIÃ LOBATO RODRIGUES</v>
      </c>
      <c r="I1597" t="s">
        <v>21</v>
      </c>
      <c r="J1597" t="s">
        <v>1691</v>
      </c>
      <c r="K1597" t="s">
        <v>1692</v>
      </c>
      <c r="L1597">
        <v>20431</v>
      </c>
      <c r="M1597" t="s">
        <v>202</v>
      </c>
      <c r="O1597" t="s">
        <v>11</v>
      </c>
      <c r="P1597">
        <v>5403</v>
      </c>
      <c r="Q1597">
        <v>6</v>
      </c>
      <c r="R1597">
        <v>36.89</v>
      </c>
      <c r="S1597">
        <v>221.34</v>
      </c>
      <c r="T1597">
        <v>181.56</v>
      </c>
      <c r="U1597">
        <v>17.97</v>
      </c>
      <c r="V1597" t="str">
        <f>VLOOKUP(L1597,'[2]tabela de preços'!$A:$D,4,0)</f>
        <v>SHERWIN WILLIAMS</v>
      </c>
      <c r="W1597" t="str">
        <f>VLOOKUP(L1597,'[2]tabela de preços'!$A:$F,6,0)</f>
        <v>VERNIZ AUTOMOTIVO</v>
      </c>
      <c r="X1597" t="str">
        <f>VLOOKUP(L1597,'[2]tabela de preços'!$A:$G,7,0)</f>
        <v>AUTOMOTIVO</v>
      </c>
    </row>
    <row r="1598" spans="1:24" x14ac:dyDescent="0.3">
      <c r="A1598" t="s">
        <v>1688</v>
      </c>
      <c r="C1598" t="s">
        <v>1698</v>
      </c>
      <c r="D1598" s="1">
        <v>46050</v>
      </c>
      <c r="E1598" t="s">
        <v>1699</v>
      </c>
      <c r="F1598">
        <v>9</v>
      </c>
      <c r="G1598">
        <v>174</v>
      </c>
      <c r="H1598" t="str">
        <f>VLOOKUP(G1598,[1]OPERADORES!$A:$B,2,0)</f>
        <v>MIRIÃ LOBATO RODRIGUES</v>
      </c>
      <c r="I1598" t="s">
        <v>21</v>
      </c>
      <c r="J1598" t="s">
        <v>1691</v>
      </c>
      <c r="K1598" t="s">
        <v>1692</v>
      </c>
      <c r="L1598">
        <v>23716</v>
      </c>
      <c r="M1598" t="s">
        <v>220</v>
      </c>
      <c r="O1598" t="s">
        <v>11</v>
      </c>
      <c r="P1598">
        <v>5102</v>
      </c>
      <c r="Q1598">
        <v>1</v>
      </c>
      <c r="R1598">
        <v>41</v>
      </c>
      <c r="S1598">
        <v>41</v>
      </c>
      <c r="T1598">
        <v>30.9</v>
      </c>
      <c r="U1598">
        <v>24.63</v>
      </c>
      <c r="V1598" t="str">
        <f>VLOOKUP(L1598,'[2]tabela de preços'!$A:$D,4,0)</f>
        <v>NEW PAD</v>
      </c>
      <c r="W1598" t="str">
        <f>VLOOKUP(L1598,'[2]tabela de preços'!$A:$F,6,0)</f>
        <v>BOINAS PARA POLIMENTO</v>
      </c>
      <c r="X1598" t="str">
        <f>VLOOKUP(L1598,'[2]tabela de preços'!$A:$G,7,0)</f>
        <v>AUTOMOTIVO</v>
      </c>
    </row>
    <row r="1599" spans="1:24" x14ac:dyDescent="0.3">
      <c r="A1599" t="s">
        <v>1688</v>
      </c>
      <c r="C1599" t="s">
        <v>1698</v>
      </c>
      <c r="D1599" s="1">
        <v>46050</v>
      </c>
      <c r="E1599" t="s">
        <v>1699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1691</v>
      </c>
      <c r="K1599" t="s">
        <v>1692</v>
      </c>
      <c r="L1599">
        <v>24241</v>
      </c>
      <c r="M1599" t="s">
        <v>233</v>
      </c>
      <c r="O1599" t="s">
        <v>11</v>
      </c>
      <c r="P1599">
        <v>5102</v>
      </c>
      <c r="Q1599">
        <v>10</v>
      </c>
      <c r="R1599">
        <v>12.2</v>
      </c>
      <c r="S1599">
        <v>122</v>
      </c>
      <c r="T1599">
        <v>92.6</v>
      </c>
      <c r="U1599">
        <v>24.1</v>
      </c>
      <c r="V1599" t="str">
        <f>VLOOKUP(L1599,'[2]tabela de preços'!$A:$D,4,0)</f>
        <v>ADERE</v>
      </c>
      <c r="W1599" t="str">
        <f>VLOOKUP(L1599,'[2]tabela de preços'!$A:$F,6,0)</f>
        <v>FITA AUTOMOTIVA</v>
      </c>
      <c r="X1599" t="str">
        <f>VLOOKUP(L1599,'[2]tabela de preços'!$A:$G,7,0)</f>
        <v>AUTOMOTIVO</v>
      </c>
    </row>
    <row r="1600" spans="1:24" x14ac:dyDescent="0.3">
      <c r="A1600" t="s">
        <v>1688</v>
      </c>
      <c r="C1600" t="s">
        <v>1698</v>
      </c>
      <c r="D1600" s="1">
        <v>46050</v>
      </c>
      <c r="E1600" t="s">
        <v>1699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1691</v>
      </c>
      <c r="K1600" t="s">
        <v>1692</v>
      </c>
      <c r="L1600">
        <v>20817</v>
      </c>
      <c r="M1600" t="s">
        <v>153</v>
      </c>
      <c r="O1600" t="s">
        <v>11</v>
      </c>
      <c r="P1600">
        <v>5102</v>
      </c>
      <c r="Q1600">
        <v>2</v>
      </c>
      <c r="R1600">
        <v>22.89</v>
      </c>
      <c r="S1600">
        <v>45.78</v>
      </c>
      <c r="T1600">
        <v>37.24</v>
      </c>
      <c r="U1600">
        <v>18.649999999999999</v>
      </c>
      <c r="V1600" t="str">
        <f>VLOOKUP(L1600,'[2]tabela de preços'!$A:$D,4,0)</f>
        <v>AUTO AMERICA</v>
      </c>
      <c r="W1600" t="str">
        <f>VLOOKUP(L1600,'[2]tabela de preços'!$A:$F,6,0)</f>
        <v>MASSA DE POLIR</v>
      </c>
      <c r="X1600" t="str">
        <f>VLOOKUP(L1600,'[2]tabela de preços'!$A:$G,7,0)</f>
        <v>AUTOMOTIVO</v>
      </c>
    </row>
    <row r="1601" spans="1:24" x14ac:dyDescent="0.3">
      <c r="A1601" t="s">
        <v>1688</v>
      </c>
      <c r="C1601" t="s">
        <v>1698</v>
      </c>
      <c r="D1601" s="1">
        <v>46050</v>
      </c>
      <c r="E1601" t="s">
        <v>1699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1691</v>
      </c>
      <c r="K1601" t="s">
        <v>1692</v>
      </c>
      <c r="L1601">
        <v>24332</v>
      </c>
      <c r="M1601" t="s">
        <v>1700</v>
      </c>
      <c r="O1601" t="s">
        <v>11</v>
      </c>
      <c r="P1601">
        <v>5102</v>
      </c>
      <c r="Q1601">
        <v>1</v>
      </c>
      <c r="R1601">
        <v>31.63</v>
      </c>
      <c r="S1601">
        <v>31.63</v>
      </c>
      <c r="T1601">
        <v>23.19</v>
      </c>
      <c r="U1601">
        <v>26.68</v>
      </c>
      <c r="V1601" t="str">
        <f>VLOOKUP(L1601,'[2]tabela de preços'!$A:$D,4,0)</f>
        <v>VONIXX</v>
      </c>
      <c r="W1601" t="str">
        <f>VLOOKUP(L1601,'[2]tabela de preços'!$A:$F,6,0)</f>
        <v>LINHA DE HIGENIZAÇÃO E ESTÉTICA  AUTOMOTIVA</v>
      </c>
      <c r="X1601" t="str">
        <f>VLOOKUP(L1601,'[2]tabela de preços'!$A:$G,7,0)</f>
        <v>AUTOMOTIVO</v>
      </c>
    </row>
    <row r="1602" spans="1:24" x14ac:dyDescent="0.3">
      <c r="A1602" t="s">
        <v>1688</v>
      </c>
      <c r="C1602" t="s">
        <v>2392</v>
      </c>
      <c r="D1602" s="1">
        <v>46052</v>
      </c>
      <c r="E1602" t="s">
        <v>2393</v>
      </c>
      <c r="F1602">
        <v>9</v>
      </c>
      <c r="G1602">
        <v>174</v>
      </c>
      <c r="H1602" t="str">
        <f>VLOOKUP(G1602,[1]OPERADORES!$A:$B,2,0)</f>
        <v>MIRIÃ LOBATO RODRIGUES</v>
      </c>
      <c r="I1602" t="s">
        <v>21</v>
      </c>
      <c r="J1602" t="s">
        <v>1691</v>
      </c>
      <c r="K1602" t="s">
        <v>1692</v>
      </c>
      <c r="L1602">
        <v>84823</v>
      </c>
      <c r="M1602" t="s">
        <v>331</v>
      </c>
      <c r="O1602" t="s">
        <v>11</v>
      </c>
      <c r="P1602">
        <v>5102</v>
      </c>
      <c r="Q1602">
        <v>1</v>
      </c>
      <c r="R1602">
        <v>94.64</v>
      </c>
      <c r="S1602">
        <v>94.64</v>
      </c>
      <c r="T1602">
        <v>71.83</v>
      </c>
      <c r="U1602">
        <v>24.1</v>
      </c>
      <c r="V1602" t="str">
        <f>VLOOKUP(L1602,'[2]tabela de preços'!$A:$D,4,0)</f>
        <v>BRASILUX</v>
      </c>
      <c r="W1602" t="str">
        <f>VLOOKUP(L1602,'[2]tabela de preços'!$A:$F,6,0)</f>
        <v>DILUENTE</v>
      </c>
      <c r="X1602" t="str">
        <f>VLOOKUP(L1602,'[2]tabela de preços'!$A:$G,7,0)</f>
        <v>AUTOMOTIVO</v>
      </c>
    </row>
    <row r="1603" spans="1:24" x14ac:dyDescent="0.3">
      <c r="A1603" t="s">
        <v>1688</v>
      </c>
      <c r="C1603" t="s">
        <v>2392</v>
      </c>
      <c r="D1603" s="1">
        <v>46052</v>
      </c>
      <c r="E1603" t="s">
        <v>2393</v>
      </c>
      <c r="F1603">
        <v>9</v>
      </c>
      <c r="G1603">
        <v>174</v>
      </c>
      <c r="H1603" t="str">
        <f>VLOOKUP(G1603,[1]OPERADORES!$A:$B,2,0)</f>
        <v>MIRIÃ LOBATO RODRIGUES</v>
      </c>
      <c r="I1603" t="s">
        <v>21</v>
      </c>
      <c r="J1603" t="s">
        <v>1691</v>
      </c>
      <c r="K1603" t="s">
        <v>1692</v>
      </c>
      <c r="L1603">
        <v>20433</v>
      </c>
      <c r="M1603" t="s">
        <v>460</v>
      </c>
      <c r="O1603" t="s">
        <v>11</v>
      </c>
      <c r="P1603">
        <v>5102</v>
      </c>
      <c r="Q1603">
        <v>2</v>
      </c>
      <c r="R1603">
        <v>32.950000000000003</v>
      </c>
      <c r="S1603">
        <v>65.900000000000006</v>
      </c>
      <c r="T1603">
        <v>48.86</v>
      </c>
      <c r="U1603">
        <v>25.86</v>
      </c>
      <c r="V1603" t="str">
        <f>VLOOKUP(L1603,'[2]tabela de preços'!$A:$D,4,0)</f>
        <v>SHERWIN WILLIAMS</v>
      </c>
      <c r="W1603" t="str">
        <f>VLOOKUP(L1603,'[2]tabela de preços'!$A:$F,6,0)</f>
        <v>VERNIZ AUTOMOTIVO</v>
      </c>
      <c r="X1603" t="str">
        <f>VLOOKUP(L1603,'[2]tabela de preços'!$A:$G,7,0)</f>
        <v>AUTOMOTIVO</v>
      </c>
    </row>
    <row r="1604" spans="1:24" x14ac:dyDescent="0.3">
      <c r="A1604" t="s">
        <v>1688</v>
      </c>
      <c r="C1604" t="s">
        <v>2392</v>
      </c>
      <c r="D1604" s="1">
        <v>46052</v>
      </c>
      <c r="E1604" t="s">
        <v>2393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1691</v>
      </c>
      <c r="K1604" t="s">
        <v>1692</v>
      </c>
      <c r="L1604">
        <v>23690</v>
      </c>
      <c r="M1604" t="s">
        <v>98</v>
      </c>
      <c r="O1604" t="s">
        <v>11</v>
      </c>
      <c r="P1604">
        <v>5403</v>
      </c>
      <c r="Q1604">
        <v>2</v>
      </c>
      <c r="R1604">
        <v>39.89</v>
      </c>
      <c r="S1604">
        <v>79.78</v>
      </c>
      <c r="T1604">
        <v>63.22</v>
      </c>
      <c r="U1604">
        <v>20.76</v>
      </c>
      <c r="V1604" t="str">
        <f>VLOOKUP(L1604,'[2]tabela de preços'!$A:$D,4,0)</f>
        <v>WANDA</v>
      </c>
      <c r="W1604" t="str">
        <f>VLOOKUP(L1604,'[2]tabela de preços'!$A:$F,6,0)</f>
        <v>VERNIZ AUTOMOTIVO</v>
      </c>
      <c r="X1604" t="str">
        <f>VLOOKUP(L1604,'[2]tabela de preços'!$A:$G,7,0)</f>
        <v>AUTOMOTIVO</v>
      </c>
    </row>
    <row r="1605" spans="1:24" x14ac:dyDescent="0.3">
      <c r="A1605" t="s">
        <v>1688</v>
      </c>
      <c r="C1605" t="s">
        <v>2392</v>
      </c>
      <c r="D1605" s="1">
        <v>46052</v>
      </c>
      <c r="E1605" t="s">
        <v>2393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21</v>
      </c>
      <c r="J1605" t="s">
        <v>1691</v>
      </c>
      <c r="K1605" t="s">
        <v>1692</v>
      </c>
      <c r="L1605">
        <v>84560</v>
      </c>
      <c r="M1605" t="s">
        <v>118</v>
      </c>
      <c r="O1605" t="s">
        <v>11</v>
      </c>
      <c r="P1605">
        <v>5102</v>
      </c>
      <c r="Q1605">
        <v>1</v>
      </c>
      <c r="R1605">
        <v>47.89</v>
      </c>
      <c r="S1605">
        <v>47.89</v>
      </c>
      <c r="T1605">
        <v>39.159999999999997</v>
      </c>
      <c r="U1605">
        <v>18.23</v>
      </c>
      <c r="V1605" t="str">
        <f>VLOOKUP(L1605,'[2]tabela de preços'!$A:$D,4,0)</f>
        <v>BRASILUX</v>
      </c>
      <c r="W1605" t="str">
        <f>VLOOKUP(L1605,'[2]tabela de preços'!$A:$F,6,0)</f>
        <v>THINNER DE LIMPEZA</v>
      </c>
      <c r="X1605" t="str">
        <f>VLOOKUP(L1605,'[2]tabela de preços'!$A:$G,7,0)</f>
        <v>THINNER</v>
      </c>
    </row>
    <row r="1606" spans="1:24" x14ac:dyDescent="0.3">
      <c r="A1606" t="s">
        <v>1688</v>
      </c>
      <c r="C1606" t="s">
        <v>2392</v>
      </c>
      <c r="D1606" s="1">
        <v>46052</v>
      </c>
      <c r="E1606" t="s">
        <v>2393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21</v>
      </c>
      <c r="J1606" t="s">
        <v>1691</v>
      </c>
      <c r="K1606" t="s">
        <v>1692</v>
      </c>
      <c r="L1606">
        <v>20399</v>
      </c>
      <c r="M1606" t="s">
        <v>465</v>
      </c>
      <c r="O1606" t="s">
        <v>11</v>
      </c>
      <c r="P1606">
        <v>5403</v>
      </c>
      <c r="Q1606">
        <v>2</v>
      </c>
      <c r="R1606">
        <v>36.090000000000003</v>
      </c>
      <c r="S1606">
        <v>72.180000000000007</v>
      </c>
      <c r="T1606">
        <v>53.56</v>
      </c>
      <c r="U1606">
        <v>25.8</v>
      </c>
      <c r="V1606" t="str">
        <f>VLOOKUP(L1606,'[2]tabela de preços'!$A:$D,4,0)</f>
        <v>SHERWIN WILLIAMS</v>
      </c>
      <c r="W1606" t="str">
        <f>VLOOKUP(L1606,'[2]tabela de preços'!$A:$F,6,0)</f>
        <v>VERNIZ AUTOMOTIVO</v>
      </c>
      <c r="X1606" t="str">
        <f>VLOOKUP(L1606,'[2]tabela de preços'!$A:$G,7,0)</f>
        <v>AUTOMOTIVO</v>
      </c>
    </row>
    <row r="1607" spans="1:24" x14ac:dyDescent="0.3">
      <c r="A1607" t="s">
        <v>1701</v>
      </c>
      <c r="C1607" t="s">
        <v>1702</v>
      </c>
      <c r="D1607" s="1">
        <v>46027</v>
      </c>
      <c r="E1607" t="s">
        <v>1703</v>
      </c>
      <c r="F1607">
        <v>9</v>
      </c>
      <c r="G1607">
        <v>197</v>
      </c>
      <c r="H1607" t="str">
        <f>VLOOKUP(G1607,[1]OPERADORES!$A:$B,2,0)</f>
        <v xml:space="preserve">POLIANA LORRANE DE AMORIM </v>
      </c>
      <c r="I1607" t="s">
        <v>21</v>
      </c>
      <c r="J1607" t="s">
        <v>265</v>
      </c>
      <c r="K1607" t="s">
        <v>1704</v>
      </c>
      <c r="L1607">
        <v>84328</v>
      </c>
      <c r="M1607" t="s">
        <v>496</v>
      </c>
      <c r="O1607" t="s">
        <v>11</v>
      </c>
      <c r="P1607">
        <v>5403</v>
      </c>
      <c r="Q1607">
        <v>1</v>
      </c>
      <c r="R1607">
        <v>60.89</v>
      </c>
      <c r="S1607">
        <v>60.89</v>
      </c>
      <c r="T1607">
        <v>44.79</v>
      </c>
      <c r="U1607">
        <v>26.44</v>
      </c>
      <c r="V1607" t="str">
        <f>VLOOKUP(L1607,'[2]tabela de preços'!$A:$D,4,0)</f>
        <v>BRASILUX</v>
      </c>
      <c r="W1607" t="str">
        <f>VLOOKUP(L1607,'[2]tabela de preços'!$A:$F,6,0)</f>
        <v>ESMALTES</v>
      </c>
      <c r="X1607" t="str">
        <f>VLOOKUP(L1607,'[2]tabela de preços'!$A:$G,7,0)</f>
        <v>INDUSTRIAL</v>
      </c>
    </row>
    <row r="1608" spans="1:24" x14ac:dyDescent="0.3">
      <c r="A1608" t="s">
        <v>1701</v>
      </c>
      <c r="C1608" t="s">
        <v>1702</v>
      </c>
      <c r="D1608" s="1">
        <v>46027</v>
      </c>
      <c r="E1608" t="s">
        <v>1703</v>
      </c>
      <c r="F1608">
        <v>9</v>
      </c>
      <c r="G1608">
        <v>197</v>
      </c>
      <c r="H1608" t="str">
        <f>VLOOKUP(G1608,[1]OPERADORES!$A:$B,2,0)</f>
        <v xml:space="preserve">POLIANA LORRANE DE AMORIM </v>
      </c>
      <c r="I1608" t="s">
        <v>21</v>
      </c>
      <c r="J1608" t="s">
        <v>265</v>
      </c>
      <c r="K1608" t="s">
        <v>1704</v>
      </c>
      <c r="L1608">
        <v>84355</v>
      </c>
      <c r="M1608" t="s">
        <v>1705</v>
      </c>
      <c r="O1608" t="s">
        <v>11</v>
      </c>
      <c r="P1608">
        <v>5403</v>
      </c>
      <c r="Q1608">
        <v>1</v>
      </c>
      <c r="R1608">
        <v>20.03</v>
      </c>
      <c r="S1608">
        <v>20.03</v>
      </c>
      <c r="T1608">
        <v>15.21</v>
      </c>
      <c r="U1608">
        <v>24.06</v>
      </c>
      <c r="V1608" t="str">
        <f>VLOOKUP(L1608,'[2]tabela de preços'!$A:$D,4,0)</f>
        <v>BRASILUX</v>
      </c>
      <c r="W1608" t="str">
        <f>VLOOKUP(L1608,'[2]tabela de preços'!$A:$F,6,0)</f>
        <v>ESMALTES</v>
      </c>
      <c r="X1608" t="str">
        <f>VLOOKUP(L1608,'[2]tabela de preços'!$A:$G,7,0)</f>
        <v>INDUSTRIAL</v>
      </c>
    </row>
    <row r="1609" spans="1:24" x14ac:dyDescent="0.3">
      <c r="A1609" t="s">
        <v>1701</v>
      </c>
      <c r="C1609" t="s">
        <v>1702</v>
      </c>
      <c r="D1609" s="1">
        <v>46027</v>
      </c>
      <c r="E1609" t="s">
        <v>1703</v>
      </c>
      <c r="F1609">
        <v>9</v>
      </c>
      <c r="G1609">
        <v>197</v>
      </c>
      <c r="H1609" t="str">
        <f>VLOOKUP(G1609,[1]OPERADORES!$A:$B,2,0)</f>
        <v xml:space="preserve">POLIANA LORRANE DE AMORIM </v>
      </c>
      <c r="I1609" t="s">
        <v>21</v>
      </c>
      <c r="J1609" t="s">
        <v>265</v>
      </c>
      <c r="K1609" t="s">
        <v>1704</v>
      </c>
      <c r="L1609">
        <v>84143</v>
      </c>
      <c r="M1609" t="s">
        <v>1706</v>
      </c>
      <c r="O1609" t="s">
        <v>11</v>
      </c>
      <c r="P1609">
        <v>5403</v>
      </c>
      <c r="Q1609">
        <v>1</v>
      </c>
      <c r="R1609">
        <v>20.41</v>
      </c>
      <c r="S1609">
        <v>20.41</v>
      </c>
      <c r="T1609">
        <v>15.49</v>
      </c>
      <c r="U1609">
        <v>24.11</v>
      </c>
      <c r="V1609" t="str">
        <f>VLOOKUP(L1609,'[2]tabela de preços'!$A:$D,4,0)</f>
        <v>BRASILUX</v>
      </c>
      <c r="W1609" t="str">
        <f>VLOOKUP(L1609,'[2]tabela de preços'!$A:$F,6,0)</f>
        <v>ESMALTES</v>
      </c>
      <c r="X1609" t="str">
        <f>VLOOKUP(L1609,'[2]tabela de preços'!$A:$G,7,0)</f>
        <v>INDUSTRIAL</v>
      </c>
    </row>
    <row r="1610" spans="1:24" x14ac:dyDescent="0.3">
      <c r="A1610" t="s">
        <v>1701</v>
      </c>
      <c r="C1610" t="s">
        <v>1702</v>
      </c>
      <c r="D1610" s="1">
        <v>46027</v>
      </c>
      <c r="E1610" t="s">
        <v>1703</v>
      </c>
      <c r="F1610">
        <v>9</v>
      </c>
      <c r="G1610">
        <v>197</v>
      </c>
      <c r="H1610" t="str">
        <f>VLOOKUP(G1610,[1]OPERADORES!$A:$B,2,0)</f>
        <v xml:space="preserve">POLIANA LORRANE DE AMORIM </v>
      </c>
      <c r="I1610" t="s">
        <v>21</v>
      </c>
      <c r="J1610" t="s">
        <v>265</v>
      </c>
      <c r="K1610" t="s">
        <v>1704</v>
      </c>
      <c r="L1610">
        <v>84357</v>
      </c>
      <c r="M1610" t="s">
        <v>580</v>
      </c>
      <c r="O1610" t="s">
        <v>11</v>
      </c>
      <c r="P1610">
        <v>5403</v>
      </c>
      <c r="Q1610">
        <v>5</v>
      </c>
      <c r="R1610">
        <v>21.7</v>
      </c>
      <c r="S1610">
        <v>108.5</v>
      </c>
      <c r="T1610">
        <v>82.35</v>
      </c>
      <c r="U1610">
        <v>24.1</v>
      </c>
      <c r="V1610" t="str">
        <f>VLOOKUP(L1610,'[2]tabela de preços'!$A:$D,4,0)</f>
        <v>BRASILUX</v>
      </c>
      <c r="W1610" t="str">
        <f>VLOOKUP(L1610,'[2]tabela de preços'!$A:$F,6,0)</f>
        <v>ESMALTES</v>
      </c>
      <c r="X1610" t="str">
        <f>VLOOKUP(L1610,'[2]tabela de preços'!$A:$G,7,0)</f>
        <v>INDUSTRIAL</v>
      </c>
    </row>
    <row r="1611" spans="1:24" x14ac:dyDescent="0.3">
      <c r="A1611" t="s">
        <v>1701</v>
      </c>
      <c r="C1611" t="s">
        <v>1702</v>
      </c>
      <c r="D1611" s="1">
        <v>46027</v>
      </c>
      <c r="E1611" t="s">
        <v>1703</v>
      </c>
      <c r="F1611">
        <v>9</v>
      </c>
      <c r="G1611">
        <v>197</v>
      </c>
      <c r="H1611" t="str">
        <f>VLOOKUP(G1611,[1]OPERADORES!$A:$B,2,0)</f>
        <v xml:space="preserve">POLIANA LORRANE DE AMORIM </v>
      </c>
      <c r="I1611" t="s">
        <v>21</v>
      </c>
      <c r="J1611" t="s">
        <v>265</v>
      </c>
      <c r="K1611" t="s">
        <v>1704</v>
      </c>
      <c r="L1611">
        <v>84146</v>
      </c>
      <c r="M1611" t="s">
        <v>1707</v>
      </c>
      <c r="O1611" t="s">
        <v>11</v>
      </c>
      <c r="P1611">
        <v>5403</v>
      </c>
      <c r="Q1611">
        <v>2</v>
      </c>
      <c r="R1611">
        <v>21.56</v>
      </c>
      <c r="S1611">
        <v>43.12</v>
      </c>
      <c r="T1611">
        <v>32.74</v>
      </c>
      <c r="U1611">
        <v>24.07</v>
      </c>
      <c r="V1611" t="str">
        <f>VLOOKUP(L1611,'[2]tabela de preços'!$A:$D,4,0)</f>
        <v>BRASILUX</v>
      </c>
      <c r="W1611" t="str">
        <f>VLOOKUP(L1611,'[2]tabela de preços'!$A:$F,6,0)</f>
        <v>ESMALTES</v>
      </c>
      <c r="X1611" t="str">
        <f>VLOOKUP(L1611,'[2]tabela de preços'!$A:$G,7,0)</f>
        <v>INDUSTRIAL</v>
      </c>
    </row>
    <row r="1612" spans="1:24" x14ac:dyDescent="0.3">
      <c r="A1612" t="s">
        <v>1701</v>
      </c>
      <c r="C1612" t="s">
        <v>1702</v>
      </c>
      <c r="D1612" s="1">
        <v>46027</v>
      </c>
      <c r="E1612" t="s">
        <v>1703</v>
      </c>
      <c r="F1612">
        <v>9</v>
      </c>
      <c r="G1612">
        <v>197</v>
      </c>
      <c r="H1612" t="str">
        <f>VLOOKUP(G1612,[1]OPERADORES!$A:$B,2,0)</f>
        <v xml:space="preserve">POLIANA LORRANE DE AMORIM </v>
      </c>
      <c r="I1612" t="s">
        <v>21</v>
      </c>
      <c r="J1612" t="s">
        <v>265</v>
      </c>
      <c r="K1612" t="s">
        <v>1704</v>
      </c>
      <c r="L1612">
        <v>84121</v>
      </c>
      <c r="M1612" t="s">
        <v>1708</v>
      </c>
      <c r="O1612" t="s">
        <v>11</v>
      </c>
      <c r="P1612">
        <v>5403</v>
      </c>
      <c r="Q1612">
        <v>1</v>
      </c>
      <c r="R1612">
        <v>17</v>
      </c>
      <c r="S1612">
        <v>17</v>
      </c>
      <c r="T1612">
        <v>12.9</v>
      </c>
      <c r="U1612">
        <v>24.12</v>
      </c>
      <c r="V1612" t="str">
        <f>VLOOKUP(L1612,'[2]tabela de preços'!$A:$D,4,0)</f>
        <v>BRASILUX</v>
      </c>
      <c r="W1612" t="str">
        <f>VLOOKUP(L1612,'[2]tabela de preços'!$A:$F,6,0)</f>
        <v>ESMALTES</v>
      </c>
      <c r="X1612" t="str">
        <f>VLOOKUP(L1612,'[2]tabela de preços'!$A:$G,7,0)</f>
        <v>INDUSTRIAL</v>
      </c>
    </row>
    <row r="1613" spans="1:24" x14ac:dyDescent="0.3">
      <c r="A1613" t="s">
        <v>1701</v>
      </c>
      <c r="C1613" t="s">
        <v>1702</v>
      </c>
      <c r="D1613" s="1">
        <v>46027</v>
      </c>
      <c r="E1613" t="s">
        <v>1703</v>
      </c>
      <c r="F1613">
        <v>9</v>
      </c>
      <c r="G1613">
        <v>197</v>
      </c>
      <c r="H1613" t="str">
        <f>VLOOKUP(G1613,[1]OPERADORES!$A:$B,2,0)</f>
        <v xml:space="preserve">POLIANA LORRANE DE AMORIM </v>
      </c>
      <c r="I1613" t="s">
        <v>21</v>
      </c>
      <c r="J1613" t="s">
        <v>265</v>
      </c>
      <c r="K1613" t="s">
        <v>1704</v>
      </c>
      <c r="L1613">
        <v>84342</v>
      </c>
      <c r="M1613" t="s">
        <v>498</v>
      </c>
      <c r="O1613" t="s">
        <v>11</v>
      </c>
      <c r="P1613">
        <v>5403</v>
      </c>
      <c r="Q1613">
        <v>2</v>
      </c>
      <c r="R1613">
        <v>60.89</v>
      </c>
      <c r="S1613">
        <v>121.78</v>
      </c>
      <c r="T1613">
        <v>91.56</v>
      </c>
      <c r="U1613">
        <v>24.82</v>
      </c>
      <c r="V1613" t="str">
        <f>VLOOKUP(L1613,'[2]tabela de preços'!$A:$D,4,0)</f>
        <v>BRASILUX</v>
      </c>
      <c r="W1613" t="str">
        <f>VLOOKUP(L1613,'[2]tabela de preços'!$A:$F,6,0)</f>
        <v>ESMALTES</v>
      </c>
      <c r="X1613" t="str">
        <f>VLOOKUP(L1613,'[2]tabela de preços'!$A:$G,7,0)</f>
        <v>INDUSTRIAL</v>
      </c>
    </row>
    <row r="1614" spans="1:24" x14ac:dyDescent="0.3">
      <c r="A1614" t="s">
        <v>1701</v>
      </c>
      <c r="C1614" t="s">
        <v>1702</v>
      </c>
      <c r="D1614" s="1">
        <v>46027</v>
      </c>
      <c r="E1614" t="s">
        <v>1703</v>
      </c>
      <c r="F1614">
        <v>9</v>
      </c>
      <c r="G1614">
        <v>197</v>
      </c>
      <c r="H1614" t="str">
        <f>VLOOKUP(G1614,[1]OPERADORES!$A:$B,2,0)</f>
        <v xml:space="preserve">POLIANA LORRANE DE AMORIM </v>
      </c>
      <c r="I1614" t="s">
        <v>21</v>
      </c>
      <c r="J1614" t="s">
        <v>265</v>
      </c>
      <c r="K1614" t="s">
        <v>1704</v>
      </c>
      <c r="L1614">
        <v>84123</v>
      </c>
      <c r="M1614" t="s">
        <v>296</v>
      </c>
      <c r="O1614" t="s">
        <v>11</v>
      </c>
      <c r="P1614">
        <v>5403</v>
      </c>
      <c r="Q1614">
        <v>2</v>
      </c>
      <c r="R1614">
        <v>19.100000000000001</v>
      </c>
      <c r="S1614">
        <v>38.200000000000003</v>
      </c>
      <c r="T1614">
        <v>29</v>
      </c>
      <c r="U1614">
        <v>24.08</v>
      </c>
      <c r="V1614" t="str">
        <f>VLOOKUP(L1614,'[2]tabela de preços'!$A:$D,4,0)</f>
        <v>BRASILUX</v>
      </c>
      <c r="W1614" t="str">
        <f>VLOOKUP(L1614,'[2]tabela de preços'!$A:$F,6,0)</f>
        <v>ESMALTES</v>
      </c>
      <c r="X1614" t="str">
        <f>VLOOKUP(L1614,'[2]tabela de preços'!$A:$G,7,0)</f>
        <v>INDUSTRIAL</v>
      </c>
    </row>
    <row r="1615" spans="1:24" x14ac:dyDescent="0.3">
      <c r="A1615" t="s">
        <v>1701</v>
      </c>
      <c r="C1615" t="s">
        <v>1702</v>
      </c>
      <c r="D1615" s="1">
        <v>46027</v>
      </c>
      <c r="E1615" t="s">
        <v>1703</v>
      </c>
      <c r="F1615">
        <v>9</v>
      </c>
      <c r="G1615">
        <v>197</v>
      </c>
      <c r="H1615" t="str">
        <f>VLOOKUP(G1615,[1]OPERADORES!$A:$B,2,0)</f>
        <v xml:space="preserve">POLIANA LORRANE DE AMORIM </v>
      </c>
      <c r="I1615" t="s">
        <v>21</v>
      </c>
      <c r="J1615" t="s">
        <v>265</v>
      </c>
      <c r="K1615" t="s">
        <v>1704</v>
      </c>
      <c r="L1615">
        <v>84127</v>
      </c>
      <c r="M1615" t="s">
        <v>1709</v>
      </c>
      <c r="O1615" t="s">
        <v>11</v>
      </c>
      <c r="P1615">
        <v>5403</v>
      </c>
      <c r="Q1615">
        <v>1</v>
      </c>
      <c r="R1615">
        <v>17.690000000000001</v>
      </c>
      <c r="S1615">
        <v>17.690000000000001</v>
      </c>
      <c r="T1615">
        <v>13.43</v>
      </c>
      <c r="U1615">
        <v>24.08</v>
      </c>
      <c r="V1615" t="str">
        <f>VLOOKUP(L1615,'[2]tabela de preços'!$A:$D,4,0)</f>
        <v>BRASILUX</v>
      </c>
      <c r="W1615" t="str">
        <f>VLOOKUP(L1615,'[2]tabela de preços'!$A:$F,6,0)</f>
        <v>ESMALTES</v>
      </c>
      <c r="X1615" t="str">
        <f>VLOOKUP(L1615,'[2]tabela de preços'!$A:$G,7,0)</f>
        <v>INDUSTRIAL</v>
      </c>
    </row>
    <row r="1616" spans="1:24" x14ac:dyDescent="0.3">
      <c r="A1616" t="s">
        <v>1701</v>
      </c>
      <c r="C1616" t="s">
        <v>1702</v>
      </c>
      <c r="D1616" s="1">
        <v>46027</v>
      </c>
      <c r="E1616" t="s">
        <v>1703</v>
      </c>
      <c r="F1616">
        <v>9</v>
      </c>
      <c r="G1616">
        <v>197</v>
      </c>
      <c r="H1616" t="str">
        <f>VLOOKUP(G1616,[1]OPERADORES!$A:$B,2,0)</f>
        <v xml:space="preserve">POLIANA LORRANE DE AMORIM </v>
      </c>
      <c r="I1616" t="s">
        <v>21</v>
      </c>
      <c r="J1616" t="s">
        <v>265</v>
      </c>
      <c r="K1616" t="s">
        <v>1704</v>
      </c>
      <c r="L1616">
        <v>84347</v>
      </c>
      <c r="M1616" t="s">
        <v>1150</v>
      </c>
      <c r="O1616" t="s">
        <v>11</v>
      </c>
      <c r="P1616">
        <v>5403</v>
      </c>
      <c r="Q1616">
        <v>1</v>
      </c>
      <c r="R1616">
        <v>60.89</v>
      </c>
      <c r="S1616">
        <v>60.89</v>
      </c>
      <c r="T1616">
        <v>52</v>
      </c>
      <c r="U1616">
        <v>14.6</v>
      </c>
      <c r="V1616" t="str">
        <f>VLOOKUP(L1616,'[2]tabela de preços'!$A:$D,4,0)</f>
        <v>BRASILUX</v>
      </c>
      <c r="W1616" t="str">
        <f>VLOOKUP(L1616,'[2]tabela de preços'!$A:$F,6,0)</f>
        <v>ESMALTES</v>
      </c>
      <c r="X1616" t="str">
        <f>VLOOKUP(L1616,'[2]tabela de preços'!$A:$G,7,0)</f>
        <v>INDUSTRIAL</v>
      </c>
    </row>
    <row r="1617" spans="1:24" x14ac:dyDescent="0.3">
      <c r="A1617" t="s">
        <v>1701</v>
      </c>
      <c r="C1617" t="s">
        <v>1702</v>
      </c>
      <c r="D1617" s="1">
        <v>46027</v>
      </c>
      <c r="E1617" t="s">
        <v>1703</v>
      </c>
      <c r="F1617">
        <v>9</v>
      </c>
      <c r="G1617">
        <v>197</v>
      </c>
      <c r="H1617" t="str">
        <f>VLOOKUP(G1617,[1]OPERADORES!$A:$B,2,0)</f>
        <v xml:space="preserve">POLIANA LORRANE DE AMORIM </v>
      </c>
      <c r="I1617" t="s">
        <v>21</v>
      </c>
      <c r="J1617" t="s">
        <v>265</v>
      </c>
      <c r="K1617" t="s">
        <v>1704</v>
      </c>
      <c r="L1617">
        <v>84128</v>
      </c>
      <c r="M1617" t="s">
        <v>1710</v>
      </c>
      <c r="O1617" t="s">
        <v>11</v>
      </c>
      <c r="P1617">
        <v>5403</v>
      </c>
      <c r="Q1617">
        <v>2</v>
      </c>
      <c r="R1617">
        <v>20.87</v>
      </c>
      <c r="S1617">
        <v>41.74</v>
      </c>
      <c r="T1617">
        <v>31.68</v>
      </c>
      <c r="U1617">
        <v>24.1</v>
      </c>
      <c r="V1617" t="str">
        <f>VLOOKUP(L1617,'[2]tabela de preços'!$A:$D,4,0)</f>
        <v>BRASILUX</v>
      </c>
      <c r="W1617" t="str">
        <f>VLOOKUP(L1617,'[2]tabela de preços'!$A:$F,6,0)</f>
        <v>ESMALTES</v>
      </c>
      <c r="X1617" t="str">
        <f>VLOOKUP(L1617,'[2]tabela de preços'!$A:$G,7,0)</f>
        <v>INDUSTRIAL</v>
      </c>
    </row>
    <row r="1618" spans="1:24" x14ac:dyDescent="0.3">
      <c r="A1618" t="s">
        <v>1701</v>
      </c>
      <c r="C1618" t="s">
        <v>1702</v>
      </c>
      <c r="D1618" s="1">
        <v>46027</v>
      </c>
      <c r="E1618" t="s">
        <v>1703</v>
      </c>
      <c r="F1618">
        <v>9</v>
      </c>
      <c r="G1618">
        <v>197</v>
      </c>
      <c r="H1618" t="str">
        <f>VLOOKUP(G1618,[1]OPERADORES!$A:$B,2,0)</f>
        <v xml:space="preserve">POLIANA LORRANE DE AMORIM </v>
      </c>
      <c r="I1618" t="s">
        <v>21</v>
      </c>
      <c r="J1618" t="s">
        <v>265</v>
      </c>
      <c r="K1618" t="s">
        <v>1704</v>
      </c>
      <c r="L1618">
        <v>84348</v>
      </c>
      <c r="M1618" t="s">
        <v>1711</v>
      </c>
      <c r="O1618" t="s">
        <v>11</v>
      </c>
      <c r="P1618">
        <v>5403</v>
      </c>
      <c r="Q1618">
        <v>2</v>
      </c>
      <c r="R1618">
        <v>60.89</v>
      </c>
      <c r="S1618">
        <v>121.78</v>
      </c>
      <c r="T1618">
        <v>95.32</v>
      </c>
      <c r="U1618">
        <v>21.73</v>
      </c>
      <c r="V1618" t="str">
        <f>VLOOKUP(L1618,'[2]tabela de preços'!$A:$D,4,0)</f>
        <v>BRASILUX</v>
      </c>
      <c r="W1618" t="str">
        <f>VLOOKUP(L1618,'[2]tabela de preços'!$A:$F,6,0)</f>
        <v>ESMALTES</v>
      </c>
      <c r="X1618" t="str">
        <f>VLOOKUP(L1618,'[2]tabela de preços'!$A:$G,7,0)</f>
        <v>INDUSTRIAL</v>
      </c>
    </row>
    <row r="1619" spans="1:24" x14ac:dyDescent="0.3">
      <c r="A1619" t="s">
        <v>1701</v>
      </c>
      <c r="C1619" t="s">
        <v>1702</v>
      </c>
      <c r="D1619" s="1">
        <v>46027</v>
      </c>
      <c r="E1619" t="s">
        <v>1703</v>
      </c>
      <c r="F1619">
        <v>9</v>
      </c>
      <c r="G1619">
        <v>197</v>
      </c>
      <c r="H1619" t="str">
        <f>VLOOKUP(G1619,[1]OPERADORES!$A:$B,2,0)</f>
        <v xml:space="preserve">POLIANA LORRANE DE AMORIM </v>
      </c>
      <c r="I1619" t="s">
        <v>21</v>
      </c>
      <c r="J1619" t="s">
        <v>265</v>
      </c>
      <c r="K1619" t="s">
        <v>1704</v>
      </c>
      <c r="L1619">
        <v>84129</v>
      </c>
      <c r="M1619" t="s">
        <v>1712</v>
      </c>
      <c r="O1619" t="s">
        <v>11</v>
      </c>
      <c r="P1619">
        <v>5403</v>
      </c>
      <c r="Q1619">
        <v>2</v>
      </c>
      <c r="R1619">
        <v>18.97</v>
      </c>
      <c r="S1619">
        <v>37.94</v>
      </c>
      <c r="T1619">
        <v>28.8</v>
      </c>
      <c r="U1619">
        <v>24.09</v>
      </c>
      <c r="V1619" t="str">
        <f>VLOOKUP(L1619,'[2]tabela de preços'!$A:$D,4,0)</f>
        <v>BRASILUX</v>
      </c>
      <c r="W1619" t="str">
        <f>VLOOKUP(L1619,'[2]tabela de preços'!$A:$F,6,0)</f>
        <v>ESMALTES</v>
      </c>
      <c r="X1619" t="str">
        <f>VLOOKUP(L1619,'[2]tabela de preços'!$A:$G,7,0)</f>
        <v>INDUSTRIAL</v>
      </c>
    </row>
    <row r="1620" spans="1:24" x14ac:dyDescent="0.3">
      <c r="A1620" t="s">
        <v>1701</v>
      </c>
      <c r="C1620" t="s">
        <v>1702</v>
      </c>
      <c r="D1620" s="1">
        <v>46027</v>
      </c>
      <c r="E1620" t="s">
        <v>1703</v>
      </c>
      <c r="F1620">
        <v>9</v>
      </c>
      <c r="G1620">
        <v>197</v>
      </c>
      <c r="H1620" t="str">
        <f>VLOOKUP(G1620,[1]OPERADORES!$A:$B,2,0)</f>
        <v xml:space="preserve">POLIANA LORRANE DE AMORIM </v>
      </c>
      <c r="I1620" t="s">
        <v>21</v>
      </c>
      <c r="J1620" t="s">
        <v>265</v>
      </c>
      <c r="K1620" t="s">
        <v>1704</v>
      </c>
      <c r="L1620">
        <v>84960</v>
      </c>
      <c r="M1620" t="s">
        <v>1004</v>
      </c>
      <c r="O1620" t="s">
        <v>11</v>
      </c>
      <c r="P1620">
        <v>5403</v>
      </c>
      <c r="Q1620">
        <v>2</v>
      </c>
      <c r="R1620">
        <v>78.31</v>
      </c>
      <c r="S1620">
        <v>156.62</v>
      </c>
      <c r="T1620">
        <v>118.88</v>
      </c>
      <c r="U1620">
        <v>24.1</v>
      </c>
      <c r="V1620" t="str">
        <f>VLOOKUP(L1620,'[2]tabela de preços'!$A:$D,4,0)</f>
        <v>BRASILUX</v>
      </c>
      <c r="W1620" t="str">
        <f>VLOOKUP(L1620,'[2]tabela de preços'!$A:$F,6,0)</f>
        <v>IMPERMEABILIZANTES</v>
      </c>
      <c r="X1620" t="str">
        <f>VLOOKUP(L1620,'[2]tabela de preços'!$A:$G,7,0)</f>
        <v>IMOBILIÁRIO</v>
      </c>
    </row>
    <row r="1621" spans="1:24" x14ac:dyDescent="0.3">
      <c r="A1621" t="s">
        <v>1701</v>
      </c>
      <c r="C1621" t="s">
        <v>1702</v>
      </c>
      <c r="D1621" s="1">
        <v>46027</v>
      </c>
      <c r="E1621" t="s">
        <v>1703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10297</v>
      </c>
      <c r="M1621" t="s">
        <v>41</v>
      </c>
      <c r="O1621" t="s">
        <v>11</v>
      </c>
      <c r="P1621">
        <v>5102</v>
      </c>
      <c r="Q1621">
        <v>36</v>
      </c>
      <c r="R1621">
        <v>10.49</v>
      </c>
      <c r="S1621">
        <v>377.64</v>
      </c>
      <c r="T1621">
        <v>330.12</v>
      </c>
      <c r="U1621">
        <v>12.58</v>
      </c>
      <c r="V1621" t="str">
        <f>VLOOKUP(L1621,'[2]tabela de preços'!$A:$D,4,0)</f>
        <v>ANJO</v>
      </c>
      <c r="W1621" t="str">
        <f>VLOOKUP(L1621,'[2]tabela de preços'!$A:$F,6,0)</f>
        <v>THINNER DE LIMPEZA</v>
      </c>
      <c r="X1621" t="str">
        <f>VLOOKUP(L1621,'[2]tabela de preços'!$A:$G,7,0)</f>
        <v>THINNER</v>
      </c>
    </row>
    <row r="1622" spans="1:24" x14ac:dyDescent="0.3">
      <c r="A1622" t="s">
        <v>1701</v>
      </c>
      <c r="C1622" t="s">
        <v>1713</v>
      </c>
      <c r="D1622" s="1">
        <v>46030</v>
      </c>
      <c r="E1622" t="s">
        <v>1714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84145</v>
      </c>
      <c r="M1622" t="s">
        <v>301</v>
      </c>
      <c r="O1622" t="s">
        <v>11</v>
      </c>
      <c r="P1622">
        <v>5403</v>
      </c>
      <c r="Q1622">
        <v>2</v>
      </c>
      <c r="R1622">
        <v>68.52</v>
      </c>
      <c r="S1622">
        <v>137.04</v>
      </c>
      <c r="T1622">
        <v>104.02</v>
      </c>
      <c r="U1622">
        <v>24.1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1713</v>
      </c>
      <c r="D1623" s="1">
        <v>46030</v>
      </c>
      <c r="E1623" t="s">
        <v>1714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84344</v>
      </c>
      <c r="M1623" t="s">
        <v>1000</v>
      </c>
      <c r="O1623" t="s">
        <v>11</v>
      </c>
      <c r="P1623">
        <v>5403</v>
      </c>
      <c r="Q1623">
        <v>1</v>
      </c>
      <c r="R1623">
        <v>60.89</v>
      </c>
      <c r="S1623">
        <v>60.89</v>
      </c>
      <c r="T1623">
        <v>49.66</v>
      </c>
      <c r="U1623">
        <v>18.440000000000001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1713</v>
      </c>
      <c r="D1624" s="1">
        <v>46030</v>
      </c>
      <c r="E1624" t="s">
        <v>1714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84174</v>
      </c>
      <c r="M1624" t="s">
        <v>1532</v>
      </c>
      <c r="O1624" t="s">
        <v>11</v>
      </c>
      <c r="P1624">
        <v>5403</v>
      </c>
      <c r="Q1624">
        <v>2</v>
      </c>
      <c r="R1624">
        <v>92.33</v>
      </c>
      <c r="S1624">
        <v>184.66</v>
      </c>
      <c r="T1624">
        <v>140.16</v>
      </c>
      <c r="U1624">
        <v>24.1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1713</v>
      </c>
      <c r="D1625" s="1">
        <v>46030</v>
      </c>
      <c r="E1625" t="s">
        <v>1714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10298</v>
      </c>
      <c r="M1625" t="s">
        <v>85</v>
      </c>
      <c r="O1625" t="s">
        <v>11</v>
      </c>
      <c r="P1625">
        <v>5102</v>
      </c>
      <c r="Q1625">
        <v>8</v>
      </c>
      <c r="R1625">
        <v>56.8</v>
      </c>
      <c r="S1625">
        <v>454.4</v>
      </c>
      <c r="T1625">
        <v>379.04</v>
      </c>
      <c r="U1625">
        <v>16.579999999999998</v>
      </c>
      <c r="V1625" t="str">
        <f>VLOOKUP(L1625,'[2]tabela de preços'!$A:$D,4,0)</f>
        <v>ANJO</v>
      </c>
      <c r="W1625" t="str">
        <f>VLOOKUP(L1625,'[2]tabela de preços'!$A:$F,6,0)</f>
        <v>THINNER DE LIMPEZA</v>
      </c>
      <c r="X1625" t="str">
        <f>VLOOKUP(L1625,'[2]tabela de preços'!$A:$G,7,0)</f>
        <v>THINNER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84328</v>
      </c>
      <c r="M1626" t="s">
        <v>496</v>
      </c>
      <c r="O1626" t="s">
        <v>11</v>
      </c>
      <c r="P1626">
        <v>5403</v>
      </c>
      <c r="Q1626">
        <v>1</v>
      </c>
      <c r="R1626">
        <v>59.98</v>
      </c>
      <c r="S1626">
        <v>59.98</v>
      </c>
      <c r="T1626">
        <v>46.19</v>
      </c>
      <c r="U1626">
        <v>22.99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1701</v>
      </c>
      <c r="C1627" t="s">
        <v>1715</v>
      </c>
      <c r="D1627" s="1">
        <v>46035</v>
      </c>
      <c r="E1627" t="s">
        <v>1716</v>
      </c>
      <c r="F1627">
        <v>9</v>
      </c>
      <c r="G1627">
        <v>197</v>
      </c>
      <c r="H1627" t="str">
        <f>VLOOKUP(G1627,[1]OPERADORES!$A:$B,2,0)</f>
        <v xml:space="preserve">POLIANA LORRANE DE AMORIM </v>
      </c>
      <c r="I1627" t="s">
        <v>21</v>
      </c>
      <c r="J1627" t="s">
        <v>265</v>
      </c>
      <c r="K1627" t="s">
        <v>1704</v>
      </c>
      <c r="L1627">
        <v>84144</v>
      </c>
      <c r="M1627" t="s">
        <v>1287</v>
      </c>
      <c r="O1627" t="s">
        <v>11</v>
      </c>
      <c r="P1627">
        <v>5403</v>
      </c>
      <c r="Q1627">
        <v>3</v>
      </c>
      <c r="R1627">
        <v>59.98</v>
      </c>
      <c r="S1627">
        <v>179.94</v>
      </c>
      <c r="T1627">
        <v>156</v>
      </c>
      <c r="U1627">
        <v>13.3</v>
      </c>
      <c r="V1627" t="str">
        <f>VLOOKUP(L1627,'[2]tabela de preços'!$A:$D,4,0)</f>
        <v>BRASILUX</v>
      </c>
      <c r="W1627" t="str">
        <f>VLOOKUP(L1627,'[2]tabela de preços'!$A:$F,6,0)</f>
        <v>ESMALTES</v>
      </c>
      <c r="X1627" t="str">
        <f>VLOOKUP(L1627,'[2]tabela de preços'!$A:$G,7,0)</f>
        <v>INDUSTRIAL</v>
      </c>
    </row>
    <row r="1628" spans="1:24" x14ac:dyDescent="0.3">
      <c r="A1628" t="s">
        <v>1701</v>
      </c>
      <c r="C1628" t="s">
        <v>1715</v>
      </c>
      <c r="D1628" s="1">
        <v>46035</v>
      </c>
      <c r="E1628" t="s">
        <v>1716</v>
      </c>
      <c r="F1628">
        <v>9</v>
      </c>
      <c r="G1628">
        <v>197</v>
      </c>
      <c r="H1628" t="str">
        <f>VLOOKUP(G1628,[1]OPERADORES!$A:$B,2,0)</f>
        <v xml:space="preserve">POLIANA LORRANE DE AMORIM </v>
      </c>
      <c r="I1628" t="s">
        <v>21</v>
      </c>
      <c r="J1628" t="s">
        <v>265</v>
      </c>
      <c r="K1628" t="s">
        <v>1704</v>
      </c>
      <c r="L1628">
        <v>84147</v>
      </c>
      <c r="M1628" t="s">
        <v>1717</v>
      </c>
      <c r="O1628" t="s">
        <v>11</v>
      </c>
      <c r="P1628">
        <v>5403</v>
      </c>
      <c r="Q1628">
        <v>4</v>
      </c>
      <c r="R1628">
        <v>19.41</v>
      </c>
      <c r="S1628">
        <v>77.64</v>
      </c>
      <c r="T1628">
        <v>58.92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ESMALTES</v>
      </c>
      <c r="X1628" t="str">
        <f>VLOOKUP(L1628,'[2]tabela de preços'!$A:$G,7,0)</f>
        <v>INDUSTRIAL</v>
      </c>
    </row>
    <row r="1629" spans="1:24" x14ac:dyDescent="0.3">
      <c r="A1629" t="s">
        <v>1701</v>
      </c>
      <c r="C1629" t="s">
        <v>1715</v>
      </c>
      <c r="D1629" s="1">
        <v>46035</v>
      </c>
      <c r="E1629" t="s">
        <v>1716</v>
      </c>
      <c r="F1629">
        <v>9</v>
      </c>
      <c r="G1629">
        <v>197</v>
      </c>
      <c r="H1629" t="str">
        <f>VLOOKUP(G1629,[1]OPERADORES!$A:$B,2,0)</f>
        <v xml:space="preserve">POLIANA LORRANE DE AMORIM </v>
      </c>
      <c r="I1629" t="s">
        <v>21</v>
      </c>
      <c r="J1629" t="s">
        <v>265</v>
      </c>
      <c r="K1629" t="s">
        <v>1704</v>
      </c>
      <c r="L1629">
        <v>84348</v>
      </c>
      <c r="M1629" t="s">
        <v>1711</v>
      </c>
      <c r="O1629" t="s">
        <v>11</v>
      </c>
      <c r="P1629">
        <v>5403</v>
      </c>
      <c r="Q1629">
        <v>1</v>
      </c>
      <c r="R1629">
        <v>59.98</v>
      </c>
      <c r="S1629">
        <v>59.98</v>
      </c>
      <c r="T1629">
        <v>47.66</v>
      </c>
      <c r="U1629">
        <v>20.54</v>
      </c>
      <c r="V1629" t="str">
        <f>VLOOKUP(L1629,'[2]tabela de preços'!$A:$D,4,0)</f>
        <v>BRASILUX</v>
      </c>
      <c r="W1629" t="str">
        <f>VLOOKUP(L1629,'[2]tabela de preços'!$A:$F,6,0)</f>
        <v>ESMALTES</v>
      </c>
      <c r="X1629" t="str">
        <f>VLOOKUP(L1629,'[2]tabela de preços'!$A:$G,7,0)</f>
        <v>INDUSTRIAL</v>
      </c>
    </row>
    <row r="1630" spans="1:24" x14ac:dyDescent="0.3">
      <c r="A1630" t="s">
        <v>1701</v>
      </c>
      <c r="C1630" t="s">
        <v>1715</v>
      </c>
      <c r="D1630" s="1">
        <v>46035</v>
      </c>
      <c r="E1630" t="s">
        <v>1716</v>
      </c>
      <c r="F1630">
        <v>9</v>
      </c>
      <c r="G1630">
        <v>197</v>
      </c>
      <c r="H1630" t="str">
        <f>VLOOKUP(G1630,[1]OPERADORES!$A:$B,2,0)</f>
        <v xml:space="preserve">POLIANA LORRANE DE AMORIM </v>
      </c>
      <c r="I1630" t="s">
        <v>21</v>
      </c>
      <c r="J1630" t="s">
        <v>265</v>
      </c>
      <c r="K1630" t="s">
        <v>1704</v>
      </c>
      <c r="L1630">
        <v>84177</v>
      </c>
      <c r="M1630" t="s">
        <v>1718</v>
      </c>
      <c r="O1630" t="s">
        <v>11</v>
      </c>
      <c r="P1630">
        <v>5403</v>
      </c>
      <c r="Q1630">
        <v>3</v>
      </c>
      <c r="R1630">
        <v>29.69</v>
      </c>
      <c r="S1630">
        <v>89.07</v>
      </c>
      <c r="T1630">
        <v>67.62</v>
      </c>
      <c r="U1630">
        <v>24.08</v>
      </c>
      <c r="V1630" t="str">
        <f>VLOOKUP(L1630,'[2]tabela de preços'!$A:$D,4,0)</f>
        <v>BRASILUX</v>
      </c>
      <c r="W1630" t="str">
        <f>VLOOKUP(L1630,'[2]tabela de preços'!$A:$F,6,0)</f>
        <v>ESMALTES</v>
      </c>
      <c r="X1630" t="str">
        <f>VLOOKUP(L1630,'[2]tabela de preços'!$A:$G,7,0)</f>
        <v>INDUSTRIAL</v>
      </c>
    </row>
    <row r="1631" spans="1:24" x14ac:dyDescent="0.3">
      <c r="A1631" t="s">
        <v>1701</v>
      </c>
      <c r="C1631" t="s">
        <v>1715</v>
      </c>
      <c r="D1631" s="1">
        <v>46035</v>
      </c>
      <c r="E1631" t="s">
        <v>1716</v>
      </c>
      <c r="F1631">
        <v>9</v>
      </c>
      <c r="G1631">
        <v>197</v>
      </c>
      <c r="H1631" t="str">
        <f>VLOOKUP(G1631,[1]OPERADORES!$A:$B,2,0)</f>
        <v xml:space="preserve">POLIANA LORRANE DE AMORIM </v>
      </c>
      <c r="I1631" t="s">
        <v>21</v>
      </c>
      <c r="J1631" t="s">
        <v>265</v>
      </c>
      <c r="K1631" t="s">
        <v>1704</v>
      </c>
      <c r="L1631">
        <v>84073</v>
      </c>
      <c r="M1631" t="s">
        <v>1719</v>
      </c>
      <c r="O1631" t="s">
        <v>11</v>
      </c>
      <c r="P1631">
        <v>5403</v>
      </c>
      <c r="Q1631">
        <v>1</v>
      </c>
      <c r="R1631">
        <v>27.77</v>
      </c>
      <c r="S1631">
        <v>27.77</v>
      </c>
      <c r="T1631">
        <v>20.36</v>
      </c>
      <c r="U1631">
        <v>26.68</v>
      </c>
      <c r="V1631" t="str">
        <f>VLOOKUP(L1631,'[2]tabela de preços'!$A:$D,4,0)</f>
        <v>BRASILUX</v>
      </c>
      <c r="W1631" t="str">
        <f>VLOOKUP(L1631,'[2]tabela de preços'!$A:$F,6,0)</f>
        <v>ESMALTES</v>
      </c>
      <c r="X1631" t="str">
        <f>VLOOKUP(L1631,'[2]tabela de preços'!$A:$G,7,0)</f>
        <v>INDUSTRIAL</v>
      </c>
    </row>
    <row r="1632" spans="1:24" x14ac:dyDescent="0.3">
      <c r="A1632" t="s">
        <v>1701</v>
      </c>
      <c r="C1632" t="s">
        <v>1720</v>
      </c>
      <c r="D1632" s="1">
        <v>46036</v>
      </c>
      <c r="E1632" t="s">
        <v>1721</v>
      </c>
      <c r="F1632">
        <v>9</v>
      </c>
      <c r="G1632">
        <v>197</v>
      </c>
      <c r="H1632" t="str">
        <f>VLOOKUP(G1632,[1]OPERADORES!$A:$B,2,0)</f>
        <v xml:space="preserve">POLIANA LORRANE DE AMORIM </v>
      </c>
      <c r="I1632" t="s">
        <v>21</v>
      </c>
      <c r="J1632" t="s">
        <v>265</v>
      </c>
      <c r="K1632" t="s">
        <v>1704</v>
      </c>
      <c r="L1632">
        <v>84329</v>
      </c>
      <c r="M1632" t="s">
        <v>285</v>
      </c>
      <c r="O1632" t="s">
        <v>11</v>
      </c>
      <c r="P1632">
        <v>5403</v>
      </c>
      <c r="Q1632">
        <v>2</v>
      </c>
      <c r="R1632">
        <v>59.98</v>
      </c>
      <c r="S1632">
        <v>119.96</v>
      </c>
      <c r="T1632">
        <v>96.54</v>
      </c>
      <c r="U1632">
        <v>19.52</v>
      </c>
      <c r="V1632" t="str">
        <f>VLOOKUP(L1632,'[2]tabela de preços'!$A:$D,4,0)</f>
        <v>BRASILUX</v>
      </c>
      <c r="W1632" t="str">
        <f>VLOOKUP(L1632,'[2]tabela de preços'!$A:$F,6,0)</f>
        <v>ESMALTES</v>
      </c>
      <c r="X1632" t="str">
        <f>VLOOKUP(L1632,'[2]tabela de preços'!$A:$G,7,0)</f>
        <v>INDUSTRIAL</v>
      </c>
    </row>
    <row r="1633" spans="1:24" x14ac:dyDescent="0.3">
      <c r="A1633" t="s">
        <v>1701</v>
      </c>
      <c r="C1633" t="s">
        <v>1720</v>
      </c>
      <c r="D1633" s="1">
        <v>46036</v>
      </c>
      <c r="E1633" t="s">
        <v>1721</v>
      </c>
      <c r="F1633">
        <v>9</v>
      </c>
      <c r="G1633">
        <v>197</v>
      </c>
      <c r="H1633" t="str">
        <f>VLOOKUP(G1633,[1]OPERADORES!$A:$B,2,0)</f>
        <v xml:space="preserve">POLIANA LORRANE DE AMORIM </v>
      </c>
      <c r="I1633" t="s">
        <v>21</v>
      </c>
      <c r="J1633" t="s">
        <v>265</v>
      </c>
      <c r="K1633" t="s">
        <v>1704</v>
      </c>
      <c r="L1633">
        <v>84333</v>
      </c>
      <c r="M1633" t="s">
        <v>1025</v>
      </c>
      <c r="O1633" t="s">
        <v>11</v>
      </c>
      <c r="P1633">
        <v>5403</v>
      </c>
      <c r="Q1633">
        <v>4</v>
      </c>
      <c r="R1633">
        <v>59.98</v>
      </c>
      <c r="S1633">
        <v>239.92</v>
      </c>
      <c r="T1633">
        <v>188.16</v>
      </c>
      <c r="U1633">
        <v>21.57</v>
      </c>
      <c r="V1633" t="str">
        <f>VLOOKUP(L1633,'[2]tabela de preços'!$A:$D,4,0)</f>
        <v>BRASILUX</v>
      </c>
      <c r="W1633" t="str">
        <f>VLOOKUP(L1633,'[2]tabela de preços'!$A:$F,6,0)</f>
        <v>ESMALTES</v>
      </c>
      <c r="X1633" t="str">
        <f>VLOOKUP(L1633,'[2]tabela de preços'!$A:$G,7,0)</f>
        <v>INDUSTRIAL</v>
      </c>
    </row>
    <row r="1634" spans="1:24" x14ac:dyDescent="0.3">
      <c r="A1634" t="s">
        <v>1701</v>
      </c>
      <c r="C1634" t="s">
        <v>1720</v>
      </c>
      <c r="D1634" s="1">
        <v>46036</v>
      </c>
      <c r="E1634" t="s">
        <v>1721</v>
      </c>
      <c r="F1634">
        <v>9</v>
      </c>
      <c r="G1634">
        <v>197</v>
      </c>
      <c r="H1634" t="str">
        <f>VLOOKUP(G1634,[1]OPERADORES!$A:$B,2,0)</f>
        <v xml:space="preserve">POLIANA LORRANE DE AMORIM </v>
      </c>
      <c r="I1634" t="s">
        <v>21</v>
      </c>
      <c r="J1634" t="s">
        <v>265</v>
      </c>
      <c r="K1634" t="s">
        <v>1704</v>
      </c>
      <c r="L1634">
        <v>84360</v>
      </c>
      <c r="M1634" t="s">
        <v>1722</v>
      </c>
      <c r="O1634" t="s">
        <v>11</v>
      </c>
      <c r="P1634">
        <v>5403</v>
      </c>
      <c r="Q1634">
        <v>2</v>
      </c>
      <c r="R1634">
        <v>19.75</v>
      </c>
      <c r="S1634">
        <v>39.5</v>
      </c>
      <c r="T1634">
        <v>29.98</v>
      </c>
      <c r="U1634">
        <v>24.1</v>
      </c>
      <c r="V1634" t="str">
        <f>VLOOKUP(L1634,'[2]tabela de preços'!$A:$D,4,0)</f>
        <v>BRASILUX</v>
      </c>
      <c r="W1634" t="str">
        <f>VLOOKUP(L1634,'[2]tabela de preços'!$A:$F,6,0)</f>
        <v>ESMALTES</v>
      </c>
      <c r="X1634" t="str">
        <f>VLOOKUP(L1634,'[2]tabela de preços'!$A:$G,7,0)</f>
        <v>INDUSTRIAL</v>
      </c>
    </row>
    <row r="1635" spans="1:24" x14ac:dyDescent="0.3">
      <c r="A1635" t="s">
        <v>1701</v>
      </c>
      <c r="C1635" t="s">
        <v>1720</v>
      </c>
      <c r="D1635" s="1">
        <v>46036</v>
      </c>
      <c r="E1635" t="s">
        <v>1721</v>
      </c>
      <c r="F1635">
        <v>9</v>
      </c>
      <c r="G1635">
        <v>197</v>
      </c>
      <c r="H1635" t="str">
        <f>VLOOKUP(G1635,[1]OPERADORES!$A:$B,2,0)</f>
        <v xml:space="preserve">POLIANA LORRANE DE AMORIM </v>
      </c>
      <c r="I1635" t="s">
        <v>21</v>
      </c>
      <c r="J1635" t="s">
        <v>265</v>
      </c>
      <c r="K1635" t="s">
        <v>1704</v>
      </c>
      <c r="L1635">
        <v>84145</v>
      </c>
      <c r="M1635" t="s">
        <v>301</v>
      </c>
      <c r="O1635" t="s">
        <v>11</v>
      </c>
      <c r="P1635">
        <v>5403</v>
      </c>
      <c r="Q1635">
        <v>4</v>
      </c>
      <c r="R1635">
        <v>59.98</v>
      </c>
      <c r="S1635">
        <v>239.92</v>
      </c>
      <c r="T1635">
        <v>208.04</v>
      </c>
      <c r="U1635">
        <v>13.29</v>
      </c>
      <c r="V1635" t="str">
        <f>VLOOKUP(L1635,'[2]tabela de preços'!$A:$D,4,0)</f>
        <v>BRASILUX</v>
      </c>
      <c r="W1635" t="str">
        <f>VLOOKUP(L1635,'[2]tabela de preços'!$A:$F,6,0)</f>
        <v>ESMALTES</v>
      </c>
      <c r="X1635" t="str">
        <f>VLOOKUP(L1635,'[2]tabela de preços'!$A:$G,7,0)</f>
        <v>INDUSTRIAL</v>
      </c>
    </row>
    <row r="1636" spans="1:24" x14ac:dyDescent="0.3">
      <c r="A1636" t="s">
        <v>1701</v>
      </c>
      <c r="C1636" t="s">
        <v>1720</v>
      </c>
      <c r="D1636" s="1">
        <v>46036</v>
      </c>
      <c r="E1636" t="s">
        <v>1721</v>
      </c>
      <c r="F1636">
        <v>9</v>
      </c>
      <c r="G1636">
        <v>197</v>
      </c>
      <c r="H1636" t="str">
        <f>VLOOKUP(G1636,[1]OPERADORES!$A:$B,2,0)</f>
        <v xml:space="preserve">POLIANA LORRANE DE AMORIM </v>
      </c>
      <c r="I1636" t="s">
        <v>21</v>
      </c>
      <c r="J1636" t="s">
        <v>265</v>
      </c>
      <c r="K1636" t="s">
        <v>1704</v>
      </c>
      <c r="L1636">
        <v>10298</v>
      </c>
      <c r="M1636" t="s">
        <v>85</v>
      </c>
      <c r="O1636" t="s">
        <v>11</v>
      </c>
      <c r="P1636">
        <v>5102</v>
      </c>
      <c r="Q1636">
        <v>4</v>
      </c>
      <c r="R1636">
        <v>56.89</v>
      </c>
      <c r="S1636">
        <v>227.56</v>
      </c>
      <c r="T1636">
        <v>189.52</v>
      </c>
      <c r="U1636">
        <v>16.72</v>
      </c>
      <c r="V1636" t="str">
        <f>VLOOKUP(L1636,'[2]tabela de preços'!$A:$D,4,0)</f>
        <v>ANJO</v>
      </c>
      <c r="W1636" t="str">
        <f>VLOOKUP(L1636,'[2]tabela de preços'!$A:$F,6,0)</f>
        <v>THINNER DE LIMPEZA</v>
      </c>
      <c r="X1636" t="str">
        <f>VLOOKUP(L1636,'[2]tabela de preços'!$A:$G,7,0)</f>
        <v>THINNER</v>
      </c>
    </row>
    <row r="1637" spans="1:24" x14ac:dyDescent="0.3">
      <c r="A1637" t="s">
        <v>1701</v>
      </c>
      <c r="C1637" t="s">
        <v>1723</v>
      </c>
      <c r="D1637" s="1">
        <v>46045</v>
      </c>
      <c r="E1637" t="s">
        <v>1724</v>
      </c>
      <c r="F1637">
        <v>9</v>
      </c>
      <c r="G1637">
        <v>197</v>
      </c>
      <c r="H1637" t="str">
        <f>VLOOKUP(G1637,[1]OPERADORES!$A:$B,2,0)</f>
        <v xml:space="preserve">POLIANA LORRANE DE AMORIM </v>
      </c>
      <c r="I1637" t="s">
        <v>21</v>
      </c>
      <c r="J1637" t="s">
        <v>265</v>
      </c>
      <c r="K1637" t="s">
        <v>1704</v>
      </c>
      <c r="L1637">
        <v>84325</v>
      </c>
      <c r="M1637" t="s">
        <v>678</v>
      </c>
      <c r="O1637" t="s">
        <v>11</v>
      </c>
      <c r="P1637">
        <v>5403</v>
      </c>
      <c r="Q1637">
        <v>1</v>
      </c>
      <c r="R1637">
        <v>59.98</v>
      </c>
      <c r="S1637">
        <v>59.98</v>
      </c>
      <c r="T1637">
        <v>52</v>
      </c>
      <c r="U1637">
        <v>13.3</v>
      </c>
      <c r="V1637" t="str">
        <f>VLOOKUP(L1637,'[2]tabela de preços'!$A:$D,4,0)</f>
        <v>BRASILUX</v>
      </c>
      <c r="W1637" t="str">
        <f>VLOOKUP(L1637,'[2]tabela de preços'!$A:$F,6,0)</f>
        <v>ESMALTES</v>
      </c>
      <c r="X1637" t="str">
        <f>VLOOKUP(L1637,'[2]tabela de preços'!$A:$G,7,0)</f>
        <v>INDUSTRIAL</v>
      </c>
    </row>
    <row r="1638" spans="1:24" x14ac:dyDescent="0.3">
      <c r="A1638" t="s">
        <v>1701</v>
      </c>
      <c r="C1638" t="s">
        <v>1723</v>
      </c>
      <c r="D1638" s="1">
        <v>46045</v>
      </c>
      <c r="E1638" t="s">
        <v>1724</v>
      </c>
      <c r="F1638">
        <v>9</v>
      </c>
      <c r="G1638">
        <v>197</v>
      </c>
      <c r="H1638" t="str">
        <f>VLOOKUP(G1638,[1]OPERADORES!$A:$B,2,0)</f>
        <v xml:space="preserve">POLIANA LORRANE DE AMORIM </v>
      </c>
      <c r="I1638" t="s">
        <v>21</v>
      </c>
      <c r="J1638" t="s">
        <v>265</v>
      </c>
      <c r="K1638" t="s">
        <v>1704</v>
      </c>
      <c r="L1638">
        <v>84142</v>
      </c>
      <c r="M1638" t="s">
        <v>1594</v>
      </c>
      <c r="O1638" t="s">
        <v>11</v>
      </c>
      <c r="P1638">
        <v>5403</v>
      </c>
      <c r="Q1638">
        <v>1</v>
      </c>
      <c r="R1638">
        <v>74.94</v>
      </c>
      <c r="S1638">
        <v>74.94</v>
      </c>
      <c r="T1638">
        <v>56.88</v>
      </c>
      <c r="U1638">
        <v>24.1</v>
      </c>
      <c r="V1638" t="str">
        <f>VLOOKUP(L1638,'[2]tabela de preços'!$A:$D,4,0)</f>
        <v>BRASILUX</v>
      </c>
      <c r="W1638" t="str">
        <f>VLOOKUP(L1638,'[2]tabela de preços'!$A:$F,6,0)</f>
        <v>ESMALTES</v>
      </c>
      <c r="X1638" t="str">
        <f>VLOOKUP(L1638,'[2]tabela de preços'!$A:$G,7,0)</f>
        <v>INDUSTRIAL</v>
      </c>
    </row>
    <row r="1639" spans="1:24" x14ac:dyDescent="0.3">
      <c r="A1639" t="s">
        <v>1701</v>
      </c>
      <c r="C1639" t="s">
        <v>1723</v>
      </c>
      <c r="D1639" s="1">
        <v>46045</v>
      </c>
      <c r="E1639" t="s">
        <v>1724</v>
      </c>
      <c r="F1639">
        <v>9</v>
      </c>
      <c r="G1639">
        <v>197</v>
      </c>
      <c r="H1639" t="str">
        <f>VLOOKUP(G1639,[1]OPERADORES!$A:$B,2,0)</f>
        <v xml:space="preserve">POLIANA LORRANE DE AMORIM </v>
      </c>
      <c r="I1639" t="s">
        <v>21</v>
      </c>
      <c r="J1639" t="s">
        <v>265</v>
      </c>
      <c r="K1639" t="s">
        <v>1704</v>
      </c>
      <c r="L1639">
        <v>84143</v>
      </c>
      <c r="M1639" t="s">
        <v>1706</v>
      </c>
      <c r="O1639" t="s">
        <v>11</v>
      </c>
      <c r="P1639">
        <v>5403</v>
      </c>
      <c r="Q1639">
        <v>1</v>
      </c>
      <c r="R1639">
        <v>20.41</v>
      </c>
      <c r="S1639">
        <v>20.41</v>
      </c>
      <c r="T1639">
        <v>15.49</v>
      </c>
      <c r="U1639">
        <v>24.11</v>
      </c>
      <c r="V1639" t="str">
        <f>VLOOKUP(L1639,'[2]tabela de preços'!$A:$D,4,0)</f>
        <v>BRASILUX</v>
      </c>
      <c r="W1639" t="str">
        <f>VLOOKUP(L1639,'[2]tabela de preços'!$A:$F,6,0)</f>
        <v>ESMALTES</v>
      </c>
      <c r="X1639" t="str">
        <f>VLOOKUP(L1639,'[2]tabela de preços'!$A:$G,7,0)</f>
        <v>INDUSTRIAL</v>
      </c>
    </row>
    <row r="1640" spans="1:24" x14ac:dyDescent="0.3">
      <c r="A1640" t="s">
        <v>1701</v>
      </c>
      <c r="C1640" t="s">
        <v>1723</v>
      </c>
      <c r="D1640" s="1">
        <v>46045</v>
      </c>
      <c r="E1640" t="s">
        <v>1724</v>
      </c>
      <c r="F1640">
        <v>9</v>
      </c>
      <c r="G1640">
        <v>197</v>
      </c>
      <c r="H1640" t="str">
        <f>VLOOKUP(G1640,[1]OPERADORES!$A:$B,2,0)</f>
        <v xml:space="preserve">POLIANA LORRANE DE AMORIM </v>
      </c>
      <c r="I1640" t="s">
        <v>21</v>
      </c>
      <c r="J1640" t="s">
        <v>265</v>
      </c>
      <c r="K1640" t="s">
        <v>1704</v>
      </c>
      <c r="L1640">
        <v>84331</v>
      </c>
      <c r="M1640" t="s">
        <v>497</v>
      </c>
      <c r="O1640" t="s">
        <v>11</v>
      </c>
      <c r="P1640">
        <v>5403</v>
      </c>
      <c r="Q1640">
        <v>4</v>
      </c>
      <c r="R1640">
        <v>59.98</v>
      </c>
      <c r="S1640">
        <v>239.92</v>
      </c>
      <c r="T1640">
        <v>208</v>
      </c>
      <c r="U1640">
        <v>13.3</v>
      </c>
      <c r="V1640" t="str">
        <f>VLOOKUP(L1640,'[2]tabela de preços'!$A:$D,4,0)</f>
        <v>BRASILUX</v>
      </c>
      <c r="W1640" t="str">
        <f>VLOOKUP(L1640,'[2]tabela de preços'!$A:$F,6,0)</f>
        <v>ESMALTES</v>
      </c>
      <c r="X1640" t="str">
        <f>VLOOKUP(L1640,'[2]tabela de preços'!$A:$G,7,0)</f>
        <v>INDUSTRIAL</v>
      </c>
    </row>
    <row r="1641" spans="1:24" x14ac:dyDescent="0.3">
      <c r="A1641" t="s">
        <v>1701</v>
      </c>
      <c r="C1641" t="s">
        <v>1723</v>
      </c>
      <c r="D1641" s="1">
        <v>46045</v>
      </c>
      <c r="E1641" t="s">
        <v>1724</v>
      </c>
      <c r="F1641">
        <v>9</v>
      </c>
      <c r="G1641">
        <v>197</v>
      </c>
      <c r="H1641" t="str">
        <f>VLOOKUP(G1641,[1]OPERADORES!$A:$B,2,0)</f>
        <v xml:space="preserve">POLIANA LORRANE DE AMORIM </v>
      </c>
      <c r="I1641" t="s">
        <v>21</v>
      </c>
      <c r="J1641" t="s">
        <v>265</v>
      </c>
      <c r="K1641" t="s">
        <v>1704</v>
      </c>
      <c r="L1641">
        <v>84146</v>
      </c>
      <c r="M1641" t="s">
        <v>1707</v>
      </c>
      <c r="O1641" t="s">
        <v>11</v>
      </c>
      <c r="P1641">
        <v>5403</v>
      </c>
      <c r="Q1641">
        <v>3</v>
      </c>
      <c r="R1641">
        <v>21.56</v>
      </c>
      <c r="S1641">
        <v>64.680000000000007</v>
      </c>
      <c r="T1641">
        <v>49.11</v>
      </c>
      <c r="U1641">
        <v>24.07</v>
      </c>
      <c r="V1641" t="str">
        <f>VLOOKUP(L1641,'[2]tabela de preços'!$A:$D,4,0)</f>
        <v>BRASILUX</v>
      </c>
      <c r="W1641" t="str">
        <f>VLOOKUP(L1641,'[2]tabela de preços'!$A:$F,6,0)</f>
        <v>ESMALTES</v>
      </c>
      <c r="X1641" t="str">
        <f>VLOOKUP(L1641,'[2]tabela de preços'!$A:$G,7,0)</f>
        <v>INDUSTRIAL</v>
      </c>
    </row>
    <row r="1642" spans="1:24" x14ac:dyDescent="0.3">
      <c r="A1642" t="s">
        <v>1701</v>
      </c>
      <c r="C1642" t="s">
        <v>1723</v>
      </c>
      <c r="D1642" s="1">
        <v>46045</v>
      </c>
      <c r="E1642" t="s">
        <v>1724</v>
      </c>
      <c r="F1642">
        <v>9</v>
      </c>
      <c r="G1642">
        <v>197</v>
      </c>
      <c r="H1642" t="str">
        <f>VLOOKUP(G1642,[1]OPERADORES!$A:$B,2,0)</f>
        <v xml:space="preserve">POLIANA LORRANE DE AMORIM </v>
      </c>
      <c r="I1642" t="s">
        <v>21</v>
      </c>
      <c r="J1642" t="s">
        <v>265</v>
      </c>
      <c r="K1642" t="s">
        <v>1704</v>
      </c>
      <c r="L1642">
        <v>84364</v>
      </c>
      <c r="M1642" t="s">
        <v>1725</v>
      </c>
      <c r="O1642" t="s">
        <v>11</v>
      </c>
      <c r="P1642">
        <v>5403</v>
      </c>
      <c r="Q1642">
        <v>1</v>
      </c>
      <c r="R1642">
        <v>19.77</v>
      </c>
      <c r="S1642">
        <v>19.77</v>
      </c>
      <c r="T1642">
        <v>15.01</v>
      </c>
      <c r="U1642">
        <v>24.08</v>
      </c>
      <c r="V1642" t="str">
        <f>VLOOKUP(L1642,'[2]tabela de preços'!$A:$D,4,0)</f>
        <v>BRASILUX</v>
      </c>
      <c r="W1642" t="str">
        <f>VLOOKUP(L1642,'[2]tabela de preços'!$A:$F,6,0)</f>
        <v>ESMALTES</v>
      </c>
      <c r="X1642" t="str">
        <f>VLOOKUP(L1642,'[2]tabela de preços'!$A:$G,7,0)</f>
        <v>INDUSTRIAL</v>
      </c>
    </row>
    <row r="1643" spans="1:24" x14ac:dyDescent="0.3">
      <c r="A1643" t="s">
        <v>1701</v>
      </c>
      <c r="C1643" t="s">
        <v>1723</v>
      </c>
      <c r="D1643" s="1">
        <v>46045</v>
      </c>
      <c r="E1643" t="s">
        <v>1724</v>
      </c>
      <c r="F1643">
        <v>9</v>
      </c>
      <c r="G1643">
        <v>197</v>
      </c>
      <c r="H1643" t="str">
        <f>VLOOKUP(G1643,[1]OPERADORES!$A:$B,2,0)</f>
        <v xml:space="preserve">POLIANA LORRANE DE AMORIM </v>
      </c>
      <c r="I1643" t="s">
        <v>21</v>
      </c>
      <c r="J1643" t="s">
        <v>265</v>
      </c>
      <c r="K1643" t="s">
        <v>1704</v>
      </c>
      <c r="L1643">
        <v>84335</v>
      </c>
      <c r="M1643" t="s">
        <v>269</v>
      </c>
      <c r="O1643" t="s">
        <v>11</v>
      </c>
      <c r="P1643">
        <v>5403</v>
      </c>
      <c r="Q1643">
        <v>4</v>
      </c>
      <c r="R1643">
        <v>59.98</v>
      </c>
      <c r="S1643">
        <v>239.92</v>
      </c>
      <c r="T1643">
        <v>202.6</v>
      </c>
      <c r="U1643">
        <v>15.56</v>
      </c>
      <c r="V1643" t="str">
        <f>VLOOKUP(L1643,'[2]tabela de preços'!$A:$D,4,0)</f>
        <v>BRASILUX</v>
      </c>
      <c r="W1643" t="str">
        <f>VLOOKUP(L1643,'[2]tabela de preços'!$A:$F,6,0)</f>
        <v>ESMALTES</v>
      </c>
      <c r="X1643" t="str">
        <f>VLOOKUP(L1643,'[2]tabela de preços'!$A:$G,7,0)</f>
        <v>INDUSTRIAL</v>
      </c>
    </row>
    <row r="1644" spans="1:24" x14ac:dyDescent="0.3">
      <c r="A1644" t="s">
        <v>1701</v>
      </c>
      <c r="C1644" t="s">
        <v>1723</v>
      </c>
      <c r="D1644" s="1">
        <v>46045</v>
      </c>
      <c r="E1644" t="s">
        <v>1724</v>
      </c>
      <c r="F1644">
        <v>9</v>
      </c>
      <c r="G1644">
        <v>197</v>
      </c>
      <c r="H1644" t="str">
        <f>VLOOKUP(G1644,[1]OPERADORES!$A:$B,2,0)</f>
        <v xml:space="preserve">POLIANA LORRANE DE AMORIM </v>
      </c>
      <c r="I1644" t="s">
        <v>21</v>
      </c>
      <c r="J1644" t="s">
        <v>265</v>
      </c>
      <c r="K1644" t="s">
        <v>1704</v>
      </c>
      <c r="L1644">
        <v>84123</v>
      </c>
      <c r="M1644" t="s">
        <v>296</v>
      </c>
      <c r="O1644" t="s">
        <v>11</v>
      </c>
      <c r="P1644">
        <v>5403</v>
      </c>
      <c r="Q1644">
        <v>4</v>
      </c>
      <c r="R1644">
        <v>19.100000000000001</v>
      </c>
      <c r="S1644">
        <v>76.400000000000006</v>
      </c>
      <c r="T1644">
        <v>58</v>
      </c>
      <c r="U1644">
        <v>24.08</v>
      </c>
      <c r="V1644" t="str">
        <f>VLOOKUP(L1644,'[2]tabela de preços'!$A:$D,4,0)</f>
        <v>BRASILUX</v>
      </c>
      <c r="W1644" t="str">
        <f>VLOOKUP(L1644,'[2]tabela de preços'!$A:$F,6,0)</f>
        <v>ESMALTES</v>
      </c>
      <c r="X1644" t="str">
        <f>VLOOKUP(L1644,'[2]tabela de preços'!$A:$G,7,0)</f>
        <v>INDUSTRIAL</v>
      </c>
    </row>
    <row r="1645" spans="1:24" x14ac:dyDescent="0.3">
      <c r="A1645" t="s">
        <v>1701</v>
      </c>
      <c r="C1645" t="s">
        <v>1723</v>
      </c>
      <c r="D1645" s="1">
        <v>46045</v>
      </c>
      <c r="E1645" t="s">
        <v>1724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21</v>
      </c>
      <c r="J1645" t="s">
        <v>265</v>
      </c>
      <c r="K1645" t="s">
        <v>1704</v>
      </c>
      <c r="L1645">
        <v>84347</v>
      </c>
      <c r="M1645" t="s">
        <v>1150</v>
      </c>
      <c r="O1645" t="s">
        <v>11</v>
      </c>
      <c r="P1645">
        <v>5403</v>
      </c>
      <c r="Q1645">
        <v>1</v>
      </c>
      <c r="R1645">
        <v>59.98</v>
      </c>
      <c r="S1645">
        <v>59.98</v>
      </c>
      <c r="T1645">
        <v>52</v>
      </c>
      <c r="U1645">
        <v>13.3</v>
      </c>
      <c r="V1645" t="str">
        <f>VLOOKUP(L1645,'[2]tabela de preços'!$A:$D,4,0)</f>
        <v>BRASILUX</v>
      </c>
      <c r="W1645" t="str">
        <f>VLOOKUP(L1645,'[2]tabela de preços'!$A:$F,6,0)</f>
        <v>ESMALTES</v>
      </c>
      <c r="X1645" t="str">
        <f>VLOOKUP(L1645,'[2]tabela de preços'!$A:$G,7,0)</f>
        <v>INDUSTRIAL</v>
      </c>
    </row>
    <row r="1646" spans="1:24" x14ac:dyDescent="0.3">
      <c r="A1646" t="s">
        <v>1701</v>
      </c>
      <c r="C1646" t="s">
        <v>1723</v>
      </c>
      <c r="D1646" s="1">
        <v>46045</v>
      </c>
      <c r="E1646" t="s">
        <v>1724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21</v>
      </c>
      <c r="J1646" t="s">
        <v>265</v>
      </c>
      <c r="K1646" t="s">
        <v>1704</v>
      </c>
      <c r="L1646">
        <v>86891</v>
      </c>
      <c r="M1646" t="s">
        <v>1726</v>
      </c>
      <c r="O1646" t="s">
        <v>11</v>
      </c>
      <c r="P1646">
        <v>5403</v>
      </c>
      <c r="Q1646">
        <v>2</v>
      </c>
      <c r="R1646">
        <v>235</v>
      </c>
      <c r="S1646">
        <v>470</v>
      </c>
      <c r="T1646">
        <v>385.24</v>
      </c>
      <c r="U1646">
        <v>18.03</v>
      </c>
      <c r="V1646" t="str">
        <f>VLOOKUP(L1646,'[2]tabela de preços'!$A:$D,4,0)</f>
        <v>VEDACIT</v>
      </c>
      <c r="W1646" t="str">
        <f>VLOOKUP(L1646,'[2]tabela de preços'!$A:$F,6,0)</f>
        <v>IMPERMEABILIZANTES</v>
      </c>
      <c r="X1646" t="str">
        <f>VLOOKUP(L1646,'[2]tabela de preços'!$A:$G,7,0)</f>
        <v>IMOBILIÁRIO</v>
      </c>
    </row>
    <row r="1647" spans="1:24" x14ac:dyDescent="0.3">
      <c r="A1647" t="s">
        <v>1727</v>
      </c>
      <c r="C1647" t="s">
        <v>1728</v>
      </c>
      <c r="D1647" s="1">
        <v>46030</v>
      </c>
      <c r="E1647" t="s">
        <v>1729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1173</v>
      </c>
      <c r="K1647" t="s">
        <v>1730</v>
      </c>
      <c r="L1647">
        <v>22684</v>
      </c>
      <c r="M1647" t="s">
        <v>73</v>
      </c>
      <c r="O1647" t="s">
        <v>11</v>
      </c>
      <c r="P1647">
        <v>5102</v>
      </c>
      <c r="Q1647">
        <v>10</v>
      </c>
      <c r="R1647">
        <v>3.65</v>
      </c>
      <c r="S1647">
        <v>36.5</v>
      </c>
      <c r="T1647">
        <v>30.8</v>
      </c>
      <c r="U1647">
        <v>15.62</v>
      </c>
      <c r="V1647" t="str">
        <f>VLOOKUP(L1647,'[2]tabela de preços'!$A:$D,4,0)</f>
        <v>3M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1727</v>
      </c>
      <c r="C1648" t="s">
        <v>1728</v>
      </c>
      <c r="D1648" s="1">
        <v>46030</v>
      </c>
      <c r="E1648" t="s">
        <v>1729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1173</v>
      </c>
      <c r="K1648" t="s">
        <v>1730</v>
      </c>
      <c r="L1648">
        <v>24241</v>
      </c>
      <c r="M1648" t="s">
        <v>233</v>
      </c>
      <c r="O1648" t="s">
        <v>11</v>
      </c>
      <c r="P1648">
        <v>5102</v>
      </c>
      <c r="Q1648">
        <v>10</v>
      </c>
      <c r="R1648">
        <v>12.2</v>
      </c>
      <c r="S1648">
        <v>122</v>
      </c>
      <c r="T1648">
        <v>92.6</v>
      </c>
      <c r="U1648">
        <v>24.1</v>
      </c>
      <c r="V1648" t="str">
        <f>VLOOKUP(L1648,'[2]tabela de preços'!$A:$D,4,0)</f>
        <v>ADERE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1727</v>
      </c>
      <c r="C1649" t="s">
        <v>1728</v>
      </c>
      <c r="D1649" s="1">
        <v>46030</v>
      </c>
      <c r="E1649" t="s">
        <v>1729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1173</v>
      </c>
      <c r="K1649" t="s">
        <v>1730</v>
      </c>
      <c r="L1649">
        <v>84894</v>
      </c>
      <c r="M1649" t="s">
        <v>1260</v>
      </c>
      <c r="O1649" t="s">
        <v>11</v>
      </c>
      <c r="P1649">
        <v>5102</v>
      </c>
      <c r="Q1649">
        <v>4</v>
      </c>
      <c r="R1649">
        <v>59.53</v>
      </c>
      <c r="S1649">
        <v>238.12</v>
      </c>
      <c r="T1649">
        <v>180.76</v>
      </c>
      <c r="U1649">
        <v>24.09</v>
      </c>
      <c r="V1649" t="str">
        <f>VLOOKUP(L1649,'[2]tabela de preços'!$A:$D,4,0)</f>
        <v>BRASILUX</v>
      </c>
      <c r="W1649" t="str">
        <f>VLOOKUP(L1649,'[2]tabela de preços'!$A:$F,6,0)</f>
        <v>DILUENTE</v>
      </c>
      <c r="X1649" t="str">
        <f>VLOOKUP(L1649,'[2]tabela de preços'!$A:$G,7,0)</f>
        <v>AUTOMOTIVO</v>
      </c>
    </row>
    <row r="1650" spans="1:24" x14ac:dyDescent="0.3">
      <c r="A1650" t="s">
        <v>1727</v>
      </c>
      <c r="C1650" t="s">
        <v>1728</v>
      </c>
      <c r="D1650" s="1">
        <v>46030</v>
      </c>
      <c r="E1650" t="s">
        <v>1729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1173</v>
      </c>
      <c r="K1650" t="s">
        <v>1730</v>
      </c>
      <c r="L1650">
        <v>84774</v>
      </c>
      <c r="M1650" t="s">
        <v>1731</v>
      </c>
      <c r="O1650" t="s">
        <v>11</v>
      </c>
      <c r="P1650">
        <v>5102</v>
      </c>
      <c r="Q1650">
        <v>24</v>
      </c>
      <c r="R1650">
        <v>11.9</v>
      </c>
      <c r="S1650">
        <v>285.60000000000002</v>
      </c>
      <c r="T1650">
        <v>216.72</v>
      </c>
      <c r="U1650">
        <v>24.12</v>
      </c>
      <c r="V1650" t="str">
        <f>VLOOKUP(L1650,'[2]tabela de preços'!$A:$D,4,0)</f>
        <v>BRASILUX</v>
      </c>
      <c r="W1650" t="str">
        <f>VLOOKUP(L1650,'[2]tabela de preços'!$A:$F,6,0)</f>
        <v>DILUENTE</v>
      </c>
      <c r="X1650" t="str">
        <f>VLOOKUP(L1650,'[2]tabela de preços'!$A:$G,7,0)</f>
        <v>AUTOMOTIVO</v>
      </c>
    </row>
    <row r="1651" spans="1:24" x14ac:dyDescent="0.3">
      <c r="A1651" t="s">
        <v>1727</v>
      </c>
      <c r="C1651" t="s">
        <v>1732</v>
      </c>
      <c r="D1651" s="1">
        <v>46042</v>
      </c>
      <c r="E1651" t="s">
        <v>1733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1173</v>
      </c>
      <c r="K1651" t="s">
        <v>1730</v>
      </c>
      <c r="L1651">
        <v>20960</v>
      </c>
      <c r="M1651" t="s">
        <v>1734</v>
      </c>
      <c r="O1651" t="s">
        <v>11</v>
      </c>
      <c r="P1651">
        <v>5403</v>
      </c>
      <c r="Q1651">
        <v>9</v>
      </c>
      <c r="R1651">
        <v>79.56</v>
      </c>
      <c r="S1651">
        <v>716.04</v>
      </c>
      <c r="T1651">
        <v>543.51</v>
      </c>
      <c r="U1651">
        <v>24.1</v>
      </c>
      <c r="V1651" t="str">
        <f>VLOOKUP(L1651,'[2]tabela de preços'!$A:$D,4,0)</f>
        <v>SHERWIN WILLIAMS</v>
      </c>
      <c r="W1651" t="str">
        <f>VLOOKUP(L1651,'[2]tabela de preços'!$A:$F,6,0)</f>
        <v>VERNIZ AUTOMOTIVO</v>
      </c>
      <c r="X1651" t="str">
        <f>VLOOKUP(L1651,'[2]tabela de preços'!$A:$G,7,0)</f>
        <v>AUTOMOTIVO</v>
      </c>
    </row>
    <row r="1652" spans="1:24" x14ac:dyDescent="0.3">
      <c r="A1652" t="s">
        <v>1727</v>
      </c>
      <c r="C1652" t="s">
        <v>1732</v>
      </c>
      <c r="D1652" s="1">
        <v>46042</v>
      </c>
      <c r="E1652" t="s">
        <v>1733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1173</v>
      </c>
      <c r="K1652" t="s">
        <v>1730</v>
      </c>
      <c r="L1652">
        <v>84542</v>
      </c>
      <c r="M1652" t="s">
        <v>1735</v>
      </c>
      <c r="O1652" t="s">
        <v>11</v>
      </c>
      <c r="P1652">
        <v>5102</v>
      </c>
      <c r="Q1652">
        <v>12</v>
      </c>
      <c r="R1652">
        <v>13.59</v>
      </c>
      <c r="S1652">
        <v>163.08000000000001</v>
      </c>
      <c r="T1652">
        <v>105.24</v>
      </c>
      <c r="U1652">
        <v>35.47</v>
      </c>
      <c r="V1652" t="str">
        <f>VLOOKUP(L1652,'[2]tabela de preços'!$A:$D,4,0)</f>
        <v>MAXI RUBBER</v>
      </c>
      <c r="W1652" t="str">
        <f>VLOOKUP(L1652,'[2]tabela de preços'!$A:$F,6,0)</f>
        <v>LAMINAÇÃO / PROTEÇÃO</v>
      </c>
      <c r="X1652" t="str">
        <f>VLOOKUP(L1652,'[2]tabela de preços'!$A:$G,7,0)</f>
        <v>AUTOMOTIVO</v>
      </c>
    </row>
    <row r="1653" spans="1:24" x14ac:dyDescent="0.3">
      <c r="A1653" t="s">
        <v>1727</v>
      </c>
      <c r="C1653" t="s">
        <v>1732</v>
      </c>
      <c r="D1653" s="1">
        <v>46042</v>
      </c>
      <c r="E1653" t="s">
        <v>1733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1173</v>
      </c>
      <c r="K1653" t="s">
        <v>1730</v>
      </c>
      <c r="L1653">
        <v>21077</v>
      </c>
      <c r="M1653" t="s">
        <v>207</v>
      </c>
      <c r="O1653" t="s">
        <v>11</v>
      </c>
      <c r="P1653">
        <v>5102</v>
      </c>
      <c r="Q1653">
        <v>6</v>
      </c>
      <c r="R1653">
        <v>44.68</v>
      </c>
      <c r="S1653">
        <v>268.08</v>
      </c>
      <c r="T1653">
        <v>203.52</v>
      </c>
      <c r="U1653">
        <v>24.08</v>
      </c>
      <c r="V1653" t="str">
        <f>VLOOKUP(L1653,'[2]tabela de preços'!$A:$D,4,0)</f>
        <v>SHERWIN WILLIAMS</v>
      </c>
      <c r="W1653" t="str">
        <f>VLOOKUP(L1653,'[2]tabela de preços'!$A:$F,6,0)</f>
        <v>MASSA POLIÉSTER</v>
      </c>
      <c r="X1653" t="str">
        <f>VLOOKUP(L1653,'[2]tabela de preços'!$A:$G,7,0)</f>
        <v>AUTOMOTIVO</v>
      </c>
    </row>
    <row r="1654" spans="1:24" x14ac:dyDescent="0.3">
      <c r="A1654" t="s">
        <v>1727</v>
      </c>
      <c r="C1654" t="s">
        <v>1732</v>
      </c>
      <c r="D1654" s="1">
        <v>46042</v>
      </c>
      <c r="E1654" t="s">
        <v>1733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1173</v>
      </c>
      <c r="K1654" t="s">
        <v>1730</v>
      </c>
      <c r="L1654">
        <v>84041</v>
      </c>
      <c r="M1654" t="s">
        <v>1736</v>
      </c>
      <c r="O1654" t="s">
        <v>11</v>
      </c>
      <c r="P1654">
        <v>5102</v>
      </c>
      <c r="Q1654">
        <v>12</v>
      </c>
      <c r="R1654">
        <v>7.8</v>
      </c>
      <c r="S1654">
        <v>93.6</v>
      </c>
      <c r="T1654">
        <v>71.040000000000006</v>
      </c>
      <c r="U1654">
        <v>24.1</v>
      </c>
      <c r="V1654" t="str">
        <f>VLOOKUP(L1654,'[2]tabela de preços'!$A:$D,4,0)</f>
        <v>BRASILUX</v>
      </c>
      <c r="W1654" t="str">
        <f>VLOOKUP(L1654,'[2]tabela de preços'!$A:$F,6,0)</f>
        <v>FERRUGEM</v>
      </c>
      <c r="X1654" t="str">
        <f>VLOOKUP(L1654,'[2]tabela de preços'!$A:$G,7,0)</f>
        <v>AUTOMOTIVO</v>
      </c>
    </row>
    <row r="1655" spans="1:24" x14ac:dyDescent="0.3">
      <c r="A1655" t="s">
        <v>1727</v>
      </c>
      <c r="C1655" t="s">
        <v>1737</v>
      </c>
      <c r="D1655" s="1">
        <v>46044</v>
      </c>
      <c r="E1655" t="s">
        <v>1738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1173</v>
      </c>
      <c r="K1655" t="s">
        <v>1730</v>
      </c>
      <c r="L1655">
        <v>10401</v>
      </c>
      <c r="M1655" t="s">
        <v>154</v>
      </c>
      <c r="O1655" t="s">
        <v>11</v>
      </c>
      <c r="P1655">
        <v>5403</v>
      </c>
      <c r="Q1655">
        <v>12</v>
      </c>
      <c r="R1655">
        <v>33.22</v>
      </c>
      <c r="S1655">
        <v>398.64</v>
      </c>
      <c r="T1655">
        <v>302.52</v>
      </c>
      <c r="U1655">
        <v>24.11</v>
      </c>
      <c r="V1655" t="str">
        <f>VLOOKUP(L1655,'[2]tabela de preços'!$A:$D,4,0)</f>
        <v>MAXI RUBBER</v>
      </c>
      <c r="W1655" t="str">
        <f>VLOOKUP(L1655,'[2]tabela de preços'!$A:$F,6,0)</f>
        <v>PRIMER AUTOMOTIVO</v>
      </c>
      <c r="X1655" t="str">
        <f>VLOOKUP(L1655,'[2]tabela de preços'!$A:$G,7,0)</f>
        <v>AUTOMOTIVO</v>
      </c>
    </row>
    <row r="1656" spans="1:24" x14ac:dyDescent="0.3">
      <c r="A1656" t="s">
        <v>1727</v>
      </c>
      <c r="C1656" t="s">
        <v>1737</v>
      </c>
      <c r="D1656" s="1">
        <v>46044</v>
      </c>
      <c r="E1656" t="s">
        <v>1738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1173</v>
      </c>
      <c r="K1656" t="s">
        <v>1730</v>
      </c>
      <c r="L1656">
        <v>9995</v>
      </c>
      <c r="M1656" t="s">
        <v>704</v>
      </c>
      <c r="O1656" t="s">
        <v>11</v>
      </c>
      <c r="P1656">
        <v>5102</v>
      </c>
      <c r="Q1656">
        <v>1</v>
      </c>
      <c r="R1656">
        <v>186.08</v>
      </c>
      <c r="S1656">
        <v>186.08</v>
      </c>
      <c r="T1656">
        <v>141.24</v>
      </c>
      <c r="U1656">
        <v>24.1</v>
      </c>
      <c r="V1656" t="str">
        <f>VLOOKUP(L1656,'[2]tabela de preços'!$A:$D,4,0)</f>
        <v>SIKKENS</v>
      </c>
      <c r="W1656" t="str">
        <f>VLOOKUP(L1656,'[2]tabela de preços'!$A:$F,6,0)</f>
        <v>DILUENTE</v>
      </c>
      <c r="X1656" t="str">
        <f>VLOOKUP(L1656,'[2]tabela de preços'!$A:$G,7,0)</f>
        <v>AUTOMOTIVO</v>
      </c>
    </row>
    <row r="1657" spans="1:24" x14ac:dyDescent="0.3">
      <c r="A1657" t="s">
        <v>1727</v>
      </c>
      <c r="C1657" t="s">
        <v>1737</v>
      </c>
      <c r="D1657" s="1">
        <v>46044</v>
      </c>
      <c r="E1657" t="s">
        <v>1738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1173</v>
      </c>
      <c r="K1657" t="s">
        <v>1730</v>
      </c>
      <c r="L1657">
        <v>21067</v>
      </c>
      <c r="M1657" t="s">
        <v>640</v>
      </c>
      <c r="O1657" t="s">
        <v>11</v>
      </c>
      <c r="P1657">
        <v>5102</v>
      </c>
      <c r="Q1657">
        <v>6</v>
      </c>
      <c r="R1657">
        <v>36.07</v>
      </c>
      <c r="S1657">
        <v>216.42</v>
      </c>
      <c r="T1657">
        <v>164.28</v>
      </c>
      <c r="U1657">
        <v>24.09</v>
      </c>
      <c r="V1657" t="str">
        <f>VLOOKUP(L1657,'[2]tabela de preços'!$A:$D,4,0)</f>
        <v>SIKKENS</v>
      </c>
      <c r="W1657" t="str">
        <f>VLOOKUP(L1657,'[2]tabela de preços'!$A:$F,6,0)</f>
        <v>DILUENTE</v>
      </c>
      <c r="X1657" t="str">
        <f>VLOOKUP(L1657,'[2]tabela de preços'!$A:$G,7,0)</f>
        <v>AUTOMOTIVO</v>
      </c>
    </row>
    <row r="1658" spans="1:24" x14ac:dyDescent="0.3">
      <c r="A1658" t="s">
        <v>1727</v>
      </c>
      <c r="C1658" t="s">
        <v>2394</v>
      </c>
      <c r="D1658" s="1">
        <v>46052</v>
      </c>
      <c r="E1658" t="s">
        <v>2395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1173</v>
      </c>
      <c r="K1658" t="s">
        <v>1730</v>
      </c>
      <c r="L1658">
        <v>85165</v>
      </c>
      <c r="M1658" t="s">
        <v>2396</v>
      </c>
      <c r="O1658" t="s">
        <v>11</v>
      </c>
      <c r="P1658">
        <v>5403</v>
      </c>
      <c r="Q1658">
        <v>6</v>
      </c>
      <c r="R1658">
        <v>33.22</v>
      </c>
      <c r="S1658">
        <v>199.32</v>
      </c>
      <c r="T1658">
        <v>151.26</v>
      </c>
      <c r="U1658">
        <v>24.11</v>
      </c>
      <c r="V1658" t="str">
        <f>VLOOKUP(L1658,'[2]tabela de preços'!$A:$D,4,0)</f>
        <v>BRASILUX</v>
      </c>
      <c r="W1658" t="str">
        <f>VLOOKUP(L1658,'[2]tabela de preços'!$A:$F,6,0)</f>
        <v>TINTAS LACA</v>
      </c>
      <c r="X1658" t="str">
        <f>VLOOKUP(L1658,'[2]tabela de preços'!$A:$G,7,0)</f>
        <v>AUTOMOTIVO</v>
      </c>
    </row>
    <row r="1659" spans="1:24" x14ac:dyDescent="0.3">
      <c r="A1659" t="s">
        <v>1727</v>
      </c>
      <c r="C1659" t="s">
        <v>2394</v>
      </c>
      <c r="D1659" s="1">
        <v>46052</v>
      </c>
      <c r="E1659" t="s">
        <v>2395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1173</v>
      </c>
      <c r="K1659" t="s">
        <v>1730</v>
      </c>
      <c r="L1659">
        <v>83825</v>
      </c>
      <c r="M1659" t="s">
        <v>332</v>
      </c>
      <c r="O1659" t="s">
        <v>11</v>
      </c>
      <c r="P1659">
        <v>5102</v>
      </c>
      <c r="Q1659">
        <v>102</v>
      </c>
      <c r="R1659">
        <v>2.64</v>
      </c>
      <c r="S1659">
        <v>269.27999999999997</v>
      </c>
      <c r="T1659">
        <v>205.02</v>
      </c>
      <c r="U1659">
        <v>23.86</v>
      </c>
      <c r="V1659" t="str">
        <f>VLOOKUP(L1659,'[2]tabela de preços'!$A:$D,4,0)</f>
        <v>NORTON</v>
      </c>
      <c r="W1659" t="str">
        <f>VLOOKUP(L1659,'[2]tabela de preços'!$A:$F,6,0)</f>
        <v xml:space="preserve">DISCOS / LIXAS / ABRASIVOS </v>
      </c>
      <c r="X1659" t="str">
        <f>VLOOKUP(L1659,'[2]tabela de preços'!$A:$G,7,0)</f>
        <v>AUTOMOTIVO</v>
      </c>
    </row>
    <row r="1660" spans="1:24" x14ac:dyDescent="0.3">
      <c r="A1660" t="s">
        <v>1727</v>
      </c>
      <c r="C1660" t="s">
        <v>2394</v>
      </c>
      <c r="D1660" s="1">
        <v>46052</v>
      </c>
      <c r="E1660" t="s">
        <v>2395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1173</v>
      </c>
      <c r="K1660" t="s">
        <v>1730</v>
      </c>
      <c r="L1660">
        <v>22684</v>
      </c>
      <c r="M1660" t="s">
        <v>73</v>
      </c>
      <c r="O1660" t="s">
        <v>11</v>
      </c>
      <c r="P1660">
        <v>5102</v>
      </c>
      <c r="Q1660">
        <v>10</v>
      </c>
      <c r="R1660">
        <v>3.65</v>
      </c>
      <c r="S1660">
        <v>36.5</v>
      </c>
      <c r="T1660">
        <v>30.8</v>
      </c>
      <c r="U1660">
        <v>15.62</v>
      </c>
      <c r="V1660" t="str">
        <f>VLOOKUP(L1660,'[2]tabela de preços'!$A:$D,4,0)</f>
        <v>3M</v>
      </c>
      <c r="W1660" t="str">
        <f>VLOOKUP(L1660,'[2]tabela de preços'!$A:$F,6,0)</f>
        <v>FITA AUTOMOTIVA</v>
      </c>
      <c r="X1660" t="str">
        <f>VLOOKUP(L1660,'[2]tabela de preços'!$A:$G,7,0)</f>
        <v>AUTOMOTIVO</v>
      </c>
    </row>
    <row r="1661" spans="1:24" x14ac:dyDescent="0.3">
      <c r="A1661" t="s">
        <v>1727</v>
      </c>
      <c r="C1661" t="s">
        <v>2394</v>
      </c>
      <c r="D1661" s="1">
        <v>46052</v>
      </c>
      <c r="E1661" t="s">
        <v>2395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1173</v>
      </c>
      <c r="K1661" t="s">
        <v>1730</v>
      </c>
      <c r="L1661">
        <v>20212</v>
      </c>
      <c r="M1661" t="s">
        <v>198</v>
      </c>
      <c r="O1661" t="s">
        <v>11</v>
      </c>
      <c r="P1661">
        <v>5403</v>
      </c>
      <c r="Q1661">
        <v>6</v>
      </c>
      <c r="R1661">
        <v>26.95</v>
      </c>
      <c r="S1661">
        <v>161.69999999999999</v>
      </c>
      <c r="T1661">
        <v>122.76</v>
      </c>
      <c r="U1661">
        <v>24.08</v>
      </c>
      <c r="V1661" t="str">
        <f>VLOOKUP(L1661,'[2]tabela de preços'!$A:$D,4,0)</f>
        <v>MAXI RUBBER</v>
      </c>
      <c r="W1661" t="str">
        <f>VLOOKUP(L1661,'[2]tabela de preços'!$A:$F,6,0)</f>
        <v>SELADORA P/ PLASTICO</v>
      </c>
      <c r="X1661" t="str">
        <f>VLOOKUP(L1661,'[2]tabela de preços'!$A:$G,7,0)</f>
        <v>AUTOMOTIVO</v>
      </c>
    </row>
    <row r="1662" spans="1:24" x14ac:dyDescent="0.3">
      <c r="A1662" t="s">
        <v>1739</v>
      </c>
      <c r="C1662" t="s">
        <v>1740</v>
      </c>
      <c r="D1662" s="1">
        <v>46024</v>
      </c>
      <c r="E1662" t="s">
        <v>1741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66</v>
      </c>
      <c r="K1662" t="s">
        <v>1742</v>
      </c>
      <c r="L1662">
        <v>20461</v>
      </c>
      <c r="M1662" t="s">
        <v>1085</v>
      </c>
      <c r="O1662" t="s">
        <v>11</v>
      </c>
      <c r="P1662">
        <v>5102</v>
      </c>
      <c r="Q1662">
        <v>3</v>
      </c>
      <c r="R1662">
        <v>56.32</v>
      </c>
      <c r="S1662">
        <v>168.96</v>
      </c>
      <c r="T1662">
        <v>128.25</v>
      </c>
      <c r="U1662">
        <v>24.09</v>
      </c>
      <c r="V1662" t="str">
        <f>VLOOKUP(L1662,'[2]tabela de preços'!$A:$D,4,0)</f>
        <v>SHERWIN WILLIAMS</v>
      </c>
      <c r="W1662" t="str">
        <f>VLOOKUP(L1662,'[2]tabela de preços'!$A:$F,6,0)</f>
        <v>VERNIZ AUTOMOTIVO</v>
      </c>
      <c r="X1662" t="str">
        <f>VLOOKUP(L1662,'[2]tabela de preços'!$A:$G,7,0)</f>
        <v>AUTOMOTIVO</v>
      </c>
    </row>
    <row r="1663" spans="1:24" x14ac:dyDescent="0.3">
      <c r="A1663" t="s">
        <v>1739</v>
      </c>
      <c r="C1663" t="s">
        <v>1740</v>
      </c>
      <c r="D1663" s="1">
        <v>46024</v>
      </c>
      <c r="E1663" t="s">
        <v>1741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66</v>
      </c>
      <c r="K1663" t="s">
        <v>1742</v>
      </c>
      <c r="L1663">
        <v>24247</v>
      </c>
      <c r="M1663" t="s">
        <v>111</v>
      </c>
      <c r="O1663" t="s">
        <v>11</v>
      </c>
      <c r="P1663">
        <v>5403</v>
      </c>
      <c r="Q1663">
        <v>12</v>
      </c>
      <c r="R1663">
        <v>19.899999999999999</v>
      </c>
      <c r="S1663">
        <v>238.8</v>
      </c>
      <c r="T1663">
        <v>199.2</v>
      </c>
      <c r="U1663">
        <v>16.579999999999998</v>
      </c>
      <c r="V1663" t="str">
        <f>VLOOKUP(L1663,'[2]tabela de preços'!$A:$D,4,0)</f>
        <v>SHERWIN WILLIAMS</v>
      </c>
      <c r="W1663" t="str">
        <f>VLOOKUP(L1663,'[2]tabela de preços'!$A:$F,6,0)</f>
        <v>PRIMER AUTOMOTIVO</v>
      </c>
      <c r="X1663" t="str">
        <f>VLOOKUP(L1663,'[2]tabela de preços'!$A:$G,7,0)</f>
        <v>AUTOMOTIVO</v>
      </c>
    </row>
    <row r="1664" spans="1:24" x14ac:dyDescent="0.3">
      <c r="A1664" t="s">
        <v>1739</v>
      </c>
      <c r="C1664" t="s">
        <v>1740</v>
      </c>
      <c r="D1664" s="1">
        <v>46024</v>
      </c>
      <c r="E1664" t="s">
        <v>1741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66</v>
      </c>
      <c r="K1664" t="s">
        <v>1742</v>
      </c>
      <c r="L1664">
        <v>10298</v>
      </c>
      <c r="M1664" t="s">
        <v>85</v>
      </c>
      <c r="O1664" t="s">
        <v>11</v>
      </c>
      <c r="P1664">
        <v>5102</v>
      </c>
      <c r="Q1664">
        <v>4</v>
      </c>
      <c r="R1664">
        <v>56.8</v>
      </c>
      <c r="S1664">
        <v>227.2</v>
      </c>
      <c r="T1664">
        <v>189.52</v>
      </c>
      <c r="U1664">
        <v>16.579999999999998</v>
      </c>
      <c r="V1664" t="str">
        <f>VLOOKUP(L1664,'[2]tabela de preços'!$A:$D,4,0)</f>
        <v>ANJO</v>
      </c>
      <c r="W1664" t="str">
        <f>VLOOKUP(L1664,'[2]tabela de preços'!$A:$F,6,0)</f>
        <v>THINNER DE LIMPEZA</v>
      </c>
      <c r="X1664" t="str">
        <f>VLOOKUP(L1664,'[2]tabela de preços'!$A:$G,7,0)</f>
        <v>THINNER</v>
      </c>
    </row>
    <row r="1665" spans="1:24" x14ac:dyDescent="0.3">
      <c r="A1665" t="s">
        <v>1739</v>
      </c>
      <c r="C1665" t="s">
        <v>1740</v>
      </c>
      <c r="D1665" s="1">
        <v>46024</v>
      </c>
      <c r="E1665" t="s">
        <v>1741</v>
      </c>
      <c r="F1665">
        <v>9</v>
      </c>
      <c r="G1665">
        <v>174</v>
      </c>
      <c r="H1665" t="str">
        <f>VLOOKUP(G1665,[1]OPERADORES!$A:$B,2,0)</f>
        <v>MIRIÃ LOBATO RODRIGUES</v>
      </c>
      <c r="I1665" t="s">
        <v>21</v>
      </c>
      <c r="J1665" t="s">
        <v>66</v>
      </c>
      <c r="K1665" t="s">
        <v>1742</v>
      </c>
      <c r="L1665">
        <v>20454</v>
      </c>
      <c r="M1665" t="s">
        <v>1086</v>
      </c>
      <c r="O1665" t="s">
        <v>11</v>
      </c>
      <c r="P1665">
        <v>5403</v>
      </c>
      <c r="Q1665">
        <v>1</v>
      </c>
      <c r="R1665">
        <v>181.24</v>
      </c>
      <c r="S1665">
        <v>181.24</v>
      </c>
      <c r="T1665">
        <v>137.56</v>
      </c>
      <c r="U1665">
        <v>24.1</v>
      </c>
      <c r="V1665" t="str">
        <f>VLOOKUP(L1665,'[2]tabela de preços'!$A:$D,4,0)</f>
        <v>SHERWIN WILLIAMS</v>
      </c>
      <c r="W1665" t="str">
        <f>VLOOKUP(L1665,'[2]tabela de preços'!$A:$F,6,0)</f>
        <v>VERNIZ AUTOMOTIVO</v>
      </c>
      <c r="X1665" t="str">
        <f>VLOOKUP(L1665,'[2]tabela de preços'!$A:$G,7,0)</f>
        <v>AUTOMOTIVO</v>
      </c>
    </row>
    <row r="1666" spans="1:24" x14ac:dyDescent="0.3">
      <c r="A1666" t="s">
        <v>1739</v>
      </c>
      <c r="C1666" t="s">
        <v>1743</v>
      </c>
      <c r="D1666" s="1">
        <v>46036</v>
      </c>
      <c r="E1666" t="s">
        <v>1744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66</v>
      </c>
      <c r="K1666" t="s">
        <v>1742</v>
      </c>
      <c r="L1666">
        <v>84557</v>
      </c>
      <c r="M1666" t="s">
        <v>116</v>
      </c>
      <c r="O1666" t="s">
        <v>11</v>
      </c>
      <c r="P1666">
        <v>5102</v>
      </c>
      <c r="Q1666">
        <v>24</v>
      </c>
      <c r="R1666">
        <v>17.489999999999998</v>
      </c>
      <c r="S1666">
        <v>419.76</v>
      </c>
      <c r="T1666">
        <v>335.04</v>
      </c>
      <c r="U1666">
        <v>20.18</v>
      </c>
      <c r="V1666" t="str">
        <f>VLOOKUP(L1666,'[2]tabela de preços'!$A:$D,4,0)</f>
        <v>BRASILUX</v>
      </c>
      <c r="W1666" t="str">
        <f>VLOOKUP(L1666,'[2]tabela de preços'!$A:$F,6,0)</f>
        <v>DILUENTE</v>
      </c>
      <c r="X1666" t="str">
        <f>VLOOKUP(L1666,'[2]tabela de preços'!$A:$G,7,0)</f>
        <v>AUTOMOTIVO</v>
      </c>
    </row>
    <row r="1667" spans="1:24" x14ac:dyDescent="0.3">
      <c r="A1667" t="s">
        <v>1739</v>
      </c>
      <c r="C1667" t="s">
        <v>1743</v>
      </c>
      <c r="D1667" s="1">
        <v>46036</v>
      </c>
      <c r="E1667" t="s">
        <v>1744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66</v>
      </c>
      <c r="K1667" t="s">
        <v>1742</v>
      </c>
      <c r="L1667">
        <v>24248</v>
      </c>
      <c r="M1667" t="s">
        <v>107</v>
      </c>
      <c r="O1667" t="s">
        <v>11</v>
      </c>
      <c r="P1667">
        <v>5102</v>
      </c>
      <c r="Q1667">
        <v>12</v>
      </c>
      <c r="R1667">
        <v>8</v>
      </c>
      <c r="S1667">
        <v>96</v>
      </c>
      <c r="T1667">
        <v>76.92</v>
      </c>
      <c r="U1667">
        <v>19.88</v>
      </c>
      <c r="V1667" t="str">
        <f>VLOOKUP(L1667,'[2]tabela de preços'!$A:$D,4,0)</f>
        <v>SHERWIN WILLIAMS</v>
      </c>
      <c r="W1667" t="str">
        <f>VLOOKUP(L1667,'[2]tabela de preços'!$A:$F,6,0)</f>
        <v>PRIMER AUTOMOTIVO</v>
      </c>
      <c r="X1667" t="str">
        <f>VLOOKUP(L1667,'[2]tabela de preços'!$A:$G,7,0)</f>
        <v>AUTOMOTIVO</v>
      </c>
    </row>
    <row r="1668" spans="1:24" x14ac:dyDescent="0.3">
      <c r="A1668" t="s">
        <v>1739</v>
      </c>
      <c r="C1668" t="s">
        <v>1743</v>
      </c>
      <c r="D1668" s="1">
        <v>46036</v>
      </c>
      <c r="E1668" t="s">
        <v>1744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66</v>
      </c>
      <c r="K1668" t="s">
        <v>1742</v>
      </c>
      <c r="L1668">
        <v>24247</v>
      </c>
      <c r="M1668" t="s">
        <v>111</v>
      </c>
      <c r="O1668" t="s">
        <v>11</v>
      </c>
      <c r="P1668">
        <v>5403</v>
      </c>
      <c r="Q1668">
        <v>12</v>
      </c>
      <c r="R1668">
        <v>21</v>
      </c>
      <c r="S1668">
        <v>252</v>
      </c>
      <c r="T1668">
        <v>199.2</v>
      </c>
      <c r="U1668">
        <v>20.95</v>
      </c>
      <c r="V1668" t="str">
        <f>VLOOKUP(L1668,'[2]tabela de preços'!$A:$D,4,0)</f>
        <v>SHERWIN WILLIAMS</v>
      </c>
      <c r="W1668" t="str">
        <f>VLOOKUP(L1668,'[2]tabela de preços'!$A:$F,6,0)</f>
        <v>PRIMER AUTOMOTIVO</v>
      </c>
      <c r="X1668" t="str">
        <f>VLOOKUP(L1668,'[2]tabela de preços'!$A:$G,7,0)</f>
        <v>AUTOMOTIVO</v>
      </c>
    </row>
    <row r="1669" spans="1:24" x14ac:dyDescent="0.3">
      <c r="A1669" t="s">
        <v>1739</v>
      </c>
      <c r="C1669" t="s">
        <v>1743</v>
      </c>
      <c r="D1669" s="1">
        <v>46036</v>
      </c>
      <c r="E1669" t="s">
        <v>1744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21</v>
      </c>
      <c r="J1669" t="s">
        <v>66</v>
      </c>
      <c r="K1669" t="s">
        <v>1742</v>
      </c>
      <c r="L1669">
        <v>20414</v>
      </c>
      <c r="M1669" t="s">
        <v>112</v>
      </c>
      <c r="O1669" t="s">
        <v>11</v>
      </c>
      <c r="P1669">
        <v>5102</v>
      </c>
      <c r="Q1669">
        <v>40</v>
      </c>
      <c r="R1669">
        <v>21.89</v>
      </c>
      <c r="S1669">
        <v>875.6</v>
      </c>
      <c r="T1669">
        <v>720</v>
      </c>
      <c r="U1669">
        <v>17.77</v>
      </c>
      <c r="V1669" t="str">
        <f>VLOOKUP(L1669,'[2]tabela de preços'!$A:$D,4,0)</f>
        <v>SHERWIN WILLIAMS</v>
      </c>
      <c r="W1669" t="str">
        <f>VLOOKUP(L1669,'[2]tabela de preços'!$A:$F,6,0)</f>
        <v>DILUENTE</v>
      </c>
      <c r="X1669" t="str">
        <f>VLOOKUP(L1669,'[2]tabela de preços'!$A:$G,7,0)</f>
        <v>AUTOMOTIVO</v>
      </c>
    </row>
    <row r="1670" spans="1:24" x14ac:dyDescent="0.3">
      <c r="A1670" t="s">
        <v>1739</v>
      </c>
      <c r="C1670" t="s">
        <v>1745</v>
      </c>
      <c r="D1670" s="1">
        <v>46043</v>
      </c>
      <c r="E1670" t="s">
        <v>1746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21</v>
      </c>
      <c r="J1670" t="s">
        <v>66</v>
      </c>
      <c r="K1670" t="s">
        <v>1742</v>
      </c>
      <c r="L1670">
        <v>10298</v>
      </c>
      <c r="M1670" t="s">
        <v>85</v>
      </c>
      <c r="O1670" t="s">
        <v>11</v>
      </c>
      <c r="P1670">
        <v>5102</v>
      </c>
      <c r="Q1670">
        <v>24</v>
      </c>
      <c r="R1670">
        <v>54.9</v>
      </c>
      <c r="S1670" s="2">
        <v>1317.6</v>
      </c>
      <c r="T1670" s="2">
        <v>1137.1199999999999</v>
      </c>
      <c r="U1670">
        <v>13.7</v>
      </c>
      <c r="V1670" t="str">
        <f>VLOOKUP(L1670,'[2]tabela de preços'!$A:$D,4,0)</f>
        <v>ANJO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1739</v>
      </c>
      <c r="C1671" t="s">
        <v>1747</v>
      </c>
      <c r="D1671" s="1">
        <v>46049</v>
      </c>
      <c r="E1671" t="s">
        <v>1748</v>
      </c>
      <c r="F1671">
        <v>9</v>
      </c>
      <c r="G1671">
        <v>174</v>
      </c>
      <c r="H1671" t="str">
        <f>VLOOKUP(G1671,[1]OPERADORES!$A:$B,2,0)</f>
        <v>MIRIÃ LOBATO RODRIGUES</v>
      </c>
      <c r="I1671" t="s">
        <v>21</v>
      </c>
      <c r="J1671" t="s">
        <v>66</v>
      </c>
      <c r="K1671" t="s">
        <v>1742</v>
      </c>
      <c r="L1671">
        <v>10236</v>
      </c>
      <c r="M1671" t="s">
        <v>133</v>
      </c>
      <c r="O1671" t="s">
        <v>11</v>
      </c>
      <c r="P1671">
        <v>5102</v>
      </c>
      <c r="Q1671">
        <v>102</v>
      </c>
      <c r="R1671">
        <v>2.79</v>
      </c>
      <c r="S1671">
        <v>284.58</v>
      </c>
      <c r="T1671">
        <v>236.64</v>
      </c>
      <c r="U1671">
        <v>16.850000000000001</v>
      </c>
      <c r="V1671" t="str">
        <f>VLOOKUP(L1671,'[2]tabela de preços'!$A:$D,4,0)</f>
        <v>NORTON</v>
      </c>
      <c r="W1671" t="str">
        <f>VLOOKUP(L1671,'[2]tabela de preços'!$A:$F,6,0)</f>
        <v xml:space="preserve">DISCOS / LIXAS / ABRASIVOS </v>
      </c>
      <c r="X1671" t="str">
        <f>VLOOKUP(L1671,'[2]tabela de preços'!$A:$G,7,0)</f>
        <v>AUTOMOTIVO</v>
      </c>
    </row>
    <row r="1672" spans="1:24" x14ac:dyDescent="0.3">
      <c r="A1672" t="s">
        <v>1739</v>
      </c>
      <c r="C1672" t="s">
        <v>1747</v>
      </c>
      <c r="D1672" s="1">
        <v>46049</v>
      </c>
      <c r="E1672" t="s">
        <v>1748</v>
      </c>
      <c r="F1672">
        <v>9</v>
      </c>
      <c r="G1672">
        <v>174</v>
      </c>
      <c r="H1672" t="str">
        <f>VLOOKUP(G1672,[1]OPERADORES!$A:$B,2,0)</f>
        <v>MIRIÃ LOBATO RODRIGUES</v>
      </c>
      <c r="I1672" t="s">
        <v>21</v>
      </c>
      <c r="J1672" t="s">
        <v>66</v>
      </c>
      <c r="K1672" t="s">
        <v>1742</v>
      </c>
      <c r="L1672">
        <v>10243</v>
      </c>
      <c r="M1672" t="s">
        <v>83</v>
      </c>
      <c r="O1672" t="s">
        <v>11</v>
      </c>
      <c r="P1672">
        <v>5102</v>
      </c>
      <c r="Q1672">
        <v>100</v>
      </c>
      <c r="R1672">
        <v>2.79</v>
      </c>
      <c r="S1672">
        <v>279</v>
      </c>
      <c r="T1672">
        <v>193</v>
      </c>
      <c r="U1672">
        <v>30.82</v>
      </c>
      <c r="V1672" t="str">
        <f>VLOOKUP(L1672,'[2]tabela de preços'!$A:$D,4,0)</f>
        <v>NORTON</v>
      </c>
      <c r="W1672" t="str">
        <f>VLOOKUP(L1672,'[2]tabela de preços'!$A:$F,6,0)</f>
        <v xml:space="preserve">DISCOS / LIXAS / ABRASIVOS </v>
      </c>
      <c r="X1672" t="str">
        <f>VLOOKUP(L1672,'[2]tabela de preços'!$A:$G,7,0)</f>
        <v>AUTOMOTIVO</v>
      </c>
    </row>
    <row r="1673" spans="1:24" x14ac:dyDescent="0.3">
      <c r="A1673" t="s">
        <v>1739</v>
      </c>
      <c r="C1673" t="s">
        <v>1747</v>
      </c>
      <c r="D1673" s="1">
        <v>46049</v>
      </c>
      <c r="E1673" t="s">
        <v>1748</v>
      </c>
      <c r="F1673">
        <v>9</v>
      </c>
      <c r="G1673">
        <v>174</v>
      </c>
      <c r="H1673" t="str">
        <f>VLOOKUP(G1673,[1]OPERADORES!$A:$B,2,0)</f>
        <v>MIRIÃ LOBATO RODRIGUES</v>
      </c>
      <c r="I1673" t="s">
        <v>21</v>
      </c>
      <c r="J1673" t="s">
        <v>66</v>
      </c>
      <c r="K1673" t="s">
        <v>1742</v>
      </c>
      <c r="L1673">
        <v>10246</v>
      </c>
      <c r="M1673" t="s">
        <v>206</v>
      </c>
      <c r="O1673" t="s">
        <v>11</v>
      </c>
      <c r="P1673">
        <v>5102</v>
      </c>
      <c r="Q1673">
        <v>100</v>
      </c>
      <c r="R1673">
        <v>2.79</v>
      </c>
      <c r="S1673">
        <v>279</v>
      </c>
      <c r="T1673">
        <v>193</v>
      </c>
      <c r="U1673">
        <v>30.82</v>
      </c>
      <c r="V1673" t="str">
        <f>VLOOKUP(L1673,'[2]tabela de preços'!$A:$D,4,0)</f>
        <v>NORTON</v>
      </c>
      <c r="W1673" t="str">
        <f>VLOOKUP(L1673,'[2]tabela de preços'!$A:$F,6,0)</f>
        <v xml:space="preserve">DISCOS / LIXAS / ABRASIVOS </v>
      </c>
      <c r="X1673" t="str">
        <f>VLOOKUP(L1673,'[2]tabela de preços'!$A:$G,7,0)</f>
        <v>AUTOMOTIVO</v>
      </c>
    </row>
    <row r="1674" spans="1:24" x14ac:dyDescent="0.3">
      <c r="A1674" t="s">
        <v>1739</v>
      </c>
      <c r="C1674" t="s">
        <v>1749</v>
      </c>
      <c r="D1674" s="1">
        <v>46050</v>
      </c>
      <c r="E1674" t="s">
        <v>1750</v>
      </c>
      <c r="F1674">
        <v>9</v>
      </c>
      <c r="G1674">
        <v>174</v>
      </c>
      <c r="H1674" t="str">
        <f>VLOOKUP(G1674,[1]OPERADORES!$A:$B,2,0)</f>
        <v>MIRIÃ LOBATO RODRIGUES</v>
      </c>
      <c r="I1674" t="s">
        <v>21</v>
      </c>
      <c r="J1674" t="s">
        <v>66</v>
      </c>
      <c r="K1674" t="s">
        <v>1742</v>
      </c>
      <c r="L1674">
        <v>20433</v>
      </c>
      <c r="M1674" t="s">
        <v>460</v>
      </c>
      <c r="O1674" t="s">
        <v>11</v>
      </c>
      <c r="P1674">
        <v>5102</v>
      </c>
      <c r="Q1674">
        <v>6</v>
      </c>
      <c r="R1674">
        <v>32.19</v>
      </c>
      <c r="S1674">
        <v>193.14</v>
      </c>
      <c r="T1674">
        <v>146.58000000000001</v>
      </c>
      <c r="U1674">
        <v>24.11</v>
      </c>
      <c r="V1674" t="str">
        <f>VLOOKUP(L1674,'[2]tabela de preços'!$A:$D,4,0)</f>
        <v>SHERWIN WILLIAMS</v>
      </c>
      <c r="W1674" t="str">
        <f>VLOOKUP(L1674,'[2]tabela de preços'!$A:$F,6,0)</f>
        <v>VERNIZ AUTOMOTIVO</v>
      </c>
      <c r="X1674" t="str">
        <f>VLOOKUP(L1674,'[2]tabela de preços'!$A:$G,7,0)</f>
        <v>AUTOMOTIVO</v>
      </c>
    </row>
    <row r="1675" spans="1:24" x14ac:dyDescent="0.3">
      <c r="A1675" t="s">
        <v>1739</v>
      </c>
      <c r="C1675" t="s">
        <v>1749</v>
      </c>
      <c r="D1675" s="1">
        <v>46050</v>
      </c>
      <c r="E1675" t="s">
        <v>1750</v>
      </c>
      <c r="F1675">
        <v>9</v>
      </c>
      <c r="G1675">
        <v>174</v>
      </c>
      <c r="H1675" t="str">
        <f>VLOOKUP(G1675,[1]OPERADORES!$A:$B,2,0)</f>
        <v>MIRIÃ LOBATO RODRIGUES</v>
      </c>
      <c r="I1675" t="s">
        <v>21</v>
      </c>
      <c r="J1675" t="s">
        <v>66</v>
      </c>
      <c r="K1675" t="s">
        <v>1742</v>
      </c>
      <c r="L1675">
        <v>24248</v>
      </c>
      <c r="M1675" t="s">
        <v>107</v>
      </c>
      <c r="O1675" t="s">
        <v>11</v>
      </c>
      <c r="P1675">
        <v>5102</v>
      </c>
      <c r="Q1675">
        <v>24</v>
      </c>
      <c r="R1675">
        <v>8</v>
      </c>
      <c r="S1675">
        <v>192</v>
      </c>
      <c r="T1675">
        <v>156</v>
      </c>
      <c r="U1675">
        <v>18.75</v>
      </c>
      <c r="V1675" t="str">
        <f>VLOOKUP(L1675,'[2]tabela de preços'!$A:$D,4,0)</f>
        <v>SHERWIN WILLIAMS</v>
      </c>
      <c r="W1675" t="str">
        <f>VLOOKUP(L1675,'[2]tabela de preços'!$A:$F,6,0)</f>
        <v>PRIMER AUTOMOTIVO</v>
      </c>
      <c r="X1675" t="str">
        <f>VLOOKUP(L1675,'[2]tabela de preços'!$A:$G,7,0)</f>
        <v>AUTOMOTIVO</v>
      </c>
    </row>
    <row r="1676" spans="1:24" x14ac:dyDescent="0.3">
      <c r="A1676" t="s">
        <v>1739</v>
      </c>
      <c r="C1676" t="s">
        <v>1749</v>
      </c>
      <c r="D1676" s="1">
        <v>46050</v>
      </c>
      <c r="E1676" t="s">
        <v>1750</v>
      </c>
      <c r="F1676">
        <v>9</v>
      </c>
      <c r="G1676">
        <v>174</v>
      </c>
      <c r="H1676" t="str">
        <f>VLOOKUP(G1676,[1]OPERADORES!$A:$B,2,0)</f>
        <v>MIRIÃ LOBATO RODRIGUES</v>
      </c>
      <c r="I1676" t="s">
        <v>21</v>
      </c>
      <c r="J1676" t="s">
        <v>66</v>
      </c>
      <c r="K1676" t="s">
        <v>1742</v>
      </c>
      <c r="L1676">
        <v>22684</v>
      </c>
      <c r="M1676" t="s">
        <v>73</v>
      </c>
      <c r="O1676" t="s">
        <v>11</v>
      </c>
      <c r="P1676">
        <v>5102</v>
      </c>
      <c r="Q1676">
        <v>240</v>
      </c>
      <c r="R1676">
        <v>3.65</v>
      </c>
      <c r="S1676">
        <v>876</v>
      </c>
      <c r="T1676">
        <v>739.2</v>
      </c>
      <c r="U1676">
        <v>15.62</v>
      </c>
      <c r="V1676" t="str">
        <f>VLOOKUP(L1676,'[2]tabela de preços'!$A:$D,4,0)</f>
        <v>3M</v>
      </c>
      <c r="W1676" t="str">
        <f>VLOOKUP(L1676,'[2]tabela de preços'!$A:$F,6,0)</f>
        <v>FITA AUTOMOTIVA</v>
      </c>
      <c r="X1676" t="str">
        <f>VLOOKUP(L1676,'[2]tabela de preços'!$A:$G,7,0)</f>
        <v>AUTOMOTIVO</v>
      </c>
    </row>
    <row r="1677" spans="1:24" x14ac:dyDescent="0.3">
      <c r="A1677" t="s">
        <v>1739</v>
      </c>
      <c r="C1677" t="s">
        <v>1749</v>
      </c>
      <c r="D1677" s="1">
        <v>46050</v>
      </c>
      <c r="E1677" t="s">
        <v>1750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66</v>
      </c>
      <c r="K1677" t="s">
        <v>1742</v>
      </c>
      <c r="L1677">
        <v>24247</v>
      </c>
      <c r="M1677" t="s">
        <v>160</v>
      </c>
      <c r="O1677" t="s">
        <v>11</v>
      </c>
      <c r="P1677">
        <v>5403</v>
      </c>
      <c r="Q1677">
        <v>24</v>
      </c>
      <c r="R1677">
        <v>21</v>
      </c>
      <c r="S1677">
        <v>504</v>
      </c>
      <c r="T1677">
        <v>404.88</v>
      </c>
      <c r="U1677">
        <v>19.670000000000002</v>
      </c>
      <c r="V1677" t="str">
        <f>VLOOKUP(L1677,'[2]tabela de preços'!$A:$D,4,0)</f>
        <v>SHERWIN WILLIAMS</v>
      </c>
      <c r="W1677" t="str">
        <f>VLOOKUP(L1677,'[2]tabela de preços'!$A:$F,6,0)</f>
        <v>PRIMER AUTOMOTIVO</v>
      </c>
      <c r="X1677" t="str">
        <f>VLOOKUP(L1677,'[2]tabela de preços'!$A:$G,7,0)</f>
        <v>AUTOMOTIVO</v>
      </c>
    </row>
    <row r="1678" spans="1:24" x14ac:dyDescent="0.3">
      <c r="A1678" t="s">
        <v>1739</v>
      </c>
      <c r="C1678" t="s">
        <v>1749</v>
      </c>
      <c r="D1678" s="1">
        <v>46050</v>
      </c>
      <c r="E1678" t="s">
        <v>1750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66</v>
      </c>
      <c r="K1678" t="s">
        <v>1742</v>
      </c>
      <c r="L1678">
        <v>10298</v>
      </c>
      <c r="M1678" t="s">
        <v>85</v>
      </c>
      <c r="O1678" t="s">
        <v>11</v>
      </c>
      <c r="P1678">
        <v>5102</v>
      </c>
      <c r="Q1678">
        <v>20</v>
      </c>
      <c r="R1678">
        <v>54.9</v>
      </c>
      <c r="S1678" s="2">
        <v>1098</v>
      </c>
      <c r="T1678">
        <v>947.6</v>
      </c>
      <c r="U1678">
        <v>13.7</v>
      </c>
      <c r="V1678" t="str">
        <f>VLOOKUP(L1678,'[2]tabela de preços'!$A:$D,4,0)</f>
        <v>ANJO</v>
      </c>
      <c r="W1678" t="str">
        <f>VLOOKUP(L1678,'[2]tabela de preços'!$A:$F,6,0)</f>
        <v>THINNER DE LIMPEZA</v>
      </c>
      <c r="X1678" t="str">
        <f>VLOOKUP(L1678,'[2]tabela de preços'!$A:$G,7,0)</f>
        <v>THINNER</v>
      </c>
    </row>
    <row r="1679" spans="1:24" x14ac:dyDescent="0.3">
      <c r="A1679" t="s">
        <v>1739</v>
      </c>
      <c r="C1679" t="s">
        <v>1749</v>
      </c>
      <c r="D1679" s="1">
        <v>46050</v>
      </c>
      <c r="E1679" t="s">
        <v>1750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66</v>
      </c>
      <c r="K1679" t="s">
        <v>1742</v>
      </c>
      <c r="L1679">
        <v>20399</v>
      </c>
      <c r="M1679" t="s">
        <v>465</v>
      </c>
      <c r="O1679" t="s">
        <v>11</v>
      </c>
      <c r="P1679">
        <v>5403</v>
      </c>
      <c r="Q1679">
        <v>6</v>
      </c>
      <c r="R1679">
        <v>35.26</v>
      </c>
      <c r="S1679">
        <v>211.56</v>
      </c>
      <c r="T1679">
        <v>160.68</v>
      </c>
      <c r="U1679">
        <v>24.05</v>
      </c>
      <c r="V1679" t="str">
        <f>VLOOKUP(L1679,'[2]tabela de preços'!$A:$D,4,0)</f>
        <v>SHERWIN WILLIAMS</v>
      </c>
      <c r="W1679" t="str">
        <f>VLOOKUP(L1679,'[2]tabela de preços'!$A:$F,6,0)</f>
        <v>VERNIZ AUTOMOTIVO</v>
      </c>
      <c r="X1679" t="str">
        <f>VLOOKUP(L1679,'[2]tabela de preços'!$A:$G,7,0)</f>
        <v>AUTOMOTIVO</v>
      </c>
    </row>
    <row r="1680" spans="1:24" x14ac:dyDescent="0.3">
      <c r="A1680" t="s">
        <v>1739</v>
      </c>
      <c r="C1680" t="s">
        <v>2397</v>
      </c>
      <c r="D1680" s="1">
        <v>46052</v>
      </c>
      <c r="E1680" t="s">
        <v>2398</v>
      </c>
      <c r="F1680">
        <v>9</v>
      </c>
      <c r="G1680">
        <v>174</v>
      </c>
      <c r="H1680" t="str">
        <f>VLOOKUP(G1680,[1]OPERADORES!$A:$B,2,0)</f>
        <v>MIRIÃ LOBATO RODRIGUES</v>
      </c>
      <c r="I1680" t="s">
        <v>21</v>
      </c>
      <c r="J1680" t="s">
        <v>66</v>
      </c>
      <c r="K1680" t="s">
        <v>1742</v>
      </c>
      <c r="L1680">
        <v>10236</v>
      </c>
      <c r="M1680" t="s">
        <v>133</v>
      </c>
      <c r="O1680" t="s">
        <v>11</v>
      </c>
      <c r="P1680">
        <v>5102</v>
      </c>
      <c r="Q1680">
        <v>102</v>
      </c>
      <c r="R1680">
        <v>2.79</v>
      </c>
      <c r="S1680">
        <v>284.58</v>
      </c>
      <c r="T1680">
        <v>236.64</v>
      </c>
      <c r="U1680">
        <v>16.850000000000001</v>
      </c>
      <c r="V1680" t="str">
        <f>VLOOKUP(L1680,'[2]tabela de preços'!$A:$D,4,0)</f>
        <v>NORTON</v>
      </c>
      <c r="W1680" t="str">
        <f>VLOOKUP(L1680,'[2]tabela de preços'!$A:$F,6,0)</f>
        <v xml:space="preserve">DISCOS / LIXAS / ABRASIVOS </v>
      </c>
      <c r="X1680" t="str">
        <f>VLOOKUP(L1680,'[2]tabela de preços'!$A:$G,7,0)</f>
        <v>AUTOMOTIVO</v>
      </c>
    </row>
    <row r="1681" spans="1:24" x14ac:dyDescent="0.3">
      <c r="A1681" t="s">
        <v>1739</v>
      </c>
      <c r="C1681" t="s">
        <v>2397</v>
      </c>
      <c r="D1681" s="1">
        <v>46052</v>
      </c>
      <c r="E1681" t="s">
        <v>2398</v>
      </c>
      <c r="F1681">
        <v>9</v>
      </c>
      <c r="G1681">
        <v>174</v>
      </c>
      <c r="H1681" t="str">
        <f>VLOOKUP(G1681,[1]OPERADORES!$A:$B,2,0)</f>
        <v>MIRIÃ LOBATO RODRIGUES</v>
      </c>
      <c r="I1681" t="s">
        <v>21</v>
      </c>
      <c r="J1681" t="s">
        <v>66</v>
      </c>
      <c r="K1681" t="s">
        <v>1742</v>
      </c>
      <c r="L1681">
        <v>10245</v>
      </c>
      <c r="M1681" t="s">
        <v>195</v>
      </c>
      <c r="O1681" t="s">
        <v>11</v>
      </c>
      <c r="P1681">
        <v>5102</v>
      </c>
      <c r="Q1681">
        <v>100</v>
      </c>
      <c r="R1681">
        <v>2.79</v>
      </c>
      <c r="S1681">
        <v>279</v>
      </c>
      <c r="T1681">
        <v>193</v>
      </c>
      <c r="U1681">
        <v>30.82</v>
      </c>
      <c r="V1681" t="str">
        <f>VLOOKUP(L1681,'[2]tabela de preços'!$A:$D,4,0)</f>
        <v>NORTON</v>
      </c>
      <c r="W1681" t="str">
        <f>VLOOKUP(L1681,'[2]tabela de preços'!$A:$F,6,0)</f>
        <v xml:space="preserve">DISCOS / LIXAS / ABRASIVOS </v>
      </c>
      <c r="X1681" t="str">
        <f>VLOOKUP(L1681,'[2]tabela de preços'!$A:$G,7,0)</f>
        <v>AUTOMOTIVO</v>
      </c>
    </row>
    <row r="1682" spans="1:24" x14ac:dyDescent="0.3">
      <c r="A1682" t="s">
        <v>1751</v>
      </c>
      <c r="C1682" t="s">
        <v>1752</v>
      </c>
      <c r="D1682" s="1">
        <v>46028</v>
      </c>
      <c r="E1682" t="s">
        <v>1753</v>
      </c>
      <c r="F1682">
        <v>9</v>
      </c>
      <c r="G1682">
        <v>231</v>
      </c>
      <c r="H1682" t="str">
        <f>VLOOKUP(G1682,[1]OPERADORES!$A:$B,2,0)</f>
        <v>EDIJANE</v>
      </c>
      <c r="I1682" t="s">
        <v>21</v>
      </c>
      <c r="J1682" t="s">
        <v>211</v>
      </c>
      <c r="K1682" t="s">
        <v>1754</v>
      </c>
      <c r="L1682">
        <v>84200</v>
      </c>
      <c r="M1682" t="s">
        <v>1552</v>
      </c>
      <c r="O1682" t="s">
        <v>11</v>
      </c>
      <c r="P1682">
        <v>5403</v>
      </c>
      <c r="Q1682">
        <v>4</v>
      </c>
      <c r="R1682">
        <v>224.04</v>
      </c>
      <c r="S1682">
        <v>896.16</v>
      </c>
      <c r="T1682">
        <v>680.2</v>
      </c>
      <c r="U1682">
        <v>24.1</v>
      </c>
      <c r="V1682" t="str">
        <f>VLOOKUP(L1682,'[2]tabela de preços'!$A:$D,4,0)</f>
        <v>BRASILUX</v>
      </c>
      <c r="W1682" t="str">
        <f>VLOOKUP(L1682,'[2]tabela de preços'!$A:$F,6,0)</f>
        <v>EPOXI</v>
      </c>
      <c r="X1682" t="str">
        <f>VLOOKUP(L1682,'[2]tabela de preços'!$A:$G,7,0)</f>
        <v>INDUSTRIAL</v>
      </c>
    </row>
    <row r="1683" spans="1:24" x14ac:dyDescent="0.3">
      <c r="A1683" t="s">
        <v>1751</v>
      </c>
      <c r="C1683" t="s">
        <v>1755</v>
      </c>
      <c r="D1683" s="1">
        <v>46038</v>
      </c>
      <c r="E1683" t="s">
        <v>1756</v>
      </c>
      <c r="F1683">
        <v>9</v>
      </c>
      <c r="G1683">
        <v>231</v>
      </c>
      <c r="H1683" t="str">
        <f>VLOOKUP(G1683,[1]OPERADORES!$A:$B,2,0)</f>
        <v>EDIJANE</v>
      </c>
      <c r="I1683" t="s">
        <v>21</v>
      </c>
      <c r="J1683" t="s">
        <v>211</v>
      </c>
      <c r="K1683" t="s">
        <v>1754</v>
      </c>
      <c r="L1683">
        <v>84200</v>
      </c>
      <c r="M1683" t="s">
        <v>1552</v>
      </c>
      <c r="O1683" t="s">
        <v>11</v>
      </c>
      <c r="P1683">
        <v>5403</v>
      </c>
      <c r="Q1683">
        <v>5</v>
      </c>
      <c r="R1683">
        <v>224.04</v>
      </c>
      <c r="S1683" s="2">
        <v>1120.2</v>
      </c>
      <c r="T1683">
        <v>850.25</v>
      </c>
      <c r="U1683">
        <v>24.1</v>
      </c>
      <c r="V1683" t="str">
        <f>VLOOKUP(L1683,'[2]tabela de preços'!$A:$D,4,0)</f>
        <v>BRASILUX</v>
      </c>
      <c r="W1683" t="str">
        <f>VLOOKUP(L1683,'[2]tabela de preços'!$A:$F,6,0)</f>
        <v>EPOXI</v>
      </c>
      <c r="X1683" t="str">
        <f>VLOOKUP(L1683,'[2]tabela de preços'!$A:$G,7,0)</f>
        <v>INDUSTRIAL</v>
      </c>
    </row>
    <row r="1684" spans="1:24" x14ac:dyDescent="0.3">
      <c r="A1684" t="s">
        <v>1757</v>
      </c>
      <c r="B1684" t="s">
        <v>1758</v>
      </c>
      <c r="C1684" t="s">
        <v>1759</v>
      </c>
      <c r="D1684" s="1">
        <v>46049</v>
      </c>
      <c r="E1684" t="s">
        <v>1760</v>
      </c>
      <c r="F1684">
        <v>9</v>
      </c>
      <c r="G1684">
        <v>236</v>
      </c>
      <c r="H1684" t="str">
        <f>VLOOKUP(G1684,[1]OPERADORES!$A:$B,2,0)</f>
        <v>DANIEL</v>
      </c>
      <c r="I1684" t="s">
        <v>1761</v>
      </c>
      <c r="J1684" t="s">
        <v>1762</v>
      </c>
      <c r="K1684" t="s">
        <v>1763</v>
      </c>
      <c r="L1684">
        <v>85691</v>
      </c>
      <c r="M1684" t="s">
        <v>1231</v>
      </c>
      <c r="O1684" t="s">
        <v>11</v>
      </c>
      <c r="P1684">
        <v>6102</v>
      </c>
      <c r="Q1684">
        <v>2</v>
      </c>
      <c r="R1684">
        <v>14.81</v>
      </c>
      <c r="S1684">
        <v>29.62</v>
      </c>
      <c r="T1684">
        <v>22.48</v>
      </c>
      <c r="U1684">
        <v>24.11</v>
      </c>
      <c r="V1684" t="str">
        <f>VLOOKUP(L1684,'[2]tabela de preços'!$A:$D,4,0)</f>
        <v>UNIPEGA</v>
      </c>
      <c r="W1684" t="str">
        <f>VLOOKUP(L1684,'[2]tabela de preços'!$A:$F,6,0)</f>
        <v>COLA INST./ ADESIVOS COLANTES</v>
      </c>
      <c r="X1684" t="str">
        <f>VLOOKUP(L1684,'[2]tabela de preços'!$A:$G,7,0)</f>
        <v>AUTOMOTIVO</v>
      </c>
    </row>
    <row r="1685" spans="1:24" x14ac:dyDescent="0.3">
      <c r="A1685" t="s">
        <v>1757</v>
      </c>
      <c r="B1685" t="s">
        <v>1758</v>
      </c>
      <c r="C1685" t="s">
        <v>1759</v>
      </c>
      <c r="D1685" s="1">
        <v>46049</v>
      </c>
      <c r="E1685" t="s">
        <v>1760</v>
      </c>
      <c r="F1685">
        <v>9</v>
      </c>
      <c r="G1685">
        <v>236</v>
      </c>
      <c r="H1685" t="str">
        <f>VLOOKUP(G1685,[1]OPERADORES!$A:$B,2,0)</f>
        <v>DANIEL</v>
      </c>
      <c r="I1685" t="s">
        <v>1761</v>
      </c>
      <c r="J1685" t="s">
        <v>1762</v>
      </c>
      <c r="K1685" t="s">
        <v>1763</v>
      </c>
      <c r="L1685">
        <v>86995</v>
      </c>
      <c r="M1685" t="s">
        <v>37</v>
      </c>
      <c r="O1685" t="s">
        <v>11</v>
      </c>
      <c r="P1685">
        <v>6102</v>
      </c>
      <c r="Q1685">
        <v>10</v>
      </c>
      <c r="R1685">
        <v>7.29</v>
      </c>
      <c r="S1685">
        <v>72.900000000000006</v>
      </c>
      <c r="T1685">
        <v>58.3</v>
      </c>
      <c r="U1685">
        <v>20.03</v>
      </c>
      <c r="V1685" t="str">
        <f>VLOOKUP(L1685,'[2]tabela de preços'!$A:$D,4,0)</f>
        <v>AUTOAMERICA</v>
      </c>
      <c r="W1685" t="str">
        <f>VLOOKUP(L1685,'[2]tabela de preços'!$A:$F,6,0)</f>
        <v>FLANELAS / PANOS</v>
      </c>
      <c r="X1685" t="str">
        <f>VLOOKUP(L1685,'[2]tabela de preços'!$A:$G,7,0)</f>
        <v>AUTOMOTIVO</v>
      </c>
    </row>
    <row r="1686" spans="1:24" x14ac:dyDescent="0.3">
      <c r="A1686" t="s">
        <v>1757</v>
      </c>
      <c r="B1686" t="s">
        <v>1758</v>
      </c>
      <c r="C1686" t="s">
        <v>1759</v>
      </c>
      <c r="D1686" s="1">
        <v>46049</v>
      </c>
      <c r="E1686" t="s">
        <v>1760</v>
      </c>
      <c r="F1686">
        <v>9</v>
      </c>
      <c r="G1686">
        <v>236</v>
      </c>
      <c r="H1686" t="str">
        <f>VLOOKUP(G1686,[1]OPERADORES!$A:$B,2,0)</f>
        <v>DANIEL</v>
      </c>
      <c r="I1686" t="s">
        <v>1761</v>
      </c>
      <c r="J1686" t="s">
        <v>1762</v>
      </c>
      <c r="K1686" t="s">
        <v>1763</v>
      </c>
      <c r="L1686">
        <v>23076</v>
      </c>
      <c r="M1686" t="s">
        <v>97</v>
      </c>
      <c r="O1686" t="s">
        <v>11</v>
      </c>
      <c r="P1686">
        <v>6403</v>
      </c>
      <c r="Q1686">
        <v>120</v>
      </c>
      <c r="R1686">
        <v>37.33</v>
      </c>
      <c r="S1686" s="2">
        <v>4479.6000000000004</v>
      </c>
      <c r="T1686" s="2">
        <v>3183.6</v>
      </c>
      <c r="U1686">
        <v>28.93</v>
      </c>
      <c r="V1686" t="str">
        <f>VLOOKUP(L1686,'[2]tabela de preços'!$A:$D,4,0)</f>
        <v>WANDA</v>
      </c>
      <c r="W1686" t="str">
        <f>VLOOKUP(L1686,'[2]tabela de preços'!$A:$F,6,0)</f>
        <v>PRIMER AUTOMOTIVO</v>
      </c>
      <c r="X1686" t="str">
        <f>VLOOKUP(L1686,'[2]tabela de preços'!$A:$G,7,0)</f>
        <v>AUTOMOTIVO</v>
      </c>
    </row>
    <row r="1687" spans="1:24" x14ac:dyDescent="0.3">
      <c r="A1687" t="s">
        <v>1757</v>
      </c>
      <c r="B1687" t="s">
        <v>1758</v>
      </c>
      <c r="C1687" t="s">
        <v>1759</v>
      </c>
      <c r="D1687" s="1">
        <v>46049</v>
      </c>
      <c r="E1687" t="s">
        <v>1760</v>
      </c>
      <c r="F1687">
        <v>9</v>
      </c>
      <c r="G1687">
        <v>236</v>
      </c>
      <c r="H1687" t="str">
        <f>VLOOKUP(G1687,[1]OPERADORES!$A:$B,2,0)</f>
        <v>DANIEL</v>
      </c>
      <c r="I1687" t="s">
        <v>1761</v>
      </c>
      <c r="J1687" t="s">
        <v>1762</v>
      </c>
      <c r="K1687" t="s">
        <v>1763</v>
      </c>
      <c r="L1687">
        <v>84460</v>
      </c>
      <c r="M1687" t="s">
        <v>322</v>
      </c>
      <c r="O1687" t="s">
        <v>11</v>
      </c>
      <c r="P1687">
        <v>6102</v>
      </c>
      <c r="Q1687">
        <v>5</v>
      </c>
      <c r="R1687">
        <v>31.07</v>
      </c>
      <c r="S1687">
        <v>155.35</v>
      </c>
      <c r="T1687">
        <v>117.9</v>
      </c>
      <c r="U1687">
        <v>24.11</v>
      </c>
      <c r="V1687" t="str">
        <f>VLOOKUP(L1687,'[2]tabela de preços'!$A:$D,4,0)</f>
        <v>BRASILUX</v>
      </c>
      <c r="W1687" t="str">
        <f>VLOOKUP(L1687,'[2]tabela de preços'!$A:$F,6,0)</f>
        <v>VEDADORES / SELANTES</v>
      </c>
      <c r="X1687" t="str">
        <f>VLOOKUP(L1687,'[2]tabela de preços'!$A:$G,7,0)</f>
        <v>AUTOMOTIVO</v>
      </c>
    </row>
    <row r="1688" spans="1:24" x14ac:dyDescent="0.3">
      <c r="A1688" t="s">
        <v>1757</v>
      </c>
      <c r="B1688" t="s">
        <v>1758</v>
      </c>
      <c r="C1688" t="s">
        <v>1759</v>
      </c>
      <c r="D1688" s="1">
        <v>46049</v>
      </c>
      <c r="E1688" t="s">
        <v>1760</v>
      </c>
      <c r="F1688">
        <v>9</v>
      </c>
      <c r="G1688">
        <v>236</v>
      </c>
      <c r="H1688" t="str">
        <f>VLOOKUP(G1688,[1]OPERADORES!$A:$B,2,0)</f>
        <v>DANIEL</v>
      </c>
      <c r="I1688" t="s">
        <v>1761</v>
      </c>
      <c r="J1688" t="s">
        <v>1762</v>
      </c>
      <c r="K1688" t="s">
        <v>1763</v>
      </c>
      <c r="L1688">
        <v>10403</v>
      </c>
      <c r="M1688" t="s">
        <v>1764</v>
      </c>
      <c r="O1688" t="s">
        <v>11</v>
      </c>
      <c r="P1688">
        <v>6102</v>
      </c>
      <c r="Q1688">
        <v>2</v>
      </c>
      <c r="R1688">
        <v>77.400000000000006</v>
      </c>
      <c r="S1688">
        <v>154.80000000000001</v>
      </c>
      <c r="T1688">
        <v>117.5</v>
      </c>
      <c r="U1688">
        <v>24.1</v>
      </c>
      <c r="V1688" t="str">
        <f>VLOOKUP(L1688,'[2]tabela de preços'!$A:$D,4,0)</f>
        <v>MAXI RUBBER</v>
      </c>
      <c r="W1688" t="str">
        <f>VLOOKUP(L1688,'[2]tabela de preços'!$A:$F,6,0)</f>
        <v>VEDADORES / SELANTES</v>
      </c>
      <c r="X1688" t="str">
        <f>VLOOKUP(L1688,'[2]tabela de preços'!$A:$G,7,0)</f>
        <v>AUTOMOTIVO</v>
      </c>
    </row>
    <row r="1689" spans="1:24" x14ac:dyDescent="0.3">
      <c r="A1689" t="s">
        <v>1757</v>
      </c>
      <c r="B1689" t="s">
        <v>1758</v>
      </c>
      <c r="C1689" t="s">
        <v>1765</v>
      </c>
      <c r="D1689" s="1">
        <v>46049</v>
      </c>
      <c r="E1689" t="s">
        <v>1760</v>
      </c>
      <c r="F1689">
        <v>9</v>
      </c>
      <c r="G1689">
        <v>236</v>
      </c>
      <c r="H1689" t="str">
        <f>VLOOKUP(G1689,[1]OPERADORES!$A:$B,2,0)</f>
        <v>DANIEL</v>
      </c>
      <c r="I1689" t="s">
        <v>1761</v>
      </c>
      <c r="J1689" t="s">
        <v>1762</v>
      </c>
      <c r="K1689" t="s">
        <v>1763</v>
      </c>
      <c r="L1689">
        <v>10297</v>
      </c>
      <c r="M1689" t="s">
        <v>41</v>
      </c>
      <c r="O1689" t="s">
        <v>11</v>
      </c>
      <c r="P1689">
        <v>6102</v>
      </c>
      <c r="Q1689">
        <v>180</v>
      </c>
      <c r="R1689">
        <v>10.49</v>
      </c>
      <c r="S1689" s="2">
        <v>1888.2</v>
      </c>
      <c r="T1689" s="2">
        <v>1650.6</v>
      </c>
      <c r="U1689">
        <v>12.58</v>
      </c>
      <c r="V1689" t="str">
        <f>VLOOKUP(L1689,'[2]tabela de preços'!$A:$D,4,0)</f>
        <v>ANJO</v>
      </c>
      <c r="W1689" t="str">
        <f>VLOOKUP(L1689,'[2]tabela de preços'!$A:$F,6,0)</f>
        <v>THINNER DE LIMPEZA</v>
      </c>
      <c r="X1689" t="str">
        <f>VLOOKUP(L1689,'[2]tabela de preços'!$A:$G,7,0)</f>
        <v>THINNER</v>
      </c>
    </row>
    <row r="1690" spans="1:24" x14ac:dyDescent="0.3">
      <c r="A1690" t="s">
        <v>1757</v>
      </c>
      <c r="B1690" t="s">
        <v>1758</v>
      </c>
      <c r="C1690" t="s">
        <v>2399</v>
      </c>
      <c r="D1690" s="1">
        <v>46052</v>
      </c>
      <c r="E1690" t="s">
        <v>2400</v>
      </c>
      <c r="F1690">
        <v>9</v>
      </c>
      <c r="G1690">
        <v>236</v>
      </c>
      <c r="H1690" t="str">
        <f>VLOOKUP(G1690,[1]OPERADORES!$A:$B,2,0)</f>
        <v>DANIEL</v>
      </c>
      <c r="I1690" t="s">
        <v>1761</v>
      </c>
      <c r="J1690" t="s">
        <v>1762</v>
      </c>
      <c r="K1690" t="s">
        <v>1763</v>
      </c>
      <c r="L1690">
        <v>85168</v>
      </c>
      <c r="M1690" t="s">
        <v>2401</v>
      </c>
      <c r="O1690" t="s">
        <v>11</v>
      </c>
      <c r="P1690">
        <v>6403</v>
      </c>
      <c r="Q1690">
        <v>1</v>
      </c>
      <c r="R1690">
        <v>281.19</v>
      </c>
      <c r="S1690">
        <v>281.19</v>
      </c>
      <c r="T1690">
        <v>200.49</v>
      </c>
      <c r="U1690">
        <v>28.7</v>
      </c>
      <c r="V1690" t="str">
        <f>VLOOKUP(L1690,'[2]tabela de preços'!$A:$D,4,0)</f>
        <v>BRASILUX</v>
      </c>
      <c r="W1690" t="str">
        <f>VLOOKUP(L1690,'[2]tabela de preços'!$A:$F,6,0)</f>
        <v>TINTA PAREDE</v>
      </c>
      <c r="X1690" t="str">
        <f>VLOOKUP(L1690,'[2]tabela de preços'!$A:$G,7,0)</f>
        <v>IMOBILIÁRIO</v>
      </c>
    </row>
    <row r="1691" spans="1:24" x14ac:dyDescent="0.3">
      <c r="A1691" t="s">
        <v>1757</v>
      </c>
      <c r="B1691" t="s">
        <v>1758</v>
      </c>
      <c r="C1691" t="s">
        <v>2399</v>
      </c>
      <c r="D1691" s="1">
        <v>46052</v>
      </c>
      <c r="E1691" t="s">
        <v>2400</v>
      </c>
      <c r="F1691">
        <v>9</v>
      </c>
      <c r="G1691">
        <v>236</v>
      </c>
      <c r="H1691" t="str">
        <f>VLOOKUP(G1691,[1]OPERADORES!$A:$B,2,0)</f>
        <v>DANIEL</v>
      </c>
      <c r="I1691" t="s">
        <v>1761</v>
      </c>
      <c r="J1691" t="s">
        <v>1762</v>
      </c>
      <c r="K1691" t="s">
        <v>1763</v>
      </c>
      <c r="L1691">
        <v>85691</v>
      </c>
      <c r="M1691" t="s">
        <v>1231</v>
      </c>
      <c r="O1691" t="s">
        <v>11</v>
      </c>
      <c r="P1691">
        <v>6102</v>
      </c>
      <c r="Q1691">
        <v>5</v>
      </c>
      <c r="R1691">
        <v>14.81</v>
      </c>
      <c r="S1691">
        <v>74.05</v>
      </c>
      <c r="T1691">
        <v>56.2</v>
      </c>
      <c r="U1691">
        <v>24.11</v>
      </c>
      <c r="V1691" t="str">
        <f>VLOOKUP(L1691,'[2]tabela de preços'!$A:$D,4,0)</f>
        <v>UNIPEGA</v>
      </c>
      <c r="W1691" t="str">
        <f>VLOOKUP(L1691,'[2]tabela de preços'!$A:$F,6,0)</f>
        <v>COLA INST./ ADESIVOS COLANTES</v>
      </c>
      <c r="X1691" t="str">
        <f>VLOOKUP(L1691,'[2]tabela de preços'!$A:$G,7,0)</f>
        <v>AUTOMOTIVO</v>
      </c>
    </row>
    <row r="1692" spans="1:24" x14ac:dyDescent="0.3">
      <c r="A1692" t="s">
        <v>1757</v>
      </c>
      <c r="B1692" t="s">
        <v>1758</v>
      </c>
      <c r="C1692" t="s">
        <v>2399</v>
      </c>
      <c r="D1692" s="1">
        <v>46052</v>
      </c>
      <c r="E1692" t="s">
        <v>2400</v>
      </c>
      <c r="F1692">
        <v>9</v>
      </c>
      <c r="G1692">
        <v>236</v>
      </c>
      <c r="H1692" t="str">
        <f>VLOOKUP(G1692,[1]OPERADORES!$A:$B,2,0)</f>
        <v>DANIEL</v>
      </c>
      <c r="I1692" t="s">
        <v>1761</v>
      </c>
      <c r="J1692" t="s">
        <v>1762</v>
      </c>
      <c r="K1692" t="s">
        <v>1763</v>
      </c>
      <c r="L1692">
        <v>13</v>
      </c>
      <c r="M1692" t="s">
        <v>152</v>
      </c>
      <c r="O1692" t="s">
        <v>11</v>
      </c>
      <c r="P1692">
        <v>6102</v>
      </c>
      <c r="Q1692">
        <v>50</v>
      </c>
      <c r="R1692">
        <v>5.79</v>
      </c>
      <c r="S1692">
        <v>289.5</v>
      </c>
      <c r="T1692">
        <v>208</v>
      </c>
      <c r="U1692">
        <v>28.15</v>
      </c>
      <c r="V1692" t="str">
        <f>VLOOKUP(L1692,'[2]tabela de preços'!$A:$D,4,0)</f>
        <v>3M</v>
      </c>
      <c r="W1692" t="str">
        <f>VLOOKUP(L1692,'[2]tabela de preços'!$A:$F,6,0)</f>
        <v>LIXA DÁGUA</v>
      </c>
      <c r="X1692" t="str">
        <f>VLOOKUP(L1692,'[2]tabela de preços'!$A:$G,7,0)</f>
        <v>AUTOMOTIVO</v>
      </c>
    </row>
    <row r="1693" spans="1:24" x14ac:dyDescent="0.3">
      <c r="A1693" t="s">
        <v>1757</v>
      </c>
      <c r="B1693" t="s">
        <v>1758</v>
      </c>
      <c r="C1693" t="s">
        <v>2399</v>
      </c>
      <c r="D1693" s="1">
        <v>46052</v>
      </c>
      <c r="E1693" t="s">
        <v>2400</v>
      </c>
      <c r="F1693">
        <v>9</v>
      </c>
      <c r="G1693">
        <v>236</v>
      </c>
      <c r="H1693" t="str">
        <f>VLOOKUP(G1693,[1]OPERADORES!$A:$B,2,0)</f>
        <v>DANIEL</v>
      </c>
      <c r="I1693" t="s">
        <v>1761</v>
      </c>
      <c r="J1693" t="s">
        <v>1762</v>
      </c>
      <c r="K1693" t="s">
        <v>1763</v>
      </c>
      <c r="L1693">
        <v>21321</v>
      </c>
      <c r="M1693" t="s">
        <v>272</v>
      </c>
      <c r="O1693" t="s">
        <v>11</v>
      </c>
      <c r="P1693">
        <v>6102</v>
      </c>
      <c r="Q1693">
        <v>5</v>
      </c>
      <c r="R1693">
        <v>20.239999999999998</v>
      </c>
      <c r="S1693">
        <v>101.2</v>
      </c>
      <c r="T1693">
        <v>76.8</v>
      </c>
      <c r="U1693">
        <v>24.11</v>
      </c>
      <c r="V1693" t="str">
        <f>VLOOKUP(L1693,'[2]tabela de preços'!$A:$D,4,0)</f>
        <v>AUTO AMERICA</v>
      </c>
      <c r="W1693" t="str">
        <f>VLOOKUP(L1693,'[2]tabela de preços'!$A:$F,6,0)</f>
        <v>CERA  / LIMPEZA /  POLIMENTO VEICULAR</v>
      </c>
      <c r="X1693" t="str">
        <f>VLOOKUP(L1693,'[2]tabela de preços'!$A:$G,7,0)</f>
        <v>AUTOMOTIVO</v>
      </c>
    </row>
    <row r="1694" spans="1:24" x14ac:dyDescent="0.3">
      <c r="A1694" t="s">
        <v>1757</v>
      </c>
      <c r="B1694" t="s">
        <v>1758</v>
      </c>
      <c r="C1694" t="s">
        <v>2399</v>
      </c>
      <c r="D1694" s="1">
        <v>46052</v>
      </c>
      <c r="E1694" t="s">
        <v>2400</v>
      </c>
      <c r="F1694">
        <v>9</v>
      </c>
      <c r="G1694">
        <v>236</v>
      </c>
      <c r="H1694" t="str">
        <f>VLOOKUP(G1694,[1]OPERADORES!$A:$B,2,0)</f>
        <v>DANIEL</v>
      </c>
      <c r="I1694" t="s">
        <v>1761</v>
      </c>
      <c r="J1694" t="s">
        <v>1762</v>
      </c>
      <c r="K1694" t="s">
        <v>1763</v>
      </c>
      <c r="L1694">
        <v>23287</v>
      </c>
      <c r="M1694" t="s">
        <v>273</v>
      </c>
      <c r="O1694" t="s">
        <v>11</v>
      </c>
      <c r="P1694">
        <v>6102</v>
      </c>
      <c r="Q1694">
        <v>5</v>
      </c>
      <c r="R1694">
        <v>39.979999999999997</v>
      </c>
      <c r="S1694">
        <v>199.9</v>
      </c>
      <c r="T1694">
        <v>151.75</v>
      </c>
      <c r="U1694">
        <v>24.09</v>
      </c>
      <c r="V1694" t="str">
        <f>VLOOKUP(L1694,'[2]tabela de preços'!$A:$D,4,0)</f>
        <v>AUTO AMERICA</v>
      </c>
      <c r="W1694" t="str">
        <f>VLOOKUP(L1694,'[2]tabela de preços'!$A:$F,6,0)</f>
        <v>CERA  / LIMPEZA /  POLIMENTO VEICULAR</v>
      </c>
      <c r="X1694" t="str">
        <f>VLOOKUP(L1694,'[2]tabela de preços'!$A:$G,7,0)</f>
        <v>AUTOMOTIVO</v>
      </c>
    </row>
    <row r="1695" spans="1:24" x14ac:dyDescent="0.3">
      <c r="A1695" t="s">
        <v>1757</v>
      </c>
      <c r="B1695" t="s">
        <v>1758</v>
      </c>
      <c r="C1695" t="s">
        <v>2402</v>
      </c>
      <c r="D1695" s="1">
        <v>46052</v>
      </c>
      <c r="E1695" t="s">
        <v>2403</v>
      </c>
      <c r="F1695">
        <v>9</v>
      </c>
      <c r="G1695">
        <v>236</v>
      </c>
      <c r="H1695" t="str">
        <f>VLOOKUP(G1695,[1]OPERADORES!$A:$B,2,0)</f>
        <v>DANIEL</v>
      </c>
      <c r="I1695" t="s">
        <v>1761</v>
      </c>
      <c r="J1695" t="s">
        <v>1762</v>
      </c>
      <c r="K1695" t="s">
        <v>1763</v>
      </c>
      <c r="L1695">
        <v>22684</v>
      </c>
      <c r="M1695" t="s">
        <v>73</v>
      </c>
      <c r="O1695" t="s">
        <v>11</v>
      </c>
      <c r="P1695">
        <v>6102</v>
      </c>
      <c r="Q1695">
        <v>20</v>
      </c>
      <c r="R1695">
        <v>3.65</v>
      </c>
      <c r="S1695">
        <v>73</v>
      </c>
      <c r="T1695">
        <v>61.6</v>
      </c>
      <c r="U1695">
        <v>15.62</v>
      </c>
      <c r="V1695" t="str">
        <f>VLOOKUP(L1695,'[2]tabela de preços'!$A:$D,4,0)</f>
        <v>3M</v>
      </c>
      <c r="W1695" t="str">
        <f>VLOOKUP(L1695,'[2]tabela de preços'!$A:$F,6,0)</f>
        <v>FITA AUTOMOTIVA</v>
      </c>
      <c r="X1695" t="str">
        <f>VLOOKUP(L1695,'[2]tabela de preços'!$A:$G,7,0)</f>
        <v>AUTOMOTIVO</v>
      </c>
    </row>
    <row r="1696" spans="1:24" x14ac:dyDescent="0.3">
      <c r="A1696" t="s">
        <v>1766</v>
      </c>
      <c r="C1696" t="s">
        <v>1767</v>
      </c>
      <c r="D1696" s="1">
        <v>46034</v>
      </c>
      <c r="E1696" t="s">
        <v>1768</v>
      </c>
      <c r="F1696">
        <v>9</v>
      </c>
      <c r="G1696">
        <v>236</v>
      </c>
      <c r="H1696" t="str">
        <f>VLOOKUP(G1696,[1]OPERADORES!$A:$B,2,0)</f>
        <v>DANIEL</v>
      </c>
      <c r="I1696" t="s">
        <v>21</v>
      </c>
      <c r="J1696" t="s">
        <v>372</v>
      </c>
      <c r="K1696" t="s">
        <v>1769</v>
      </c>
      <c r="L1696">
        <v>84383</v>
      </c>
      <c r="M1696" t="s">
        <v>836</v>
      </c>
      <c r="O1696" t="s">
        <v>11</v>
      </c>
      <c r="P1696">
        <v>5403</v>
      </c>
      <c r="Q1696">
        <v>6</v>
      </c>
      <c r="R1696">
        <v>159.9</v>
      </c>
      <c r="S1696">
        <v>959.4</v>
      </c>
      <c r="T1696">
        <v>825.66</v>
      </c>
      <c r="U1696">
        <v>13.94</v>
      </c>
      <c r="V1696" t="str">
        <f>VLOOKUP(L1696,'[2]tabela de preços'!$A:$D,4,0)</f>
        <v>BRASILUX</v>
      </c>
      <c r="W1696" t="str">
        <f>VLOOKUP(L1696,'[2]tabela de preços'!$A:$F,6,0)</f>
        <v>TINTA PARA PISO</v>
      </c>
      <c r="X1696" t="str">
        <f>VLOOKUP(L1696,'[2]tabela de preços'!$A:$G,7,0)</f>
        <v>IMOBILIÁRIO</v>
      </c>
    </row>
    <row r="1697" spans="1:24" x14ac:dyDescent="0.3">
      <c r="A1697" t="s">
        <v>1770</v>
      </c>
      <c r="C1697" t="s">
        <v>1771</v>
      </c>
      <c r="D1697" s="1">
        <v>46043</v>
      </c>
      <c r="E1697" t="s">
        <v>1772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211</v>
      </c>
      <c r="K1697" t="s">
        <v>1773</v>
      </c>
      <c r="L1697">
        <v>86995</v>
      </c>
      <c r="M1697" t="s">
        <v>37</v>
      </c>
      <c r="O1697" t="s">
        <v>11</v>
      </c>
      <c r="P1697">
        <v>5102</v>
      </c>
      <c r="Q1697">
        <v>40</v>
      </c>
      <c r="R1697">
        <v>7.29</v>
      </c>
      <c r="S1697">
        <v>291.60000000000002</v>
      </c>
      <c r="T1697">
        <v>233.2</v>
      </c>
      <c r="U1697">
        <v>20.03</v>
      </c>
      <c r="V1697" t="str">
        <f>VLOOKUP(L1697,'[2]tabela de preços'!$A:$D,4,0)</f>
        <v>AUTOAMERICA</v>
      </c>
      <c r="W1697" t="str">
        <f>VLOOKUP(L1697,'[2]tabela de preços'!$A:$F,6,0)</f>
        <v>FLANELAS / PANOS</v>
      </c>
      <c r="X1697" t="str">
        <f>VLOOKUP(L1697,'[2]tabela de preços'!$A:$G,7,0)</f>
        <v>AUTOMOTIVO</v>
      </c>
    </row>
    <row r="1698" spans="1:24" x14ac:dyDescent="0.3">
      <c r="A1698" t="s">
        <v>1770</v>
      </c>
      <c r="C1698" t="s">
        <v>1771</v>
      </c>
      <c r="D1698" s="1">
        <v>46043</v>
      </c>
      <c r="E1698" t="s">
        <v>1772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211</v>
      </c>
      <c r="K1698" t="s">
        <v>1773</v>
      </c>
      <c r="L1698">
        <v>22180</v>
      </c>
      <c r="M1698" t="s">
        <v>404</v>
      </c>
      <c r="O1698" t="s">
        <v>11</v>
      </c>
      <c r="P1698">
        <v>5102</v>
      </c>
      <c r="Q1698">
        <v>10</v>
      </c>
      <c r="R1698">
        <v>21</v>
      </c>
      <c r="S1698">
        <v>210</v>
      </c>
      <c r="T1698">
        <v>146.4</v>
      </c>
      <c r="U1698">
        <v>30.29</v>
      </c>
      <c r="V1698" t="str">
        <f>VLOOKUP(L1698,'[2]tabela de preços'!$A:$D,4,0)</f>
        <v>MADRUGA</v>
      </c>
      <c r="W1698" t="str">
        <f>VLOOKUP(L1698,'[2]tabela de preços'!$A:$F,6,0)</f>
        <v>PAPEL DE MASCARAMENTO</v>
      </c>
      <c r="X1698" t="str">
        <f>VLOOKUP(L1698,'[2]tabela de preços'!$A:$G,7,0)</f>
        <v>AUTOMOTIVO</v>
      </c>
    </row>
    <row r="1699" spans="1:24" x14ac:dyDescent="0.3">
      <c r="A1699" t="s">
        <v>1770</v>
      </c>
      <c r="C1699" t="s">
        <v>1771</v>
      </c>
      <c r="D1699" s="1">
        <v>46043</v>
      </c>
      <c r="E1699" t="s">
        <v>1772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211</v>
      </c>
      <c r="K1699" t="s">
        <v>1773</v>
      </c>
      <c r="L1699">
        <v>20231</v>
      </c>
      <c r="M1699" t="s">
        <v>185</v>
      </c>
      <c r="O1699" t="s">
        <v>11</v>
      </c>
      <c r="P1699">
        <v>5405</v>
      </c>
      <c r="Q1699">
        <v>3</v>
      </c>
      <c r="R1699">
        <v>120.25</v>
      </c>
      <c r="S1699">
        <v>360.75</v>
      </c>
      <c r="T1699">
        <v>273.81</v>
      </c>
      <c r="U1699">
        <v>24.1</v>
      </c>
      <c r="V1699" t="str">
        <f>VLOOKUP(L1699,'[2]tabela de preços'!$A:$D,4,0)</f>
        <v>3M</v>
      </c>
      <c r="W1699" t="str">
        <f>VLOOKUP(L1699,'[2]tabela de preços'!$A:$F,6,0)</f>
        <v>PRIMER AUTOMOTIVO</v>
      </c>
      <c r="X1699" t="str">
        <f>VLOOKUP(L1699,'[2]tabela de preços'!$A:$G,7,0)</f>
        <v>AUTOMOTIVO</v>
      </c>
    </row>
    <row r="1700" spans="1:24" x14ac:dyDescent="0.3">
      <c r="A1700" t="s">
        <v>1774</v>
      </c>
      <c r="C1700" t="s">
        <v>1775</v>
      </c>
      <c r="D1700" s="1">
        <v>46038</v>
      </c>
      <c r="E1700" t="s">
        <v>1776</v>
      </c>
      <c r="F1700">
        <v>9</v>
      </c>
      <c r="G1700">
        <v>236</v>
      </c>
      <c r="H1700" t="str">
        <f>VLOOKUP(G1700,[1]OPERADORES!$A:$B,2,0)</f>
        <v>DANIEL</v>
      </c>
      <c r="I1700" t="s">
        <v>21</v>
      </c>
      <c r="J1700" t="s">
        <v>1564</v>
      </c>
      <c r="K1700" t="s">
        <v>1777</v>
      </c>
      <c r="L1700">
        <v>84010</v>
      </c>
      <c r="M1700" t="s">
        <v>1778</v>
      </c>
      <c r="O1700" t="s">
        <v>11</v>
      </c>
      <c r="P1700">
        <v>5102</v>
      </c>
      <c r="Q1700">
        <v>6</v>
      </c>
      <c r="R1700">
        <v>2.6</v>
      </c>
      <c r="S1700">
        <v>15.6</v>
      </c>
      <c r="T1700">
        <v>10.08</v>
      </c>
      <c r="U1700">
        <v>35.380000000000003</v>
      </c>
      <c r="V1700" t="str">
        <f>VLOOKUP(L1700,'[2]tabela de preços'!$A:$D,4,0)</f>
        <v>3M</v>
      </c>
      <c r="W1700" t="str">
        <f>VLOOKUP(L1700,'[2]tabela de preços'!$A:$F,6,0)</f>
        <v>LIXA FERRO</v>
      </c>
      <c r="X1700" t="str">
        <f>VLOOKUP(L1700,'[2]tabela de preços'!$A:$G,7,0)</f>
        <v>IMOBILIÁRIO</v>
      </c>
    </row>
    <row r="1701" spans="1:24" x14ac:dyDescent="0.3">
      <c r="A1701" t="s">
        <v>1774</v>
      </c>
      <c r="C1701" t="s">
        <v>1775</v>
      </c>
      <c r="D1701" s="1">
        <v>46038</v>
      </c>
      <c r="E1701" t="s">
        <v>1776</v>
      </c>
      <c r="F1701">
        <v>9</v>
      </c>
      <c r="G1701">
        <v>236</v>
      </c>
      <c r="H1701" t="str">
        <f>VLOOKUP(G1701,[1]OPERADORES!$A:$B,2,0)</f>
        <v>DANIEL</v>
      </c>
      <c r="I1701" t="s">
        <v>21</v>
      </c>
      <c r="J1701" t="s">
        <v>1564</v>
      </c>
      <c r="K1701" t="s">
        <v>1777</v>
      </c>
      <c r="L1701">
        <v>85583</v>
      </c>
      <c r="M1701" t="s">
        <v>970</v>
      </c>
      <c r="O1701" t="s">
        <v>11</v>
      </c>
      <c r="P1701">
        <v>5102</v>
      </c>
      <c r="Q1701">
        <v>3</v>
      </c>
      <c r="R1701">
        <v>39.950000000000003</v>
      </c>
      <c r="S1701">
        <v>119.85</v>
      </c>
      <c r="T1701">
        <v>81.39</v>
      </c>
      <c r="U1701">
        <v>32.090000000000003</v>
      </c>
      <c r="V1701" t="str">
        <f>VLOOKUP(L1701,'[2]tabela de preços'!$A:$D,4,0)</f>
        <v>DÁVILA  INOVE</v>
      </c>
      <c r="W1701" t="str">
        <f>VLOOKUP(L1701,'[2]tabela de preços'!$A:$F,6,0)</f>
        <v>MASSA CORRIDA / ACRÍLICA</v>
      </c>
      <c r="X1701" t="str">
        <f>VLOOKUP(L1701,'[2]tabela de preços'!$A:$G,7,0)</f>
        <v>IMOBILIÁRIO</v>
      </c>
    </row>
    <row r="1702" spans="1:24" x14ac:dyDescent="0.3">
      <c r="A1702" t="s">
        <v>1774</v>
      </c>
      <c r="C1702" t="s">
        <v>1775</v>
      </c>
      <c r="D1702" s="1">
        <v>46038</v>
      </c>
      <c r="E1702" t="s">
        <v>1776</v>
      </c>
      <c r="F1702">
        <v>9</v>
      </c>
      <c r="G1702">
        <v>236</v>
      </c>
      <c r="H1702" t="str">
        <f>VLOOKUP(G1702,[1]OPERADORES!$A:$B,2,0)</f>
        <v>DANIEL</v>
      </c>
      <c r="I1702" t="s">
        <v>21</v>
      </c>
      <c r="J1702" t="s">
        <v>1564</v>
      </c>
      <c r="K1702" t="s">
        <v>1777</v>
      </c>
      <c r="L1702">
        <v>84954</v>
      </c>
      <c r="M1702" t="s">
        <v>1779</v>
      </c>
      <c r="O1702" t="s">
        <v>11</v>
      </c>
      <c r="P1702">
        <v>5403</v>
      </c>
      <c r="Q1702">
        <v>1</v>
      </c>
      <c r="R1702">
        <v>85.91</v>
      </c>
      <c r="S1702">
        <v>85.91</v>
      </c>
      <c r="T1702">
        <v>61.58</v>
      </c>
      <c r="U1702">
        <v>28.32</v>
      </c>
      <c r="V1702" t="str">
        <f>VLOOKUP(L1702,'[2]tabela de preços'!$A:$D,4,0)</f>
        <v>BRASILUX</v>
      </c>
      <c r="W1702" t="str">
        <f>VLOOKUP(L1702,'[2]tabela de preços'!$A:$F,6,0)</f>
        <v>ESMALTES</v>
      </c>
      <c r="X1702" t="str">
        <f>VLOOKUP(L1702,'[2]tabela de preços'!$A:$G,7,0)</f>
        <v>INDUSTRIAL</v>
      </c>
    </row>
    <row r="1703" spans="1:24" x14ac:dyDescent="0.3">
      <c r="A1703" t="s">
        <v>1774</v>
      </c>
      <c r="C1703" t="s">
        <v>1775</v>
      </c>
      <c r="D1703" s="1">
        <v>46038</v>
      </c>
      <c r="E1703" t="s">
        <v>1776</v>
      </c>
      <c r="F1703">
        <v>9</v>
      </c>
      <c r="G1703">
        <v>236</v>
      </c>
      <c r="H1703" t="str">
        <f>VLOOKUP(G1703,[1]OPERADORES!$A:$B,2,0)</f>
        <v>DANIEL</v>
      </c>
      <c r="I1703" t="s">
        <v>21</v>
      </c>
      <c r="J1703" t="s">
        <v>1564</v>
      </c>
      <c r="K1703" t="s">
        <v>1777</v>
      </c>
      <c r="L1703">
        <v>85228</v>
      </c>
      <c r="M1703" t="s">
        <v>1041</v>
      </c>
      <c r="O1703" t="s">
        <v>11</v>
      </c>
      <c r="P1703">
        <v>5102</v>
      </c>
      <c r="Q1703">
        <v>1</v>
      </c>
      <c r="R1703">
        <v>9.2200000000000006</v>
      </c>
      <c r="S1703">
        <v>9.2200000000000006</v>
      </c>
      <c r="T1703">
        <v>5.95</v>
      </c>
      <c r="U1703">
        <v>35.47</v>
      </c>
      <c r="V1703" t="str">
        <f>VLOOKUP(L1703,'[2]tabela de preços'!$A:$D,4,0)</f>
        <v>ATLAS</v>
      </c>
      <c r="W1703" t="str">
        <f>VLOOKUP(L1703,'[2]tabela de preços'!$A:$F,6,0)</f>
        <v>ROLOS / TRINCHAS / PINCÉIS / ESPÁTULAS</v>
      </c>
      <c r="X1703" t="str">
        <f>VLOOKUP(L1703,'[2]tabela de preços'!$A:$G,7,0)</f>
        <v>IMOBILIÁRIO</v>
      </c>
    </row>
    <row r="1704" spans="1:24" x14ac:dyDescent="0.3">
      <c r="A1704" t="s">
        <v>1774</v>
      </c>
      <c r="C1704" t="s">
        <v>1775</v>
      </c>
      <c r="D1704" s="1">
        <v>46038</v>
      </c>
      <c r="E1704" t="s">
        <v>1776</v>
      </c>
      <c r="F1704">
        <v>9</v>
      </c>
      <c r="G1704">
        <v>236</v>
      </c>
      <c r="H1704" t="str">
        <f>VLOOKUP(G1704,[1]OPERADORES!$A:$B,2,0)</f>
        <v>DANIEL</v>
      </c>
      <c r="I1704" t="s">
        <v>21</v>
      </c>
      <c r="J1704" t="s">
        <v>1564</v>
      </c>
      <c r="K1704" t="s">
        <v>1777</v>
      </c>
      <c r="L1704">
        <v>85227</v>
      </c>
      <c r="M1704" t="s">
        <v>1042</v>
      </c>
      <c r="O1704" t="s">
        <v>11</v>
      </c>
      <c r="P1704">
        <v>5102</v>
      </c>
      <c r="Q1704">
        <v>1</v>
      </c>
      <c r="R1704">
        <v>7.13</v>
      </c>
      <c r="S1704">
        <v>7.13</v>
      </c>
      <c r="T1704">
        <v>4.5999999999999996</v>
      </c>
      <c r="U1704">
        <v>35.479999999999997</v>
      </c>
      <c r="V1704" t="str">
        <f>VLOOKUP(L1704,'[2]tabela de preços'!$A:$D,4,0)</f>
        <v>ATLAS</v>
      </c>
      <c r="W1704" t="str">
        <f>VLOOKUP(L1704,'[2]tabela de preços'!$A:$F,6,0)</f>
        <v>ROLOS / TRINCHAS / PINCÉIS / ESPÁTULAS</v>
      </c>
      <c r="X1704" t="str">
        <f>VLOOKUP(L1704,'[2]tabela de preços'!$A:$G,7,0)</f>
        <v>IMOBILIÁRIO</v>
      </c>
    </row>
    <row r="1705" spans="1:24" x14ac:dyDescent="0.3">
      <c r="A1705" t="s">
        <v>1774</v>
      </c>
      <c r="C1705" t="s">
        <v>1775</v>
      </c>
      <c r="D1705" s="1">
        <v>46038</v>
      </c>
      <c r="E1705" t="s">
        <v>1776</v>
      </c>
      <c r="F1705">
        <v>9</v>
      </c>
      <c r="G1705">
        <v>236</v>
      </c>
      <c r="H1705" t="str">
        <f>VLOOKUP(G1705,[1]OPERADORES!$A:$B,2,0)</f>
        <v>DANIEL</v>
      </c>
      <c r="I1705" t="s">
        <v>21</v>
      </c>
      <c r="J1705" t="s">
        <v>1564</v>
      </c>
      <c r="K1705" t="s">
        <v>1777</v>
      </c>
      <c r="L1705">
        <v>10298</v>
      </c>
      <c r="M1705" t="s">
        <v>85</v>
      </c>
      <c r="O1705" t="s">
        <v>11</v>
      </c>
      <c r="P1705">
        <v>5102</v>
      </c>
      <c r="Q1705">
        <v>1</v>
      </c>
      <c r="R1705">
        <v>56.89</v>
      </c>
      <c r="S1705">
        <v>56.89</v>
      </c>
      <c r="T1705">
        <v>47.38</v>
      </c>
      <c r="U1705">
        <v>16.72</v>
      </c>
      <c r="V1705" t="str">
        <f>VLOOKUP(L1705,'[2]tabela de preços'!$A:$D,4,0)</f>
        <v>ANJO</v>
      </c>
      <c r="W1705" t="str">
        <f>VLOOKUP(L1705,'[2]tabela de preços'!$A:$F,6,0)</f>
        <v>THINNER DE LIMPEZA</v>
      </c>
      <c r="X1705" t="str">
        <f>VLOOKUP(L1705,'[2]tabela de preços'!$A:$G,7,0)</f>
        <v>THINNER</v>
      </c>
    </row>
    <row r="1706" spans="1:24" x14ac:dyDescent="0.3">
      <c r="A1706" t="s">
        <v>1780</v>
      </c>
      <c r="C1706" t="s">
        <v>1781</v>
      </c>
      <c r="D1706" s="1">
        <v>46029</v>
      </c>
      <c r="E1706" t="s">
        <v>1782</v>
      </c>
      <c r="F1706">
        <v>9</v>
      </c>
      <c r="G1706">
        <v>236</v>
      </c>
      <c r="H1706" t="str">
        <f>VLOOKUP(G1706,[1]OPERADORES!$A:$B,2,0)</f>
        <v>DANIEL</v>
      </c>
      <c r="I1706" t="s">
        <v>21</v>
      </c>
      <c r="J1706" t="s">
        <v>397</v>
      </c>
      <c r="K1706" t="s">
        <v>1783</v>
      </c>
      <c r="L1706">
        <v>86598</v>
      </c>
      <c r="M1706" t="s">
        <v>1784</v>
      </c>
      <c r="O1706" t="s">
        <v>11</v>
      </c>
      <c r="P1706">
        <v>5403</v>
      </c>
      <c r="Q1706">
        <v>1</v>
      </c>
      <c r="R1706">
        <v>474.33</v>
      </c>
      <c r="S1706">
        <v>474.33</v>
      </c>
      <c r="T1706">
        <v>360.02</v>
      </c>
      <c r="U1706">
        <v>24.1</v>
      </c>
      <c r="V1706" t="str">
        <f>VLOOKUP(L1706,'[2]tabela de preços'!$A:$D,4,0)</f>
        <v>CORAL</v>
      </c>
      <c r="W1706" t="str">
        <f>VLOOKUP(L1706,'[2]tabela de preços'!$A:$F,6,0)</f>
        <v>TINTA PAREDE</v>
      </c>
      <c r="X1706" t="str">
        <f>VLOOKUP(L1706,'[2]tabela de preços'!$A:$G,7,0)</f>
        <v>IMOBILIÁRIO</v>
      </c>
    </row>
    <row r="1707" spans="1:24" x14ac:dyDescent="0.3">
      <c r="A1707" t="s">
        <v>1785</v>
      </c>
      <c r="C1707" t="s">
        <v>1786</v>
      </c>
      <c r="D1707" s="1">
        <v>46043</v>
      </c>
      <c r="E1707" t="s">
        <v>1787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1788</v>
      </c>
      <c r="K1707" t="s">
        <v>1789</v>
      </c>
      <c r="L1707">
        <v>20135</v>
      </c>
      <c r="M1707" t="s">
        <v>459</v>
      </c>
      <c r="O1707" t="s">
        <v>11</v>
      </c>
      <c r="P1707">
        <v>5102</v>
      </c>
      <c r="Q1707">
        <v>5</v>
      </c>
      <c r="R1707">
        <v>25.37</v>
      </c>
      <c r="S1707">
        <v>126.85</v>
      </c>
      <c r="T1707">
        <v>96.3</v>
      </c>
      <c r="U1707">
        <v>24.08</v>
      </c>
      <c r="V1707" t="str">
        <f>VLOOKUP(L1707,'[2]tabela de preços'!$A:$D,4,0)</f>
        <v>3M</v>
      </c>
      <c r="W1707" t="str">
        <f>VLOOKUP(L1707,'[2]tabela de preços'!$A:$F,6,0)</f>
        <v>DISCO TRIZACT</v>
      </c>
      <c r="X1707" t="str">
        <f>VLOOKUP(L1707,'[2]tabela de preços'!$A:$G,7,0)</f>
        <v>AUTOMOTIVO</v>
      </c>
    </row>
    <row r="1708" spans="1:24" x14ac:dyDescent="0.3">
      <c r="A1708" t="s">
        <v>1785</v>
      </c>
      <c r="C1708" t="s">
        <v>1786</v>
      </c>
      <c r="D1708" s="1">
        <v>46043</v>
      </c>
      <c r="E1708" t="s">
        <v>1787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21</v>
      </c>
      <c r="J1708" t="s">
        <v>1788</v>
      </c>
      <c r="K1708" t="s">
        <v>1789</v>
      </c>
      <c r="L1708">
        <v>13</v>
      </c>
      <c r="M1708" t="s">
        <v>152</v>
      </c>
      <c r="O1708" t="s">
        <v>11</v>
      </c>
      <c r="P1708">
        <v>5102</v>
      </c>
      <c r="Q1708">
        <v>100</v>
      </c>
      <c r="R1708">
        <v>5.79</v>
      </c>
      <c r="S1708">
        <v>579</v>
      </c>
      <c r="T1708">
        <v>416</v>
      </c>
      <c r="U1708">
        <v>28.15</v>
      </c>
      <c r="V1708" t="str">
        <f>VLOOKUP(L1708,'[2]tabela de preços'!$A:$D,4,0)</f>
        <v>3M</v>
      </c>
      <c r="W1708" t="str">
        <f>VLOOKUP(L1708,'[2]tabela de preços'!$A:$F,6,0)</f>
        <v>LIXA DÁGUA</v>
      </c>
      <c r="X1708" t="str">
        <f>VLOOKUP(L1708,'[2]tabela de preços'!$A:$G,7,0)</f>
        <v>AUTOMOTIVO</v>
      </c>
    </row>
    <row r="1709" spans="1:24" x14ac:dyDescent="0.3">
      <c r="A1709" t="s">
        <v>1785</v>
      </c>
      <c r="C1709" t="s">
        <v>1786</v>
      </c>
      <c r="D1709" s="1">
        <v>46043</v>
      </c>
      <c r="E1709" t="s">
        <v>1787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21</v>
      </c>
      <c r="J1709" t="s">
        <v>1788</v>
      </c>
      <c r="K1709" t="s">
        <v>1789</v>
      </c>
      <c r="L1709">
        <v>15</v>
      </c>
      <c r="M1709" t="s">
        <v>205</v>
      </c>
      <c r="O1709" t="s">
        <v>11</v>
      </c>
      <c r="P1709">
        <v>5102</v>
      </c>
      <c r="Q1709">
        <v>50</v>
      </c>
      <c r="R1709">
        <v>5.79</v>
      </c>
      <c r="S1709">
        <v>289.5</v>
      </c>
      <c r="T1709">
        <v>208</v>
      </c>
      <c r="U1709">
        <v>28.15</v>
      </c>
      <c r="V1709" t="str">
        <f>VLOOKUP(L1709,'[2]tabela de preços'!$A:$D,4,0)</f>
        <v>3M</v>
      </c>
      <c r="W1709" t="str">
        <f>VLOOKUP(L1709,'[2]tabela de preços'!$A:$F,6,0)</f>
        <v>LIXA DÁGUA</v>
      </c>
      <c r="X1709" t="str">
        <f>VLOOKUP(L1709,'[2]tabela de preços'!$A:$G,7,0)</f>
        <v>AUTOMOTIVO</v>
      </c>
    </row>
    <row r="1710" spans="1:24" x14ac:dyDescent="0.3">
      <c r="A1710" t="s">
        <v>1785</v>
      </c>
      <c r="C1710" t="s">
        <v>1786</v>
      </c>
      <c r="D1710" s="1">
        <v>46043</v>
      </c>
      <c r="E1710" t="s">
        <v>1787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21</v>
      </c>
      <c r="J1710" t="s">
        <v>1788</v>
      </c>
      <c r="K1710" t="s">
        <v>1789</v>
      </c>
      <c r="L1710">
        <v>16</v>
      </c>
      <c r="M1710" t="s">
        <v>122</v>
      </c>
      <c r="O1710" t="s">
        <v>11</v>
      </c>
      <c r="P1710">
        <v>5102</v>
      </c>
      <c r="Q1710">
        <v>50</v>
      </c>
      <c r="R1710">
        <v>2.9</v>
      </c>
      <c r="S1710">
        <v>145</v>
      </c>
      <c r="T1710">
        <v>110</v>
      </c>
      <c r="U1710">
        <v>24.14</v>
      </c>
      <c r="V1710" t="str">
        <f>VLOOKUP(L1710,'[2]tabela de preços'!$A:$D,4,0)</f>
        <v>3M</v>
      </c>
      <c r="W1710" t="str">
        <f>VLOOKUP(L1710,'[2]tabela de preços'!$A:$F,6,0)</f>
        <v>LIXA DÁGUA</v>
      </c>
      <c r="X1710" t="str">
        <f>VLOOKUP(L1710,'[2]tabela de preços'!$A:$G,7,0)</f>
        <v>AUTOMOTIVO</v>
      </c>
    </row>
    <row r="1711" spans="1:24" x14ac:dyDescent="0.3">
      <c r="A1711" t="s">
        <v>1785</v>
      </c>
      <c r="C1711" t="s">
        <v>1786</v>
      </c>
      <c r="D1711" s="1">
        <v>46043</v>
      </c>
      <c r="E1711" t="s">
        <v>1787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21</v>
      </c>
      <c r="J1711" t="s">
        <v>1788</v>
      </c>
      <c r="K1711" t="s">
        <v>1789</v>
      </c>
      <c r="L1711">
        <v>20817</v>
      </c>
      <c r="M1711" t="s">
        <v>153</v>
      </c>
      <c r="O1711" t="s">
        <v>11</v>
      </c>
      <c r="P1711">
        <v>5102</v>
      </c>
      <c r="Q1711">
        <v>2</v>
      </c>
      <c r="R1711">
        <v>22.89</v>
      </c>
      <c r="S1711">
        <v>45.78</v>
      </c>
      <c r="T1711">
        <v>37.24</v>
      </c>
      <c r="U1711">
        <v>18.649999999999999</v>
      </c>
      <c r="V1711" t="str">
        <f>VLOOKUP(L1711,'[2]tabela de preços'!$A:$D,4,0)</f>
        <v>AUTO AMERICA</v>
      </c>
      <c r="W1711" t="str">
        <f>VLOOKUP(L1711,'[2]tabela de preços'!$A:$F,6,0)</f>
        <v>MASSA DE POLIR</v>
      </c>
      <c r="X1711" t="str">
        <f>VLOOKUP(L1711,'[2]tabela de preços'!$A:$G,7,0)</f>
        <v>AUTOMOTIVO</v>
      </c>
    </row>
    <row r="1712" spans="1:24" x14ac:dyDescent="0.3">
      <c r="A1712" t="s">
        <v>1785</v>
      </c>
      <c r="C1712" t="s">
        <v>1786</v>
      </c>
      <c r="D1712" s="1">
        <v>46043</v>
      </c>
      <c r="E1712" t="s">
        <v>1787</v>
      </c>
      <c r="F1712">
        <v>9</v>
      </c>
      <c r="G1712">
        <v>174</v>
      </c>
      <c r="H1712" t="str">
        <f>VLOOKUP(G1712,[1]OPERADORES!$A:$B,2,0)</f>
        <v>MIRIÃ LOBATO RODRIGUES</v>
      </c>
      <c r="I1712" t="s">
        <v>21</v>
      </c>
      <c r="J1712" t="s">
        <v>1788</v>
      </c>
      <c r="K1712" t="s">
        <v>1789</v>
      </c>
      <c r="L1712">
        <v>10297</v>
      </c>
      <c r="M1712" t="s">
        <v>41</v>
      </c>
      <c r="O1712" t="s">
        <v>11</v>
      </c>
      <c r="P1712">
        <v>5102</v>
      </c>
      <c r="Q1712">
        <v>36</v>
      </c>
      <c r="R1712">
        <v>10.49</v>
      </c>
      <c r="S1712">
        <v>377.64</v>
      </c>
      <c r="T1712">
        <v>330.12</v>
      </c>
      <c r="U1712">
        <v>12.58</v>
      </c>
      <c r="V1712" t="str">
        <f>VLOOKUP(L1712,'[2]tabela de preços'!$A:$D,4,0)</f>
        <v>ANJO</v>
      </c>
      <c r="W1712" t="str">
        <f>VLOOKUP(L1712,'[2]tabela de preços'!$A:$F,6,0)</f>
        <v>THINNER DE LIMPEZA</v>
      </c>
      <c r="X1712" t="str">
        <f>VLOOKUP(L1712,'[2]tabela de preços'!$A:$G,7,0)</f>
        <v>THINNER</v>
      </c>
    </row>
    <row r="1713" spans="1:24" x14ac:dyDescent="0.3">
      <c r="A1713" t="s">
        <v>1790</v>
      </c>
      <c r="C1713" t="s">
        <v>1791</v>
      </c>
      <c r="D1713" s="1">
        <v>46028</v>
      </c>
      <c r="E1713" t="s">
        <v>1792</v>
      </c>
      <c r="F1713">
        <v>9</v>
      </c>
      <c r="G1713">
        <v>197</v>
      </c>
      <c r="H1713" t="str">
        <f>VLOOKUP(G1713,[1]OPERADORES!$A:$B,2,0)</f>
        <v xml:space="preserve">POLIANA LORRANE DE AMORIM </v>
      </c>
      <c r="I1713" t="s">
        <v>1761</v>
      </c>
      <c r="J1713" t="s">
        <v>1793</v>
      </c>
      <c r="K1713" t="s">
        <v>1794</v>
      </c>
      <c r="L1713">
        <v>86542</v>
      </c>
      <c r="M1713" t="s">
        <v>352</v>
      </c>
      <c r="O1713" t="s">
        <v>11</v>
      </c>
      <c r="P1713">
        <v>6102</v>
      </c>
      <c r="Q1713">
        <v>12</v>
      </c>
      <c r="R1713">
        <v>79.900000000000006</v>
      </c>
      <c r="S1713">
        <v>958.8</v>
      </c>
      <c r="T1713">
        <v>829.92</v>
      </c>
      <c r="U1713">
        <v>13.44</v>
      </c>
      <c r="V1713" t="str">
        <f>VLOOKUP(L1713,'[2]tabela de preços'!$A:$D,4,0)</f>
        <v>CORAL</v>
      </c>
      <c r="W1713" t="str">
        <f>VLOOKUP(L1713,'[2]tabela de preços'!$A:$F,6,0)</f>
        <v>MASSA CORRIDA / ACRÍLICA</v>
      </c>
      <c r="X1713" t="str">
        <f>VLOOKUP(L1713,'[2]tabela de preços'!$A:$G,7,0)</f>
        <v>IMOBILIÁRIO</v>
      </c>
    </row>
    <row r="1714" spans="1:24" x14ac:dyDescent="0.3">
      <c r="A1714" t="s">
        <v>1790</v>
      </c>
      <c r="C1714" t="s">
        <v>1795</v>
      </c>
      <c r="D1714" s="1">
        <v>46037</v>
      </c>
      <c r="E1714" t="s">
        <v>1796</v>
      </c>
      <c r="F1714">
        <v>9</v>
      </c>
      <c r="G1714">
        <v>197</v>
      </c>
      <c r="H1714" t="str">
        <f>VLOOKUP(G1714,[1]OPERADORES!$A:$B,2,0)</f>
        <v xml:space="preserve">POLIANA LORRANE DE AMORIM </v>
      </c>
      <c r="I1714" t="s">
        <v>1761</v>
      </c>
      <c r="J1714" t="s">
        <v>1793</v>
      </c>
      <c r="K1714" t="s">
        <v>1794</v>
      </c>
      <c r="L1714">
        <v>86542</v>
      </c>
      <c r="M1714" t="s">
        <v>352</v>
      </c>
      <c r="O1714" t="s">
        <v>11</v>
      </c>
      <c r="P1714">
        <v>6102</v>
      </c>
      <c r="Q1714">
        <v>25</v>
      </c>
      <c r="R1714">
        <v>78.900000000000006</v>
      </c>
      <c r="S1714" s="2">
        <v>1972.5</v>
      </c>
      <c r="T1714" s="2">
        <v>1729</v>
      </c>
      <c r="U1714">
        <v>12.34</v>
      </c>
      <c r="V1714" t="str">
        <f>VLOOKUP(L1714,'[2]tabela de preços'!$A:$D,4,0)</f>
        <v>CORAL</v>
      </c>
      <c r="W1714" t="str">
        <f>VLOOKUP(L1714,'[2]tabela de preços'!$A:$F,6,0)</f>
        <v>MASSA CORRIDA / ACRÍLICA</v>
      </c>
      <c r="X1714" t="str">
        <f>VLOOKUP(L1714,'[2]tabela de preços'!$A:$G,7,0)</f>
        <v>IMOBILIÁRIO</v>
      </c>
    </row>
    <row r="1715" spans="1:24" x14ac:dyDescent="0.3">
      <c r="A1715" t="s">
        <v>1790</v>
      </c>
      <c r="C1715" t="s">
        <v>1797</v>
      </c>
      <c r="D1715" s="1">
        <v>46041</v>
      </c>
      <c r="F1715">
        <v>9</v>
      </c>
      <c r="G1715">
        <v>197</v>
      </c>
      <c r="H1715" t="str">
        <f>VLOOKUP(G1715,[1]OPERADORES!$A:$B,2,0)</f>
        <v xml:space="preserve">POLIANA LORRANE DE AMORIM </v>
      </c>
      <c r="I1715" t="s">
        <v>1761</v>
      </c>
      <c r="J1715" t="s">
        <v>1793</v>
      </c>
      <c r="K1715" t="s">
        <v>1794</v>
      </c>
      <c r="L1715">
        <v>86542</v>
      </c>
      <c r="M1715" t="s">
        <v>352</v>
      </c>
      <c r="N1715" t="s">
        <v>1798</v>
      </c>
      <c r="O1715" t="s">
        <v>11</v>
      </c>
      <c r="P1715">
        <v>2202</v>
      </c>
      <c r="Q1715">
        <v>-25</v>
      </c>
      <c r="R1715">
        <v>78.900000000000006</v>
      </c>
      <c r="S1715" s="2">
        <v>-1972.5</v>
      </c>
      <c r="T1715" s="2">
        <v>-1729</v>
      </c>
      <c r="U1715">
        <v>12.34</v>
      </c>
      <c r="V1715" t="str">
        <f>VLOOKUP(L1715,'[2]tabela de preços'!$A:$D,4,0)</f>
        <v>CORAL</v>
      </c>
      <c r="W1715" t="str">
        <f>VLOOKUP(L1715,'[2]tabela de preços'!$A:$F,6,0)</f>
        <v>MASSA CORRIDA / ACRÍLICA</v>
      </c>
      <c r="X1715" t="str">
        <f>VLOOKUP(L1715,'[2]tabela de preços'!$A:$G,7,0)</f>
        <v>IMOBILIÁRIO</v>
      </c>
    </row>
    <row r="1716" spans="1:24" x14ac:dyDescent="0.3">
      <c r="A1716" t="s">
        <v>1790</v>
      </c>
      <c r="C1716" t="s">
        <v>1799</v>
      </c>
      <c r="D1716" s="1">
        <v>46045</v>
      </c>
      <c r="E1716" t="s">
        <v>1800</v>
      </c>
      <c r="F1716">
        <v>9</v>
      </c>
      <c r="G1716">
        <v>197</v>
      </c>
      <c r="H1716" t="str">
        <f>VLOOKUP(G1716,[1]OPERADORES!$A:$B,2,0)</f>
        <v xml:space="preserve">POLIANA LORRANE DE AMORIM </v>
      </c>
      <c r="I1716" t="s">
        <v>1761</v>
      </c>
      <c r="J1716" t="s">
        <v>1793</v>
      </c>
      <c r="K1716" t="s">
        <v>1794</v>
      </c>
      <c r="L1716">
        <v>10316</v>
      </c>
      <c r="M1716" t="s">
        <v>582</v>
      </c>
      <c r="O1716" t="s">
        <v>11</v>
      </c>
      <c r="P1716">
        <v>6102</v>
      </c>
      <c r="Q1716">
        <v>3</v>
      </c>
      <c r="R1716">
        <v>13.89</v>
      </c>
      <c r="S1716">
        <v>41.67</v>
      </c>
      <c r="T1716">
        <v>34.89</v>
      </c>
      <c r="U1716">
        <v>16.27</v>
      </c>
      <c r="V1716" t="str">
        <f>VLOOKUP(L1716,'[2]tabela de preços'!$A:$D,4,0)</f>
        <v>ANJO</v>
      </c>
      <c r="W1716" t="str">
        <f>VLOOKUP(L1716,'[2]tabela de preços'!$A:$F,6,0)</f>
        <v xml:space="preserve">COLA  PLÁSTICA </v>
      </c>
      <c r="X1716" t="str">
        <f>VLOOKUP(L1716,'[2]tabela de preços'!$A:$G,7,0)</f>
        <v>AUTOMOTIVO</v>
      </c>
    </row>
    <row r="1717" spans="1:24" x14ac:dyDescent="0.3">
      <c r="A1717" t="s">
        <v>1790</v>
      </c>
      <c r="C1717" t="s">
        <v>1799</v>
      </c>
      <c r="D1717" s="1">
        <v>46045</v>
      </c>
      <c r="E1717" t="s">
        <v>1800</v>
      </c>
      <c r="F1717">
        <v>9</v>
      </c>
      <c r="G1717">
        <v>197</v>
      </c>
      <c r="H1717" t="str">
        <f>VLOOKUP(G1717,[1]OPERADORES!$A:$B,2,0)</f>
        <v xml:space="preserve">POLIANA LORRANE DE AMORIM </v>
      </c>
      <c r="I1717" t="s">
        <v>1761</v>
      </c>
      <c r="J1717" t="s">
        <v>1793</v>
      </c>
      <c r="K1717" t="s">
        <v>1794</v>
      </c>
      <c r="L1717">
        <v>86892</v>
      </c>
      <c r="M1717" t="s">
        <v>1801</v>
      </c>
      <c r="O1717" t="s">
        <v>11</v>
      </c>
      <c r="P1717">
        <v>6403</v>
      </c>
      <c r="Q1717">
        <v>2</v>
      </c>
      <c r="R1717">
        <v>56.9</v>
      </c>
      <c r="S1717">
        <v>113.8</v>
      </c>
      <c r="T1717">
        <v>92.46</v>
      </c>
      <c r="U1717">
        <v>18.75</v>
      </c>
      <c r="V1717" t="str">
        <f>VLOOKUP(L1717,'[2]tabela de preços'!$A:$D,4,0)</f>
        <v>VEDACIT</v>
      </c>
      <c r="W1717" t="str">
        <f>VLOOKUP(L1717,'[2]tabela de preços'!$A:$F,6,0)</f>
        <v>IMPERMEABILIZANTES</v>
      </c>
      <c r="X1717" t="str">
        <f>VLOOKUP(L1717,'[2]tabela de preços'!$A:$G,7,0)</f>
        <v>IMOBILIÁRIO</v>
      </c>
    </row>
    <row r="1718" spans="1:24" x14ac:dyDescent="0.3">
      <c r="A1718" t="s">
        <v>1790</v>
      </c>
      <c r="C1718" t="s">
        <v>1799</v>
      </c>
      <c r="D1718" s="1">
        <v>46045</v>
      </c>
      <c r="E1718" t="s">
        <v>1800</v>
      </c>
      <c r="F1718">
        <v>9</v>
      </c>
      <c r="G1718">
        <v>197</v>
      </c>
      <c r="H1718" t="str">
        <f>VLOOKUP(G1718,[1]OPERADORES!$A:$B,2,0)</f>
        <v xml:space="preserve">POLIANA LORRANE DE AMORIM </v>
      </c>
      <c r="I1718" t="s">
        <v>1761</v>
      </c>
      <c r="J1718" t="s">
        <v>1793</v>
      </c>
      <c r="K1718" t="s">
        <v>1794</v>
      </c>
      <c r="L1718">
        <v>10277</v>
      </c>
      <c r="M1718" t="s">
        <v>135</v>
      </c>
      <c r="O1718" t="s">
        <v>11</v>
      </c>
      <c r="P1718">
        <v>6102</v>
      </c>
      <c r="Q1718">
        <v>3</v>
      </c>
      <c r="R1718">
        <v>15.89</v>
      </c>
      <c r="S1718">
        <v>47.67</v>
      </c>
      <c r="T1718">
        <v>38.64</v>
      </c>
      <c r="U1718">
        <v>18.940000000000001</v>
      </c>
      <c r="V1718" t="str">
        <f>VLOOKUP(L1718,'[2]tabela de preços'!$A:$D,4,0)</f>
        <v>RETOQUE</v>
      </c>
      <c r="W1718" t="str">
        <f>VLOOKUP(L1718,'[2]tabela de preços'!$A:$F,6,0)</f>
        <v xml:space="preserve">COLA  PLÁSTICA </v>
      </c>
      <c r="X1718" t="str">
        <f>VLOOKUP(L1718,'[2]tabela de preços'!$A:$G,7,0)</f>
        <v>AUTOMOTIVO</v>
      </c>
    </row>
    <row r="1719" spans="1:24" x14ac:dyDescent="0.3">
      <c r="A1719" t="s">
        <v>1790</v>
      </c>
      <c r="C1719" t="s">
        <v>1799</v>
      </c>
      <c r="D1719" s="1">
        <v>46045</v>
      </c>
      <c r="E1719" t="s">
        <v>1800</v>
      </c>
      <c r="F1719">
        <v>9</v>
      </c>
      <c r="G1719">
        <v>197</v>
      </c>
      <c r="H1719" t="str">
        <f>VLOOKUP(G1719,[1]OPERADORES!$A:$B,2,0)</f>
        <v xml:space="preserve">POLIANA LORRANE DE AMORIM </v>
      </c>
      <c r="I1719" t="s">
        <v>1761</v>
      </c>
      <c r="J1719" t="s">
        <v>1793</v>
      </c>
      <c r="K1719" t="s">
        <v>1794</v>
      </c>
      <c r="L1719">
        <v>13</v>
      </c>
      <c r="M1719" t="s">
        <v>152</v>
      </c>
      <c r="O1719" t="s">
        <v>11</v>
      </c>
      <c r="P1719">
        <v>6102</v>
      </c>
      <c r="Q1719">
        <v>50</v>
      </c>
      <c r="R1719">
        <v>5.79</v>
      </c>
      <c r="S1719">
        <v>289.5</v>
      </c>
      <c r="T1719">
        <v>208</v>
      </c>
      <c r="U1719">
        <v>28.15</v>
      </c>
      <c r="V1719" t="str">
        <f>VLOOKUP(L1719,'[2]tabela de preços'!$A:$D,4,0)</f>
        <v>3M</v>
      </c>
      <c r="W1719" t="str">
        <f>VLOOKUP(L1719,'[2]tabela de preços'!$A:$F,6,0)</f>
        <v>LIXA DÁGUA</v>
      </c>
      <c r="X1719" t="str">
        <f>VLOOKUP(L1719,'[2]tabela de preços'!$A:$G,7,0)</f>
        <v>AUTOMOTIVO</v>
      </c>
    </row>
    <row r="1720" spans="1:24" x14ac:dyDescent="0.3">
      <c r="A1720" t="s">
        <v>1790</v>
      </c>
      <c r="C1720" t="s">
        <v>1799</v>
      </c>
      <c r="D1720" s="1">
        <v>46045</v>
      </c>
      <c r="E1720" t="s">
        <v>1800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1761</v>
      </c>
      <c r="J1720" t="s">
        <v>1793</v>
      </c>
      <c r="K1720" t="s">
        <v>1794</v>
      </c>
      <c r="L1720">
        <v>15</v>
      </c>
      <c r="M1720" t="s">
        <v>205</v>
      </c>
      <c r="O1720" t="s">
        <v>11</v>
      </c>
      <c r="P1720">
        <v>6102</v>
      </c>
      <c r="Q1720">
        <v>50</v>
      </c>
      <c r="R1720">
        <v>5.79</v>
      </c>
      <c r="S1720">
        <v>289.5</v>
      </c>
      <c r="T1720">
        <v>208</v>
      </c>
      <c r="U1720">
        <v>28.15</v>
      </c>
      <c r="V1720" t="str">
        <f>VLOOKUP(L1720,'[2]tabela de preços'!$A:$D,4,0)</f>
        <v>3M</v>
      </c>
      <c r="W1720" t="str">
        <f>VLOOKUP(L1720,'[2]tabela de preços'!$A:$F,6,0)</f>
        <v>LIXA DÁGUA</v>
      </c>
      <c r="X1720" t="str">
        <f>VLOOKUP(L1720,'[2]tabela de preços'!$A:$G,7,0)</f>
        <v>AUTOMOTIVO</v>
      </c>
    </row>
    <row r="1721" spans="1:24" x14ac:dyDescent="0.3">
      <c r="A1721" t="s">
        <v>1790</v>
      </c>
      <c r="C1721" t="s">
        <v>1799</v>
      </c>
      <c r="D1721" s="1">
        <v>46045</v>
      </c>
      <c r="E1721" t="s">
        <v>1800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1761</v>
      </c>
      <c r="J1721" t="s">
        <v>1793</v>
      </c>
      <c r="K1721" t="s">
        <v>1794</v>
      </c>
      <c r="L1721">
        <v>85626</v>
      </c>
      <c r="M1721" t="s">
        <v>1040</v>
      </c>
      <c r="O1721" t="s">
        <v>11</v>
      </c>
      <c r="P1721">
        <v>6102</v>
      </c>
      <c r="Q1721">
        <v>6</v>
      </c>
      <c r="R1721">
        <v>34.9</v>
      </c>
      <c r="S1721">
        <v>209.4</v>
      </c>
      <c r="T1721">
        <v>172.08</v>
      </c>
      <c r="U1721">
        <v>17.82</v>
      </c>
      <c r="V1721" t="str">
        <f>VLOOKUP(L1721,'[2]tabela de preços'!$A:$D,4,0)</f>
        <v>WD-40</v>
      </c>
      <c r="W1721" t="str">
        <f>VLOOKUP(L1721,'[2]tabela de preços'!$A:$F,6,0)</f>
        <v>DESENGRIPANTE</v>
      </c>
      <c r="X1721" t="str">
        <f>VLOOKUP(L1721,'[2]tabela de preços'!$A:$G,7,0)</f>
        <v>AUTOMOTIVO</v>
      </c>
    </row>
    <row r="1722" spans="1:24" x14ac:dyDescent="0.3">
      <c r="A1722" t="s">
        <v>1790</v>
      </c>
      <c r="C1722" t="s">
        <v>1799</v>
      </c>
      <c r="D1722" s="1">
        <v>46045</v>
      </c>
      <c r="E1722" t="s">
        <v>1800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1761</v>
      </c>
      <c r="J1722" t="s">
        <v>1793</v>
      </c>
      <c r="K1722" t="s">
        <v>1794</v>
      </c>
      <c r="L1722">
        <v>86984</v>
      </c>
      <c r="M1722" t="s">
        <v>720</v>
      </c>
      <c r="O1722" t="s">
        <v>11</v>
      </c>
      <c r="P1722">
        <v>6102</v>
      </c>
      <c r="Q1722">
        <v>4</v>
      </c>
      <c r="R1722">
        <v>44.9</v>
      </c>
      <c r="S1722">
        <v>179.6</v>
      </c>
      <c r="T1722">
        <v>148.84</v>
      </c>
      <c r="U1722">
        <v>17.13</v>
      </c>
      <c r="V1722" t="str">
        <f>VLOOKUP(L1722,'[2]tabela de preços'!$A:$D,4,0)</f>
        <v>ARPREX</v>
      </c>
      <c r="W1722" t="str">
        <f>VLOOKUP(L1722,'[2]tabela de preços'!$A:$F,6,0)</f>
        <v>PISTOLAS</v>
      </c>
      <c r="X1722" t="str">
        <f>VLOOKUP(L1722,'[2]tabela de preços'!$A:$G,7,0)</f>
        <v>IMOBILIÁRIO</v>
      </c>
    </row>
    <row r="1723" spans="1:24" x14ac:dyDescent="0.3">
      <c r="A1723" t="s">
        <v>1790</v>
      </c>
      <c r="C1723" t="s">
        <v>1799</v>
      </c>
      <c r="D1723" s="1">
        <v>46045</v>
      </c>
      <c r="E1723" t="s">
        <v>1800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1761</v>
      </c>
      <c r="J1723" t="s">
        <v>1793</v>
      </c>
      <c r="K1723" t="s">
        <v>1794</v>
      </c>
      <c r="L1723">
        <v>10298</v>
      </c>
      <c r="M1723" t="s">
        <v>85</v>
      </c>
      <c r="O1723" t="s">
        <v>11</v>
      </c>
      <c r="P1723">
        <v>6102</v>
      </c>
      <c r="Q1723">
        <v>4</v>
      </c>
      <c r="R1723">
        <v>56.89</v>
      </c>
      <c r="S1723">
        <v>227.56</v>
      </c>
      <c r="T1723">
        <v>189.52</v>
      </c>
      <c r="U1723">
        <v>16.72</v>
      </c>
      <c r="V1723" t="str">
        <f>VLOOKUP(L1723,'[2]tabela de preços'!$A:$D,4,0)</f>
        <v>ANJO</v>
      </c>
      <c r="W1723" t="str">
        <f>VLOOKUP(L1723,'[2]tabela de preços'!$A:$F,6,0)</f>
        <v>THINNER DE LIMPEZA</v>
      </c>
      <c r="X1723" t="str">
        <f>VLOOKUP(L1723,'[2]tabela de preços'!$A:$G,7,0)</f>
        <v>THINNER</v>
      </c>
    </row>
    <row r="1724" spans="1:24" x14ac:dyDescent="0.3">
      <c r="A1724" t="s">
        <v>1802</v>
      </c>
      <c r="B1724" t="s">
        <v>1803</v>
      </c>
      <c r="C1724" t="s">
        <v>1804</v>
      </c>
      <c r="D1724" s="1">
        <v>46051</v>
      </c>
      <c r="E1724" t="s">
        <v>1805</v>
      </c>
      <c r="F1724">
        <v>9</v>
      </c>
      <c r="G1724">
        <v>230</v>
      </c>
      <c r="H1724" t="str">
        <f>VLOOKUP(G1724,[1]OPERADORES!$A:$B,2,0)</f>
        <v>SÔNIA</v>
      </c>
      <c r="I1724" t="s">
        <v>21</v>
      </c>
      <c r="J1724" t="s">
        <v>211</v>
      </c>
      <c r="K1724" t="s">
        <v>1806</v>
      </c>
      <c r="L1724">
        <v>84025</v>
      </c>
      <c r="M1724" t="s">
        <v>1520</v>
      </c>
      <c r="O1724" t="s">
        <v>11</v>
      </c>
      <c r="P1724">
        <v>5102</v>
      </c>
      <c r="Q1724">
        <v>1</v>
      </c>
      <c r="R1724">
        <v>80.42</v>
      </c>
      <c r="S1724">
        <v>80.42</v>
      </c>
      <c r="T1724">
        <v>61.04</v>
      </c>
      <c r="U1724">
        <v>24.1</v>
      </c>
      <c r="V1724" t="str">
        <f>VLOOKUP(L1724,'[2]tabela de preços'!$A:$D,4,0)</f>
        <v>BRASILUX</v>
      </c>
      <c r="W1724" t="str">
        <f>VLOOKUP(L1724,'[2]tabela de preços'!$A:$F,6,0)</f>
        <v>EPOXI</v>
      </c>
      <c r="X1724" t="str">
        <f>VLOOKUP(L1724,'[2]tabela de preços'!$A:$G,7,0)</f>
        <v>INDUSTRIAL</v>
      </c>
    </row>
    <row r="1725" spans="1:24" x14ac:dyDescent="0.3">
      <c r="A1725" t="s">
        <v>1802</v>
      </c>
      <c r="B1725" t="s">
        <v>1803</v>
      </c>
      <c r="C1725" t="s">
        <v>1804</v>
      </c>
      <c r="D1725" s="1">
        <v>46051</v>
      </c>
      <c r="E1725" t="s">
        <v>1805</v>
      </c>
      <c r="F1725">
        <v>9</v>
      </c>
      <c r="G1725">
        <v>230</v>
      </c>
      <c r="H1725" t="str">
        <f>VLOOKUP(G1725,[1]OPERADORES!$A:$B,2,0)</f>
        <v>SÔNIA</v>
      </c>
      <c r="I1725" t="s">
        <v>21</v>
      </c>
      <c r="J1725" t="s">
        <v>211</v>
      </c>
      <c r="K1725" t="s">
        <v>1806</v>
      </c>
      <c r="L1725">
        <v>84928</v>
      </c>
      <c r="M1725" t="s">
        <v>36</v>
      </c>
      <c r="O1725" t="s">
        <v>11</v>
      </c>
      <c r="P1725">
        <v>5102</v>
      </c>
      <c r="Q1725">
        <v>5</v>
      </c>
      <c r="R1725">
        <v>9.39</v>
      </c>
      <c r="S1725">
        <v>46.95</v>
      </c>
      <c r="T1725">
        <v>35.65</v>
      </c>
      <c r="U1725">
        <v>24.07</v>
      </c>
      <c r="V1725" t="str">
        <f>VLOOKUP(L1725,'[2]tabela de preços'!$A:$D,4,0)</f>
        <v>ADERE</v>
      </c>
      <c r="W1725" t="str">
        <f>VLOOKUP(L1725,'[2]tabela de preços'!$A:$F,6,0)</f>
        <v xml:space="preserve">FITA DE USO GERAL </v>
      </c>
      <c r="X1725" t="str">
        <f>VLOOKUP(L1725,'[2]tabela de preços'!$A:$G,7,0)</f>
        <v>IMOBILIÁRIO</v>
      </c>
    </row>
    <row r="1726" spans="1:24" x14ac:dyDescent="0.3">
      <c r="A1726" t="s">
        <v>1802</v>
      </c>
      <c r="B1726" t="s">
        <v>1803</v>
      </c>
      <c r="C1726" t="s">
        <v>1804</v>
      </c>
      <c r="D1726" s="1">
        <v>46051</v>
      </c>
      <c r="E1726" t="s">
        <v>1805</v>
      </c>
      <c r="F1726">
        <v>9</v>
      </c>
      <c r="G1726">
        <v>230</v>
      </c>
      <c r="H1726" t="str">
        <f>VLOOKUP(G1726,[1]OPERADORES!$A:$B,2,0)</f>
        <v>SÔNIA</v>
      </c>
      <c r="I1726" t="s">
        <v>21</v>
      </c>
      <c r="J1726" t="s">
        <v>211</v>
      </c>
      <c r="K1726" t="s">
        <v>1806</v>
      </c>
      <c r="L1726">
        <v>84422</v>
      </c>
      <c r="M1726" t="s">
        <v>569</v>
      </c>
      <c r="O1726" t="s">
        <v>11</v>
      </c>
      <c r="P1726">
        <v>5102</v>
      </c>
      <c r="Q1726">
        <v>3</v>
      </c>
      <c r="R1726">
        <v>9.32</v>
      </c>
      <c r="S1726">
        <v>27.96</v>
      </c>
      <c r="T1726">
        <v>21.24</v>
      </c>
      <c r="U1726">
        <v>24.03</v>
      </c>
      <c r="V1726" t="str">
        <f>VLOOKUP(L1726,'[2]tabela de preços'!$A:$D,4,0)</f>
        <v>ATLAS</v>
      </c>
      <c r="W1726" t="str">
        <f>VLOOKUP(L1726,'[2]tabela de preços'!$A:$F,6,0)</f>
        <v>ROLOS / TRINCHAS / PINCÉIS / ESPÁTULAS</v>
      </c>
      <c r="X1726" t="str">
        <f>VLOOKUP(L1726,'[2]tabela de preços'!$A:$G,7,0)</f>
        <v>IMOBILIÁRIO</v>
      </c>
    </row>
    <row r="1727" spans="1:24" x14ac:dyDescent="0.3">
      <c r="A1727" t="s">
        <v>1802</v>
      </c>
      <c r="B1727" t="s">
        <v>1803</v>
      </c>
      <c r="C1727" t="s">
        <v>1804</v>
      </c>
      <c r="D1727" s="1">
        <v>46051</v>
      </c>
      <c r="E1727" t="s">
        <v>1805</v>
      </c>
      <c r="F1727">
        <v>9</v>
      </c>
      <c r="G1727">
        <v>230</v>
      </c>
      <c r="H1727" t="str">
        <f>VLOOKUP(G1727,[1]OPERADORES!$A:$B,2,0)</f>
        <v>SÔNIA</v>
      </c>
      <c r="I1727" t="s">
        <v>21</v>
      </c>
      <c r="J1727" t="s">
        <v>211</v>
      </c>
      <c r="K1727" t="s">
        <v>1806</v>
      </c>
      <c r="L1727">
        <v>85292</v>
      </c>
      <c r="M1727" t="s">
        <v>1288</v>
      </c>
      <c r="O1727" t="s">
        <v>11</v>
      </c>
      <c r="P1727">
        <v>5403</v>
      </c>
      <c r="Q1727">
        <v>2</v>
      </c>
      <c r="R1727">
        <v>169.39</v>
      </c>
      <c r="S1727">
        <v>338.78</v>
      </c>
      <c r="T1727">
        <v>257.14</v>
      </c>
      <c r="U1727">
        <v>24.1</v>
      </c>
      <c r="V1727" t="str">
        <f>VLOOKUP(L1727,'[2]tabela de preços'!$A:$D,4,0)</f>
        <v>BRASILUX</v>
      </c>
      <c r="W1727" t="str">
        <f>VLOOKUP(L1727,'[2]tabela de preços'!$A:$F,6,0)</f>
        <v>EPOXI</v>
      </c>
      <c r="X1727" t="str">
        <f>VLOOKUP(L1727,'[2]tabela de preços'!$A:$G,7,0)</f>
        <v>INDUSTRIAL</v>
      </c>
    </row>
    <row r="1728" spans="1:24" x14ac:dyDescent="0.3">
      <c r="A1728" t="s">
        <v>1807</v>
      </c>
      <c r="C1728" t="s">
        <v>1808</v>
      </c>
      <c r="D1728" s="1">
        <v>46043</v>
      </c>
      <c r="E1728" t="s">
        <v>1809</v>
      </c>
      <c r="F1728">
        <v>9</v>
      </c>
      <c r="G1728">
        <v>231</v>
      </c>
      <c r="H1728" t="str">
        <f>VLOOKUP(G1728,[1]OPERADORES!$A:$B,2,0)</f>
        <v>EDIJANE</v>
      </c>
      <c r="I1728" t="s">
        <v>21</v>
      </c>
      <c r="J1728" t="s">
        <v>531</v>
      </c>
      <c r="K1728" t="s">
        <v>1810</v>
      </c>
      <c r="L1728">
        <v>85401</v>
      </c>
      <c r="M1728" t="s">
        <v>261</v>
      </c>
      <c r="O1728" t="s">
        <v>11</v>
      </c>
      <c r="P1728">
        <v>5102</v>
      </c>
      <c r="Q1728">
        <v>1</v>
      </c>
      <c r="R1728">
        <v>633.42999999999995</v>
      </c>
      <c r="S1728">
        <v>633.42999999999995</v>
      </c>
      <c r="T1728">
        <v>451.64</v>
      </c>
      <c r="U1728">
        <v>28.7</v>
      </c>
      <c r="V1728" t="str">
        <f>VLOOKUP(L1728,'[2]tabela de preços'!$A:$D,4,0)</f>
        <v>BRASILUX</v>
      </c>
      <c r="W1728" t="str">
        <f>VLOOKUP(L1728,'[2]tabela de preços'!$A:$F,6,0)</f>
        <v>TINTA EM PÓ</v>
      </c>
      <c r="X1728" t="str">
        <f>VLOOKUP(L1728,'[2]tabela de preços'!$A:$G,7,0)</f>
        <v>INDUSTRIAL</v>
      </c>
    </row>
    <row r="1729" spans="1:24" x14ac:dyDescent="0.3">
      <c r="A1729" t="s">
        <v>1807</v>
      </c>
      <c r="C1729" t="s">
        <v>1811</v>
      </c>
      <c r="D1729" s="1">
        <v>46049</v>
      </c>
      <c r="E1729" t="s">
        <v>1812</v>
      </c>
      <c r="F1729">
        <v>9</v>
      </c>
      <c r="G1729">
        <v>231</v>
      </c>
      <c r="H1729" t="str">
        <f>VLOOKUP(G1729,[1]OPERADORES!$A:$B,2,0)</f>
        <v>EDIJANE</v>
      </c>
      <c r="I1729" t="s">
        <v>21</v>
      </c>
      <c r="J1729" t="s">
        <v>531</v>
      </c>
      <c r="K1729" t="s">
        <v>1810</v>
      </c>
      <c r="L1729">
        <v>85402</v>
      </c>
      <c r="M1729" t="s">
        <v>1182</v>
      </c>
      <c r="O1729" t="s">
        <v>11</v>
      </c>
      <c r="P1729">
        <v>5102</v>
      </c>
      <c r="Q1729">
        <v>1</v>
      </c>
      <c r="R1729">
        <v>551.88</v>
      </c>
      <c r="S1729">
        <v>551.88</v>
      </c>
      <c r="T1729">
        <v>393.5</v>
      </c>
      <c r="U1729">
        <v>28.7</v>
      </c>
      <c r="V1729" t="str">
        <f>VLOOKUP(L1729,'[2]tabela de preços'!$A:$D,4,0)</f>
        <v>BRASILUX</v>
      </c>
      <c r="W1729" t="str">
        <f>VLOOKUP(L1729,'[2]tabela de preços'!$A:$F,6,0)</f>
        <v>TINTA EM PÓ</v>
      </c>
      <c r="X1729" t="str">
        <f>VLOOKUP(L1729,'[2]tabela de preços'!$A:$G,7,0)</f>
        <v>INDUSTRIAL</v>
      </c>
    </row>
    <row r="1730" spans="1:24" x14ac:dyDescent="0.3">
      <c r="A1730" t="s">
        <v>1807</v>
      </c>
      <c r="C1730" t="s">
        <v>1811</v>
      </c>
      <c r="D1730" s="1">
        <v>46049</v>
      </c>
      <c r="E1730" t="s">
        <v>1812</v>
      </c>
      <c r="F1730">
        <v>9</v>
      </c>
      <c r="G1730">
        <v>231</v>
      </c>
      <c r="H1730" t="str">
        <f>VLOOKUP(G1730,[1]OPERADORES!$A:$B,2,0)</f>
        <v>EDIJANE</v>
      </c>
      <c r="I1730" t="s">
        <v>21</v>
      </c>
      <c r="J1730" t="s">
        <v>531</v>
      </c>
      <c r="K1730" t="s">
        <v>1810</v>
      </c>
      <c r="L1730">
        <v>85401</v>
      </c>
      <c r="M1730" t="s">
        <v>261</v>
      </c>
      <c r="O1730" t="s">
        <v>11</v>
      </c>
      <c r="P1730">
        <v>5102</v>
      </c>
      <c r="Q1730">
        <v>1</v>
      </c>
      <c r="R1730">
        <v>633.42999999999995</v>
      </c>
      <c r="S1730">
        <v>633.42999999999995</v>
      </c>
      <c r="T1730">
        <v>451.64</v>
      </c>
      <c r="U1730">
        <v>28.7</v>
      </c>
      <c r="V1730" t="str">
        <f>VLOOKUP(L1730,'[2]tabela de preços'!$A:$D,4,0)</f>
        <v>BRASILUX</v>
      </c>
      <c r="W1730" t="str">
        <f>VLOOKUP(L1730,'[2]tabela de preços'!$A:$F,6,0)</f>
        <v>TINTA EM PÓ</v>
      </c>
      <c r="X1730" t="str">
        <f>VLOOKUP(L1730,'[2]tabela de preços'!$A:$G,7,0)</f>
        <v>INDUSTRIAL</v>
      </c>
    </row>
    <row r="1731" spans="1:24" x14ac:dyDescent="0.3">
      <c r="A1731" t="s">
        <v>1807</v>
      </c>
      <c r="C1731" t="s">
        <v>2404</v>
      </c>
      <c r="D1731" s="1">
        <v>46052</v>
      </c>
      <c r="E1731" t="s">
        <v>2405</v>
      </c>
      <c r="F1731">
        <v>9</v>
      </c>
      <c r="G1731">
        <v>231</v>
      </c>
      <c r="H1731" t="str">
        <f>VLOOKUP(G1731,[1]OPERADORES!$A:$B,2,0)</f>
        <v>EDIJANE</v>
      </c>
      <c r="I1731" t="s">
        <v>21</v>
      </c>
      <c r="J1731" t="s">
        <v>531</v>
      </c>
      <c r="K1731" t="s">
        <v>1810</v>
      </c>
      <c r="L1731">
        <v>85472</v>
      </c>
      <c r="M1731" t="s">
        <v>1465</v>
      </c>
      <c r="O1731" t="s">
        <v>11</v>
      </c>
      <c r="P1731">
        <v>5102</v>
      </c>
      <c r="Q1731">
        <v>1</v>
      </c>
      <c r="R1731">
        <v>554.63</v>
      </c>
      <c r="S1731">
        <v>554.63</v>
      </c>
      <c r="T1731">
        <v>395.46</v>
      </c>
      <c r="U1731">
        <v>28.7</v>
      </c>
      <c r="V1731" t="str">
        <f>VLOOKUP(L1731,'[2]tabela de preços'!$A:$D,4,0)</f>
        <v>BRASILUX</v>
      </c>
      <c r="W1731" t="str">
        <f>VLOOKUP(L1731,'[2]tabela de preços'!$A:$F,6,0)</f>
        <v>TINTA EM PÓ</v>
      </c>
      <c r="X1731" t="str">
        <f>VLOOKUP(L1731,'[2]tabela de preços'!$A:$G,7,0)</f>
        <v>INDUSTRIAL</v>
      </c>
    </row>
    <row r="1732" spans="1:24" x14ac:dyDescent="0.3">
      <c r="A1732" t="s">
        <v>1813</v>
      </c>
      <c r="C1732" t="s">
        <v>1814</v>
      </c>
      <c r="D1732" s="1">
        <v>46045</v>
      </c>
      <c r="E1732" t="s">
        <v>1815</v>
      </c>
      <c r="F1732">
        <v>9</v>
      </c>
      <c r="G1732">
        <v>230</v>
      </c>
      <c r="H1732" t="str">
        <f>VLOOKUP(G1732,[1]OPERADORES!$A:$B,2,0)</f>
        <v>SÔNIA</v>
      </c>
      <c r="I1732" t="s">
        <v>21</v>
      </c>
      <c r="J1732" t="s">
        <v>1816</v>
      </c>
      <c r="K1732" t="s">
        <v>1817</v>
      </c>
      <c r="L1732">
        <v>84026</v>
      </c>
      <c r="M1732" t="s">
        <v>816</v>
      </c>
      <c r="O1732" t="s">
        <v>11</v>
      </c>
      <c r="P1732">
        <v>5102</v>
      </c>
      <c r="Q1732">
        <v>12</v>
      </c>
      <c r="R1732">
        <v>9.15</v>
      </c>
      <c r="S1732">
        <v>109.8</v>
      </c>
      <c r="T1732">
        <v>83.4</v>
      </c>
      <c r="U1732">
        <v>24.04</v>
      </c>
      <c r="V1732" t="str">
        <f>VLOOKUP(L1732,'[2]tabela de preços'!$A:$D,4,0)</f>
        <v>BRASILUX</v>
      </c>
      <c r="W1732" t="str">
        <f>VLOOKUP(L1732,'[2]tabela de preços'!$A:$F,6,0)</f>
        <v>CATALISADORES INDIVIDUAIS</v>
      </c>
      <c r="X1732" t="str">
        <f>VLOOKUP(L1732,'[2]tabela de preços'!$A:$G,7,0)</f>
        <v>IMOBILIÁRIO</v>
      </c>
    </row>
    <row r="1733" spans="1:24" x14ac:dyDescent="0.3">
      <c r="A1733" t="s">
        <v>1813</v>
      </c>
      <c r="C1733" t="s">
        <v>1814</v>
      </c>
      <c r="D1733" s="1">
        <v>46045</v>
      </c>
      <c r="E1733" t="s">
        <v>1815</v>
      </c>
      <c r="F1733">
        <v>9</v>
      </c>
      <c r="G1733">
        <v>230</v>
      </c>
      <c r="H1733" t="str">
        <f>VLOOKUP(G1733,[1]OPERADORES!$A:$B,2,0)</f>
        <v>SÔNIA</v>
      </c>
      <c r="I1733" t="s">
        <v>21</v>
      </c>
      <c r="J1733" t="s">
        <v>1816</v>
      </c>
      <c r="K1733" t="s">
        <v>1817</v>
      </c>
      <c r="L1733">
        <v>9751</v>
      </c>
      <c r="M1733" t="s">
        <v>1333</v>
      </c>
      <c r="O1733" t="s">
        <v>11</v>
      </c>
      <c r="P1733">
        <v>5102</v>
      </c>
      <c r="Q1733">
        <v>4</v>
      </c>
      <c r="R1733">
        <v>58.78</v>
      </c>
      <c r="S1733">
        <v>235.12</v>
      </c>
      <c r="T1733">
        <v>178.44</v>
      </c>
      <c r="U1733">
        <v>24.11</v>
      </c>
      <c r="V1733" t="str">
        <f>VLOOKUP(L1733,'[2]tabela de preços'!$A:$D,4,0)</f>
        <v>3M</v>
      </c>
      <c r="W1733" t="str">
        <f>VLOOKUP(L1733,'[2]tabela de preços'!$A:$F,6,0)</f>
        <v xml:space="preserve">LÍQUIDOS P/ POLIMENTO </v>
      </c>
      <c r="X1733" t="str">
        <f>VLOOKUP(L1733,'[2]tabela de preços'!$A:$G,7,0)</f>
        <v>AUTOMOTIVO</v>
      </c>
    </row>
    <row r="1734" spans="1:24" x14ac:dyDescent="0.3">
      <c r="A1734" t="s">
        <v>1813</v>
      </c>
      <c r="C1734" t="s">
        <v>1814</v>
      </c>
      <c r="D1734" s="1">
        <v>46045</v>
      </c>
      <c r="E1734" t="s">
        <v>1815</v>
      </c>
      <c r="F1734">
        <v>9</v>
      </c>
      <c r="G1734">
        <v>230</v>
      </c>
      <c r="H1734" t="str">
        <f>VLOOKUP(G1734,[1]OPERADORES!$A:$B,2,0)</f>
        <v>SÔNIA</v>
      </c>
      <c r="I1734" t="s">
        <v>21</v>
      </c>
      <c r="J1734" t="s">
        <v>1816</v>
      </c>
      <c r="K1734" t="s">
        <v>1817</v>
      </c>
      <c r="L1734">
        <v>23458</v>
      </c>
      <c r="M1734" t="s">
        <v>697</v>
      </c>
      <c r="O1734" t="s">
        <v>11</v>
      </c>
      <c r="P1734">
        <v>5102</v>
      </c>
      <c r="Q1734">
        <v>4</v>
      </c>
      <c r="R1734">
        <v>58.02</v>
      </c>
      <c r="S1734">
        <v>232.08</v>
      </c>
      <c r="T1734">
        <v>176.16</v>
      </c>
      <c r="U1734">
        <v>24.1</v>
      </c>
      <c r="V1734" t="str">
        <f>VLOOKUP(L1734,'[2]tabela de preços'!$A:$D,4,0)</f>
        <v>3M</v>
      </c>
      <c r="W1734" t="str">
        <f>VLOOKUP(L1734,'[2]tabela de preços'!$A:$F,6,0)</f>
        <v xml:space="preserve">LÍQUIDOS P/ POLIMENTO </v>
      </c>
      <c r="X1734" t="str">
        <f>VLOOKUP(L1734,'[2]tabela de preços'!$A:$G,7,0)</f>
        <v>AUTOMOTIVO</v>
      </c>
    </row>
    <row r="1735" spans="1:24" x14ac:dyDescent="0.3">
      <c r="A1735" t="s">
        <v>1813</v>
      </c>
      <c r="C1735" t="s">
        <v>1814</v>
      </c>
      <c r="D1735" s="1">
        <v>46045</v>
      </c>
      <c r="E1735" t="s">
        <v>1815</v>
      </c>
      <c r="F1735">
        <v>9</v>
      </c>
      <c r="G1735">
        <v>230</v>
      </c>
      <c r="H1735" t="str">
        <f>VLOOKUP(G1735,[1]OPERADORES!$A:$B,2,0)</f>
        <v>SÔNIA</v>
      </c>
      <c r="I1735" t="s">
        <v>21</v>
      </c>
      <c r="J1735" t="s">
        <v>1816</v>
      </c>
      <c r="K1735" t="s">
        <v>1817</v>
      </c>
      <c r="L1735">
        <v>13</v>
      </c>
      <c r="M1735" t="s">
        <v>152</v>
      </c>
      <c r="O1735" t="s">
        <v>11</v>
      </c>
      <c r="P1735">
        <v>5102</v>
      </c>
      <c r="Q1735">
        <v>200</v>
      </c>
      <c r="R1735">
        <v>5.79</v>
      </c>
      <c r="S1735" s="2">
        <v>1158</v>
      </c>
      <c r="T1735">
        <v>832</v>
      </c>
      <c r="U1735">
        <v>28.15</v>
      </c>
      <c r="V1735" t="str">
        <f>VLOOKUP(L1735,'[2]tabela de preços'!$A:$D,4,0)</f>
        <v>3M</v>
      </c>
      <c r="W1735" t="str">
        <f>VLOOKUP(L1735,'[2]tabela de preços'!$A:$F,6,0)</f>
        <v>LIXA DÁGUA</v>
      </c>
      <c r="X1735" t="str">
        <f>VLOOKUP(L1735,'[2]tabela de preços'!$A:$G,7,0)</f>
        <v>AUTOMOTIVO</v>
      </c>
    </row>
    <row r="1736" spans="1:24" x14ac:dyDescent="0.3">
      <c r="A1736" t="s">
        <v>1813</v>
      </c>
      <c r="C1736" t="s">
        <v>1814</v>
      </c>
      <c r="D1736" s="1">
        <v>46045</v>
      </c>
      <c r="E1736" t="s">
        <v>1815</v>
      </c>
      <c r="F1736">
        <v>9</v>
      </c>
      <c r="G1736">
        <v>230</v>
      </c>
      <c r="H1736" t="str">
        <f>VLOOKUP(G1736,[1]OPERADORES!$A:$B,2,0)</f>
        <v>SÔNIA</v>
      </c>
      <c r="I1736" t="s">
        <v>21</v>
      </c>
      <c r="J1736" t="s">
        <v>1816</v>
      </c>
      <c r="K1736" t="s">
        <v>1817</v>
      </c>
      <c r="L1736">
        <v>16</v>
      </c>
      <c r="M1736" t="s">
        <v>122</v>
      </c>
      <c r="O1736" t="s">
        <v>11</v>
      </c>
      <c r="P1736">
        <v>5102</v>
      </c>
      <c r="Q1736">
        <v>100</v>
      </c>
      <c r="R1736">
        <v>2.9</v>
      </c>
      <c r="S1736">
        <v>290</v>
      </c>
      <c r="T1736">
        <v>220</v>
      </c>
      <c r="U1736">
        <v>24.14</v>
      </c>
      <c r="V1736" t="str">
        <f>VLOOKUP(L1736,'[2]tabela de preços'!$A:$D,4,0)</f>
        <v>3M</v>
      </c>
      <c r="W1736" t="str">
        <f>VLOOKUP(L1736,'[2]tabela de preços'!$A:$F,6,0)</f>
        <v>LIXA DÁGUA</v>
      </c>
      <c r="X1736" t="str">
        <f>VLOOKUP(L1736,'[2]tabela de preços'!$A:$G,7,0)</f>
        <v>AUTOMOTIVO</v>
      </c>
    </row>
    <row r="1737" spans="1:24" x14ac:dyDescent="0.3">
      <c r="A1737" t="s">
        <v>1813</v>
      </c>
      <c r="C1737" t="s">
        <v>1814</v>
      </c>
      <c r="D1737" s="1">
        <v>46045</v>
      </c>
      <c r="E1737" t="s">
        <v>1815</v>
      </c>
      <c r="F1737">
        <v>9</v>
      </c>
      <c r="G1737">
        <v>230</v>
      </c>
      <c r="H1737" t="str">
        <f>VLOOKUP(G1737,[1]OPERADORES!$A:$B,2,0)</f>
        <v>SÔNIA</v>
      </c>
      <c r="I1737" t="s">
        <v>21</v>
      </c>
      <c r="J1737" t="s">
        <v>1816</v>
      </c>
      <c r="K1737" t="s">
        <v>1817</v>
      </c>
      <c r="L1737">
        <v>85189</v>
      </c>
      <c r="M1737" t="s">
        <v>197</v>
      </c>
      <c r="O1737" t="s">
        <v>11</v>
      </c>
      <c r="P1737">
        <v>5102</v>
      </c>
      <c r="Q1737">
        <v>5</v>
      </c>
      <c r="R1737">
        <v>177.9</v>
      </c>
      <c r="S1737">
        <v>889.5</v>
      </c>
      <c r="T1737">
        <v>690.75</v>
      </c>
      <c r="U1737">
        <v>22.34</v>
      </c>
      <c r="V1737" t="str">
        <f>VLOOKUP(L1737,'[2]tabela de preços'!$A:$D,4,0)</f>
        <v>PDR</v>
      </c>
      <c r="W1737" t="str">
        <f>VLOOKUP(L1737,'[2]tabela de preços'!$A:$F,6,0)</f>
        <v>PISTOLAS</v>
      </c>
      <c r="X1737" t="str">
        <f>VLOOKUP(L1737,'[2]tabela de preços'!$A:$G,7,0)</f>
        <v>AUTOMOTIVO</v>
      </c>
    </row>
    <row r="1738" spans="1:24" x14ac:dyDescent="0.3">
      <c r="A1738" t="s">
        <v>1813</v>
      </c>
      <c r="C1738" t="s">
        <v>1814</v>
      </c>
      <c r="D1738" s="1">
        <v>46045</v>
      </c>
      <c r="E1738" t="s">
        <v>1815</v>
      </c>
      <c r="F1738">
        <v>9</v>
      </c>
      <c r="G1738">
        <v>230</v>
      </c>
      <c r="H1738" t="str">
        <f>VLOOKUP(G1738,[1]OPERADORES!$A:$B,2,0)</f>
        <v>SÔNIA</v>
      </c>
      <c r="I1738" t="s">
        <v>21</v>
      </c>
      <c r="J1738" t="s">
        <v>1816</v>
      </c>
      <c r="K1738" t="s">
        <v>1817</v>
      </c>
      <c r="L1738">
        <v>24354</v>
      </c>
      <c r="M1738" t="s">
        <v>1818</v>
      </c>
      <c r="O1738" t="s">
        <v>11</v>
      </c>
      <c r="P1738">
        <v>5403</v>
      </c>
      <c r="Q1738">
        <v>1</v>
      </c>
      <c r="R1738">
        <v>320.31</v>
      </c>
      <c r="S1738">
        <v>320.31</v>
      </c>
      <c r="T1738">
        <v>243.12</v>
      </c>
      <c r="U1738">
        <v>24.1</v>
      </c>
      <c r="V1738" t="str">
        <f>VLOOKUP(L1738,'[2]tabela de preços'!$A:$D,4,0)</f>
        <v>BRASILUX</v>
      </c>
      <c r="W1738" t="str">
        <f>VLOOKUP(L1738,'[2]tabela de preços'!$A:$F,6,0)</f>
        <v xml:space="preserve">BASES SISTEMA NO MACHINE </v>
      </c>
      <c r="X1738" t="str">
        <f>VLOOKUP(L1738,'[2]tabela de preços'!$A:$G,7,0)</f>
        <v>INDUSTRIAL</v>
      </c>
    </row>
    <row r="1739" spans="1:24" x14ac:dyDescent="0.3">
      <c r="A1739" t="s">
        <v>1819</v>
      </c>
      <c r="C1739" t="s">
        <v>1820</v>
      </c>
      <c r="D1739" s="1">
        <v>46038</v>
      </c>
      <c r="E1739" t="s">
        <v>1821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1816</v>
      </c>
      <c r="K1739" t="s">
        <v>1822</v>
      </c>
      <c r="L1739">
        <v>85462</v>
      </c>
      <c r="M1739" t="s">
        <v>1823</v>
      </c>
      <c r="O1739" t="s">
        <v>11</v>
      </c>
      <c r="P1739">
        <v>5102</v>
      </c>
      <c r="Q1739">
        <v>21</v>
      </c>
      <c r="R1739">
        <v>7.54</v>
      </c>
      <c r="S1739">
        <v>158.34</v>
      </c>
      <c r="T1739">
        <v>120.12</v>
      </c>
      <c r="U1739">
        <v>24.14</v>
      </c>
      <c r="V1739" t="str">
        <f>VLOOKUP(L1739,'[2]tabela de preços'!$A:$D,4,0)</f>
        <v>TEK BOND</v>
      </c>
      <c r="W1739" t="str">
        <f>VLOOKUP(L1739,'[2]tabela de preços'!$A:$F,6,0)</f>
        <v>COLA INST./ ADESIVOS COLANTES</v>
      </c>
      <c r="X1739" t="str">
        <f>VLOOKUP(L1739,'[2]tabela de preços'!$A:$G,7,0)</f>
        <v>AUTOMOTIVO</v>
      </c>
    </row>
    <row r="1740" spans="1:24" x14ac:dyDescent="0.3">
      <c r="A1740" t="s">
        <v>1819</v>
      </c>
      <c r="C1740" t="s">
        <v>1820</v>
      </c>
      <c r="D1740" s="1">
        <v>46038</v>
      </c>
      <c r="E1740" t="s">
        <v>1821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1816</v>
      </c>
      <c r="K1740" t="s">
        <v>1822</v>
      </c>
      <c r="L1740">
        <v>10224</v>
      </c>
      <c r="M1740" t="s">
        <v>270</v>
      </c>
      <c r="O1740" t="s">
        <v>11</v>
      </c>
      <c r="P1740">
        <v>5102</v>
      </c>
      <c r="Q1740">
        <v>20</v>
      </c>
      <c r="R1740">
        <v>2.79</v>
      </c>
      <c r="S1740">
        <v>55.8</v>
      </c>
      <c r="T1740">
        <v>46.4</v>
      </c>
      <c r="U1740">
        <v>16.850000000000001</v>
      </c>
      <c r="V1740" t="str">
        <f>VLOOKUP(L1740,'[2]tabela de preços'!$A:$D,4,0)</f>
        <v>NORTON</v>
      </c>
      <c r="W1740" t="str">
        <f>VLOOKUP(L1740,'[2]tabela de preços'!$A:$F,6,0)</f>
        <v xml:space="preserve">DISCOS / LIXAS / ABRASIVOS </v>
      </c>
      <c r="X1740" t="str">
        <f>VLOOKUP(L1740,'[2]tabela de preços'!$A:$G,7,0)</f>
        <v>AUTOMOTIVO</v>
      </c>
    </row>
    <row r="1741" spans="1:24" x14ac:dyDescent="0.3">
      <c r="A1741" t="s">
        <v>1819</v>
      </c>
      <c r="C1741" t="s">
        <v>1820</v>
      </c>
      <c r="D1741" s="1">
        <v>46038</v>
      </c>
      <c r="E1741" t="s">
        <v>1821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1816</v>
      </c>
      <c r="K1741" t="s">
        <v>1822</v>
      </c>
      <c r="L1741">
        <v>10226</v>
      </c>
      <c r="M1741" t="s">
        <v>145</v>
      </c>
      <c r="O1741" t="s">
        <v>11</v>
      </c>
      <c r="P1741">
        <v>5102</v>
      </c>
      <c r="Q1741">
        <v>20</v>
      </c>
      <c r="R1741">
        <v>2.79</v>
      </c>
      <c r="S1741">
        <v>55.8</v>
      </c>
      <c r="T1741">
        <v>46.4</v>
      </c>
      <c r="U1741">
        <v>16.850000000000001</v>
      </c>
      <c r="V1741" t="str">
        <f>VLOOKUP(L1741,'[2]tabela de preços'!$A:$D,4,0)</f>
        <v>NORTON</v>
      </c>
      <c r="W1741" t="str">
        <f>VLOOKUP(L1741,'[2]tabela de preços'!$A:$F,6,0)</f>
        <v xml:space="preserve">DISCOS / LIXAS / ABRASIVOS </v>
      </c>
      <c r="X1741" t="str">
        <f>VLOOKUP(L1741,'[2]tabela de preços'!$A:$G,7,0)</f>
        <v>AUTOMOTIVO</v>
      </c>
    </row>
    <row r="1742" spans="1:24" x14ac:dyDescent="0.3">
      <c r="A1742" t="s">
        <v>1819</v>
      </c>
      <c r="C1742" t="s">
        <v>1820</v>
      </c>
      <c r="D1742" s="1">
        <v>46038</v>
      </c>
      <c r="E1742" t="s">
        <v>1821</v>
      </c>
      <c r="F1742">
        <v>9</v>
      </c>
      <c r="G1742">
        <v>174</v>
      </c>
      <c r="H1742" t="str">
        <f>VLOOKUP(G1742,[1]OPERADORES!$A:$B,2,0)</f>
        <v>MIRIÃ LOBATO RODRIGUES</v>
      </c>
      <c r="I1742" t="s">
        <v>21</v>
      </c>
      <c r="J1742" t="s">
        <v>1816</v>
      </c>
      <c r="K1742" t="s">
        <v>1822</v>
      </c>
      <c r="L1742">
        <v>20245</v>
      </c>
      <c r="M1742" t="s">
        <v>146</v>
      </c>
      <c r="O1742" t="s">
        <v>11</v>
      </c>
      <c r="P1742">
        <v>5102</v>
      </c>
      <c r="Q1742">
        <v>10</v>
      </c>
      <c r="R1742">
        <v>1.88</v>
      </c>
      <c r="S1742">
        <v>18.8</v>
      </c>
      <c r="T1742">
        <v>13.5</v>
      </c>
      <c r="U1742">
        <v>28.19</v>
      </c>
      <c r="V1742" t="str">
        <f>VLOOKUP(L1742,'[2]tabela de preços'!$A:$D,4,0)</f>
        <v>ATLAS</v>
      </c>
      <c r="W1742" t="str">
        <f>VLOOKUP(L1742,'[2]tabela de preços'!$A:$F,6,0)</f>
        <v>APLICADORES / ADAPTADORES / ENGATES / SUPORTES</v>
      </c>
      <c r="X1742" t="str">
        <f>VLOOKUP(L1742,'[2]tabela de preços'!$A:$G,7,0)</f>
        <v>AUTOMOTIVO</v>
      </c>
    </row>
    <row r="1743" spans="1:24" x14ac:dyDescent="0.3">
      <c r="A1743" t="s">
        <v>1819</v>
      </c>
      <c r="C1743" t="s">
        <v>1820</v>
      </c>
      <c r="D1743" s="1">
        <v>46038</v>
      </c>
      <c r="E1743" t="s">
        <v>1821</v>
      </c>
      <c r="F1743">
        <v>9</v>
      </c>
      <c r="G1743">
        <v>174</v>
      </c>
      <c r="H1743" t="str">
        <f>VLOOKUP(G1743,[1]OPERADORES!$A:$B,2,0)</f>
        <v>MIRIÃ LOBATO RODRIGUES</v>
      </c>
      <c r="I1743" t="s">
        <v>21</v>
      </c>
      <c r="J1743" t="s">
        <v>1816</v>
      </c>
      <c r="K1743" t="s">
        <v>1822</v>
      </c>
      <c r="L1743">
        <v>24241</v>
      </c>
      <c r="M1743" t="s">
        <v>233</v>
      </c>
      <c r="O1743" t="s">
        <v>11</v>
      </c>
      <c r="P1743">
        <v>5102</v>
      </c>
      <c r="Q1743">
        <v>12</v>
      </c>
      <c r="R1743">
        <v>12.2</v>
      </c>
      <c r="S1743">
        <v>146.4</v>
      </c>
      <c r="T1743">
        <v>111.12</v>
      </c>
      <c r="U1743">
        <v>24.1</v>
      </c>
      <c r="V1743" t="str">
        <f>VLOOKUP(L1743,'[2]tabela de preços'!$A:$D,4,0)</f>
        <v>ADERE</v>
      </c>
      <c r="W1743" t="str">
        <f>VLOOKUP(L1743,'[2]tabela de preços'!$A:$F,6,0)</f>
        <v>FITA AUTOMOTIVA</v>
      </c>
      <c r="X1743" t="str">
        <f>VLOOKUP(L1743,'[2]tabela de preços'!$A:$G,7,0)</f>
        <v>AUTOMOTIVO</v>
      </c>
    </row>
    <row r="1744" spans="1:24" x14ac:dyDescent="0.3">
      <c r="A1744" t="s">
        <v>1819</v>
      </c>
      <c r="C1744" t="s">
        <v>1820</v>
      </c>
      <c r="D1744" s="1">
        <v>46038</v>
      </c>
      <c r="E1744" t="s">
        <v>1821</v>
      </c>
      <c r="F1744">
        <v>9</v>
      </c>
      <c r="G1744">
        <v>174</v>
      </c>
      <c r="H1744" t="str">
        <f>VLOOKUP(G1744,[1]OPERADORES!$A:$B,2,0)</f>
        <v>MIRIÃ LOBATO RODRIGUES</v>
      </c>
      <c r="I1744" t="s">
        <v>21</v>
      </c>
      <c r="J1744" t="s">
        <v>1816</v>
      </c>
      <c r="K1744" t="s">
        <v>1822</v>
      </c>
      <c r="L1744">
        <v>20318</v>
      </c>
      <c r="M1744" t="s">
        <v>136</v>
      </c>
      <c r="O1744" t="s">
        <v>11</v>
      </c>
      <c r="P1744">
        <v>5403</v>
      </c>
      <c r="Q1744">
        <v>1</v>
      </c>
      <c r="R1744">
        <v>33.4</v>
      </c>
      <c r="S1744">
        <v>33.4</v>
      </c>
      <c r="T1744">
        <v>23.81</v>
      </c>
      <c r="U1744">
        <v>28.71</v>
      </c>
      <c r="V1744" t="str">
        <f>VLOOKUP(L1744,'[2]tabela de preços'!$A:$D,4,0)</f>
        <v>SHERWIN WILLIAMS</v>
      </c>
      <c r="W1744" t="str">
        <f>VLOOKUP(L1744,'[2]tabela de preços'!$A:$F,6,0)</f>
        <v>TINTAS POLIÉSTER</v>
      </c>
      <c r="X1744" t="str">
        <f>VLOOKUP(L1744,'[2]tabela de preços'!$A:$G,7,0)</f>
        <v>AUTOMOTIVO</v>
      </c>
    </row>
    <row r="1745" spans="1:24" x14ac:dyDescent="0.3">
      <c r="A1745" t="s">
        <v>1819</v>
      </c>
      <c r="C1745" t="s">
        <v>1820</v>
      </c>
      <c r="D1745" s="1">
        <v>46038</v>
      </c>
      <c r="E1745" t="s">
        <v>1821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1816</v>
      </c>
      <c r="K1745" t="s">
        <v>1822</v>
      </c>
      <c r="L1745">
        <v>56</v>
      </c>
      <c r="M1745" t="s">
        <v>1639</v>
      </c>
      <c r="O1745" t="s">
        <v>11</v>
      </c>
      <c r="P1745">
        <v>5102</v>
      </c>
      <c r="Q1745">
        <v>20</v>
      </c>
      <c r="R1745">
        <v>1.53</v>
      </c>
      <c r="S1745">
        <v>30.6</v>
      </c>
      <c r="T1745">
        <v>19.8</v>
      </c>
      <c r="U1745">
        <v>35.29</v>
      </c>
      <c r="V1745" t="str">
        <f>VLOOKUP(L1745,'[2]tabela de preços'!$A:$D,4,0)</f>
        <v>3M</v>
      </c>
      <c r="W1745" t="str">
        <f>VLOOKUP(L1745,'[2]tabela de preços'!$A:$F,6,0)</f>
        <v>LIXA DÁGUA</v>
      </c>
      <c r="X1745" t="str">
        <f>VLOOKUP(L1745,'[2]tabela de preços'!$A:$G,7,0)</f>
        <v>AUTOMOTIVO</v>
      </c>
    </row>
    <row r="1746" spans="1:24" x14ac:dyDescent="0.3">
      <c r="A1746" t="s">
        <v>1824</v>
      </c>
      <c r="B1746" t="s">
        <v>1825</v>
      </c>
      <c r="C1746" t="s">
        <v>1826</v>
      </c>
      <c r="D1746" s="1">
        <v>46027</v>
      </c>
      <c r="E1746" t="s">
        <v>1827</v>
      </c>
      <c r="F1746">
        <v>9</v>
      </c>
      <c r="G1746">
        <v>197</v>
      </c>
      <c r="H1746" t="str">
        <f>VLOOKUP(G1746,[1]OPERADORES!$A:$B,2,0)</f>
        <v xml:space="preserve">POLIANA LORRANE DE AMORIM </v>
      </c>
      <c r="I1746" t="s">
        <v>21</v>
      </c>
      <c r="J1746" t="s">
        <v>1788</v>
      </c>
      <c r="K1746" t="s">
        <v>1828</v>
      </c>
      <c r="L1746">
        <v>24240</v>
      </c>
      <c r="M1746" t="s">
        <v>240</v>
      </c>
      <c r="O1746" t="s">
        <v>11</v>
      </c>
      <c r="P1746">
        <v>5102</v>
      </c>
      <c r="Q1746">
        <v>15</v>
      </c>
      <c r="R1746">
        <v>3.87</v>
      </c>
      <c r="S1746">
        <v>58.05</v>
      </c>
      <c r="T1746">
        <v>49.2</v>
      </c>
      <c r="U1746">
        <v>15.25</v>
      </c>
      <c r="V1746" t="str">
        <f>VLOOKUP(L1746,'[2]tabela de preços'!$A:$D,4,0)</f>
        <v>ADERE</v>
      </c>
      <c r="W1746" t="str">
        <f>VLOOKUP(L1746,'[2]tabela de preços'!$A:$F,6,0)</f>
        <v>FITA AUTOMOTIVA</v>
      </c>
      <c r="X1746" t="str">
        <f>VLOOKUP(L1746,'[2]tabela de preços'!$A:$G,7,0)</f>
        <v>AUTOMOTIVO</v>
      </c>
    </row>
    <row r="1747" spans="1:24" x14ac:dyDescent="0.3">
      <c r="A1747" t="s">
        <v>1824</v>
      </c>
      <c r="B1747" t="s">
        <v>1825</v>
      </c>
      <c r="C1747" t="s">
        <v>1826</v>
      </c>
      <c r="D1747" s="1">
        <v>46027</v>
      </c>
      <c r="E1747" t="s">
        <v>1827</v>
      </c>
      <c r="F1747">
        <v>9</v>
      </c>
      <c r="G1747">
        <v>197</v>
      </c>
      <c r="H1747" t="str">
        <f>VLOOKUP(G1747,[1]OPERADORES!$A:$B,2,0)</f>
        <v xml:space="preserve">POLIANA LORRANE DE AMORIM </v>
      </c>
      <c r="I1747" t="s">
        <v>21</v>
      </c>
      <c r="J1747" t="s">
        <v>1788</v>
      </c>
      <c r="K1747" t="s">
        <v>1828</v>
      </c>
      <c r="L1747">
        <v>23690</v>
      </c>
      <c r="M1747" t="s">
        <v>98</v>
      </c>
      <c r="O1747" t="s">
        <v>11</v>
      </c>
      <c r="P1747">
        <v>5403</v>
      </c>
      <c r="Q1747">
        <v>6</v>
      </c>
      <c r="R1747">
        <v>39.89</v>
      </c>
      <c r="S1747">
        <v>239.34</v>
      </c>
      <c r="T1747">
        <v>189.66</v>
      </c>
      <c r="U1747">
        <v>20.76</v>
      </c>
      <c r="V1747" t="str">
        <f>VLOOKUP(L1747,'[2]tabela de preços'!$A:$D,4,0)</f>
        <v>WANDA</v>
      </c>
      <c r="W1747" t="str">
        <f>VLOOKUP(L1747,'[2]tabela de preços'!$A:$F,6,0)</f>
        <v>VERNIZ AUTOMOTIVO</v>
      </c>
      <c r="X1747" t="str">
        <f>VLOOKUP(L1747,'[2]tabela de preços'!$A:$G,7,0)</f>
        <v>AUTOMOTIVO</v>
      </c>
    </row>
    <row r="1748" spans="1:24" x14ac:dyDescent="0.3">
      <c r="A1748" t="s">
        <v>1824</v>
      </c>
      <c r="B1748" t="s">
        <v>1825</v>
      </c>
      <c r="C1748" t="s">
        <v>1826</v>
      </c>
      <c r="D1748" s="1">
        <v>46027</v>
      </c>
      <c r="E1748" t="s">
        <v>1827</v>
      </c>
      <c r="F1748">
        <v>9</v>
      </c>
      <c r="G1748">
        <v>197</v>
      </c>
      <c r="H1748" t="str">
        <f>VLOOKUP(G1748,[1]OPERADORES!$A:$B,2,0)</f>
        <v xml:space="preserve">POLIANA LORRANE DE AMORIM </v>
      </c>
      <c r="I1748" t="s">
        <v>21</v>
      </c>
      <c r="J1748" t="s">
        <v>1788</v>
      </c>
      <c r="K1748" t="s">
        <v>1828</v>
      </c>
      <c r="L1748">
        <v>87043</v>
      </c>
      <c r="M1748" t="s">
        <v>217</v>
      </c>
      <c r="O1748" t="s">
        <v>11</v>
      </c>
      <c r="P1748">
        <v>5102</v>
      </c>
      <c r="Q1748">
        <v>8</v>
      </c>
      <c r="R1748">
        <v>22.89</v>
      </c>
      <c r="S1748">
        <v>183.12</v>
      </c>
      <c r="T1748">
        <v>144.16</v>
      </c>
      <c r="U1748">
        <v>21.28</v>
      </c>
      <c r="V1748" t="str">
        <f>VLOOKUP(L1748,'[2]tabela de preços'!$A:$D,4,0)</f>
        <v>ROBERLO</v>
      </c>
      <c r="W1748" t="str">
        <f>VLOOKUP(L1748,'[2]tabela de preços'!$A:$F,6,0)</f>
        <v>MASSA POLIÉSTER</v>
      </c>
      <c r="X1748" t="str">
        <f>VLOOKUP(L1748,'[2]tabela de preços'!$A:$G,7,0)</f>
        <v>AUTOMOTIVO</v>
      </c>
    </row>
    <row r="1749" spans="1:24" x14ac:dyDescent="0.3">
      <c r="A1749" t="s">
        <v>1824</v>
      </c>
      <c r="B1749" t="s">
        <v>1825</v>
      </c>
      <c r="C1749" t="s">
        <v>1826</v>
      </c>
      <c r="D1749" s="1">
        <v>46027</v>
      </c>
      <c r="E1749" t="s">
        <v>1827</v>
      </c>
      <c r="F1749">
        <v>9</v>
      </c>
      <c r="G1749">
        <v>197</v>
      </c>
      <c r="H1749" t="str">
        <f>VLOOKUP(G1749,[1]OPERADORES!$A:$B,2,0)</f>
        <v xml:space="preserve">POLIANA LORRANE DE AMORIM </v>
      </c>
      <c r="I1749" t="s">
        <v>21</v>
      </c>
      <c r="J1749" t="s">
        <v>1788</v>
      </c>
      <c r="K1749" t="s">
        <v>1828</v>
      </c>
      <c r="L1749">
        <v>21316</v>
      </c>
      <c r="M1749" t="s">
        <v>1829</v>
      </c>
      <c r="O1749" t="s">
        <v>11</v>
      </c>
      <c r="P1749">
        <v>5102</v>
      </c>
      <c r="Q1749">
        <v>1</v>
      </c>
      <c r="R1749">
        <v>124.15</v>
      </c>
      <c r="S1749">
        <v>124.15</v>
      </c>
      <c r="T1749">
        <v>94.23</v>
      </c>
      <c r="U1749">
        <v>24.1</v>
      </c>
      <c r="V1749" t="str">
        <f>VLOOKUP(L1749,'[2]tabela de preços'!$A:$D,4,0)</f>
        <v>SHERWIN WILLIAMS</v>
      </c>
      <c r="W1749" t="str">
        <f>VLOOKUP(L1749,'[2]tabela de preços'!$A:$F,6,0)</f>
        <v>DILUENTE</v>
      </c>
      <c r="X1749" t="str">
        <f>VLOOKUP(L1749,'[2]tabela de preços'!$A:$G,7,0)</f>
        <v>AUTOMOTIVO</v>
      </c>
    </row>
    <row r="1750" spans="1:24" x14ac:dyDescent="0.3">
      <c r="A1750" t="s">
        <v>1824</v>
      </c>
      <c r="B1750" t="s">
        <v>1825</v>
      </c>
      <c r="C1750" t="s">
        <v>1830</v>
      </c>
      <c r="D1750" s="1">
        <v>46036</v>
      </c>
      <c r="E1750" t="s">
        <v>1831</v>
      </c>
      <c r="F1750">
        <v>9</v>
      </c>
      <c r="G1750">
        <v>197</v>
      </c>
      <c r="H1750" t="str">
        <f>VLOOKUP(G1750,[1]OPERADORES!$A:$B,2,0)</f>
        <v xml:space="preserve">POLIANA LORRANE DE AMORIM </v>
      </c>
      <c r="I1750" t="s">
        <v>21</v>
      </c>
      <c r="J1750" t="s">
        <v>1788</v>
      </c>
      <c r="K1750" t="s">
        <v>1828</v>
      </c>
      <c r="L1750">
        <v>21437</v>
      </c>
      <c r="M1750" t="s">
        <v>1832</v>
      </c>
      <c r="O1750" t="s">
        <v>11</v>
      </c>
      <c r="P1750">
        <v>5102</v>
      </c>
      <c r="Q1750">
        <v>4</v>
      </c>
      <c r="R1750">
        <v>8.41</v>
      </c>
      <c r="S1750">
        <v>33.64</v>
      </c>
      <c r="T1750">
        <v>25.52</v>
      </c>
      <c r="U1750">
        <v>24.14</v>
      </c>
      <c r="V1750" t="str">
        <f>VLOOKUP(L1750,'[2]tabela de preços'!$A:$D,4,0)</f>
        <v>ROBERLO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1824</v>
      </c>
      <c r="B1751" t="s">
        <v>1825</v>
      </c>
      <c r="C1751" t="s">
        <v>1830</v>
      </c>
      <c r="D1751" s="1">
        <v>46036</v>
      </c>
      <c r="E1751" t="s">
        <v>1831</v>
      </c>
      <c r="F1751">
        <v>9</v>
      </c>
      <c r="G1751">
        <v>197</v>
      </c>
      <c r="H1751" t="str">
        <f>VLOOKUP(G1751,[1]OPERADORES!$A:$B,2,0)</f>
        <v xml:space="preserve">POLIANA LORRANE DE AMORIM </v>
      </c>
      <c r="I1751" t="s">
        <v>21</v>
      </c>
      <c r="J1751" t="s">
        <v>1788</v>
      </c>
      <c r="K1751" t="s">
        <v>1828</v>
      </c>
      <c r="L1751">
        <v>23690</v>
      </c>
      <c r="M1751" t="s">
        <v>98</v>
      </c>
      <c r="O1751" t="s">
        <v>11</v>
      </c>
      <c r="P1751">
        <v>5403</v>
      </c>
      <c r="Q1751">
        <v>6</v>
      </c>
      <c r="R1751">
        <v>39.89</v>
      </c>
      <c r="S1751">
        <v>239.34</v>
      </c>
      <c r="T1751">
        <v>189.66</v>
      </c>
      <c r="U1751">
        <v>20.76</v>
      </c>
      <c r="V1751" t="str">
        <f>VLOOKUP(L1751,'[2]tabela de preços'!$A:$D,4,0)</f>
        <v>WANDA</v>
      </c>
      <c r="W1751" t="str">
        <f>VLOOKUP(L1751,'[2]tabela de preços'!$A:$F,6,0)</f>
        <v>VERNIZ AUTOMOTIVO</v>
      </c>
      <c r="X1751" t="str">
        <f>VLOOKUP(L1751,'[2]tabela de preços'!$A:$G,7,0)</f>
        <v>AUTOMOTIVO</v>
      </c>
    </row>
    <row r="1752" spans="1:24" x14ac:dyDescent="0.3">
      <c r="A1752" t="s">
        <v>1824</v>
      </c>
      <c r="B1752" t="s">
        <v>1825</v>
      </c>
      <c r="C1752" t="s">
        <v>1830</v>
      </c>
      <c r="D1752" s="1">
        <v>46036</v>
      </c>
      <c r="E1752" t="s">
        <v>1831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1788</v>
      </c>
      <c r="K1752" t="s">
        <v>1828</v>
      </c>
      <c r="L1752">
        <v>13</v>
      </c>
      <c r="M1752" t="s">
        <v>152</v>
      </c>
      <c r="O1752" t="s">
        <v>11</v>
      </c>
      <c r="P1752">
        <v>5102</v>
      </c>
      <c r="Q1752">
        <v>10</v>
      </c>
      <c r="R1752">
        <v>5.79</v>
      </c>
      <c r="S1752">
        <v>57.9</v>
      </c>
      <c r="T1752">
        <v>41.6</v>
      </c>
      <c r="U1752">
        <v>28.15</v>
      </c>
      <c r="V1752" t="str">
        <f>VLOOKUP(L1752,'[2]tabela de preços'!$A:$D,4,0)</f>
        <v>3M</v>
      </c>
      <c r="W1752" t="str">
        <f>VLOOKUP(L1752,'[2]tabela de preços'!$A:$F,6,0)</f>
        <v>LIXA DÁGUA</v>
      </c>
      <c r="X1752" t="str">
        <f>VLOOKUP(L1752,'[2]tabela de preços'!$A:$G,7,0)</f>
        <v>AUTOMOTIVO</v>
      </c>
    </row>
    <row r="1753" spans="1:24" x14ac:dyDescent="0.3">
      <c r="A1753" t="s">
        <v>1824</v>
      </c>
      <c r="B1753" t="s">
        <v>1825</v>
      </c>
      <c r="C1753" t="s">
        <v>1830</v>
      </c>
      <c r="D1753" s="1">
        <v>46036</v>
      </c>
      <c r="E1753" t="s">
        <v>1831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1788</v>
      </c>
      <c r="K1753" t="s">
        <v>1828</v>
      </c>
      <c r="L1753">
        <v>20817</v>
      </c>
      <c r="M1753" t="s">
        <v>153</v>
      </c>
      <c r="O1753" t="s">
        <v>11</v>
      </c>
      <c r="P1753">
        <v>5102</v>
      </c>
      <c r="Q1753">
        <v>2</v>
      </c>
      <c r="R1753">
        <v>22.89</v>
      </c>
      <c r="S1753">
        <v>45.78</v>
      </c>
      <c r="T1753">
        <v>37.24</v>
      </c>
      <c r="U1753">
        <v>18.649999999999999</v>
      </c>
      <c r="V1753" t="str">
        <f>VLOOKUP(L1753,'[2]tabela de preços'!$A:$D,4,0)</f>
        <v>AUTO AMERICA</v>
      </c>
      <c r="W1753" t="str">
        <f>VLOOKUP(L1753,'[2]tabela de preços'!$A:$F,6,0)</f>
        <v>MASSA DE POLIR</v>
      </c>
      <c r="X1753" t="str">
        <f>VLOOKUP(L1753,'[2]tabela de preços'!$A:$G,7,0)</f>
        <v>AUTOMOTIVO</v>
      </c>
    </row>
    <row r="1754" spans="1:24" x14ac:dyDescent="0.3">
      <c r="A1754" t="s">
        <v>1824</v>
      </c>
      <c r="B1754" t="s">
        <v>1825</v>
      </c>
      <c r="C1754" t="s">
        <v>1830</v>
      </c>
      <c r="D1754" s="1">
        <v>46036</v>
      </c>
      <c r="E1754" t="s">
        <v>1831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1788</v>
      </c>
      <c r="K1754" t="s">
        <v>1828</v>
      </c>
      <c r="L1754">
        <v>21436</v>
      </c>
      <c r="M1754" t="s">
        <v>1833</v>
      </c>
      <c r="O1754" t="s">
        <v>11</v>
      </c>
      <c r="P1754">
        <v>5102</v>
      </c>
      <c r="Q1754">
        <v>4</v>
      </c>
      <c r="R1754">
        <v>34.659999999999997</v>
      </c>
      <c r="S1754">
        <v>138.63999999999999</v>
      </c>
      <c r="T1754">
        <v>105.24</v>
      </c>
      <c r="U1754">
        <v>24.09</v>
      </c>
      <c r="V1754" t="str">
        <f>VLOOKUP(L1754,'[2]tabela de preços'!$A:$D,4,0)</f>
        <v>ROBERLO</v>
      </c>
      <c r="W1754" t="str">
        <f>VLOOKUP(L1754,'[2]tabela de preços'!$A:$F,6,0)</f>
        <v>PRIMER AUTOMOTIVO</v>
      </c>
      <c r="X1754" t="str">
        <f>VLOOKUP(L1754,'[2]tabela de preços'!$A:$G,7,0)</f>
        <v>AUTOMOTIVO</v>
      </c>
    </row>
    <row r="1755" spans="1:24" x14ac:dyDescent="0.3">
      <c r="A1755" t="s">
        <v>1824</v>
      </c>
      <c r="B1755" t="s">
        <v>1825</v>
      </c>
      <c r="C1755" t="s">
        <v>1830</v>
      </c>
      <c r="D1755" s="1">
        <v>46036</v>
      </c>
      <c r="E1755" t="s">
        <v>1831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1788</v>
      </c>
      <c r="K1755" t="s">
        <v>1828</v>
      </c>
      <c r="L1755">
        <v>10296</v>
      </c>
      <c r="M1755" t="s">
        <v>334</v>
      </c>
      <c r="O1755" t="s">
        <v>11</v>
      </c>
      <c r="P1755">
        <v>5102</v>
      </c>
      <c r="Q1755">
        <v>1</v>
      </c>
      <c r="R1755">
        <v>17.02</v>
      </c>
      <c r="S1755">
        <v>17.02</v>
      </c>
      <c r="T1755">
        <v>12.57</v>
      </c>
      <c r="U1755">
        <v>26.15</v>
      </c>
      <c r="V1755" t="str">
        <f>VLOOKUP(L1755,'[2]tabela de preços'!$A:$D,4,0)</f>
        <v>ANJO</v>
      </c>
      <c r="W1755" t="str">
        <f>VLOOKUP(L1755,'[2]tabela de preços'!$A:$F,6,0)</f>
        <v>DESENGRAXANTE</v>
      </c>
      <c r="X1755" t="str">
        <f>VLOOKUP(L1755,'[2]tabela de preços'!$A:$G,7,0)</f>
        <v>AUTOMOTIVO</v>
      </c>
    </row>
    <row r="1756" spans="1:24" x14ac:dyDescent="0.3">
      <c r="A1756" t="s">
        <v>1824</v>
      </c>
      <c r="B1756" t="s">
        <v>1825</v>
      </c>
      <c r="C1756" t="s">
        <v>1830</v>
      </c>
      <c r="D1756" s="1">
        <v>46036</v>
      </c>
      <c r="E1756" t="s">
        <v>1831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1788</v>
      </c>
      <c r="K1756" t="s">
        <v>1828</v>
      </c>
      <c r="L1756">
        <v>84560</v>
      </c>
      <c r="M1756" t="s">
        <v>118</v>
      </c>
      <c r="O1756" t="s">
        <v>11</v>
      </c>
      <c r="P1756">
        <v>5102</v>
      </c>
      <c r="Q1756">
        <v>1</v>
      </c>
      <c r="R1756">
        <v>47.89</v>
      </c>
      <c r="S1756">
        <v>47.89</v>
      </c>
      <c r="T1756">
        <v>39.159999999999997</v>
      </c>
      <c r="U1756">
        <v>18.23</v>
      </c>
      <c r="V1756" t="str">
        <f>VLOOKUP(L1756,'[2]tabela de preços'!$A:$D,4,0)</f>
        <v>BRASILUX</v>
      </c>
      <c r="W1756" t="str">
        <f>VLOOKUP(L1756,'[2]tabela de preços'!$A:$F,6,0)</f>
        <v>THINNER DE LIMPEZA</v>
      </c>
      <c r="X1756" t="str">
        <f>VLOOKUP(L1756,'[2]tabela de preços'!$A:$G,7,0)</f>
        <v>THINNER</v>
      </c>
    </row>
    <row r="1757" spans="1:24" x14ac:dyDescent="0.3">
      <c r="A1757" t="s">
        <v>1824</v>
      </c>
      <c r="B1757" t="s">
        <v>1825</v>
      </c>
      <c r="C1757" t="s">
        <v>1834</v>
      </c>
      <c r="D1757" s="1">
        <v>46045</v>
      </c>
      <c r="E1757" t="s">
        <v>1835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1788</v>
      </c>
      <c r="K1757" t="s">
        <v>1828</v>
      </c>
      <c r="L1757">
        <v>10236</v>
      </c>
      <c r="M1757" t="s">
        <v>133</v>
      </c>
      <c r="O1757" t="s">
        <v>11</v>
      </c>
      <c r="P1757">
        <v>5102</v>
      </c>
      <c r="Q1757">
        <v>10</v>
      </c>
      <c r="R1757">
        <v>2.79</v>
      </c>
      <c r="S1757">
        <v>27.9</v>
      </c>
      <c r="T1757">
        <v>23.2</v>
      </c>
      <c r="U1757">
        <v>16.850000000000001</v>
      </c>
      <c r="V1757" t="str">
        <f>VLOOKUP(L1757,'[2]tabela de preços'!$A:$D,4,0)</f>
        <v>NORTON</v>
      </c>
      <c r="W1757" t="str">
        <f>VLOOKUP(L1757,'[2]tabela de preços'!$A:$F,6,0)</f>
        <v xml:space="preserve">DISCOS / LIXAS / ABRASIVOS </v>
      </c>
      <c r="X1757" t="str">
        <f>VLOOKUP(L1757,'[2]tabela de preços'!$A:$G,7,0)</f>
        <v>AUTOMOTIVO</v>
      </c>
    </row>
    <row r="1758" spans="1:24" x14ac:dyDescent="0.3">
      <c r="A1758" t="s">
        <v>1824</v>
      </c>
      <c r="B1758" t="s">
        <v>1825</v>
      </c>
      <c r="C1758" t="s">
        <v>1834</v>
      </c>
      <c r="D1758" s="1">
        <v>46045</v>
      </c>
      <c r="E1758" t="s">
        <v>1835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1788</v>
      </c>
      <c r="K1758" t="s">
        <v>1828</v>
      </c>
      <c r="L1758">
        <v>10230</v>
      </c>
      <c r="M1758" t="s">
        <v>193</v>
      </c>
      <c r="O1758" t="s">
        <v>11</v>
      </c>
      <c r="P1758">
        <v>5102</v>
      </c>
      <c r="Q1758">
        <v>10</v>
      </c>
      <c r="R1758">
        <v>2.79</v>
      </c>
      <c r="S1758">
        <v>27.9</v>
      </c>
      <c r="T1758">
        <v>23.2</v>
      </c>
      <c r="U1758">
        <v>16.850000000000001</v>
      </c>
      <c r="V1758" t="str">
        <f>VLOOKUP(L1758,'[2]tabela de preços'!$A:$D,4,0)</f>
        <v>NORTON</v>
      </c>
      <c r="W1758" t="str">
        <f>VLOOKUP(L1758,'[2]tabela de preços'!$A:$F,6,0)</f>
        <v xml:space="preserve">DISCOS / LIXAS / ABRASIVOS </v>
      </c>
      <c r="X1758" t="str">
        <f>VLOOKUP(L1758,'[2]tabela de preços'!$A:$G,7,0)</f>
        <v>AUTOMOTIVO</v>
      </c>
    </row>
    <row r="1759" spans="1:24" x14ac:dyDescent="0.3">
      <c r="A1759" t="s">
        <v>1824</v>
      </c>
      <c r="B1759" t="s">
        <v>1825</v>
      </c>
      <c r="C1759" t="s">
        <v>1834</v>
      </c>
      <c r="D1759" s="1">
        <v>46045</v>
      </c>
      <c r="E1759" t="s">
        <v>1835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1788</v>
      </c>
      <c r="K1759" t="s">
        <v>1828</v>
      </c>
      <c r="L1759">
        <v>24240</v>
      </c>
      <c r="M1759" t="s">
        <v>240</v>
      </c>
      <c r="O1759" t="s">
        <v>11</v>
      </c>
      <c r="P1759">
        <v>5102</v>
      </c>
      <c r="Q1759">
        <v>20</v>
      </c>
      <c r="R1759">
        <v>3.81</v>
      </c>
      <c r="S1759">
        <v>76.2</v>
      </c>
      <c r="T1759">
        <v>65.599999999999994</v>
      </c>
      <c r="U1759">
        <v>13.91</v>
      </c>
      <c r="V1759" t="str">
        <f>VLOOKUP(L1759,'[2]tabela de preços'!$A:$D,4,0)</f>
        <v>ADERE</v>
      </c>
      <c r="W1759" t="str">
        <f>VLOOKUP(L1759,'[2]tabela de preços'!$A:$F,6,0)</f>
        <v>FITA AUTOMOTIVA</v>
      </c>
      <c r="X1759" t="str">
        <f>VLOOKUP(L1759,'[2]tabela de preços'!$A:$G,7,0)</f>
        <v>AUTOMOTIVO</v>
      </c>
    </row>
    <row r="1760" spans="1:24" x14ac:dyDescent="0.3">
      <c r="A1760" t="s">
        <v>1824</v>
      </c>
      <c r="B1760" t="s">
        <v>1825</v>
      </c>
      <c r="C1760" t="s">
        <v>1834</v>
      </c>
      <c r="D1760" s="1">
        <v>46045</v>
      </c>
      <c r="E1760" t="s">
        <v>1835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1788</v>
      </c>
      <c r="K1760" t="s">
        <v>1828</v>
      </c>
      <c r="L1760">
        <v>23690</v>
      </c>
      <c r="M1760" t="s">
        <v>98</v>
      </c>
      <c r="O1760" t="s">
        <v>11</v>
      </c>
      <c r="P1760">
        <v>5403</v>
      </c>
      <c r="Q1760">
        <v>6</v>
      </c>
      <c r="R1760">
        <v>39.89</v>
      </c>
      <c r="S1760">
        <v>239.34</v>
      </c>
      <c r="T1760">
        <v>189.66</v>
      </c>
      <c r="U1760">
        <v>20.76</v>
      </c>
      <c r="V1760" t="str">
        <f>VLOOKUP(L1760,'[2]tabela de preços'!$A:$D,4,0)</f>
        <v>WANDA</v>
      </c>
      <c r="W1760" t="str">
        <f>VLOOKUP(L1760,'[2]tabela de preços'!$A:$F,6,0)</f>
        <v>VERNIZ AUTOMOTIVO</v>
      </c>
      <c r="X1760" t="str">
        <f>VLOOKUP(L1760,'[2]tabela de preços'!$A:$G,7,0)</f>
        <v>AUTOMOTIVO</v>
      </c>
    </row>
    <row r="1761" spans="1:24" x14ac:dyDescent="0.3">
      <c r="A1761" t="s">
        <v>1824</v>
      </c>
      <c r="B1761" t="s">
        <v>1825</v>
      </c>
      <c r="C1761" t="s">
        <v>1834</v>
      </c>
      <c r="D1761" s="1">
        <v>46045</v>
      </c>
      <c r="E1761" t="s">
        <v>1835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1788</v>
      </c>
      <c r="K1761" t="s">
        <v>1828</v>
      </c>
      <c r="L1761">
        <v>10238</v>
      </c>
      <c r="M1761" t="s">
        <v>79</v>
      </c>
      <c r="O1761" t="s">
        <v>11</v>
      </c>
      <c r="P1761">
        <v>5102</v>
      </c>
      <c r="Q1761">
        <v>20</v>
      </c>
      <c r="R1761">
        <v>2.79</v>
      </c>
      <c r="S1761">
        <v>55.8</v>
      </c>
      <c r="T1761">
        <v>44.8</v>
      </c>
      <c r="U1761">
        <v>19.71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1824</v>
      </c>
      <c r="B1762" t="s">
        <v>1825</v>
      </c>
      <c r="C1762" t="s">
        <v>1834</v>
      </c>
      <c r="D1762" s="1">
        <v>46045</v>
      </c>
      <c r="E1762" t="s">
        <v>1835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1788</v>
      </c>
      <c r="K1762" t="s">
        <v>1828</v>
      </c>
      <c r="L1762">
        <v>10243</v>
      </c>
      <c r="M1762" t="s">
        <v>83</v>
      </c>
      <c r="O1762" t="s">
        <v>11</v>
      </c>
      <c r="P1762">
        <v>5102</v>
      </c>
      <c r="Q1762">
        <v>20</v>
      </c>
      <c r="R1762">
        <v>2.79</v>
      </c>
      <c r="S1762">
        <v>55.8</v>
      </c>
      <c r="T1762">
        <v>38.6</v>
      </c>
      <c r="U1762">
        <v>30.82</v>
      </c>
      <c r="V1762" t="str">
        <f>VLOOKUP(L1762,'[2]tabela de preços'!$A:$D,4,0)</f>
        <v>NORTON</v>
      </c>
      <c r="W1762" t="str">
        <f>VLOOKUP(L1762,'[2]tabela de preços'!$A:$F,6,0)</f>
        <v xml:space="preserve">DISCOS / LIXAS / ABRASIVOS </v>
      </c>
      <c r="X1762" t="str">
        <f>VLOOKUP(L1762,'[2]tabela de preços'!$A:$G,7,0)</f>
        <v>AUTOMOTIVO</v>
      </c>
    </row>
    <row r="1763" spans="1:24" x14ac:dyDescent="0.3">
      <c r="A1763" t="s">
        <v>1824</v>
      </c>
      <c r="B1763" t="s">
        <v>1825</v>
      </c>
      <c r="C1763" t="s">
        <v>1834</v>
      </c>
      <c r="D1763" s="1">
        <v>46045</v>
      </c>
      <c r="E1763" t="s">
        <v>1835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1788</v>
      </c>
      <c r="K1763" t="s">
        <v>1828</v>
      </c>
      <c r="L1763">
        <v>10244</v>
      </c>
      <c r="M1763" t="s">
        <v>84</v>
      </c>
      <c r="O1763" t="s">
        <v>11</v>
      </c>
      <c r="P1763">
        <v>5102</v>
      </c>
      <c r="Q1763">
        <v>20</v>
      </c>
      <c r="R1763">
        <v>2.79</v>
      </c>
      <c r="S1763">
        <v>55.8</v>
      </c>
      <c r="T1763">
        <v>38.6</v>
      </c>
      <c r="U1763">
        <v>30.82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1824</v>
      </c>
      <c r="B1764" t="s">
        <v>1825</v>
      </c>
      <c r="C1764" t="s">
        <v>1834</v>
      </c>
      <c r="D1764" s="1">
        <v>46045</v>
      </c>
      <c r="E1764" t="s">
        <v>1835</v>
      </c>
      <c r="F1764">
        <v>9</v>
      </c>
      <c r="G1764">
        <v>197</v>
      </c>
      <c r="H1764" t="str">
        <f>VLOOKUP(G1764,[1]OPERADORES!$A:$B,2,0)</f>
        <v xml:space="preserve">POLIANA LORRANE DE AMORIM </v>
      </c>
      <c r="I1764" t="s">
        <v>21</v>
      </c>
      <c r="J1764" t="s">
        <v>1788</v>
      </c>
      <c r="K1764" t="s">
        <v>1828</v>
      </c>
      <c r="L1764">
        <v>10246</v>
      </c>
      <c r="M1764" t="s">
        <v>206</v>
      </c>
      <c r="O1764" t="s">
        <v>11</v>
      </c>
      <c r="P1764">
        <v>5102</v>
      </c>
      <c r="Q1764">
        <v>10</v>
      </c>
      <c r="R1764">
        <v>2.79</v>
      </c>
      <c r="S1764">
        <v>27.9</v>
      </c>
      <c r="T1764">
        <v>19.3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1824</v>
      </c>
      <c r="B1765" t="s">
        <v>1825</v>
      </c>
      <c r="C1765" t="s">
        <v>1834</v>
      </c>
      <c r="D1765" s="1">
        <v>46045</v>
      </c>
      <c r="E1765" t="s">
        <v>1835</v>
      </c>
      <c r="F1765">
        <v>9</v>
      </c>
      <c r="G1765">
        <v>197</v>
      </c>
      <c r="H1765" t="str">
        <f>VLOOKUP(G1765,[1]OPERADORES!$A:$B,2,0)</f>
        <v xml:space="preserve">POLIANA LORRANE DE AMORIM </v>
      </c>
      <c r="I1765" t="s">
        <v>21</v>
      </c>
      <c r="J1765" t="s">
        <v>1788</v>
      </c>
      <c r="K1765" t="s">
        <v>1828</v>
      </c>
      <c r="L1765">
        <v>84560</v>
      </c>
      <c r="M1765" t="s">
        <v>118</v>
      </c>
      <c r="O1765" t="s">
        <v>11</v>
      </c>
      <c r="P1765">
        <v>5102</v>
      </c>
      <c r="Q1765">
        <v>1</v>
      </c>
      <c r="R1765">
        <v>47.89</v>
      </c>
      <c r="S1765">
        <v>47.89</v>
      </c>
      <c r="T1765">
        <v>39.159999999999997</v>
      </c>
      <c r="U1765">
        <v>18.23</v>
      </c>
      <c r="V1765" t="str">
        <f>VLOOKUP(L1765,'[2]tabela de preços'!$A:$D,4,0)</f>
        <v>BRASILUX</v>
      </c>
      <c r="W1765" t="str">
        <f>VLOOKUP(L1765,'[2]tabela de preços'!$A:$F,6,0)</f>
        <v>THINNER DE LIMPEZA</v>
      </c>
      <c r="X1765" t="str">
        <f>VLOOKUP(L1765,'[2]tabela de preços'!$A:$G,7,0)</f>
        <v>THINNER</v>
      </c>
    </row>
    <row r="1766" spans="1:24" x14ac:dyDescent="0.3">
      <c r="A1766" t="s">
        <v>1824</v>
      </c>
      <c r="B1766" t="s">
        <v>1825</v>
      </c>
      <c r="C1766" t="s">
        <v>1834</v>
      </c>
      <c r="D1766" s="1">
        <v>46045</v>
      </c>
      <c r="E1766" t="s">
        <v>1835</v>
      </c>
      <c r="F1766">
        <v>9</v>
      </c>
      <c r="G1766">
        <v>197</v>
      </c>
      <c r="H1766" t="str">
        <f>VLOOKUP(G1766,[1]OPERADORES!$A:$B,2,0)</f>
        <v xml:space="preserve">POLIANA LORRANE DE AMORIM </v>
      </c>
      <c r="I1766" t="s">
        <v>21</v>
      </c>
      <c r="J1766" t="s">
        <v>1788</v>
      </c>
      <c r="K1766" t="s">
        <v>1828</v>
      </c>
      <c r="L1766">
        <v>21316</v>
      </c>
      <c r="M1766" t="s">
        <v>1829</v>
      </c>
      <c r="O1766" t="s">
        <v>11</v>
      </c>
      <c r="P1766">
        <v>5102</v>
      </c>
      <c r="Q1766">
        <v>1</v>
      </c>
      <c r="R1766">
        <v>124.15</v>
      </c>
      <c r="S1766">
        <v>124.15</v>
      </c>
      <c r="T1766">
        <v>94.23</v>
      </c>
      <c r="U1766">
        <v>24.1</v>
      </c>
      <c r="V1766" t="str">
        <f>VLOOKUP(L1766,'[2]tabela de preços'!$A:$D,4,0)</f>
        <v>SHERWIN WILLIAMS</v>
      </c>
      <c r="W1766" t="str">
        <f>VLOOKUP(L1766,'[2]tabela de preços'!$A:$F,6,0)</f>
        <v>DILUENTE</v>
      </c>
      <c r="X1766" t="str">
        <f>VLOOKUP(L1766,'[2]tabela de preços'!$A:$G,7,0)</f>
        <v>AUTOMOTIVO</v>
      </c>
    </row>
    <row r="1767" spans="1:24" x14ac:dyDescent="0.3">
      <c r="A1767" t="s">
        <v>1836</v>
      </c>
      <c r="C1767" t="s">
        <v>1837</v>
      </c>
      <c r="D1767" s="1">
        <v>46037</v>
      </c>
      <c r="E1767" t="s">
        <v>1838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363</v>
      </c>
      <c r="K1767" t="s">
        <v>1839</v>
      </c>
      <c r="L1767">
        <v>84029</v>
      </c>
      <c r="M1767" t="s">
        <v>29</v>
      </c>
      <c r="O1767" t="s">
        <v>11</v>
      </c>
      <c r="P1767">
        <v>5102</v>
      </c>
      <c r="Q1767">
        <v>2</v>
      </c>
      <c r="R1767">
        <v>11.45</v>
      </c>
      <c r="S1767">
        <v>22.9</v>
      </c>
      <c r="T1767">
        <v>17.38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AGUARRAS</v>
      </c>
      <c r="X1767" t="str">
        <f>VLOOKUP(L1767,'[2]tabela de preços'!$A:$G,7,0)</f>
        <v>IMOBILIÁRIO</v>
      </c>
    </row>
    <row r="1768" spans="1:24" x14ac:dyDescent="0.3">
      <c r="A1768" t="s">
        <v>1836</v>
      </c>
      <c r="C1768" t="s">
        <v>1837</v>
      </c>
      <c r="D1768" s="1">
        <v>46037</v>
      </c>
      <c r="E1768" t="s">
        <v>1838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363</v>
      </c>
      <c r="K1768" t="s">
        <v>1839</v>
      </c>
      <c r="L1768">
        <v>84164</v>
      </c>
      <c r="M1768" t="s">
        <v>1840</v>
      </c>
      <c r="O1768" t="s">
        <v>11</v>
      </c>
      <c r="P1768">
        <v>5403</v>
      </c>
      <c r="Q1768">
        <v>2</v>
      </c>
      <c r="R1768">
        <v>83.48</v>
      </c>
      <c r="S1768">
        <v>166.96</v>
      </c>
      <c r="T1768">
        <v>126.72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ESMALTES</v>
      </c>
      <c r="X1768" t="str">
        <f>VLOOKUP(L1768,'[2]tabela de preços'!$A:$G,7,0)</f>
        <v>INDUSTRIAL</v>
      </c>
    </row>
    <row r="1769" spans="1:24" x14ac:dyDescent="0.3">
      <c r="A1769" t="s">
        <v>1836</v>
      </c>
      <c r="C1769" t="s">
        <v>1837</v>
      </c>
      <c r="D1769" s="1">
        <v>46037</v>
      </c>
      <c r="E1769" t="s">
        <v>1838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363</v>
      </c>
      <c r="K1769" t="s">
        <v>1839</v>
      </c>
      <c r="L1769">
        <v>85043</v>
      </c>
      <c r="M1769" t="s">
        <v>1841</v>
      </c>
      <c r="O1769" t="s">
        <v>11</v>
      </c>
      <c r="P1769">
        <v>5102</v>
      </c>
      <c r="Q1769">
        <v>1</v>
      </c>
      <c r="R1769">
        <v>3.77</v>
      </c>
      <c r="S1769">
        <v>3.77</v>
      </c>
      <c r="T1769">
        <v>2.7</v>
      </c>
      <c r="U1769">
        <v>28.38</v>
      </c>
      <c r="V1769" t="str">
        <f>VLOOKUP(L1769,'[2]tabela de preços'!$A:$D,4,0)</f>
        <v>ATLAS</v>
      </c>
      <c r="W1769" t="str">
        <f>VLOOKUP(L1769,'[2]tabela de preços'!$A:$F,6,0)</f>
        <v>ROLOS / TRINCHAS / PINCÉIS / ESPÁTULAS</v>
      </c>
      <c r="X1769" t="str">
        <f>VLOOKUP(L1769,'[2]tabela de preços'!$A:$G,7,0)</f>
        <v>IMOBILIÁRIO</v>
      </c>
    </row>
    <row r="1770" spans="1:24" x14ac:dyDescent="0.3">
      <c r="A1770" t="s">
        <v>1836</v>
      </c>
      <c r="C1770" t="s">
        <v>1837</v>
      </c>
      <c r="D1770" s="1">
        <v>46037</v>
      </c>
      <c r="E1770" t="s">
        <v>1838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363</v>
      </c>
      <c r="K1770" t="s">
        <v>1839</v>
      </c>
      <c r="L1770">
        <v>85042</v>
      </c>
      <c r="M1770" t="s">
        <v>1842</v>
      </c>
      <c r="O1770" t="s">
        <v>11</v>
      </c>
      <c r="P1770">
        <v>5102</v>
      </c>
      <c r="Q1770">
        <v>1</v>
      </c>
      <c r="R1770">
        <v>2.98</v>
      </c>
      <c r="S1770">
        <v>2.98</v>
      </c>
      <c r="T1770">
        <v>1.92</v>
      </c>
      <c r="U1770">
        <v>35.57</v>
      </c>
      <c r="V1770" t="str">
        <f>VLOOKUP(L1770,'[2]tabela de preços'!$A:$D,4,0)</f>
        <v>ATLAS</v>
      </c>
      <c r="W1770" t="str">
        <f>VLOOKUP(L1770,'[2]tabela de preços'!$A:$F,6,0)</f>
        <v>ROLOS / TRINCHAS / PINCÉIS / ESPÁTULAS</v>
      </c>
      <c r="X1770" t="str">
        <f>VLOOKUP(L1770,'[2]tabela de preços'!$A:$G,7,0)</f>
        <v>IMOBILIÁRIO</v>
      </c>
    </row>
    <row r="1771" spans="1:24" x14ac:dyDescent="0.3">
      <c r="A1771" t="s">
        <v>1836</v>
      </c>
      <c r="C1771" t="s">
        <v>1843</v>
      </c>
      <c r="D1771" s="1">
        <v>46037</v>
      </c>
      <c r="E1771" t="s">
        <v>1844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363</v>
      </c>
      <c r="K1771" t="s">
        <v>1839</v>
      </c>
      <c r="L1771">
        <v>84497</v>
      </c>
      <c r="M1771" t="s">
        <v>1159</v>
      </c>
      <c r="O1771" t="s">
        <v>11</v>
      </c>
      <c r="P1771">
        <v>5102</v>
      </c>
      <c r="Q1771">
        <v>4</v>
      </c>
      <c r="R1771">
        <v>9.99</v>
      </c>
      <c r="S1771">
        <v>39.96</v>
      </c>
      <c r="T1771">
        <v>32.56</v>
      </c>
      <c r="U1771">
        <v>18.52</v>
      </c>
      <c r="V1771" t="str">
        <f>VLOOKUP(L1771,'[2]tabela de preços'!$A:$D,4,0)</f>
        <v>BRASILUX</v>
      </c>
      <c r="W1771" t="str">
        <f>VLOOKUP(L1771,'[2]tabela de preços'!$A:$F,6,0)</f>
        <v>THINNER DE LIMPEZA</v>
      </c>
      <c r="X1771" t="str">
        <f>VLOOKUP(L1771,'[2]tabela de preços'!$A:$G,7,0)</f>
        <v>THINNER</v>
      </c>
    </row>
    <row r="1772" spans="1:24" x14ac:dyDescent="0.3">
      <c r="A1772" t="s">
        <v>1836</v>
      </c>
      <c r="C1772" t="s">
        <v>1843</v>
      </c>
      <c r="D1772" s="1">
        <v>46037</v>
      </c>
      <c r="E1772" t="s">
        <v>1844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363</v>
      </c>
      <c r="K1772" t="s">
        <v>1839</v>
      </c>
      <c r="L1772">
        <v>85380</v>
      </c>
      <c r="M1772" t="s">
        <v>1845</v>
      </c>
      <c r="O1772" t="s">
        <v>11</v>
      </c>
      <c r="P1772">
        <v>5102</v>
      </c>
      <c r="Q1772">
        <v>1</v>
      </c>
      <c r="R1772">
        <v>578.37</v>
      </c>
      <c r="S1772">
        <v>578.37</v>
      </c>
      <c r="T1772">
        <v>412.38</v>
      </c>
      <c r="U1772">
        <v>28.7</v>
      </c>
      <c r="V1772" t="str">
        <f>VLOOKUP(L1772,'[2]tabela de preços'!$A:$D,4,0)</f>
        <v>BRASILUX</v>
      </c>
      <c r="W1772" t="str">
        <f>VLOOKUP(L1772,'[2]tabela de preços'!$A:$F,6,0)</f>
        <v>TINTA EM PÓ</v>
      </c>
      <c r="X1772" t="str">
        <f>VLOOKUP(L1772,'[2]tabela de preços'!$A:$G,7,0)</f>
        <v>INDUSTRIAL</v>
      </c>
    </row>
    <row r="1773" spans="1:24" x14ac:dyDescent="0.3">
      <c r="A1773" t="s">
        <v>1836</v>
      </c>
      <c r="C1773" t="s">
        <v>1843</v>
      </c>
      <c r="D1773" s="1">
        <v>46037</v>
      </c>
      <c r="E1773" t="s">
        <v>1844</v>
      </c>
      <c r="F1773">
        <v>9</v>
      </c>
      <c r="G1773">
        <v>174</v>
      </c>
      <c r="H1773" t="str">
        <f>VLOOKUP(G1773,[1]OPERADORES!$A:$B,2,0)</f>
        <v>MIRIÃ LOBATO RODRIGUES</v>
      </c>
      <c r="I1773" t="s">
        <v>21</v>
      </c>
      <c r="J1773" t="s">
        <v>363</v>
      </c>
      <c r="K1773" t="s">
        <v>1839</v>
      </c>
      <c r="L1773">
        <v>85324</v>
      </c>
      <c r="M1773" t="s">
        <v>1846</v>
      </c>
      <c r="O1773" t="s">
        <v>11</v>
      </c>
      <c r="P1773">
        <v>5102</v>
      </c>
      <c r="Q1773">
        <v>1</v>
      </c>
      <c r="R1773">
        <v>514.22</v>
      </c>
      <c r="S1773">
        <v>514.22</v>
      </c>
      <c r="T1773">
        <v>366.65</v>
      </c>
      <c r="U1773">
        <v>28.7</v>
      </c>
      <c r="V1773" t="str">
        <f>VLOOKUP(L1773,'[2]tabela de preços'!$A:$D,4,0)</f>
        <v>BRASILUX</v>
      </c>
      <c r="W1773" t="str">
        <f>VLOOKUP(L1773,'[2]tabela de preços'!$A:$F,6,0)</f>
        <v>TINTA EM PÓ</v>
      </c>
      <c r="X1773" t="str">
        <f>VLOOKUP(L1773,'[2]tabela de preços'!$A:$G,7,0)</f>
        <v>INDUSTRIAL</v>
      </c>
    </row>
    <row r="1774" spans="1:24" x14ac:dyDescent="0.3">
      <c r="A1774" t="s">
        <v>1847</v>
      </c>
      <c r="B1774" t="s">
        <v>1848</v>
      </c>
      <c r="C1774" t="s">
        <v>1849</v>
      </c>
      <c r="D1774" s="1">
        <v>46024</v>
      </c>
      <c r="E1774" t="s">
        <v>1850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357</v>
      </c>
      <c r="K1774" t="s">
        <v>1851</v>
      </c>
      <c r="L1774">
        <v>10298</v>
      </c>
      <c r="M1774" t="s">
        <v>85</v>
      </c>
      <c r="O1774" t="s">
        <v>11</v>
      </c>
      <c r="P1774">
        <v>5102</v>
      </c>
      <c r="Q1774">
        <v>4</v>
      </c>
      <c r="R1774">
        <v>56.8</v>
      </c>
      <c r="S1774">
        <v>227.2</v>
      </c>
      <c r="T1774">
        <v>189.52</v>
      </c>
      <c r="U1774">
        <v>16.579999999999998</v>
      </c>
      <c r="V1774" t="str">
        <f>VLOOKUP(L1774,'[2]tabela de preços'!$A:$D,4,0)</f>
        <v>ANJO</v>
      </c>
      <c r="W1774" t="str">
        <f>VLOOKUP(L1774,'[2]tabela de preços'!$A:$F,6,0)</f>
        <v>THINNER DE LIMPEZA</v>
      </c>
      <c r="X1774" t="str">
        <f>VLOOKUP(L1774,'[2]tabela de preços'!$A:$G,7,0)</f>
        <v>THINNER</v>
      </c>
    </row>
    <row r="1775" spans="1:24" x14ac:dyDescent="0.3">
      <c r="A1775" t="s">
        <v>1847</v>
      </c>
      <c r="B1775" t="s">
        <v>1848</v>
      </c>
      <c r="C1775" t="s">
        <v>1852</v>
      </c>
      <c r="D1775" s="1">
        <v>46024</v>
      </c>
      <c r="E1775" t="s">
        <v>1853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357</v>
      </c>
      <c r="K1775" t="s">
        <v>1851</v>
      </c>
      <c r="L1775">
        <v>24293</v>
      </c>
      <c r="M1775" t="s">
        <v>1241</v>
      </c>
      <c r="O1775" t="s">
        <v>11</v>
      </c>
      <c r="P1775">
        <v>5102</v>
      </c>
      <c r="Q1775">
        <v>1</v>
      </c>
      <c r="R1775">
        <v>30.59</v>
      </c>
      <c r="S1775">
        <v>30.59</v>
      </c>
      <c r="T1775">
        <v>21.93</v>
      </c>
      <c r="U1775">
        <v>28.31</v>
      </c>
      <c r="V1775" t="str">
        <f>VLOOKUP(L1775,'[2]tabela de preços'!$A:$D,4,0)</f>
        <v>VONIXX</v>
      </c>
      <c r="W1775" t="str">
        <f>VLOOKUP(L1775,'[2]tabela de preços'!$A:$F,6,0)</f>
        <v>LINHA DE HIGENIZAÇÃO E ESTÉTICA  AUTOMOTIVA</v>
      </c>
      <c r="X1775" t="str">
        <f>VLOOKUP(L1775,'[2]tabela de preços'!$A:$G,7,0)</f>
        <v>AUTOMOTIVO</v>
      </c>
    </row>
    <row r="1776" spans="1:24" x14ac:dyDescent="0.3">
      <c r="A1776" t="s">
        <v>1847</v>
      </c>
      <c r="B1776" t="s">
        <v>1848</v>
      </c>
      <c r="C1776" t="s">
        <v>1854</v>
      </c>
      <c r="D1776" s="1">
        <v>46045</v>
      </c>
      <c r="E1776" t="s">
        <v>1855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357</v>
      </c>
      <c r="K1776" t="s">
        <v>1851</v>
      </c>
      <c r="L1776">
        <v>87043</v>
      </c>
      <c r="M1776" t="s">
        <v>217</v>
      </c>
      <c r="O1776" t="s">
        <v>11</v>
      </c>
      <c r="P1776">
        <v>5102</v>
      </c>
      <c r="Q1776">
        <v>4</v>
      </c>
      <c r="R1776">
        <v>21.95</v>
      </c>
      <c r="S1776">
        <v>87.8</v>
      </c>
      <c r="T1776">
        <v>72.08</v>
      </c>
      <c r="U1776">
        <v>17.899999999999999</v>
      </c>
      <c r="V1776" t="str">
        <f>VLOOKUP(L1776,'[2]tabela de preços'!$A:$D,4,0)</f>
        <v>ROBERLO</v>
      </c>
      <c r="W1776" t="str">
        <f>VLOOKUP(L1776,'[2]tabela de preços'!$A:$F,6,0)</f>
        <v>MASSA POLIÉSTER</v>
      </c>
      <c r="X1776" t="str">
        <f>VLOOKUP(L1776,'[2]tabela de preços'!$A:$G,7,0)</f>
        <v>AUTOMOTIVO</v>
      </c>
    </row>
    <row r="1777" spans="1:24" x14ac:dyDescent="0.3">
      <c r="A1777" t="s">
        <v>1847</v>
      </c>
      <c r="B1777" t="s">
        <v>1848</v>
      </c>
      <c r="C1777" t="s">
        <v>1854</v>
      </c>
      <c r="D1777" s="1">
        <v>46045</v>
      </c>
      <c r="E1777" t="s">
        <v>1855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357</v>
      </c>
      <c r="K1777" t="s">
        <v>1851</v>
      </c>
      <c r="L1777">
        <v>23412</v>
      </c>
      <c r="M1777" t="s">
        <v>1856</v>
      </c>
      <c r="O1777" t="s">
        <v>11</v>
      </c>
      <c r="P1777">
        <v>5102</v>
      </c>
      <c r="Q1777">
        <v>2</v>
      </c>
      <c r="R1777">
        <v>29.11</v>
      </c>
      <c r="S1777">
        <v>58.22</v>
      </c>
      <c r="T1777">
        <v>37.56</v>
      </c>
      <c r="U1777">
        <v>35.49</v>
      </c>
      <c r="V1777" t="str">
        <f>VLOOKUP(L1777,'[2]tabela de preços'!$A:$D,4,0)</f>
        <v>VONIXX</v>
      </c>
      <c r="W1777" t="str">
        <f>VLOOKUP(L1777,'[2]tabela de preços'!$A:$F,6,0)</f>
        <v>LINHA DE HIGENIZAÇÃO E ESTÉTICA  AUTOMOTIVA</v>
      </c>
      <c r="X1777" t="str">
        <f>VLOOKUP(L1777,'[2]tabela de preços'!$A:$G,7,0)</f>
        <v>AUTOMOTIVO</v>
      </c>
    </row>
    <row r="1778" spans="1:24" x14ac:dyDescent="0.3">
      <c r="A1778" t="s">
        <v>1847</v>
      </c>
      <c r="B1778" t="s">
        <v>1848</v>
      </c>
      <c r="C1778" t="s">
        <v>1857</v>
      </c>
      <c r="D1778" s="1">
        <v>46050</v>
      </c>
      <c r="E1778" t="s">
        <v>1858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357</v>
      </c>
      <c r="K1778" t="s">
        <v>1851</v>
      </c>
      <c r="L1778">
        <v>23710</v>
      </c>
      <c r="M1778" t="s">
        <v>927</v>
      </c>
      <c r="O1778" t="s">
        <v>11</v>
      </c>
      <c r="P1778">
        <v>5102</v>
      </c>
      <c r="Q1778">
        <v>3</v>
      </c>
      <c r="R1778">
        <v>42.47</v>
      </c>
      <c r="S1778">
        <v>127.41</v>
      </c>
      <c r="T1778">
        <v>86.52</v>
      </c>
      <c r="U1778">
        <v>32.090000000000003</v>
      </c>
      <c r="V1778" t="str">
        <f>VLOOKUP(L1778,'[2]tabela de preços'!$A:$D,4,0)</f>
        <v>NEW PAD</v>
      </c>
      <c r="W1778" t="str">
        <f>VLOOKUP(L1778,'[2]tabela de preços'!$A:$F,6,0)</f>
        <v>APLICADORES / ADAPTADORES / ENGATES / SUPORTES</v>
      </c>
      <c r="X1778" t="str">
        <f>VLOOKUP(L1778,'[2]tabela de preços'!$A:$G,7,0)</f>
        <v>AUTOMOTIVO</v>
      </c>
    </row>
    <row r="1779" spans="1:24" x14ac:dyDescent="0.3">
      <c r="A1779" t="s">
        <v>1847</v>
      </c>
      <c r="B1779" t="s">
        <v>1848</v>
      </c>
      <c r="C1779" t="s">
        <v>2406</v>
      </c>
      <c r="D1779" s="1">
        <v>46052</v>
      </c>
      <c r="E1779" t="s">
        <v>2407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357</v>
      </c>
      <c r="K1779" t="s">
        <v>1851</v>
      </c>
      <c r="L1779">
        <v>10213</v>
      </c>
      <c r="M1779" t="s">
        <v>2408</v>
      </c>
      <c r="O1779" t="s">
        <v>11</v>
      </c>
      <c r="P1779">
        <v>5102</v>
      </c>
      <c r="Q1779">
        <v>5</v>
      </c>
      <c r="R1779">
        <v>8.27</v>
      </c>
      <c r="S1779">
        <v>41.35</v>
      </c>
      <c r="T1779">
        <v>29.65</v>
      </c>
      <c r="U1779">
        <v>28.3</v>
      </c>
      <c r="V1779" t="str">
        <f>VLOOKUP(L1779,'[2]tabela de preços'!$A:$D,4,0)</f>
        <v>NORTON</v>
      </c>
      <c r="W1779" t="str">
        <f>VLOOKUP(L1779,'[2]tabela de preços'!$A:$F,6,0)</f>
        <v xml:space="preserve">OUTROS DISCOS </v>
      </c>
      <c r="X1779" t="str">
        <f>VLOOKUP(L1779,'[2]tabela de preços'!$A:$G,7,0)</f>
        <v>AUTOMOTIVO</v>
      </c>
    </row>
    <row r="1780" spans="1:24" x14ac:dyDescent="0.3">
      <c r="A1780" t="s">
        <v>1859</v>
      </c>
      <c r="B1780" t="s">
        <v>1860</v>
      </c>
      <c r="C1780" t="s">
        <v>1861</v>
      </c>
      <c r="D1780" s="1">
        <v>46048</v>
      </c>
      <c r="E1780" t="s">
        <v>1862</v>
      </c>
      <c r="F1780">
        <v>9</v>
      </c>
      <c r="G1780">
        <v>174</v>
      </c>
      <c r="H1780" t="str">
        <f>VLOOKUP(G1780,[1]OPERADORES!$A:$B,2,0)</f>
        <v>MIRIÃ LOBATO RODRIGUES</v>
      </c>
      <c r="I1780" t="s">
        <v>21</v>
      </c>
      <c r="J1780" t="s">
        <v>1188</v>
      </c>
      <c r="K1780" t="s">
        <v>1863</v>
      </c>
      <c r="L1780">
        <v>24248</v>
      </c>
      <c r="M1780" t="s">
        <v>107</v>
      </c>
      <c r="O1780" t="s">
        <v>11</v>
      </c>
      <c r="P1780">
        <v>5102</v>
      </c>
      <c r="Q1780">
        <v>12</v>
      </c>
      <c r="R1780">
        <v>8</v>
      </c>
      <c r="S1780">
        <v>96</v>
      </c>
      <c r="T1780">
        <v>78</v>
      </c>
      <c r="U1780">
        <v>18.75</v>
      </c>
      <c r="V1780" t="str">
        <f>VLOOKUP(L1780,'[2]tabela de preços'!$A:$D,4,0)</f>
        <v>SHERWIN WILLIAMS</v>
      </c>
      <c r="W1780" t="str">
        <f>VLOOKUP(L1780,'[2]tabela de preços'!$A:$F,6,0)</f>
        <v>PRIMER AUTOMOTIVO</v>
      </c>
      <c r="X1780" t="str">
        <f>VLOOKUP(L1780,'[2]tabela de preços'!$A:$G,7,0)</f>
        <v>AUTOMOTIVO</v>
      </c>
    </row>
    <row r="1781" spans="1:24" x14ac:dyDescent="0.3">
      <c r="A1781" t="s">
        <v>1859</v>
      </c>
      <c r="B1781" t="s">
        <v>1860</v>
      </c>
      <c r="C1781" t="s">
        <v>1861</v>
      </c>
      <c r="D1781" s="1">
        <v>46048</v>
      </c>
      <c r="E1781" t="s">
        <v>1862</v>
      </c>
      <c r="F1781">
        <v>9</v>
      </c>
      <c r="G1781">
        <v>174</v>
      </c>
      <c r="H1781" t="str">
        <f>VLOOKUP(G1781,[1]OPERADORES!$A:$B,2,0)</f>
        <v>MIRIÃ LOBATO RODRIGUES</v>
      </c>
      <c r="I1781" t="s">
        <v>21</v>
      </c>
      <c r="J1781" t="s">
        <v>1188</v>
      </c>
      <c r="K1781" t="s">
        <v>1863</v>
      </c>
      <c r="L1781">
        <v>22684</v>
      </c>
      <c r="M1781" t="s">
        <v>73</v>
      </c>
      <c r="O1781" t="s">
        <v>11</v>
      </c>
      <c r="P1781">
        <v>5102</v>
      </c>
      <c r="Q1781">
        <v>80</v>
      </c>
      <c r="R1781">
        <v>3.65</v>
      </c>
      <c r="S1781">
        <v>292</v>
      </c>
      <c r="T1781">
        <v>246.4</v>
      </c>
      <c r="U1781">
        <v>15.62</v>
      </c>
      <c r="V1781" t="str">
        <f>VLOOKUP(L1781,'[2]tabela de preços'!$A:$D,4,0)</f>
        <v>3M</v>
      </c>
      <c r="W1781" t="str">
        <f>VLOOKUP(L1781,'[2]tabela de preços'!$A:$F,6,0)</f>
        <v>FITA AUTOMOTIVA</v>
      </c>
      <c r="X1781" t="str">
        <f>VLOOKUP(L1781,'[2]tabela de preços'!$A:$G,7,0)</f>
        <v>AUTOMOTIVO</v>
      </c>
    </row>
    <row r="1782" spans="1:24" x14ac:dyDescent="0.3">
      <c r="A1782" t="s">
        <v>1859</v>
      </c>
      <c r="B1782" t="s">
        <v>1860</v>
      </c>
      <c r="C1782" t="s">
        <v>1861</v>
      </c>
      <c r="D1782" s="1">
        <v>46048</v>
      </c>
      <c r="E1782" t="s">
        <v>1862</v>
      </c>
      <c r="F1782">
        <v>9</v>
      </c>
      <c r="G1782">
        <v>174</v>
      </c>
      <c r="H1782" t="str">
        <f>VLOOKUP(G1782,[1]OPERADORES!$A:$B,2,0)</f>
        <v>MIRIÃ LOBATO RODRIGUES</v>
      </c>
      <c r="I1782" t="s">
        <v>21</v>
      </c>
      <c r="J1782" t="s">
        <v>1188</v>
      </c>
      <c r="K1782" t="s">
        <v>1863</v>
      </c>
      <c r="L1782">
        <v>86995</v>
      </c>
      <c r="M1782" t="s">
        <v>37</v>
      </c>
      <c r="O1782" t="s">
        <v>11</v>
      </c>
      <c r="P1782">
        <v>5102</v>
      </c>
      <c r="Q1782">
        <v>10</v>
      </c>
      <c r="R1782">
        <v>7.29</v>
      </c>
      <c r="S1782">
        <v>72.900000000000006</v>
      </c>
      <c r="T1782">
        <v>58.3</v>
      </c>
      <c r="U1782">
        <v>20.03</v>
      </c>
      <c r="V1782" t="str">
        <f>VLOOKUP(L1782,'[2]tabela de preços'!$A:$D,4,0)</f>
        <v>AUTOAMERICA</v>
      </c>
      <c r="W1782" t="str">
        <f>VLOOKUP(L1782,'[2]tabela de preços'!$A:$F,6,0)</f>
        <v>FLANELAS / PANOS</v>
      </c>
      <c r="X1782" t="str">
        <f>VLOOKUP(L1782,'[2]tabela de preços'!$A:$G,7,0)</f>
        <v>AUTOMOTIVO</v>
      </c>
    </row>
    <row r="1783" spans="1:24" x14ac:dyDescent="0.3">
      <c r="A1783" t="s">
        <v>1859</v>
      </c>
      <c r="B1783" t="s">
        <v>1860</v>
      </c>
      <c r="C1783" t="s">
        <v>1861</v>
      </c>
      <c r="D1783" s="1">
        <v>46048</v>
      </c>
      <c r="E1783" t="s">
        <v>1862</v>
      </c>
      <c r="F1783">
        <v>9</v>
      </c>
      <c r="G1783">
        <v>174</v>
      </c>
      <c r="H1783" t="str">
        <f>VLOOKUP(G1783,[1]OPERADORES!$A:$B,2,0)</f>
        <v>MIRIÃ LOBATO RODRIGUES</v>
      </c>
      <c r="I1783" t="s">
        <v>21</v>
      </c>
      <c r="J1783" t="s">
        <v>1188</v>
      </c>
      <c r="K1783" t="s">
        <v>1863</v>
      </c>
      <c r="L1783">
        <v>23364</v>
      </c>
      <c r="M1783" t="s">
        <v>55</v>
      </c>
      <c r="O1783" t="s">
        <v>11</v>
      </c>
      <c r="P1783">
        <v>5102</v>
      </c>
      <c r="Q1783">
        <v>10</v>
      </c>
      <c r="R1783">
        <v>6.19</v>
      </c>
      <c r="S1783">
        <v>61.9</v>
      </c>
      <c r="T1783">
        <v>49.1</v>
      </c>
      <c r="U1783">
        <v>20.68</v>
      </c>
      <c r="V1783" t="str">
        <f>VLOOKUP(L1783,'[2]tabela de preços'!$A:$D,4,0)</f>
        <v>AUTO AMERICA</v>
      </c>
      <c r="W1783" t="str">
        <f>VLOOKUP(L1783,'[2]tabela de preços'!$A:$F,6,0)</f>
        <v>FLANELAS / PANOS</v>
      </c>
      <c r="X1783" t="str">
        <f>VLOOKUP(L1783,'[2]tabela de preços'!$A:$G,7,0)</f>
        <v>AUTOMOTIVO</v>
      </c>
    </row>
    <row r="1784" spans="1:24" x14ac:dyDescent="0.3">
      <c r="A1784" t="s">
        <v>1859</v>
      </c>
      <c r="B1784" t="s">
        <v>1860</v>
      </c>
      <c r="C1784" t="s">
        <v>1861</v>
      </c>
      <c r="D1784" s="1">
        <v>46048</v>
      </c>
      <c r="E1784" t="s">
        <v>1862</v>
      </c>
      <c r="F1784">
        <v>9</v>
      </c>
      <c r="G1784">
        <v>174</v>
      </c>
      <c r="H1784" t="str">
        <f>VLOOKUP(G1784,[1]OPERADORES!$A:$B,2,0)</f>
        <v>MIRIÃ LOBATO RODRIGUES</v>
      </c>
      <c r="I1784" t="s">
        <v>21</v>
      </c>
      <c r="J1784" t="s">
        <v>1188</v>
      </c>
      <c r="K1784" t="s">
        <v>1863</v>
      </c>
      <c r="L1784">
        <v>23602</v>
      </c>
      <c r="M1784" t="s">
        <v>215</v>
      </c>
      <c r="O1784" t="s">
        <v>11</v>
      </c>
      <c r="P1784">
        <v>5403</v>
      </c>
      <c r="Q1784">
        <v>9</v>
      </c>
      <c r="R1784">
        <v>35.89</v>
      </c>
      <c r="S1784">
        <v>323.01</v>
      </c>
      <c r="T1784">
        <v>263.25</v>
      </c>
      <c r="U1784">
        <v>18.5</v>
      </c>
      <c r="V1784" t="str">
        <f>VLOOKUP(L1784,'[2]tabela de preços'!$A:$D,4,0)</f>
        <v>SHERWIN WILLIAMS</v>
      </c>
      <c r="W1784" t="str">
        <f>VLOOKUP(L1784,'[2]tabela de preços'!$A:$F,6,0)</f>
        <v>VERNIZ AUTOMOTIVO</v>
      </c>
      <c r="X1784" t="str">
        <f>VLOOKUP(L1784,'[2]tabela de preços'!$A:$G,7,0)</f>
        <v>AUTOMOTIVO</v>
      </c>
    </row>
    <row r="1785" spans="1:24" x14ac:dyDescent="0.3">
      <c r="A1785" t="s">
        <v>1859</v>
      </c>
      <c r="B1785" t="s">
        <v>1860</v>
      </c>
      <c r="C1785" t="s">
        <v>1861</v>
      </c>
      <c r="D1785" s="1">
        <v>46048</v>
      </c>
      <c r="E1785" t="s">
        <v>1862</v>
      </c>
      <c r="F1785">
        <v>9</v>
      </c>
      <c r="G1785">
        <v>174</v>
      </c>
      <c r="H1785" t="str">
        <f>VLOOKUP(G1785,[1]OPERADORES!$A:$B,2,0)</f>
        <v>MIRIÃ LOBATO RODRIGUES</v>
      </c>
      <c r="I1785" t="s">
        <v>21</v>
      </c>
      <c r="J1785" t="s">
        <v>1188</v>
      </c>
      <c r="K1785" t="s">
        <v>1863</v>
      </c>
      <c r="L1785">
        <v>20431</v>
      </c>
      <c r="M1785" t="s">
        <v>202</v>
      </c>
      <c r="O1785" t="s">
        <v>11</v>
      </c>
      <c r="P1785">
        <v>5403</v>
      </c>
      <c r="Q1785">
        <v>9</v>
      </c>
      <c r="R1785">
        <v>36.89</v>
      </c>
      <c r="S1785">
        <v>332.01</v>
      </c>
      <c r="T1785">
        <v>272.33999999999997</v>
      </c>
      <c r="U1785">
        <v>17.97</v>
      </c>
      <c r="V1785" t="str">
        <f>VLOOKUP(L1785,'[2]tabela de preços'!$A:$D,4,0)</f>
        <v>SHERWIN WILLIAMS</v>
      </c>
      <c r="W1785" t="str">
        <f>VLOOKUP(L1785,'[2]tabela de preços'!$A:$F,6,0)</f>
        <v>VERNIZ AUTOMOTIVO</v>
      </c>
      <c r="X1785" t="str">
        <f>VLOOKUP(L1785,'[2]tabela de preços'!$A:$G,7,0)</f>
        <v>AUTOMOTIVO</v>
      </c>
    </row>
    <row r="1786" spans="1:24" x14ac:dyDescent="0.3">
      <c r="A1786" t="s">
        <v>1859</v>
      </c>
      <c r="B1786" t="s">
        <v>1860</v>
      </c>
      <c r="C1786" t="s">
        <v>1861</v>
      </c>
      <c r="D1786" s="1">
        <v>46048</v>
      </c>
      <c r="E1786" t="s">
        <v>1862</v>
      </c>
      <c r="F1786">
        <v>9</v>
      </c>
      <c r="G1786">
        <v>174</v>
      </c>
      <c r="H1786" t="str">
        <f>VLOOKUP(G1786,[1]OPERADORES!$A:$B,2,0)</f>
        <v>MIRIÃ LOBATO RODRIGUES</v>
      </c>
      <c r="I1786" t="s">
        <v>21</v>
      </c>
      <c r="J1786" t="s">
        <v>1188</v>
      </c>
      <c r="K1786" t="s">
        <v>1863</v>
      </c>
      <c r="L1786">
        <v>10238</v>
      </c>
      <c r="M1786" t="s">
        <v>79</v>
      </c>
      <c r="O1786" t="s">
        <v>11</v>
      </c>
      <c r="P1786">
        <v>5102</v>
      </c>
      <c r="Q1786">
        <v>50</v>
      </c>
      <c r="R1786">
        <v>2.79</v>
      </c>
      <c r="S1786">
        <v>139.5</v>
      </c>
      <c r="T1786">
        <v>112</v>
      </c>
      <c r="U1786">
        <v>19.71</v>
      </c>
      <c r="V1786" t="str">
        <f>VLOOKUP(L1786,'[2]tabela de preços'!$A:$D,4,0)</f>
        <v>NORTON</v>
      </c>
      <c r="W1786" t="str">
        <f>VLOOKUP(L1786,'[2]tabela de preços'!$A:$F,6,0)</f>
        <v xml:space="preserve">DISCOS / LIXAS / ABRASIVOS </v>
      </c>
      <c r="X1786" t="str">
        <f>VLOOKUP(L1786,'[2]tabela de preços'!$A:$G,7,0)</f>
        <v>AUTOMOTIVO</v>
      </c>
    </row>
    <row r="1787" spans="1:24" x14ac:dyDescent="0.3">
      <c r="A1787" t="s">
        <v>1859</v>
      </c>
      <c r="B1787" t="s">
        <v>1860</v>
      </c>
      <c r="C1787" t="s">
        <v>1861</v>
      </c>
      <c r="D1787" s="1">
        <v>46048</v>
      </c>
      <c r="E1787" t="s">
        <v>1862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1188</v>
      </c>
      <c r="K1787" t="s">
        <v>1863</v>
      </c>
      <c r="L1787">
        <v>10243</v>
      </c>
      <c r="M1787" t="s">
        <v>83</v>
      </c>
      <c r="O1787" t="s">
        <v>11</v>
      </c>
      <c r="P1787">
        <v>5102</v>
      </c>
      <c r="Q1787">
        <v>50</v>
      </c>
      <c r="R1787">
        <v>2.79</v>
      </c>
      <c r="S1787">
        <v>139.5</v>
      </c>
      <c r="T1787">
        <v>96.5</v>
      </c>
      <c r="U1787">
        <v>30.82</v>
      </c>
      <c r="V1787" t="str">
        <f>VLOOKUP(L1787,'[2]tabela de preços'!$A:$D,4,0)</f>
        <v>NORTON</v>
      </c>
      <c r="W1787" t="str">
        <f>VLOOKUP(L1787,'[2]tabela de preços'!$A:$F,6,0)</f>
        <v xml:space="preserve">DISCOS / LIXAS / ABRASIVOS </v>
      </c>
      <c r="X1787" t="str">
        <f>VLOOKUP(L1787,'[2]tabela de preços'!$A:$G,7,0)</f>
        <v>AUTOMOTIVO</v>
      </c>
    </row>
    <row r="1788" spans="1:24" x14ac:dyDescent="0.3">
      <c r="A1788" t="s">
        <v>1859</v>
      </c>
      <c r="B1788" t="s">
        <v>1860</v>
      </c>
      <c r="C1788" t="s">
        <v>1861</v>
      </c>
      <c r="D1788" s="1">
        <v>46048</v>
      </c>
      <c r="E1788" t="s">
        <v>1862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1188</v>
      </c>
      <c r="K1788" t="s">
        <v>1863</v>
      </c>
      <c r="L1788">
        <v>10244</v>
      </c>
      <c r="M1788" t="s">
        <v>84</v>
      </c>
      <c r="O1788" t="s">
        <v>11</v>
      </c>
      <c r="P1788">
        <v>5102</v>
      </c>
      <c r="Q1788">
        <v>50</v>
      </c>
      <c r="R1788">
        <v>2.79</v>
      </c>
      <c r="S1788">
        <v>139.5</v>
      </c>
      <c r="T1788">
        <v>96.5</v>
      </c>
      <c r="U1788">
        <v>30.82</v>
      </c>
      <c r="V1788" t="str">
        <f>VLOOKUP(L1788,'[2]tabela de preços'!$A:$D,4,0)</f>
        <v>NORTON</v>
      </c>
      <c r="W1788" t="str">
        <f>VLOOKUP(L1788,'[2]tabela de preços'!$A:$F,6,0)</f>
        <v xml:space="preserve">DISCOS / LIXAS / ABRASIVOS </v>
      </c>
      <c r="X1788" t="str">
        <f>VLOOKUP(L1788,'[2]tabela de preços'!$A:$G,7,0)</f>
        <v>AUTOMOTIVO</v>
      </c>
    </row>
    <row r="1789" spans="1:24" x14ac:dyDescent="0.3">
      <c r="A1789" t="s">
        <v>1859</v>
      </c>
      <c r="B1789" t="s">
        <v>1860</v>
      </c>
      <c r="C1789" t="s">
        <v>1861</v>
      </c>
      <c r="D1789" s="1">
        <v>46048</v>
      </c>
      <c r="E1789" t="s">
        <v>1862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1188</v>
      </c>
      <c r="K1789" t="s">
        <v>1863</v>
      </c>
      <c r="L1789">
        <v>10246</v>
      </c>
      <c r="M1789" t="s">
        <v>206</v>
      </c>
      <c r="O1789" t="s">
        <v>11</v>
      </c>
      <c r="P1789">
        <v>5102</v>
      </c>
      <c r="Q1789">
        <v>50</v>
      </c>
      <c r="R1789">
        <v>2.79</v>
      </c>
      <c r="S1789">
        <v>139.5</v>
      </c>
      <c r="T1789">
        <v>96.5</v>
      </c>
      <c r="U1789">
        <v>30.82</v>
      </c>
      <c r="V1789" t="str">
        <f>VLOOKUP(L1789,'[2]tabela de preços'!$A:$D,4,0)</f>
        <v>NORTON</v>
      </c>
      <c r="W1789" t="str">
        <f>VLOOKUP(L1789,'[2]tabela de preços'!$A:$F,6,0)</f>
        <v xml:space="preserve">DISCOS / LIXAS / ABRASIVOS </v>
      </c>
      <c r="X1789" t="str">
        <f>VLOOKUP(L1789,'[2]tabela de preços'!$A:$G,7,0)</f>
        <v>AUTOMOTIVO</v>
      </c>
    </row>
    <row r="1790" spans="1:24" x14ac:dyDescent="0.3">
      <c r="A1790" t="s">
        <v>1859</v>
      </c>
      <c r="B1790" t="s">
        <v>1860</v>
      </c>
      <c r="C1790" t="s">
        <v>1861</v>
      </c>
      <c r="D1790" s="1">
        <v>46048</v>
      </c>
      <c r="E1790" t="s">
        <v>1862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1188</v>
      </c>
      <c r="K1790" t="s">
        <v>1863</v>
      </c>
      <c r="L1790">
        <v>20817</v>
      </c>
      <c r="M1790" t="s">
        <v>153</v>
      </c>
      <c r="O1790" t="s">
        <v>11</v>
      </c>
      <c r="P1790">
        <v>5102</v>
      </c>
      <c r="Q1790">
        <v>6</v>
      </c>
      <c r="R1790">
        <v>22.89</v>
      </c>
      <c r="S1790">
        <v>137.34</v>
      </c>
      <c r="T1790">
        <v>111.72</v>
      </c>
      <c r="U1790">
        <v>18.649999999999999</v>
      </c>
      <c r="V1790" t="str">
        <f>VLOOKUP(L1790,'[2]tabela de preços'!$A:$D,4,0)</f>
        <v>AUTO AMERICA</v>
      </c>
      <c r="W1790" t="str">
        <f>VLOOKUP(L1790,'[2]tabela de preços'!$A:$F,6,0)</f>
        <v>MASSA DE POLIR</v>
      </c>
      <c r="X1790" t="str">
        <f>VLOOKUP(L1790,'[2]tabela de preços'!$A:$G,7,0)</f>
        <v>AUTOMOTIVO</v>
      </c>
    </row>
    <row r="1791" spans="1:24" x14ac:dyDescent="0.3">
      <c r="A1791" t="s">
        <v>1859</v>
      </c>
      <c r="B1791" t="s">
        <v>1860</v>
      </c>
      <c r="C1791" t="s">
        <v>1861</v>
      </c>
      <c r="D1791" s="1">
        <v>46048</v>
      </c>
      <c r="E1791" t="s">
        <v>1862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1188</v>
      </c>
      <c r="K1791" t="s">
        <v>1863</v>
      </c>
      <c r="L1791">
        <v>87043</v>
      </c>
      <c r="M1791" t="s">
        <v>217</v>
      </c>
      <c r="O1791" t="s">
        <v>11</v>
      </c>
      <c r="P1791">
        <v>5102</v>
      </c>
      <c r="Q1791">
        <v>16</v>
      </c>
      <c r="R1791">
        <v>21.95</v>
      </c>
      <c r="S1791">
        <v>351.2</v>
      </c>
      <c r="T1791">
        <v>288.32</v>
      </c>
      <c r="U1791">
        <v>17.899999999999999</v>
      </c>
      <c r="V1791" t="str">
        <f>VLOOKUP(L1791,'[2]tabela de preços'!$A:$D,4,0)</f>
        <v>ROBERLO</v>
      </c>
      <c r="W1791" t="str">
        <f>VLOOKUP(L1791,'[2]tabela de preços'!$A:$F,6,0)</f>
        <v>MASSA POLIÉSTER</v>
      </c>
      <c r="X1791" t="str">
        <f>VLOOKUP(L1791,'[2]tabela de preços'!$A:$G,7,0)</f>
        <v>AUTOMOTIVO</v>
      </c>
    </row>
    <row r="1792" spans="1:24" x14ac:dyDescent="0.3">
      <c r="A1792" t="s">
        <v>1859</v>
      </c>
      <c r="B1792" t="s">
        <v>1860</v>
      </c>
      <c r="C1792" t="s">
        <v>1861</v>
      </c>
      <c r="D1792" s="1">
        <v>46048</v>
      </c>
      <c r="E1792" t="s">
        <v>1862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1188</v>
      </c>
      <c r="K1792" t="s">
        <v>1863</v>
      </c>
      <c r="L1792">
        <v>24247</v>
      </c>
      <c r="M1792" t="s">
        <v>160</v>
      </c>
      <c r="O1792" t="s">
        <v>11</v>
      </c>
      <c r="P1792">
        <v>5403</v>
      </c>
      <c r="Q1792">
        <v>12</v>
      </c>
      <c r="R1792">
        <v>21</v>
      </c>
      <c r="S1792">
        <v>252</v>
      </c>
      <c r="T1792">
        <v>202.44</v>
      </c>
      <c r="U1792">
        <v>19.670000000000002</v>
      </c>
      <c r="V1792" t="str">
        <f>VLOOKUP(L1792,'[2]tabela de preços'!$A:$D,4,0)</f>
        <v>SHERWIN WILLIAMS</v>
      </c>
      <c r="W1792" t="str">
        <f>VLOOKUP(L1792,'[2]tabela de preços'!$A:$F,6,0)</f>
        <v>PRIMER AUTOMOTIVO</v>
      </c>
      <c r="X1792" t="str">
        <f>VLOOKUP(L1792,'[2]tabela de preços'!$A:$G,7,0)</f>
        <v>AUTOMOTIVO</v>
      </c>
    </row>
    <row r="1793" spans="1:24" x14ac:dyDescent="0.3">
      <c r="A1793" t="s">
        <v>1859</v>
      </c>
      <c r="B1793" t="s">
        <v>1860</v>
      </c>
      <c r="C1793" t="s">
        <v>1861</v>
      </c>
      <c r="D1793" s="1">
        <v>46048</v>
      </c>
      <c r="E1793" t="s">
        <v>1862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1188</v>
      </c>
      <c r="K1793" t="s">
        <v>1863</v>
      </c>
      <c r="L1793">
        <v>10297</v>
      </c>
      <c r="M1793" t="s">
        <v>41</v>
      </c>
      <c r="O1793" t="s">
        <v>11</v>
      </c>
      <c r="P1793">
        <v>5102</v>
      </c>
      <c r="Q1793">
        <v>12</v>
      </c>
      <c r="R1793">
        <v>10.89</v>
      </c>
      <c r="S1793">
        <v>130.68</v>
      </c>
      <c r="T1793">
        <v>110.04</v>
      </c>
      <c r="U1793">
        <v>15.79</v>
      </c>
      <c r="V1793" t="str">
        <f>VLOOKUP(L1793,'[2]tabela de preços'!$A:$D,4,0)</f>
        <v>ANJO</v>
      </c>
      <c r="W1793" t="str">
        <f>VLOOKUP(L1793,'[2]tabela de preços'!$A:$F,6,0)</f>
        <v>THINNER DE LIMPEZA</v>
      </c>
      <c r="X1793" t="str">
        <f>VLOOKUP(L1793,'[2]tabela de preços'!$A:$G,7,0)</f>
        <v>THINNER</v>
      </c>
    </row>
    <row r="1794" spans="1:24" x14ac:dyDescent="0.3">
      <c r="A1794" t="s">
        <v>1859</v>
      </c>
      <c r="B1794" t="s">
        <v>1860</v>
      </c>
      <c r="C1794" t="s">
        <v>1861</v>
      </c>
      <c r="D1794" s="1">
        <v>46048</v>
      </c>
      <c r="E1794" t="s">
        <v>1862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1188</v>
      </c>
      <c r="K1794" t="s">
        <v>1863</v>
      </c>
      <c r="L1794">
        <v>84497</v>
      </c>
      <c r="M1794" t="s">
        <v>1159</v>
      </c>
      <c r="O1794" t="s">
        <v>11</v>
      </c>
      <c r="P1794">
        <v>5102</v>
      </c>
      <c r="Q1794">
        <v>12</v>
      </c>
      <c r="R1794">
        <v>9.99</v>
      </c>
      <c r="S1794">
        <v>119.88</v>
      </c>
      <c r="T1794">
        <v>97.68</v>
      </c>
      <c r="U1794">
        <v>18.52</v>
      </c>
      <c r="V1794" t="str">
        <f>VLOOKUP(L1794,'[2]tabela de preços'!$A:$D,4,0)</f>
        <v>BRASILUX</v>
      </c>
      <c r="W1794" t="str">
        <f>VLOOKUP(L1794,'[2]tabela de preços'!$A:$F,6,0)</f>
        <v>THINNER DE LIMPEZA</v>
      </c>
      <c r="X1794" t="str">
        <f>VLOOKUP(L1794,'[2]tabela de preços'!$A:$G,7,0)</f>
        <v>THINNER</v>
      </c>
    </row>
    <row r="1795" spans="1:24" x14ac:dyDescent="0.3">
      <c r="A1795" t="s">
        <v>1859</v>
      </c>
      <c r="B1795" t="s">
        <v>1860</v>
      </c>
      <c r="C1795" t="s">
        <v>1861</v>
      </c>
      <c r="D1795" s="1">
        <v>46048</v>
      </c>
      <c r="E1795" t="s">
        <v>1862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1188</v>
      </c>
      <c r="K1795" t="s">
        <v>1863</v>
      </c>
      <c r="L1795">
        <v>84825</v>
      </c>
      <c r="M1795" t="s">
        <v>1864</v>
      </c>
      <c r="O1795" t="s">
        <v>11</v>
      </c>
      <c r="P1795">
        <v>5102</v>
      </c>
      <c r="Q1795">
        <v>4</v>
      </c>
      <c r="R1795">
        <v>198.75</v>
      </c>
      <c r="S1795">
        <v>795</v>
      </c>
      <c r="T1795">
        <v>603.4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>DILUENTE</v>
      </c>
      <c r="X1795" t="str">
        <f>VLOOKUP(L1795,'[2]tabela de preços'!$A:$G,7,0)</f>
        <v>AUTOMOTIVO</v>
      </c>
    </row>
    <row r="1796" spans="1:24" x14ac:dyDescent="0.3">
      <c r="A1796" t="s">
        <v>1859</v>
      </c>
      <c r="B1796" t="s">
        <v>1860</v>
      </c>
      <c r="C1796" t="s">
        <v>1861</v>
      </c>
      <c r="D1796" s="1">
        <v>46048</v>
      </c>
      <c r="E1796" t="s">
        <v>1862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1188</v>
      </c>
      <c r="K1796" t="s">
        <v>1863</v>
      </c>
      <c r="L1796">
        <v>21321</v>
      </c>
      <c r="M1796" t="s">
        <v>272</v>
      </c>
      <c r="O1796" t="s">
        <v>11</v>
      </c>
      <c r="P1796">
        <v>5102</v>
      </c>
      <c r="Q1796">
        <v>3</v>
      </c>
      <c r="R1796">
        <v>20.239999999999998</v>
      </c>
      <c r="S1796">
        <v>60.72</v>
      </c>
      <c r="T1796">
        <v>46.08</v>
      </c>
      <c r="U1796">
        <v>24.11</v>
      </c>
      <c r="V1796" t="str">
        <f>VLOOKUP(L1796,'[2]tabela de preços'!$A:$D,4,0)</f>
        <v>AUTO AMERICA</v>
      </c>
      <c r="W1796" t="str">
        <f>VLOOKUP(L1796,'[2]tabela de preços'!$A:$F,6,0)</f>
        <v>CERA  / LIMPEZA /  POLIMENTO VEICULAR</v>
      </c>
      <c r="X1796" t="str">
        <f>VLOOKUP(L1796,'[2]tabela de preços'!$A:$G,7,0)</f>
        <v>AUTOMOTIVO</v>
      </c>
    </row>
    <row r="1797" spans="1:24" x14ac:dyDescent="0.3">
      <c r="A1797" t="s">
        <v>1859</v>
      </c>
      <c r="B1797" t="s">
        <v>1860</v>
      </c>
      <c r="C1797" t="s">
        <v>1861</v>
      </c>
      <c r="D1797" s="1">
        <v>46048</v>
      </c>
      <c r="E1797" t="s">
        <v>1862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1188</v>
      </c>
      <c r="K1797" t="s">
        <v>1863</v>
      </c>
      <c r="L1797">
        <v>10404</v>
      </c>
      <c r="M1797" t="s">
        <v>130</v>
      </c>
      <c r="O1797" t="s">
        <v>11</v>
      </c>
      <c r="P1797">
        <v>5102</v>
      </c>
      <c r="Q1797">
        <v>24</v>
      </c>
      <c r="R1797">
        <v>16.29</v>
      </c>
      <c r="S1797">
        <v>390.96</v>
      </c>
      <c r="T1797">
        <v>300.24</v>
      </c>
      <c r="U1797">
        <v>23.2</v>
      </c>
      <c r="V1797" t="str">
        <f>VLOOKUP(L1797,'[2]tabela de preços'!$A:$D,4,0)</f>
        <v>MAXI RUBBER</v>
      </c>
      <c r="W1797" t="str">
        <f>VLOOKUP(L1797,'[2]tabela de preços'!$A:$F,6,0)</f>
        <v>VEDADORES / SELANTES</v>
      </c>
      <c r="X1797" t="str">
        <f>VLOOKUP(L1797,'[2]tabela de preços'!$A:$G,7,0)</f>
        <v>AUTOMOTIVO</v>
      </c>
    </row>
    <row r="1798" spans="1:24" x14ac:dyDescent="0.3">
      <c r="A1798" t="s">
        <v>1865</v>
      </c>
      <c r="C1798" t="s">
        <v>1866</v>
      </c>
      <c r="D1798" s="1">
        <v>46045</v>
      </c>
      <c r="E1798" t="s">
        <v>1867</v>
      </c>
      <c r="F1798">
        <v>9</v>
      </c>
      <c r="G1798">
        <v>231</v>
      </c>
      <c r="H1798" t="str">
        <f>VLOOKUP(G1798,[1]OPERADORES!$A:$B,2,0)</f>
        <v>EDIJANE</v>
      </c>
      <c r="I1798" t="s">
        <v>21</v>
      </c>
      <c r="J1798" t="s">
        <v>1868</v>
      </c>
      <c r="K1798" t="s">
        <v>1869</v>
      </c>
      <c r="L1798">
        <v>20099</v>
      </c>
      <c r="M1798" t="s">
        <v>1308</v>
      </c>
      <c r="O1798" t="s">
        <v>11</v>
      </c>
      <c r="P1798">
        <v>5403</v>
      </c>
      <c r="Q1798">
        <v>1</v>
      </c>
      <c r="R1798">
        <v>15.9</v>
      </c>
      <c r="S1798">
        <v>15.9</v>
      </c>
      <c r="T1798">
        <v>12.07</v>
      </c>
      <c r="U1798">
        <v>24.09</v>
      </c>
      <c r="V1798" t="str">
        <f>VLOOKUP(L1798,'[2]tabela de preços'!$A:$D,4,0)</f>
        <v>MAXI RUBBER</v>
      </c>
      <c r="W1798" t="str">
        <f>VLOOKUP(L1798,'[2]tabela de preços'!$A:$F,6,0)</f>
        <v>BATIDA DE PEDRA</v>
      </c>
      <c r="X1798" t="str">
        <f>VLOOKUP(L1798,'[2]tabela de preços'!$A:$G,7,0)</f>
        <v>AUTOMOTIVO</v>
      </c>
    </row>
    <row r="1799" spans="1:24" x14ac:dyDescent="0.3">
      <c r="A1799" t="s">
        <v>1865</v>
      </c>
      <c r="C1799" t="s">
        <v>1866</v>
      </c>
      <c r="D1799" s="1">
        <v>46045</v>
      </c>
      <c r="E1799" t="s">
        <v>1867</v>
      </c>
      <c r="F1799">
        <v>9</v>
      </c>
      <c r="G1799">
        <v>231</v>
      </c>
      <c r="H1799" t="str">
        <f>VLOOKUP(G1799,[1]OPERADORES!$A:$B,2,0)</f>
        <v>EDIJANE</v>
      </c>
      <c r="I1799" t="s">
        <v>21</v>
      </c>
      <c r="J1799" t="s">
        <v>1868</v>
      </c>
      <c r="K1799" t="s">
        <v>1869</v>
      </c>
      <c r="L1799">
        <v>84958</v>
      </c>
      <c r="M1799" t="s">
        <v>1870</v>
      </c>
      <c r="O1799" t="s">
        <v>11</v>
      </c>
      <c r="P1799">
        <v>5403</v>
      </c>
      <c r="Q1799">
        <v>1</v>
      </c>
      <c r="R1799">
        <v>18.510000000000002</v>
      </c>
      <c r="S1799">
        <v>18.510000000000002</v>
      </c>
      <c r="T1799">
        <v>14.05</v>
      </c>
      <c r="U1799">
        <v>24.1</v>
      </c>
      <c r="V1799" t="str">
        <f>VLOOKUP(L1799,'[2]tabela de preços'!$A:$D,4,0)</f>
        <v>BRASILUX</v>
      </c>
      <c r="W1799" t="str">
        <f>VLOOKUP(L1799,'[2]tabela de preços'!$A:$F,6,0)</f>
        <v>BATIDA DE PEDRA</v>
      </c>
      <c r="X1799" t="str">
        <f>VLOOKUP(L1799,'[2]tabela de preços'!$A:$G,7,0)</f>
        <v>AUTOMOTIVO</v>
      </c>
    </row>
    <row r="1800" spans="1:24" x14ac:dyDescent="0.3">
      <c r="A1800" t="s">
        <v>1865</v>
      </c>
      <c r="C1800" t="s">
        <v>1866</v>
      </c>
      <c r="D1800" s="1">
        <v>46045</v>
      </c>
      <c r="E1800" t="s">
        <v>1867</v>
      </c>
      <c r="F1800">
        <v>9</v>
      </c>
      <c r="G1800">
        <v>231</v>
      </c>
      <c r="H1800" t="str">
        <f>VLOOKUP(G1800,[1]OPERADORES!$A:$B,2,0)</f>
        <v>EDIJANE</v>
      </c>
      <c r="I1800" t="s">
        <v>21</v>
      </c>
      <c r="J1800" t="s">
        <v>1868</v>
      </c>
      <c r="K1800" t="s">
        <v>1869</v>
      </c>
      <c r="L1800">
        <v>85269</v>
      </c>
      <c r="M1800" t="s">
        <v>1549</v>
      </c>
      <c r="O1800" t="s">
        <v>11</v>
      </c>
      <c r="P1800">
        <v>5403</v>
      </c>
      <c r="Q1800">
        <v>1</v>
      </c>
      <c r="R1800">
        <v>27.11</v>
      </c>
      <c r="S1800">
        <v>27.11</v>
      </c>
      <c r="T1800">
        <v>20.57</v>
      </c>
      <c r="U1800">
        <v>24.12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1865</v>
      </c>
      <c r="C1801" t="s">
        <v>1866</v>
      </c>
      <c r="D1801" s="1">
        <v>46045</v>
      </c>
      <c r="E1801" t="s">
        <v>1867</v>
      </c>
      <c r="F1801">
        <v>9</v>
      </c>
      <c r="G1801">
        <v>231</v>
      </c>
      <c r="H1801" t="str">
        <f>VLOOKUP(G1801,[1]OPERADORES!$A:$B,2,0)</f>
        <v>EDIJANE</v>
      </c>
      <c r="I1801" t="s">
        <v>21</v>
      </c>
      <c r="J1801" t="s">
        <v>1868</v>
      </c>
      <c r="K1801" t="s">
        <v>1869</v>
      </c>
      <c r="L1801">
        <v>84542</v>
      </c>
      <c r="M1801" t="s">
        <v>1735</v>
      </c>
      <c r="O1801" t="s">
        <v>11</v>
      </c>
      <c r="P1801">
        <v>5102</v>
      </c>
      <c r="Q1801">
        <v>4</v>
      </c>
      <c r="R1801">
        <v>11.55</v>
      </c>
      <c r="S1801">
        <v>46.2</v>
      </c>
      <c r="T1801">
        <v>35.08</v>
      </c>
      <c r="U1801">
        <v>24.07</v>
      </c>
      <c r="V1801" t="str">
        <f>VLOOKUP(L1801,'[2]tabela de preços'!$A:$D,4,0)</f>
        <v>MAXI RUBBER</v>
      </c>
      <c r="W1801" t="str">
        <f>VLOOKUP(L1801,'[2]tabela de preços'!$A:$F,6,0)</f>
        <v>LAMINAÇÃO / PROTEÇÃO</v>
      </c>
      <c r="X1801" t="str">
        <f>VLOOKUP(L1801,'[2]tabela de preços'!$A:$G,7,0)</f>
        <v>AUTOMOTIVO</v>
      </c>
    </row>
    <row r="1802" spans="1:24" x14ac:dyDescent="0.3">
      <c r="A1802" t="s">
        <v>1865</v>
      </c>
      <c r="C1802" t="s">
        <v>1866</v>
      </c>
      <c r="D1802" s="1">
        <v>46045</v>
      </c>
      <c r="E1802" t="s">
        <v>1867</v>
      </c>
      <c r="F1802">
        <v>9</v>
      </c>
      <c r="G1802">
        <v>231</v>
      </c>
      <c r="H1802" t="str">
        <f>VLOOKUP(G1802,[1]OPERADORES!$A:$B,2,0)</f>
        <v>EDIJANE</v>
      </c>
      <c r="I1802" t="s">
        <v>21</v>
      </c>
      <c r="J1802" t="s">
        <v>1868</v>
      </c>
      <c r="K1802" t="s">
        <v>1869</v>
      </c>
      <c r="L1802">
        <v>84044</v>
      </c>
      <c r="M1802" t="s">
        <v>174</v>
      </c>
      <c r="O1802" t="s">
        <v>11</v>
      </c>
      <c r="P1802">
        <v>5102</v>
      </c>
      <c r="Q1802">
        <v>2</v>
      </c>
      <c r="R1802">
        <v>12.31</v>
      </c>
      <c r="S1802">
        <v>24.62</v>
      </c>
      <c r="T1802">
        <v>18.68</v>
      </c>
      <c r="U1802">
        <v>24.13</v>
      </c>
      <c r="V1802" t="str">
        <f>VLOOKUP(L1802,'[2]tabela de preços'!$A:$D,4,0)</f>
        <v>BRASILUX</v>
      </c>
      <c r="W1802" t="str">
        <f>VLOOKUP(L1802,'[2]tabela de preços'!$A:$F,6,0)</f>
        <v>REMOVEDOR PASTOSO</v>
      </c>
      <c r="X1802" t="str">
        <f>VLOOKUP(L1802,'[2]tabela de preços'!$A:$G,7,0)</f>
        <v>AUTOMOTIVO</v>
      </c>
    </row>
    <row r="1803" spans="1:24" x14ac:dyDescent="0.3">
      <c r="A1803" t="s">
        <v>1865</v>
      </c>
      <c r="C1803" t="s">
        <v>1866</v>
      </c>
      <c r="D1803" s="1">
        <v>46045</v>
      </c>
      <c r="E1803" t="s">
        <v>1867</v>
      </c>
      <c r="F1803">
        <v>9</v>
      </c>
      <c r="G1803">
        <v>231</v>
      </c>
      <c r="H1803" t="str">
        <f>VLOOKUP(G1803,[1]OPERADORES!$A:$B,2,0)</f>
        <v>EDIJANE</v>
      </c>
      <c r="I1803" t="s">
        <v>21</v>
      </c>
      <c r="J1803" t="s">
        <v>1868</v>
      </c>
      <c r="K1803" t="s">
        <v>1869</v>
      </c>
      <c r="L1803">
        <v>10297</v>
      </c>
      <c r="M1803" t="s">
        <v>41</v>
      </c>
      <c r="O1803" t="s">
        <v>11</v>
      </c>
      <c r="P1803">
        <v>5102</v>
      </c>
      <c r="Q1803">
        <v>36</v>
      </c>
      <c r="R1803">
        <v>10.89</v>
      </c>
      <c r="S1803">
        <v>392.04</v>
      </c>
      <c r="T1803">
        <v>330.12</v>
      </c>
      <c r="U1803">
        <v>15.79</v>
      </c>
      <c r="V1803" t="str">
        <f>VLOOKUP(L1803,'[2]tabela de preços'!$A:$D,4,0)</f>
        <v>ANJO</v>
      </c>
      <c r="W1803" t="str">
        <f>VLOOKUP(L1803,'[2]tabela de preços'!$A:$F,6,0)</f>
        <v>THINNER DE LIMPEZA</v>
      </c>
      <c r="X1803" t="str">
        <f>VLOOKUP(L1803,'[2]tabela de preços'!$A:$G,7,0)</f>
        <v>THINNER</v>
      </c>
    </row>
    <row r="1804" spans="1:24" x14ac:dyDescent="0.3">
      <c r="A1804" t="s">
        <v>1865</v>
      </c>
      <c r="C1804" t="s">
        <v>1866</v>
      </c>
      <c r="D1804" s="1">
        <v>46045</v>
      </c>
      <c r="E1804" t="s">
        <v>1867</v>
      </c>
      <c r="F1804">
        <v>9</v>
      </c>
      <c r="G1804">
        <v>231</v>
      </c>
      <c r="H1804" t="str">
        <f>VLOOKUP(G1804,[1]OPERADORES!$A:$B,2,0)</f>
        <v>EDIJANE</v>
      </c>
      <c r="I1804" t="s">
        <v>21</v>
      </c>
      <c r="J1804" t="s">
        <v>1868</v>
      </c>
      <c r="K1804" t="s">
        <v>1869</v>
      </c>
      <c r="L1804">
        <v>85211</v>
      </c>
      <c r="M1804" t="s">
        <v>1079</v>
      </c>
      <c r="O1804" t="s">
        <v>11</v>
      </c>
      <c r="P1804">
        <v>5102</v>
      </c>
      <c r="Q1804">
        <v>2</v>
      </c>
      <c r="R1804">
        <v>23.09</v>
      </c>
      <c r="S1804">
        <v>46.18</v>
      </c>
      <c r="T1804">
        <v>35.06</v>
      </c>
      <c r="U1804">
        <v>24.08</v>
      </c>
      <c r="V1804" t="str">
        <f>VLOOKUP(L1804,'[2]tabela de preços'!$A:$D,4,0)</f>
        <v>VONIXX</v>
      </c>
      <c r="W1804" t="str">
        <f>VLOOKUP(L1804,'[2]tabela de preços'!$A:$F,6,0)</f>
        <v>LINHA DE HIGENIZAÇÃO E ESTÉTICA  AUTOMOTIVA</v>
      </c>
      <c r="X1804" t="str">
        <f>VLOOKUP(L1804,'[2]tabela de preços'!$A:$G,7,0)</f>
        <v>AUTOMOTIVO</v>
      </c>
    </row>
    <row r="1805" spans="1:24" x14ac:dyDescent="0.3">
      <c r="A1805" t="s">
        <v>1871</v>
      </c>
      <c r="C1805" t="s">
        <v>1872</v>
      </c>
      <c r="D1805" s="1">
        <v>46031</v>
      </c>
      <c r="E1805" t="s">
        <v>1873</v>
      </c>
      <c r="F1805">
        <v>9</v>
      </c>
      <c r="G1805">
        <v>174</v>
      </c>
      <c r="H1805" t="str">
        <f>VLOOKUP(G1805,[1]OPERADORES!$A:$B,2,0)</f>
        <v>MIRIÃ LOBATO RODRIGUES</v>
      </c>
      <c r="I1805" t="s">
        <v>21</v>
      </c>
      <c r="J1805" t="s">
        <v>350</v>
      </c>
      <c r="K1805" t="s">
        <v>1874</v>
      </c>
      <c r="L1805">
        <v>84498</v>
      </c>
      <c r="M1805" t="s">
        <v>533</v>
      </c>
      <c r="O1805" t="s">
        <v>11</v>
      </c>
      <c r="P1805">
        <v>5403</v>
      </c>
      <c r="Q1805">
        <v>1</v>
      </c>
      <c r="R1805">
        <v>412.35</v>
      </c>
      <c r="S1805">
        <v>412.35</v>
      </c>
      <c r="T1805">
        <v>312.98</v>
      </c>
      <c r="U1805">
        <v>24.1</v>
      </c>
      <c r="V1805" t="str">
        <f>VLOOKUP(L1805,'[2]tabela de preços'!$A:$D,4,0)</f>
        <v>BRASILUX</v>
      </c>
      <c r="W1805" t="str">
        <f>VLOOKUP(L1805,'[2]tabela de preços'!$A:$F,6,0)</f>
        <v>ESMALTES</v>
      </c>
      <c r="X1805" t="str">
        <f>VLOOKUP(L1805,'[2]tabela de preços'!$A:$G,7,0)</f>
        <v>INDUSTRIAL</v>
      </c>
    </row>
    <row r="1806" spans="1:24" x14ac:dyDescent="0.3">
      <c r="A1806" t="s">
        <v>1871</v>
      </c>
      <c r="C1806" t="s">
        <v>1872</v>
      </c>
      <c r="D1806" s="1">
        <v>46031</v>
      </c>
      <c r="E1806" t="s">
        <v>1873</v>
      </c>
      <c r="F1806">
        <v>9</v>
      </c>
      <c r="G1806">
        <v>174</v>
      </c>
      <c r="H1806" t="str">
        <f>VLOOKUP(G1806,[1]OPERADORES!$A:$B,2,0)</f>
        <v>MIRIÃ LOBATO RODRIGUES</v>
      </c>
      <c r="I1806" t="s">
        <v>21</v>
      </c>
      <c r="J1806" t="s">
        <v>350</v>
      </c>
      <c r="K1806" t="s">
        <v>1874</v>
      </c>
      <c r="L1806">
        <v>84499</v>
      </c>
      <c r="M1806" t="s">
        <v>534</v>
      </c>
      <c r="O1806" t="s">
        <v>11</v>
      </c>
      <c r="P1806">
        <v>5102</v>
      </c>
      <c r="Q1806">
        <v>1</v>
      </c>
      <c r="R1806">
        <v>176.61</v>
      </c>
      <c r="S1806">
        <v>176.61</v>
      </c>
      <c r="T1806">
        <v>134.05000000000001</v>
      </c>
      <c r="U1806">
        <v>24.1</v>
      </c>
      <c r="V1806" t="str">
        <f>VLOOKUP(L1806,'[2]tabela de preços'!$A:$D,4,0)</f>
        <v>BRASILUX</v>
      </c>
      <c r="W1806" t="str">
        <f>VLOOKUP(L1806,'[2]tabela de preços'!$A:$F,6,0)</f>
        <v>THINNER DE LIMPEZA</v>
      </c>
      <c r="X1806" t="str">
        <f>VLOOKUP(L1806,'[2]tabela de preços'!$A:$G,7,0)</f>
        <v>THINNER</v>
      </c>
    </row>
    <row r="1807" spans="1:24" x14ac:dyDescent="0.3">
      <c r="A1807" t="s">
        <v>1875</v>
      </c>
      <c r="C1807" t="s">
        <v>1876</v>
      </c>
      <c r="D1807" s="1">
        <v>46027</v>
      </c>
      <c r="E1807" t="s">
        <v>1877</v>
      </c>
      <c r="F1807">
        <v>9</v>
      </c>
      <c r="G1807">
        <v>231</v>
      </c>
      <c r="H1807" t="str">
        <f>VLOOKUP(G1807,[1]OPERADORES!$A:$B,2,0)</f>
        <v>EDIJANE</v>
      </c>
      <c r="I1807" t="s">
        <v>21</v>
      </c>
      <c r="J1807" t="s">
        <v>1878</v>
      </c>
      <c r="K1807" t="s">
        <v>1879</v>
      </c>
      <c r="L1807">
        <v>85639</v>
      </c>
      <c r="M1807" t="s">
        <v>474</v>
      </c>
      <c r="O1807" t="s">
        <v>11</v>
      </c>
      <c r="P1807">
        <v>5403</v>
      </c>
      <c r="Q1807">
        <v>24</v>
      </c>
      <c r="R1807">
        <v>8.19</v>
      </c>
      <c r="S1807">
        <v>196.56</v>
      </c>
      <c r="T1807">
        <v>166.08</v>
      </c>
      <c r="U1807">
        <v>15.51</v>
      </c>
      <c r="V1807" t="str">
        <f>VLOOKUP(L1807,'[2]tabela de preços'!$A:$D,4,0)</f>
        <v>UNIPEGA</v>
      </c>
      <c r="W1807" t="str">
        <f>VLOOKUP(L1807,'[2]tabela de preços'!$A:$F,6,0)</f>
        <v xml:space="preserve">SPRAYS </v>
      </c>
      <c r="X1807" t="str">
        <f>VLOOKUP(L1807,'[2]tabela de preços'!$A:$G,7,0)</f>
        <v>AUTOMOTIVO</v>
      </c>
    </row>
    <row r="1808" spans="1:24" x14ac:dyDescent="0.3">
      <c r="A1808" t="s">
        <v>1875</v>
      </c>
      <c r="C1808" t="s">
        <v>1876</v>
      </c>
      <c r="D1808" s="1">
        <v>46027</v>
      </c>
      <c r="E1808" t="s">
        <v>1877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1878</v>
      </c>
      <c r="K1808" t="s">
        <v>1879</v>
      </c>
      <c r="L1808">
        <v>85643</v>
      </c>
      <c r="M1808" t="s">
        <v>476</v>
      </c>
      <c r="O1808" t="s">
        <v>11</v>
      </c>
      <c r="P1808">
        <v>5403</v>
      </c>
      <c r="Q1808">
        <v>30</v>
      </c>
      <c r="R1808">
        <v>8.19</v>
      </c>
      <c r="S1808">
        <v>245.7</v>
      </c>
      <c r="T1808">
        <v>201.3</v>
      </c>
      <c r="U1808">
        <v>18.07</v>
      </c>
      <c r="V1808" t="str">
        <f>VLOOKUP(L1808,'[2]tabela de preços'!$A:$D,4,0)</f>
        <v>UNIPEGA</v>
      </c>
      <c r="W1808" t="str">
        <f>VLOOKUP(L1808,'[2]tabela de preços'!$A:$F,6,0)</f>
        <v xml:space="preserve">SPRAYS </v>
      </c>
      <c r="X1808" t="str">
        <f>VLOOKUP(L1808,'[2]tabela de preços'!$A:$G,7,0)</f>
        <v>AUTOMOTIVO</v>
      </c>
    </row>
    <row r="1809" spans="1:24" x14ac:dyDescent="0.3">
      <c r="A1809" t="s">
        <v>1875</v>
      </c>
      <c r="C1809" t="s">
        <v>1876</v>
      </c>
      <c r="D1809" s="1">
        <v>46027</v>
      </c>
      <c r="E1809" t="s">
        <v>1877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1878</v>
      </c>
      <c r="K1809" t="s">
        <v>1879</v>
      </c>
      <c r="L1809">
        <v>85644</v>
      </c>
      <c r="M1809" t="s">
        <v>689</v>
      </c>
      <c r="O1809" t="s">
        <v>11</v>
      </c>
      <c r="P1809">
        <v>5403</v>
      </c>
      <c r="Q1809">
        <v>12</v>
      </c>
      <c r="R1809">
        <v>8.19</v>
      </c>
      <c r="S1809">
        <v>98.28</v>
      </c>
      <c r="T1809">
        <v>80.52</v>
      </c>
      <c r="U1809">
        <v>18.07</v>
      </c>
      <c r="V1809" t="str">
        <f>VLOOKUP(L1809,'[2]tabela de preços'!$A:$D,4,0)</f>
        <v>UNIPEGA</v>
      </c>
      <c r="W1809" t="str">
        <f>VLOOKUP(L1809,'[2]tabela de preços'!$A:$F,6,0)</f>
        <v xml:space="preserve">SPRAYS </v>
      </c>
      <c r="X1809" t="str">
        <f>VLOOKUP(L1809,'[2]tabela de preços'!$A:$G,7,0)</f>
        <v>AUTOMOTIVO</v>
      </c>
    </row>
    <row r="1810" spans="1:24" x14ac:dyDescent="0.3">
      <c r="A1810" t="s">
        <v>1875</v>
      </c>
      <c r="C1810" t="s">
        <v>1876</v>
      </c>
      <c r="D1810" s="1">
        <v>46027</v>
      </c>
      <c r="E1810" t="s">
        <v>1877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1878</v>
      </c>
      <c r="K1810" t="s">
        <v>1879</v>
      </c>
      <c r="L1810">
        <v>85648</v>
      </c>
      <c r="M1810" t="s">
        <v>726</v>
      </c>
      <c r="O1810" t="s">
        <v>11</v>
      </c>
      <c r="P1810">
        <v>5403</v>
      </c>
      <c r="Q1810">
        <v>6</v>
      </c>
      <c r="R1810">
        <v>8.19</v>
      </c>
      <c r="S1810">
        <v>49.14</v>
      </c>
      <c r="T1810">
        <v>41.52</v>
      </c>
      <c r="U1810">
        <v>15.51</v>
      </c>
      <c r="V1810" t="str">
        <f>VLOOKUP(L1810,'[2]tabela de preços'!$A:$D,4,0)</f>
        <v>UNIPEGA</v>
      </c>
      <c r="W1810" t="str">
        <f>VLOOKUP(L1810,'[2]tabela de preços'!$A:$F,6,0)</f>
        <v xml:space="preserve">SPRAYS </v>
      </c>
      <c r="X1810" t="str">
        <f>VLOOKUP(L1810,'[2]tabela de preços'!$A:$G,7,0)</f>
        <v>AUTOMOTIVO</v>
      </c>
    </row>
    <row r="1811" spans="1:24" x14ac:dyDescent="0.3">
      <c r="A1811" t="s">
        <v>1875</v>
      </c>
      <c r="C1811" t="s">
        <v>1876</v>
      </c>
      <c r="D1811" s="1">
        <v>46027</v>
      </c>
      <c r="E1811" t="s">
        <v>1877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1878</v>
      </c>
      <c r="K1811" t="s">
        <v>1879</v>
      </c>
      <c r="L1811">
        <v>85649</v>
      </c>
      <c r="M1811" t="s">
        <v>478</v>
      </c>
      <c r="O1811" t="s">
        <v>11</v>
      </c>
      <c r="P1811">
        <v>5403</v>
      </c>
      <c r="Q1811">
        <v>36</v>
      </c>
      <c r="R1811">
        <v>8.19</v>
      </c>
      <c r="S1811">
        <v>294.83999999999997</v>
      </c>
      <c r="T1811">
        <v>249.12</v>
      </c>
      <c r="U1811">
        <v>15.51</v>
      </c>
      <c r="V1811" t="str">
        <f>VLOOKUP(L1811,'[2]tabela de preços'!$A:$D,4,0)</f>
        <v>UNIPEGA</v>
      </c>
      <c r="W1811" t="str">
        <f>VLOOKUP(L1811,'[2]tabela de preços'!$A:$F,6,0)</f>
        <v xml:space="preserve">SPRAYS </v>
      </c>
      <c r="X1811" t="str">
        <f>VLOOKUP(L1811,'[2]tabela de preços'!$A:$G,7,0)</f>
        <v>AUTOMOTIVO</v>
      </c>
    </row>
    <row r="1812" spans="1:24" x14ac:dyDescent="0.3">
      <c r="A1812" t="s">
        <v>1880</v>
      </c>
      <c r="C1812" t="s">
        <v>1881</v>
      </c>
      <c r="D1812" s="1">
        <v>46037</v>
      </c>
      <c r="E1812" t="s">
        <v>1882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211</v>
      </c>
      <c r="K1812" t="s">
        <v>1883</v>
      </c>
      <c r="L1812">
        <v>84704</v>
      </c>
      <c r="M1812" t="s">
        <v>1884</v>
      </c>
      <c r="O1812" t="s">
        <v>11</v>
      </c>
      <c r="P1812">
        <v>5102</v>
      </c>
      <c r="Q1812">
        <v>5</v>
      </c>
      <c r="R1812">
        <v>15.07</v>
      </c>
      <c r="S1812">
        <v>75.349999999999994</v>
      </c>
      <c r="T1812">
        <v>57.2</v>
      </c>
      <c r="U1812">
        <v>24.09</v>
      </c>
      <c r="V1812" t="str">
        <f>VLOOKUP(L1812,'[2]tabela de preços'!$A:$D,4,0)</f>
        <v>ATLAS</v>
      </c>
      <c r="W1812" t="str">
        <f>VLOOKUP(L1812,'[2]tabela de preços'!$A:$F,6,0)</f>
        <v>ROLOS / TRINCHAS / PINCÉIS / ESPÁTULAS</v>
      </c>
      <c r="X1812" t="str">
        <f>VLOOKUP(L1812,'[2]tabela de preços'!$A:$G,7,0)</f>
        <v>IMOBILIÁRIO</v>
      </c>
    </row>
    <row r="1813" spans="1:24" x14ac:dyDescent="0.3">
      <c r="A1813" t="s">
        <v>1880</v>
      </c>
      <c r="C1813" t="s">
        <v>1881</v>
      </c>
      <c r="D1813" s="1">
        <v>46037</v>
      </c>
      <c r="E1813" t="s">
        <v>1882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211</v>
      </c>
      <c r="K1813" t="s">
        <v>1883</v>
      </c>
      <c r="L1813">
        <v>84401</v>
      </c>
      <c r="M1813" t="s">
        <v>1318</v>
      </c>
      <c r="O1813" t="s">
        <v>11</v>
      </c>
      <c r="P1813">
        <v>5102</v>
      </c>
      <c r="Q1813">
        <v>1</v>
      </c>
      <c r="R1813">
        <v>66.14</v>
      </c>
      <c r="S1813">
        <v>66.14</v>
      </c>
      <c r="T1813">
        <v>50.2</v>
      </c>
      <c r="U1813">
        <v>24.1</v>
      </c>
      <c r="V1813" t="str">
        <f>VLOOKUP(L1813,'[2]tabela de preços'!$A:$D,4,0)</f>
        <v>VONIXX</v>
      </c>
      <c r="W1813" t="str">
        <f>VLOOKUP(L1813,'[2]tabela de preços'!$A:$F,6,0)</f>
        <v>LINHA DE HIGENIZAÇÃO E ESTÉTICA  AUTOMOTIVA</v>
      </c>
      <c r="X1813" t="str">
        <f>VLOOKUP(L1813,'[2]tabela de preços'!$A:$G,7,0)</f>
        <v>AUTOMOTIVO</v>
      </c>
    </row>
    <row r="1814" spans="1:24" x14ac:dyDescent="0.3">
      <c r="A1814" t="s">
        <v>1885</v>
      </c>
      <c r="C1814" t="s">
        <v>1886</v>
      </c>
      <c r="D1814" s="1">
        <v>46030</v>
      </c>
      <c r="E1814" t="s">
        <v>1887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397</v>
      </c>
      <c r="K1814" t="s">
        <v>1888</v>
      </c>
      <c r="L1814">
        <v>20577</v>
      </c>
      <c r="M1814" t="s">
        <v>1889</v>
      </c>
      <c r="O1814" t="s">
        <v>11</v>
      </c>
      <c r="P1814">
        <v>5102</v>
      </c>
      <c r="Q1814">
        <v>50</v>
      </c>
      <c r="R1814">
        <v>2.29</v>
      </c>
      <c r="S1814">
        <v>114.5</v>
      </c>
      <c r="T1814">
        <v>109.5</v>
      </c>
      <c r="U1814">
        <v>4.37</v>
      </c>
      <c r="V1814" t="str">
        <f>VLOOKUP(L1814,'[2]tabela de preços'!$A:$D,4,0)</f>
        <v>3M</v>
      </c>
      <c r="W1814" t="str">
        <f>VLOOKUP(L1814,'[2]tabela de preços'!$A:$F,6,0)</f>
        <v>LIXA FERRO</v>
      </c>
      <c r="X1814" t="str">
        <f>VLOOKUP(L1814,'[2]tabela de preços'!$A:$G,7,0)</f>
        <v>IMOBILIÁRIO</v>
      </c>
    </row>
    <row r="1815" spans="1:24" x14ac:dyDescent="0.3">
      <c r="A1815" t="s">
        <v>1890</v>
      </c>
      <c r="B1815" t="s">
        <v>1891</v>
      </c>
      <c r="C1815" t="s">
        <v>1892</v>
      </c>
      <c r="D1815" s="1">
        <v>46037</v>
      </c>
      <c r="E1815" t="s">
        <v>1893</v>
      </c>
      <c r="F1815">
        <v>9</v>
      </c>
      <c r="G1815">
        <v>231</v>
      </c>
      <c r="H1815" t="str">
        <f>VLOOKUP(G1815,[1]OPERADORES!$A:$B,2,0)</f>
        <v>EDIJANE</v>
      </c>
      <c r="I1815" t="s">
        <v>21</v>
      </c>
      <c r="J1815" t="s">
        <v>1894</v>
      </c>
      <c r="K1815" t="s">
        <v>1895</v>
      </c>
      <c r="L1815">
        <v>84113</v>
      </c>
      <c r="M1815" t="s">
        <v>737</v>
      </c>
      <c r="O1815" t="s">
        <v>11</v>
      </c>
      <c r="P1815">
        <v>5403</v>
      </c>
      <c r="Q1815">
        <v>5</v>
      </c>
      <c r="R1815">
        <v>153.99</v>
      </c>
      <c r="S1815">
        <v>769.95</v>
      </c>
      <c r="T1815">
        <v>584.4</v>
      </c>
      <c r="U1815">
        <v>24.1</v>
      </c>
      <c r="V1815" t="str">
        <f>VLOOKUP(L1815,'[2]tabela de preços'!$A:$D,4,0)</f>
        <v>BRASILUX</v>
      </c>
      <c r="W1815" t="str">
        <f>VLOOKUP(L1815,'[2]tabela de preços'!$A:$F,6,0)</f>
        <v>EPOXI</v>
      </c>
      <c r="X1815" t="str">
        <f>VLOOKUP(L1815,'[2]tabela de preços'!$A:$G,7,0)</f>
        <v>INDUSTRIAL</v>
      </c>
    </row>
    <row r="1816" spans="1:24" x14ac:dyDescent="0.3">
      <c r="A1816" t="s">
        <v>1890</v>
      </c>
      <c r="B1816" t="s">
        <v>1891</v>
      </c>
      <c r="C1816" t="s">
        <v>1896</v>
      </c>
      <c r="D1816" s="1">
        <v>46037</v>
      </c>
      <c r="E1816" t="s">
        <v>1897</v>
      </c>
      <c r="F1816">
        <v>9</v>
      </c>
      <c r="G1816">
        <v>231</v>
      </c>
      <c r="H1816" t="str">
        <f>VLOOKUP(G1816,[1]OPERADORES!$A:$B,2,0)</f>
        <v>EDIJANE</v>
      </c>
      <c r="I1816" t="s">
        <v>21</v>
      </c>
      <c r="J1816" t="s">
        <v>1894</v>
      </c>
      <c r="K1816" t="s">
        <v>1895</v>
      </c>
      <c r="L1816">
        <v>84240</v>
      </c>
      <c r="M1816" t="s">
        <v>1898</v>
      </c>
      <c r="O1816" t="s">
        <v>11</v>
      </c>
      <c r="P1816">
        <v>5403</v>
      </c>
      <c r="Q1816">
        <v>12</v>
      </c>
      <c r="R1816">
        <v>10.050000000000001</v>
      </c>
      <c r="S1816">
        <v>120.6</v>
      </c>
      <c r="T1816">
        <v>91.56</v>
      </c>
      <c r="U1816">
        <v>24.08</v>
      </c>
      <c r="V1816" t="str">
        <f>VLOOKUP(L1816,'[2]tabela de preços'!$A:$D,4,0)</f>
        <v>BRASILUX</v>
      </c>
      <c r="W1816" t="str">
        <f>VLOOKUP(L1816,'[2]tabela de preços'!$A:$F,6,0)</f>
        <v>IMPERMEABILIZANTES</v>
      </c>
      <c r="X1816" t="str">
        <f>VLOOKUP(L1816,'[2]tabela de preços'!$A:$G,7,0)</f>
        <v>IMOBILIÁRIO</v>
      </c>
    </row>
    <row r="1817" spans="1:24" x14ac:dyDescent="0.3">
      <c r="A1817" t="s">
        <v>1890</v>
      </c>
      <c r="B1817" t="s">
        <v>1891</v>
      </c>
      <c r="C1817" t="s">
        <v>1896</v>
      </c>
      <c r="D1817" s="1">
        <v>46037</v>
      </c>
      <c r="E1817" t="s">
        <v>1897</v>
      </c>
      <c r="F1817">
        <v>9</v>
      </c>
      <c r="G1817">
        <v>231</v>
      </c>
      <c r="H1817" t="str">
        <f>VLOOKUP(G1817,[1]OPERADORES!$A:$B,2,0)</f>
        <v>EDIJANE</v>
      </c>
      <c r="I1817" t="s">
        <v>21</v>
      </c>
      <c r="J1817" t="s">
        <v>1894</v>
      </c>
      <c r="K1817" t="s">
        <v>1895</v>
      </c>
      <c r="L1817">
        <v>84583</v>
      </c>
      <c r="M1817" t="s">
        <v>1899</v>
      </c>
      <c r="O1817" t="s">
        <v>11</v>
      </c>
      <c r="P1817">
        <v>5403</v>
      </c>
      <c r="Q1817">
        <v>10</v>
      </c>
      <c r="R1817">
        <v>99.96</v>
      </c>
      <c r="S1817">
        <v>999.6</v>
      </c>
      <c r="T1817">
        <v>758.7</v>
      </c>
      <c r="U1817">
        <v>24.1</v>
      </c>
      <c r="V1817" t="str">
        <f>VLOOKUP(L1817,'[2]tabela de preços'!$A:$D,4,0)</f>
        <v>BRASILUX</v>
      </c>
      <c r="W1817" t="str">
        <f>VLOOKUP(L1817,'[2]tabela de preços'!$A:$F,6,0)</f>
        <v>PIGMENTOS IMOBILIÁRIOS</v>
      </c>
      <c r="X1817" t="str">
        <f>VLOOKUP(L1817,'[2]tabela de preços'!$A:$G,7,0)</f>
        <v>IMOBILIÁRIO</v>
      </c>
    </row>
    <row r="1818" spans="1:24" x14ac:dyDescent="0.3">
      <c r="A1818" t="s">
        <v>1890</v>
      </c>
      <c r="B1818" t="s">
        <v>1891</v>
      </c>
      <c r="C1818" t="s">
        <v>1896</v>
      </c>
      <c r="D1818" s="1">
        <v>46037</v>
      </c>
      <c r="E1818" t="s">
        <v>1897</v>
      </c>
      <c r="F1818">
        <v>9</v>
      </c>
      <c r="G1818">
        <v>231</v>
      </c>
      <c r="H1818" t="str">
        <f>VLOOKUP(G1818,[1]OPERADORES!$A:$B,2,0)</f>
        <v>EDIJANE</v>
      </c>
      <c r="I1818" t="s">
        <v>21</v>
      </c>
      <c r="J1818" t="s">
        <v>1894</v>
      </c>
      <c r="K1818" t="s">
        <v>1895</v>
      </c>
      <c r="L1818">
        <v>84587</v>
      </c>
      <c r="M1818" t="s">
        <v>1900</v>
      </c>
      <c r="O1818" t="s">
        <v>11</v>
      </c>
      <c r="P1818">
        <v>5403</v>
      </c>
      <c r="Q1818">
        <v>1</v>
      </c>
      <c r="R1818">
        <v>142.72</v>
      </c>
      <c r="S1818">
        <v>142.72</v>
      </c>
      <c r="T1818">
        <v>108.32</v>
      </c>
      <c r="U1818">
        <v>24.1</v>
      </c>
      <c r="V1818" t="str">
        <f>VLOOKUP(L1818,'[2]tabela de preços'!$A:$D,4,0)</f>
        <v>BRASILUX</v>
      </c>
      <c r="W1818" t="str">
        <f>VLOOKUP(L1818,'[2]tabela de preços'!$A:$F,6,0)</f>
        <v>PIGMENTOS IMOBILIÁRIOS</v>
      </c>
      <c r="X1818" t="str">
        <f>VLOOKUP(L1818,'[2]tabela de preços'!$A:$G,7,0)</f>
        <v>IMOBILIÁRIO</v>
      </c>
    </row>
    <row r="1819" spans="1:24" x14ac:dyDescent="0.3">
      <c r="A1819" t="s">
        <v>1890</v>
      </c>
      <c r="B1819" t="s">
        <v>1891</v>
      </c>
      <c r="C1819" t="s">
        <v>1896</v>
      </c>
      <c r="D1819" s="1">
        <v>46037</v>
      </c>
      <c r="E1819" t="s">
        <v>1897</v>
      </c>
      <c r="F1819">
        <v>9</v>
      </c>
      <c r="G1819">
        <v>231</v>
      </c>
      <c r="H1819" t="str">
        <f>VLOOKUP(G1819,[1]OPERADORES!$A:$B,2,0)</f>
        <v>EDIJANE</v>
      </c>
      <c r="I1819" t="s">
        <v>21</v>
      </c>
      <c r="J1819" t="s">
        <v>1894</v>
      </c>
      <c r="K1819" t="s">
        <v>1895</v>
      </c>
      <c r="L1819">
        <v>84589</v>
      </c>
      <c r="M1819" t="s">
        <v>1901</v>
      </c>
      <c r="O1819" t="s">
        <v>11</v>
      </c>
      <c r="P1819">
        <v>5403</v>
      </c>
      <c r="Q1819">
        <v>8</v>
      </c>
      <c r="R1819">
        <v>81.87</v>
      </c>
      <c r="S1819">
        <v>654.96</v>
      </c>
      <c r="T1819">
        <v>497.12</v>
      </c>
      <c r="U1819">
        <v>24.1</v>
      </c>
      <c r="V1819" t="str">
        <f>VLOOKUP(L1819,'[2]tabela de preços'!$A:$D,4,0)</f>
        <v>BRASILUX</v>
      </c>
      <c r="W1819" t="str">
        <f>VLOOKUP(L1819,'[2]tabela de preços'!$A:$F,6,0)</f>
        <v>PIGMENTOS IMOBILIÁRIOS</v>
      </c>
      <c r="X1819" t="str">
        <f>VLOOKUP(L1819,'[2]tabela de preços'!$A:$G,7,0)</f>
        <v>IMOBILIÁRIO</v>
      </c>
    </row>
    <row r="1820" spans="1:24" x14ac:dyDescent="0.3">
      <c r="A1820" t="s">
        <v>1890</v>
      </c>
      <c r="B1820" t="s">
        <v>1891</v>
      </c>
      <c r="C1820" t="s">
        <v>1896</v>
      </c>
      <c r="D1820" s="1">
        <v>46037</v>
      </c>
      <c r="E1820" t="s">
        <v>1897</v>
      </c>
      <c r="F1820">
        <v>9</v>
      </c>
      <c r="G1820">
        <v>231</v>
      </c>
      <c r="H1820" t="str">
        <f>VLOOKUP(G1820,[1]OPERADORES!$A:$B,2,0)</f>
        <v>EDIJANE</v>
      </c>
      <c r="I1820" t="s">
        <v>21</v>
      </c>
      <c r="J1820" t="s">
        <v>1894</v>
      </c>
      <c r="K1820" t="s">
        <v>1895</v>
      </c>
      <c r="L1820">
        <v>84590</v>
      </c>
      <c r="M1820" t="s">
        <v>1902</v>
      </c>
      <c r="O1820" t="s">
        <v>11</v>
      </c>
      <c r="P1820">
        <v>5403</v>
      </c>
      <c r="Q1820">
        <v>1</v>
      </c>
      <c r="R1820">
        <v>108.21</v>
      </c>
      <c r="S1820">
        <v>108.21</v>
      </c>
      <c r="T1820">
        <v>82.13</v>
      </c>
      <c r="U1820">
        <v>24.1</v>
      </c>
      <c r="V1820" t="str">
        <f>VLOOKUP(L1820,'[2]tabela de preços'!$A:$D,4,0)</f>
        <v>BRASILUX</v>
      </c>
      <c r="W1820" t="str">
        <f>VLOOKUP(L1820,'[2]tabela de preços'!$A:$F,6,0)</f>
        <v>PIGMENTOS IMOBILIÁRIOS</v>
      </c>
      <c r="X1820" t="str">
        <f>VLOOKUP(L1820,'[2]tabela de preços'!$A:$G,7,0)</f>
        <v>IMOBILIÁRIO</v>
      </c>
    </row>
    <row r="1821" spans="1:24" x14ac:dyDescent="0.3">
      <c r="A1821" t="s">
        <v>1890</v>
      </c>
      <c r="B1821" t="s">
        <v>1891</v>
      </c>
      <c r="C1821" t="s">
        <v>1896</v>
      </c>
      <c r="D1821" s="1">
        <v>46037</v>
      </c>
      <c r="E1821" t="s">
        <v>1897</v>
      </c>
      <c r="F1821">
        <v>9</v>
      </c>
      <c r="G1821">
        <v>231</v>
      </c>
      <c r="H1821" t="str">
        <f>VLOOKUP(G1821,[1]OPERADORES!$A:$B,2,0)</f>
        <v>EDIJANE</v>
      </c>
      <c r="I1821" t="s">
        <v>21</v>
      </c>
      <c r="J1821" t="s">
        <v>1894</v>
      </c>
      <c r="K1821" t="s">
        <v>1895</v>
      </c>
      <c r="L1821">
        <v>84592</v>
      </c>
      <c r="M1821" t="s">
        <v>1903</v>
      </c>
      <c r="O1821" t="s">
        <v>11</v>
      </c>
      <c r="P1821">
        <v>5403</v>
      </c>
      <c r="Q1821">
        <v>1</v>
      </c>
      <c r="R1821">
        <v>95.34</v>
      </c>
      <c r="S1821">
        <v>95.34</v>
      </c>
      <c r="T1821">
        <v>72.37</v>
      </c>
      <c r="U1821">
        <v>24.09</v>
      </c>
      <c r="V1821" t="str">
        <f>VLOOKUP(L1821,'[2]tabela de preços'!$A:$D,4,0)</f>
        <v>BRASILUX</v>
      </c>
      <c r="W1821" t="str">
        <f>VLOOKUP(L1821,'[2]tabela de preços'!$A:$F,6,0)</f>
        <v>PIGMENTOS IMOBILIÁRIOS</v>
      </c>
      <c r="X1821" t="str">
        <f>VLOOKUP(L1821,'[2]tabela de preços'!$A:$G,7,0)</f>
        <v>IMOBILIÁRIO</v>
      </c>
    </row>
    <row r="1822" spans="1:24" x14ac:dyDescent="0.3">
      <c r="A1822" t="s">
        <v>1890</v>
      </c>
      <c r="B1822" t="s">
        <v>1891</v>
      </c>
      <c r="C1822" t="s">
        <v>1896</v>
      </c>
      <c r="D1822" s="1">
        <v>46037</v>
      </c>
      <c r="E1822" t="s">
        <v>1897</v>
      </c>
      <c r="F1822">
        <v>9</v>
      </c>
      <c r="G1822">
        <v>231</v>
      </c>
      <c r="H1822" t="str">
        <f>VLOOKUP(G1822,[1]OPERADORES!$A:$B,2,0)</f>
        <v>EDIJANE</v>
      </c>
      <c r="I1822" t="s">
        <v>21</v>
      </c>
      <c r="J1822" t="s">
        <v>1894</v>
      </c>
      <c r="K1822" t="s">
        <v>1895</v>
      </c>
      <c r="L1822">
        <v>84922</v>
      </c>
      <c r="M1822" t="s">
        <v>1904</v>
      </c>
      <c r="O1822" t="s">
        <v>11</v>
      </c>
      <c r="P1822">
        <v>5403</v>
      </c>
      <c r="Q1822">
        <v>2</v>
      </c>
      <c r="R1822">
        <v>224.04</v>
      </c>
      <c r="S1822">
        <v>448.08</v>
      </c>
      <c r="T1822">
        <v>340.1</v>
      </c>
      <c r="U1822">
        <v>24.1</v>
      </c>
      <c r="V1822" t="str">
        <f>VLOOKUP(L1822,'[2]tabela de preços'!$A:$D,4,0)</f>
        <v>BRASILUX</v>
      </c>
      <c r="W1822" t="str">
        <f>VLOOKUP(L1822,'[2]tabela de preços'!$A:$F,6,0)</f>
        <v>EPOXI</v>
      </c>
      <c r="X1822" t="str">
        <f>VLOOKUP(L1822,'[2]tabela de preços'!$A:$G,7,0)</f>
        <v>INDUSTRIAL</v>
      </c>
    </row>
    <row r="1823" spans="1:24" x14ac:dyDescent="0.3">
      <c r="A1823" t="s">
        <v>1905</v>
      </c>
      <c r="C1823" t="s">
        <v>1906</v>
      </c>
      <c r="D1823" s="1">
        <v>46049</v>
      </c>
      <c r="E1823" t="s">
        <v>1907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168</v>
      </c>
      <c r="J1823" t="s">
        <v>169</v>
      </c>
      <c r="K1823" t="s">
        <v>1908</v>
      </c>
      <c r="L1823">
        <v>84346</v>
      </c>
      <c r="M1823" t="s">
        <v>1909</v>
      </c>
      <c r="O1823" t="s">
        <v>11</v>
      </c>
      <c r="P1823">
        <v>6403</v>
      </c>
      <c r="Q1823">
        <v>4</v>
      </c>
      <c r="R1823">
        <v>59.98</v>
      </c>
      <c r="S1823">
        <v>239.92</v>
      </c>
      <c r="T1823">
        <v>185.68</v>
      </c>
      <c r="U1823">
        <v>22.61</v>
      </c>
      <c r="V1823" t="str">
        <f>VLOOKUP(L1823,'[2]tabela de preços'!$A:$D,4,0)</f>
        <v>BRASILUX</v>
      </c>
      <c r="W1823" t="str">
        <f>VLOOKUP(L1823,'[2]tabela de preços'!$A:$F,6,0)</f>
        <v>ESMALTES</v>
      </c>
      <c r="X1823" t="str">
        <f>VLOOKUP(L1823,'[2]tabela de preços'!$A:$G,7,0)</f>
        <v>INDUSTRIAL</v>
      </c>
    </row>
    <row r="1824" spans="1:24" x14ac:dyDescent="0.3">
      <c r="A1824" t="s">
        <v>1905</v>
      </c>
      <c r="C1824" t="s">
        <v>1906</v>
      </c>
      <c r="D1824" s="1">
        <v>46049</v>
      </c>
      <c r="E1824" t="s">
        <v>1907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168</v>
      </c>
      <c r="J1824" t="s">
        <v>169</v>
      </c>
      <c r="K1824" t="s">
        <v>1908</v>
      </c>
      <c r="L1824">
        <v>84344</v>
      </c>
      <c r="M1824" t="s">
        <v>1000</v>
      </c>
      <c r="O1824" t="s">
        <v>11</v>
      </c>
      <c r="P1824">
        <v>6403</v>
      </c>
      <c r="Q1824">
        <v>6</v>
      </c>
      <c r="R1824">
        <v>59.98</v>
      </c>
      <c r="S1824">
        <v>359.88</v>
      </c>
      <c r="T1824">
        <v>297.95999999999998</v>
      </c>
      <c r="U1824">
        <v>17.21</v>
      </c>
      <c r="V1824" t="str">
        <f>VLOOKUP(L1824,'[2]tabela de preços'!$A:$D,4,0)</f>
        <v>BRASILUX</v>
      </c>
      <c r="W1824" t="str">
        <f>VLOOKUP(L1824,'[2]tabela de preços'!$A:$F,6,0)</f>
        <v>ESMALTES</v>
      </c>
      <c r="X1824" t="str">
        <f>VLOOKUP(L1824,'[2]tabela de preços'!$A:$G,7,0)</f>
        <v>INDUSTRIAL</v>
      </c>
    </row>
    <row r="1825" spans="1:24" x14ac:dyDescent="0.3">
      <c r="A1825" t="s">
        <v>1905</v>
      </c>
      <c r="C1825" t="s">
        <v>1906</v>
      </c>
      <c r="D1825" s="1">
        <v>46049</v>
      </c>
      <c r="E1825" t="s">
        <v>1907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168</v>
      </c>
      <c r="J1825" t="s">
        <v>169</v>
      </c>
      <c r="K1825" t="s">
        <v>1908</v>
      </c>
      <c r="L1825">
        <v>84499</v>
      </c>
      <c r="M1825" t="s">
        <v>534</v>
      </c>
      <c r="O1825" t="s">
        <v>11</v>
      </c>
      <c r="P1825">
        <v>6102</v>
      </c>
      <c r="Q1825">
        <v>1</v>
      </c>
      <c r="R1825">
        <v>176.61</v>
      </c>
      <c r="S1825">
        <v>176.61</v>
      </c>
      <c r="T1825">
        <v>134.05000000000001</v>
      </c>
      <c r="U1825">
        <v>24.1</v>
      </c>
      <c r="V1825" t="str">
        <f>VLOOKUP(L1825,'[2]tabela de preços'!$A:$D,4,0)</f>
        <v>BRASILUX</v>
      </c>
      <c r="W1825" t="str">
        <f>VLOOKUP(L1825,'[2]tabela de preços'!$A:$F,6,0)</f>
        <v>THINNER DE LIMPEZA</v>
      </c>
      <c r="X1825" t="str">
        <f>VLOOKUP(L1825,'[2]tabela de preços'!$A:$G,7,0)</f>
        <v>THINNER</v>
      </c>
    </row>
    <row r="1826" spans="1:24" x14ac:dyDescent="0.3">
      <c r="A1826" t="s">
        <v>1905</v>
      </c>
      <c r="C1826" t="s">
        <v>1906</v>
      </c>
      <c r="D1826" s="1">
        <v>46049</v>
      </c>
      <c r="E1826" t="s">
        <v>1907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168</v>
      </c>
      <c r="J1826" t="s">
        <v>169</v>
      </c>
      <c r="K1826" t="s">
        <v>1908</v>
      </c>
      <c r="L1826">
        <v>84898</v>
      </c>
      <c r="M1826" t="s">
        <v>853</v>
      </c>
      <c r="O1826" t="s">
        <v>11</v>
      </c>
      <c r="P1826">
        <v>6403</v>
      </c>
      <c r="Q1826">
        <v>5</v>
      </c>
      <c r="R1826">
        <v>209.03</v>
      </c>
      <c r="S1826" s="2">
        <v>1045.1500000000001</v>
      </c>
      <c r="T1826">
        <v>793.3</v>
      </c>
      <c r="U1826">
        <v>24.1</v>
      </c>
      <c r="V1826" t="str">
        <f>VLOOKUP(L1826,'[2]tabela de preços'!$A:$D,4,0)</f>
        <v>BRASILUX</v>
      </c>
      <c r="W1826" t="str">
        <f>VLOOKUP(L1826,'[2]tabela de preços'!$A:$F,6,0)</f>
        <v>EPOXI</v>
      </c>
      <c r="X1826" t="str">
        <f>VLOOKUP(L1826,'[2]tabela de preços'!$A:$G,7,0)</f>
        <v>INDUSTRIAL</v>
      </c>
    </row>
    <row r="1827" spans="1:24" x14ac:dyDescent="0.3">
      <c r="A1827" t="s">
        <v>1910</v>
      </c>
      <c r="C1827" t="s">
        <v>1911</v>
      </c>
      <c r="D1827" s="1">
        <v>46030</v>
      </c>
      <c r="E1827" t="s">
        <v>1912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397</v>
      </c>
      <c r="K1827" t="s">
        <v>1913</v>
      </c>
      <c r="L1827">
        <v>84329</v>
      </c>
      <c r="M1827" t="s">
        <v>285</v>
      </c>
      <c r="O1827" t="s">
        <v>11</v>
      </c>
      <c r="P1827">
        <v>5403</v>
      </c>
      <c r="Q1827">
        <v>2</v>
      </c>
      <c r="R1827">
        <v>60.89</v>
      </c>
      <c r="S1827">
        <v>121.78</v>
      </c>
      <c r="T1827">
        <v>96.54</v>
      </c>
      <c r="U1827">
        <v>20.73</v>
      </c>
      <c r="V1827" t="str">
        <f>VLOOKUP(L1827,'[2]tabela de preços'!$A:$D,4,0)</f>
        <v>BRASILUX</v>
      </c>
      <c r="W1827" t="str">
        <f>VLOOKUP(L1827,'[2]tabela de preços'!$A:$F,6,0)</f>
        <v>ESMALTES</v>
      </c>
      <c r="X1827" t="str">
        <f>VLOOKUP(L1827,'[2]tabela de preços'!$A:$G,7,0)</f>
        <v>INDUSTRIAL</v>
      </c>
    </row>
    <row r="1828" spans="1:24" x14ac:dyDescent="0.3">
      <c r="A1828" t="s">
        <v>1910</v>
      </c>
      <c r="C1828" t="s">
        <v>1911</v>
      </c>
      <c r="D1828" s="1">
        <v>46030</v>
      </c>
      <c r="E1828" t="s">
        <v>1912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397</v>
      </c>
      <c r="K1828" t="s">
        <v>1913</v>
      </c>
      <c r="L1828">
        <v>85241</v>
      </c>
      <c r="M1828" t="s">
        <v>1914</v>
      </c>
      <c r="O1828" t="s">
        <v>11</v>
      </c>
      <c r="P1828">
        <v>5102</v>
      </c>
      <c r="Q1828">
        <v>1</v>
      </c>
      <c r="R1828">
        <v>33.520000000000003</v>
      </c>
      <c r="S1828">
        <v>33.520000000000003</v>
      </c>
      <c r="T1828">
        <v>24.86</v>
      </c>
      <c r="U1828">
        <v>25.84</v>
      </c>
      <c r="V1828" t="str">
        <f>VLOOKUP(L1828,'[2]tabela de preços'!$A:$D,4,0)</f>
        <v>BRASILUX</v>
      </c>
      <c r="W1828" t="str">
        <f>VLOOKUP(L1828,'[2]tabela de preços'!$A:$F,6,0)</f>
        <v>CATALISADORES INDIVIDUAIS</v>
      </c>
      <c r="X1828" t="str">
        <f>VLOOKUP(L1828,'[2]tabela de preços'!$A:$G,7,0)</f>
        <v>IMOBILIÁRIO</v>
      </c>
    </row>
    <row r="1829" spans="1:24" x14ac:dyDescent="0.3">
      <c r="A1829" t="s">
        <v>1910</v>
      </c>
      <c r="C1829" t="s">
        <v>1911</v>
      </c>
      <c r="D1829" s="1">
        <v>46030</v>
      </c>
      <c r="E1829" t="s">
        <v>1912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397</v>
      </c>
      <c r="K1829" t="s">
        <v>1913</v>
      </c>
      <c r="L1829">
        <v>84560</v>
      </c>
      <c r="M1829" t="s">
        <v>118</v>
      </c>
      <c r="O1829" t="s">
        <v>11</v>
      </c>
      <c r="P1829">
        <v>5102</v>
      </c>
      <c r="Q1829">
        <v>3</v>
      </c>
      <c r="R1829">
        <v>46.9</v>
      </c>
      <c r="S1829">
        <v>140.69999999999999</v>
      </c>
      <c r="T1829">
        <v>117.48</v>
      </c>
      <c r="U1829">
        <v>16.5</v>
      </c>
      <c r="V1829" t="str">
        <f>VLOOKUP(L1829,'[2]tabela de preços'!$A:$D,4,0)</f>
        <v>BRASILUX</v>
      </c>
      <c r="W1829" t="str">
        <f>VLOOKUP(L1829,'[2]tabela de preços'!$A:$F,6,0)</f>
        <v>THINNER DE LIMPEZA</v>
      </c>
      <c r="X1829" t="str">
        <f>VLOOKUP(L1829,'[2]tabela de preços'!$A:$G,7,0)</f>
        <v>THINNER</v>
      </c>
    </row>
    <row r="1830" spans="1:24" x14ac:dyDescent="0.3">
      <c r="A1830" t="s">
        <v>1910</v>
      </c>
      <c r="C1830" t="s">
        <v>1911</v>
      </c>
      <c r="D1830" s="1">
        <v>46030</v>
      </c>
      <c r="E1830" t="s">
        <v>1912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397</v>
      </c>
      <c r="K1830" t="s">
        <v>1913</v>
      </c>
      <c r="L1830">
        <v>85641</v>
      </c>
      <c r="M1830" t="s">
        <v>687</v>
      </c>
      <c r="O1830" t="s">
        <v>11</v>
      </c>
      <c r="P1830">
        <v>5403</v>
      </c>
      <c r="Q1830">
        <v>3</v>
      </c>
      <c r="R1830">
        <v>8.19</v>
      </c>
      <c r="S1830">
        <v>24.57</v>
      </c>
      <c r="T1830">
        <v>20.76</v>
      </c>
      <c r="U1830">
        <v>15.51</v>
      </c>
      <c r="V1830" t="str">
        <f>VLOOKUP(L1830,'[2]tabela de preços'!$A:$D,4,0)</f>
        <v>UNIPEGA</v>
      </c>
      <c r="W1830" t="str">
        <f>VLOOKUP(L1830,'[2]tabela de preços'!$A:$F,6,0)</f>
        <v xml:space="preserve">SPRAYS </v>
      </c>
      <c r="X1830" t="str">
        <f>VLOOKUP(L1830,'[2]tabela de preços'!$A:$G,7,0)</f>
        <v>AUTOMOTIVO</v>
      </c>
    </row>
    <row r="1831" spans="1:24" x14ac:dyDescent="0.3">
      <c r="A1831" t="s">
        <v>1910</v>
      </c>
      <c r="C1831" t="s">
        <v>1915</v>
      </c>
      <c r="D1831" s="1">
        <v>46036</v>
      </c>
      <c r="E1831" t="s">
        <v>1916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397</v>
      </c>
      <c r="K1831" t="s">
        <v>1913</v>
      </c>
      <c r="L1831">
        <v>84721</v>
      </c>
      <c r="M1831" t="s">
        <v>1917</v>
      </c>
      <c r="O1831" t="s">
        <v>11</v>
      </c>
      <c r="P1831">
        <v>5403</v>
      </c>
      <c r="Q1831">
        <v>1</v>
      </c>
      <c r="R1831">
        <v>76.92</v>
      </c>
      <c r="S1831">
        <v>76.92</v>
      </c>
      <c r="T1831">
        <v>58.38</v>
      </c>
      <c r="U1831">
        <v>24.1</v>
      </c>
      <c r="V1831" t="str">
        <f>VLOOKUP(L1831,'[2]tabela de preços'!$A:$D,4,0)</f>
        <v>BRASILUX</v>
      </c>
      <c r="W1831" t="str">
        <f>VLOOKUP(L1831,'[2]tabela de preços'!$A:$F,6,0)</f>
        <v>ESMALTES</v>
      </c>
      <c r="X1831" t="str">
        <f>VLOOKUP(L1831,'[2]tabela de preços'!$A:$G,7,0)</f>
        <v>INDUSTRIAL</v>
      </c>
    </row>
    <row r="1832" spans="1:24" x14ac:dyDescent="0.3">
      <c r="A1832" t="s">
        <v>1910</v>
      </c>
      <c r="C1832" t="s">
        <v>1915</v>
      </c>
      <c r="D1832" s="1">
        <v>46036</v>
      </c>
      <c r="E1832" t="s">
        <v>1916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397</v>
      </c>
      <c r="K1832" t="s">
        <v>1913</v>
      </c>
      <c r="L1832">
        <v>84560</v>
      </c>
      <c r="M1832" t="s">
        <v>118</v>
      </c>
      <c r="O1832" t="s">
        <v>11</v>
      </c>
      <c r="P1832">
        <v>5102</v>
      </c>
      <c r="Q1832">
        <v>2</v>
      </c>
      <c r="R1832">
        <v>47.89</v>
      </c>
      <c r="S1832">
        <v>95.78</v>
      </c>
      <c r="T1832">
        <v>78.319999999999993</v>
      </c>
      <c r="U1832">
        <v>18.23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1918</v>
      </c>
      <c r="C1833" t="s">
        <v>1919</v>
      </c>
      <c r="D1833" s="1">
        <v>46043</v>
      </c>
      <c r="E1833" t="s">
        <v>1920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1235</v>
      </c>
      <c r="K1833" t="s">
        <v>1921</v>
      </c>
      <c r="L1833">
        <v>84910</v>
      </c>
      <c r="M1833" t="s">
        <v>995</v>
      </c>
      <c r="O1833" t="s">
        <v>11</v>
      </c>
      <c r="P1833">
        <v>5403</v>
      </c>
      <c r="Q1833">
        <v>1</v>
      </c>
      <c r="R1833">
        <v>76.92</v>
      </c>
      <c r="S1833">
        <v>76.92</v>
      </c>
      <c r="T1833">
        <v>58.38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ESMALTES</v>
      </c>
      <c r="X1833" t="str">
        <f>VLOOKUP(L1833,'[2]tabela de preços'!$A:$G,7,0)</f>
        <v>INDUSTRIAL</v>
      </c>
    </row>
    <row r="1834" spans="1:24" x14ac:dyDescent="0.3">
      <c r="A1834" t="s">
        <v>1918</v>
      </c>
      <c r="C1834" t="s">
        <v>1919</v>
      </c>
      <c r="D1834" s="1">
        <v>46043</v>
      </c>
      <c r="E1834" t="s">
        <v>1920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1235</v>
      </c>
      <c r="K1834" t="s">
        <v>1921</v>
      </c>
      <c r="L1834">
        <v>84134</v>
      </c>
      <c r="M1834" t="s">
        <v>589</v>
      </c>
      <c r="O1834" t="s">
        <v>11</v>
      </c>
      <c r="P1834">
        <v>5403</v>
      </c>
      <c r="Q1834">
        <v>1</v>
      </c>
      <c r="R1834">
        <v>7.55</v>
      </c>
      <c r="S1834">
        <v>7.55</v>
      </c>
      <c r="T1834">
        <v>5.73</v>
      </c>
      <c r="U1834">
        <v>24.11</v>
      </c>
      <c r="V1834" t="str">
        <f>VLOOKUP(L1834,'[2]tabela de preços'!$A:$D,4,0)</f>
        <v>BRASILUX</v>
      </c>
      <c r="W1834" t="str">
        <f>VLOOKUP(L1834,'[2]tabela de preços'!$A:$F,6,0)</f>
        <v>ESMALTES</v>
      </c>
      <c r="X1834" t="str">
        <f>VLOOKUP(L1834,'[2]tabela de preços'!$A:$G,7,0)</f>
        <v>INDUSTRIAL</v>
      </c>
    </row>
    <row r="1835" spans="1:24" x14ac:dyDescent="0.3">
      <c r="A1835" t="s">
        <v>1918</v>
      </c>
      <c r="C1835" t="s">
        <v>1919</v>
      </c>
      <c r="D1835" s="1">
        <v>46043</v>
      </c>
      <c r="E1835" t="s">
        <v>1920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1235</v>
      </c>
      <c r="K1835" t="s">
        <v>1921</v>
      </c>
      <c r="L1835">
        <v>84560</v>
      </c>
      <c r="M1835" t="s">
        <v>118</v>
      </c>
      <c r="O1835" t="s">
        <v>11</v>
      </c>
      <c r="P1835">
        <v>5102</v>
      </c>
      <c r="Q1835">
        <v>1</v>
      </c>
      <c r="R1835">
        <v>47.89</v>
      </c>
      <c r="S1835">
        <v>47.89</v>
      </c>
      <c r="T1835">
        <v>39.159999999999997</v>
      </c>
      <c r="U1835">
        <v>18.23</v>
      </c>
      <c r="V1835" t="str">
        <f>VLOOKUP(L1835,'[2]tabela de preços'!$A:$D,4,0)</f>
        <v>BRASILUX</v>
      </c>
      <c r="W1835" t="str">
        <f>VLOOKUP(L1835,'[2]tabela de preços'!$A:$F,6,0)</f>
        <v>THINNER DE LIMPEZA</v>
      </c>
      <c r="X1835" t="str">
        <f>VLOOKUP(L1835,'[2]tabela de preços'!$A:$G,7,0)</f>
        <v>THINNER</v>
      </c>
    </row>
    <row r="1836" spans="1:24" x14ac:dyDescent="0.3">
      <c r="A1836" t="s">
        <v>1922</v>
      </c>
      <c r="C1836" t="s">
        <v>1923</v>
      </c>
      <c r="D1836" s="1">
        <v>46037</v>
      </c>
      <c r="E1836" t="s">
        <v>1924</v>
      </c>
      <c r="F1836">
        <v>9</v>
      </c>
      <c r="G1836">
        <v>231</v>
      </c>
      <c r="H1836" t="str">
        <f>VLOOKUP(G1836,[1]OPERADORES!$A:$B,2,0)</f>
        <v>EDIJANE</v>
      </c>
      <c r="I1836" t="s">
        <v>21</v>
      </c>
      <c r="J1836" t="s">
        <v>66</v>
      </c>
      <c r="K1836" t="s">
        <v>1925</v>
      </c>
      <c r="L1836">
        <v>85401</v>
      </c>
      <c r="M1836" t="s">
        <v>261</v>
      </c>
      <c r="O1836" t="s">
        <v>11</v>
      </c>
      <c r="P1836">
        <v>5102</v>
      </c>
      <c r="Q1836">
        <v>1</v>
      </c>
      <c r="R1836">
        <v>633.42999999999995</v>
      </c>
      <c r="S1836">
        <v>633.42999999999995</v>
      </c>
      <c r="T1836">
        <v>451.64</v>
      </c>
      <c r="U1836">
        <v>28.7</v>
      </c>
      <c r="V1836" t="str">
        <f>VLOOKUP(L1836,'[2]tabela de preços'!$A:$D,4,0)</f>
        <v>BRASILUX</v>
      </c>
      <c r="W1836" t="str">
        <f>VLOOKUP(L1836,'[2]tabela de preços'!$A:$F,6,0)</f>
        <v>TINTA EM PÓ</v>
      </c>
      <c r="X1836" t="str">
        <f>VLOOKUP(L1836,'[2]tabela de preços'!$A:$G,7,0)</f>
        <v>INDUSTRIAL</v>
      </c>
    </row>
    <row r="1837" spans="1:24" x14ac:dyDescent="0.3">
      <c r="A1837" t="s">
        <v>1922</v>
      </c>
      <c r="C1837" t="s">
        <v>1923</v>
      </c>
      <c r="D1837" s="1">
        <v>46037</v>
      </c>
      <c r="E1837" t="s">
        <v>1924</v>
      </c>
      <c r="F1837">
        <v>9</v>
      </c>
      <c r="G1837">
        <v>231</v>
      </c>
      <c r="H1837" t="str">
        <f>VLOOKUP(G1837,[1]OPERADORES!$A:$B,2,0)</f>
        <v>EDIJANE</v>
      </c>
      <c r="I1837" t="s">
        <v>21</v>
      </c>
      <c r="J1837" t="s">
        <v>66</v>
      </c>
      <c r="K1837" t="s">
        <v>1925</v>
      </c>
      <c r="L1837">
        <v>85315</v>
      </c>
      <c r="M1837" t="s">
        <v>485</v>
      </c>
      <c r="O1837" t="s">
        <v>11</v>
      </c>
      <c r="P1837">
        <v>5102</v>
      </c>
      <c r="Q1837">
        <v>1</v>
      </c>
      <c r="R1837">
        <v>569.72</v>
      </c>
      <c r="S1837">
        <v>569.72</v>
      </c>
      <c r="T1837">
        <v>406.22</v>
      </c>
      <c r="U1837">
        <v>28.7</v>
      </c>
      <c r="V1837" t="str">
        <f>VLOOKUP(L1837,'[2]tabela de preços'!$A:$D,4,0)</f>
        <v>BRASILUX</v>
      </c>
      <c r="W1837" t="str">
        <f>VLOOKUP(L1837,'[2]tabela de preços'!$A:$F,6,0)</f>
        <v>TINTA EM PÓ</v>
      </c>
      <c r="X1837" t="str">
        <f>VLOOKUP(L1837,'[2]tabela de preços'!$A:$G,7,0)</f>
        <v>INDUSTRIAL</v>
      </c>
    </row>
    <row r="1838" spans="1:24" x14ac:dyDescent="0.3">
      <c r="A1838" t="s">
        <v>1926</v>
      </c>
      <c r="C1838" t="s">
        <v>1927</v>
      </c>
      <c r="D1838" s="1">
        <v>46027</v>
      </c>
      <c r="E1838" t="s">
        <v>1928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363</v>
      </c>
      <c r="K1838" t="s">
        <v>1929</v>
      </c>
      <c r="L1838">
        <v>84557</v>
      </c>
      <c r="M1838" t="s">
        <v>116</v>
      </c>
      <c r="O1838" t="s">
        <v>11</v>
      </c>
      <c r="P1838">
        <v>5102</v>
      </c>
      <c r="Q1838">
        <v>12</v>
      </c>
      <c r="R1838">
        <v>18.39</v>
      </c>
      <c r="S1838">
        <v>220.68</v>
      </c>
      <c r="T1838">
        <v>167.52</v>
      </c>
      <c r="U1838">
        <v>24.09</v>
      </c>
      <c r="V1838" t="str">
        <f>VLOOKUP(L1838,'[2]tabela de preços'!$A:$D,4,0)</f>
        <v>BRASILUX</v>
      </c>
      <c r="W1838" t="str">
        <f>VLOOKUP(L1838,'[2]tabela de preços'!$A:$F,6,0)</f>
        <v>DILUENTE</v>
      </c>
      <c r="X1838" t="str">
        <f>VLOOKUP(L1838,'[2]tabela de preços'!$A:$G,7,0)</f>
        <v>AUTOMOTIVO</v>
      </c>
    </row>
    <row r="1839" spans="1:24" x14ac:dyDescent="0.3">
      <c r="A1839" t="s">
        <v>1926</v>
      </c>
      <c r="C1839" t="s">
        <v>1927</v>
      </c>
      <c r="D1839" s="1">
        <v>46027</v>
      </c>
      <c r="E1839" t="s">
        <v>1928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363</v>
      </c>
      <c r="K1839" t="s">
        <v>1929</v>
      </c>
      <c r="L1839">
        <v>10236</v>
      </c>
      <c r="M1839" t="s">
        <v>133</v>
      </c>
      <c r="O1839" t="s">
        <v>11</v>
      </c>
      <c r="P1839">
        <v>5102</v>
      </c>
      <c r="Q1839">
        <v>102</v>
      </c>
      <c r="R1839">
        <v>2.79</v>
      </c>
      <c r="S1839">
        <v>284.58</v>
      </c>
      <c r="T1839">
        <v>241.74</v>
      </c>
      <c r="U1839">
        <v>15.05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1926</v>
      </c>
      <c r="C1840" t="s">
        <v>1927</v>
      </c>
      <c r="D1840" s="1">
        <v>46027</v>
      </c>
      <c r="E1840" t="s">
        <v>1928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363</v>
      </c>
      <c r="K1840" t="s">
        <v>1929</v>
      </c>
      <c r="L1840">
        <v>10230</v>
      </c>
      <c r="M1840" t="s">
        <v>193</v>
      </c>
      <c r="O1840" t="s">
        <v>11</v>
      </c>
      <c r="P1840">
        <v>5102</v>
      </c>
      <c r="Q1840">
        <v>102</v>
      </c>
      <c r="R1840">
        <v>2.79</v>
      </c>
      <c r="S1840">
        <v>284.58</v>
      </c>
      <c r="T1840">
        <v>240.72</v>
      </c>
      <c r="U1840">
        <v>15.41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1926</v>
      </c>
      <c r="C1841" t="s">
        <v>1927</v>
      </c>
      <c r="D1841" s="1">
        <v>46027</v>
      </c>
      <c r="E1841" t="s">
        <v>1928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363</v>
      </c>
      <c r="K1841" t="s">
        <v>1929</v>
      </c>
      <c r="L1841">
        <v>10232</v>
      </c>
      <c r="M1841" t="s">
        <v>134</v>
      </c>
      <c r="O1841" t="s">
        <v>11</v>
      </c>
      <c r="P1841">
        <v>5102</v>
      </c>
      <c r="Q1841">
        <v>102</v>
      </c>
      <c r="R1841">
        <v>2.79</v>
      </c>
      <c r="S1841">
        <v>284.58</v>
      </c>
      <c r="T1841">
        <v>233.58</v>
      </c>
      <c r="U1841">
        <v>17.920000000000002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1926</v>
      </c>
      <c r="C1842" t="s">
        <v>1927</v>
      </c>
      <c r="D1842" s="1">
        <v>46027</v>
      </c>
      <c r="E1842" t="s">
        <v>1928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363</v>
      </c>
      <c r="K1842" t="s">
        <v>1929</v>
      </c>
      <c r="L1842">
        <v>10237</v>
      </c>
      <c r="M1842" t="s">
        <v>271</v>
      </c>
      <c r="O1842" t="s">
        <v>11</v>
      </c>
      <c r="P1842">
        <v>5102</v>
      </c>
      <c r="Q1842">
        <v>102</v>
      </c>
      <c r="R1842">
        <v>2.79</v>
      </c>
      <c r="S1842">
        <v>284.58</v>
      </c>
      <c r="T1842">
        <v>233.58</v>
      </c>
      <c r="U1842">
        <v>17.920000000000002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1926</v>
      </c>
      <c r="C1843" t="s">
        <v>1927</v>
      </c>
      <c r="D1843" s="1">
        <v>46027</v>
      </c>
      <c r="E1843" t="s">
        <v>1928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363</v>
      </c>
      <c r="K1843" t="s">
        <v>1929</v>
      </c>
      <c r="L1843">
        <v>24248</v>
      </c>
      <c r="M1843" t="s">
        <v>107</v>
      </c>
      <c r="O1843" t="s">
        <v>11</v>
      </c>
      <c r="P1843">
        <v>5102</v>
      </c>
      <c r="Q1843">
        <v>24</v>
      </c>
      <c r="R1843">
        <v>9.9</v>
      </c>
      <c r="S1843">
        <v>237.6</v>
      </c>
      <c r="T1843">
        <v>153.84</v>
      </c>
      <c r="U1843">
        <v>35.25</v>
      </c>
      <c r="V1843" t="str">
        <f>VLOOKUP(L1843,'[2]tabela de preços'!$A:$D,4,0)</f>
        <v>SHERWIN WILLIAMS</v>
      </c>
      <c r="W1843" t="str">
        <f>VLOOKUP(L1843,'[2]tabela de preços'!$A:$F,6,0)</f>
        <v>PRIMER AUTOMOTIVO</v>
      </c>
      <c r="X1843" t="str">
        <f>VLOOKUP(L1843,'[2]tabela de preços'!$A:$G,7,0)</f>
        <v>AUTOMOTIVO</v>
      </c>
    </row>
    <row r="1844" spans="1:24" x14ac:dyDescent="0.3">
      <c r="A1844" t="s">
        <v>1926</v>
      </c>
      <c r="C1844" t="s">
        <v>1927</v>
      </c>
      <c r="D1844" s="1">
        <v>46027</v>
      </c>
      <c r="E1844" t="s">
        <v>1928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363</v>
      </c>
      <c r="K1844" t="s">
        <v>1929</v>
      </c>
      <c r="L1844">
        <v>24240</v>
      </c>
      <c r="M1844" t="s">
        <v>240</v>
      </c>
      <c r="O1844" t="s">
        <v>11</v>
      </c>
      <c r="P1844">
        <v>5102</v>
      </c>
      <c r="Q1844">
        <v>32</v>
      </c>
      <c r="R1844">
        <v>3.87</v>
      </c>
      <c r="S1844">
        <v>123.84</v>
      </c>
      <c r="T1844">
        <v>104.96</v>
      </c>
      <c r="U1844">
        <v>15.25</v>
      </c>
      <c r="V1844" t="str">
        <f>VLOOKUP(L1844,'[2]tabela de preços'!$A:$D,4,0)</f>
        <v>ADERE</v>
      </c>
      <c r="W1844" t="str">
        <f>VLOOKUP(L1844,'[2]tabela de preços'!$A:$F,6,0)</f>
        <v>FITA AUTOMOTIVA</v>
      </c>
      <c r="X1844" t="str">
        <f>VLOOKUP(L1844,'[2]tabela de preços'!$A:$G,7,0)</f>
        <v>AUTOMOTIVO</v>
      </c>
    </row>
    <row r="1845" spans="1:24" x14ac:dyDescent="0.3">
      <c r="A1845" t="s">
        <v>1926</v>
      </c>
      <c r="C1845" t="s">
        <v>1927</v>
      </c>
      <c r="D1845" s="1">
        <v>46027</v>
      </c>
      <c r="E1845" t="s">
        <v>1928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363</v>
      </c>
      <c r="K1845" t="s">
        <v>1929</v>
      </c>
      <c r="L1845">
        <v>24241</v>
      </c>
      <c r="M1845" t="s">
        <v>233</v>
      </c>
      <c r="O1845" t="s">
        <v>11</v>
      </c>
      <c r="P1845">
        <v>5102</v>
      </c>
      <c r="Q1845">
        <v>36</v>
      </c>
      <c r="R1845">
        <v>12.2</v>
      </c>
      <c r="S1845">
        <v>439.2</v>
      </c>
      <c r="T1845">
        <v>333.36</v>
      </c>
      <c r="U1845">
        <v>24.1</v>
      </c>
      <c r="V1845" t="str">
        <f>VLOOKUP(L1845,'[2]tabela de preços'!$A:$D,4,0)</f>
        <v>ADERE</v>
      </c>
      <c r="W1845" t="str">
        <f>VLOOKUP(L1845,'[2]tabela de preços'!$A:$F,6,0)</f>
        <v>FITA AUTOMOTIVA</v>
      </c>
      <c r="X1845" t="str">
        <f>VLOOKUP(L1845,'[2]tabela de preços'!$A:$G,7,0)</f>
        <v>AUTOMOTIVO</v>
      </c>
    </row>
    <row r="1846" spans="1:24" x14ac:dyDescent="0.3">
      <c r="A1846" t="s">
        <v>1926</v>
      </c>
      <c r="C1846" t="s">
        <v>1927</v>
      </c>
      <c r="D1846" s="1">
        <v>46027</v>
      </c>
      <c r="E1846" t="s">
        <v>1928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363</v>
      </c>
      <c r="K1846" t="s">
        <v>1929</v>
      </c>
      <c r="L1846">
        <v>23076</v>
      </c>
      <c r="M1846" t="s">
        <v>97</v>
      </c>
      <c r="O1846" t="s">
        <v>11</v>
      </c>
      <c r="P1846">
        <v>5403</v>
      </c>
      <c r="Q1846">
        <v>24</v>
      </c>
      <c r="R1846">
        <v>33.89</v>
      </c>
      <c r="S1846">
        <v>813.36</v>
      </c>
      <c r="T1846">
        <v>636.72</v>
      </c>
      <c r="U1846">
        <v>21.72</v>
      </c>
      <c r="V1846" t="str">
        <f>VLOOKUP(L1846,'[2]tabela de preços'!$A:$D,4,0)</f>
        <v>WANDA</v>
      </c>
      <c r="W1846" t="str">
        <f>VLOOKUP(L1846,'[2]tabela de preços'!$A:$F,6,0)</f>
        <v>PRIMER AUTOMOTIVO</v>
      </c>
      <c r="X1846" t="str">
        <f>VLOOKUP(L1846,'[2]tabela de preços'!$A:$G,7,0)</f>
        <v>AUTOMOTIVO</v>
      </c>
    </row>
    <row r="1847" spans="1:24" x14ac:dyDescent="0.3">
      <c r="A1847" t="s">
        <v>1926</v>
      </c>
      <c r="C1847" t="s">
        <v>1927</v>
      </c>
      <c r="D1847" s="1">
        <v>46027</v>
      </c>
      <c r="E1847" t="s">
        <v>1928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363</v>
      </c>
      <c r="K1847" t="s">
        <v>1929</v>
      </c>
      <c r="L1847">
        <v>20431</v>
      </c>
      <c r="M1847" t="s">
        <v>202</v>
      </c>
      <c r="O1847" t="s">
        <v>11</v>
      </c>
      <c r="P1847">
        <v>5403</v>
      </c>
      <c r="Q1847">
        <v>36</v>
      </c>
      <c r="R1847">
        <v>36.89</v>
      </c>
      <c r="S1847" s="2">
        <v>1328.04</v>
      </c>
      <c r="T1847" s="2">
        <v>1072.08</v>
      </c>
      <c r="U1847">
        <v>19.27</v>
      </c>
      <c r="V1847" t="str">
        <f>VLOOKUP(L1847,'[2]tabela de preços'!$A:$D,4,0)</f>
        <v>SHERWIN WILLIAMS</v>
      </c>
      <c r="W1847" t="str">
        <f>VLOOKUP(L1847,'[2]tabela de preços'!$A:$F,6,0)</f>
        <v>VERNIZ AUTOMOTIVO</v>
      </c>
      <c r="X1847" t="str">
        <f>VLOOKUP(L1847,'[2]tabela de preços'!$A:$G,7,0)</f>
        <v>AUTOMOTIVO</v>
      </c>
    </row>
    <row r="1848" spans="1:24" x14ac:dyDescent="0.3">
      <c r="A1848" t="s">
        <v>1926</v>
      </c>
      <c r="C1848" t="s">
        <v>1927</v>
      </c>
      <c r="D1848" s="1">
        <v>46027</v>
      </c>
      <c r="E1848" t="s">
        <v>1928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363</v>
      </c>
      <c r="K1848" t="s">
        <v>1929</v>
      </c>
      <c r="L1848">
        <v>10238</v>
      </c>
      <c r="M1848" t="s">
        <v>79</v>
      </c>
      <c r="O1848" t="s">
        <v>11</v>
      </c>
      <c r="P1848">
        <v>5102</v>
      </c>
      <c r="Q1848">
        <v>50</v>
      </c>
      <c r="R1848">
        <v>2.79</v>
      </c>
      <c r="S1848">
        <v>139.5</v>
      </c>
      <c r="T1848">
        <v>113.5</v>
      </c>
      <c r="U1848">
        <v>18.64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1926</v>
      </c>
      <c r="C1849" t="s">
        <v>1927</v>
      </c>
      <c r="D1849" s="1">
        <v>46027</v>
      </c>
      <c r="E1849" t="s">
        <v>1928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363</v>
      </c>
      <c r="K1849" t="s">
        <v>1929</v>
      </c>
      <c r="L1849">
        <v>10242</v>
      </c>
      <c r="M1849" t="s">
        <v>82</v>
      </c>
      <c r="O1849" t="s">
        <v>11</v>
      </c>
      <c r="P1849">
        <v>5102</v>
      </c>
      <c r="Q1849">
        <v>50</v>
      </c>
      <c r="R1849">
        <v>2.79</v>
      </c>
      <c r="S1849">
        <v>139.5</v>
      </c>
      <c r="T1849">
        <v>114</v>
      </c>
      <c r="U1849">
        <v>18.28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1926</v>
      </c>
      <c r="C1850" t="s">
        <v>1927</v>
      </c>
      <c r="D1850" s="1">
        <v>46027</v>
      </c>
      <c r="E1850" t="s">
        <v>1928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363</v>
      </c>
      <c r="K1850" t="s">
        <v>1929</v>
      </c>
      <c r="L1850">
        <v>10243</v>
      </c>
      <c r="M1850" t="s">
        <v>83</v>
      </c>
      <c r="O1850" t="s">
        <v>11</v>
      </c>
      <c r="P1850">
        <v>5102</v>
      </c>
      <c r="Q1850">
        <v>50</v>
      </c>
      <c r="R1850">
        <v>2.79</v>
      </c>
      <c r="S1850">
        <v>139.5</v>
      </c>
      <c r="T1850">
        <v>97.5</v>
      </c>
      <c r="U1850">
        <v>30.11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1926</v>
      </c>
      <c r="C1851" t="s">
        <v>1927</v>
      </c>
      <c r="D1851" s="1">
        <v>46027</v>
      </c>
      <c r="E1851" t="s">
        <v>1928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363</v>
      </c>
      <c r="K1851" t="s">
        <v>1929</v>
      </c>
      <c r="L1851">
        <v>20525</v>
      </c>
      <c r="M1851" t="s">
        <v>137</v>
      </c>
      <c r="O1851" t="s">
        <v>11</v>
      </c>
      <c r="P1851">
        <v>5102</v>
      </c>
      <c r="Q1851">
        <v>12</v>
      </c>
      <c r="R1851">
        <v>13.65</v>
      </c>
      <c r="S1851">
        <v>163.80000000000001</v>
      </c>
      <c r="T1851">
        <v>124.32</v>
      </c>
      <c r="U1851">
        <v>24.1</v>
      </c>
      <c r="V1851" t="str">
        <f>VLOOKUP(L1851,'[2]tabela de preços'!$A:$D,4,0)</f>
        <v>SHERWIN WILLIAMS</v>
      </c>
      <c r="W1851" t="str">
        <f>VLOOKUP(L1851,'[2]tabela de preços'!$A:$F,6,0)</f>
        <v>MASSA DE PEQUENOS REPAROS</v>
      </c>
      <c r="X1851" t="str">
        <f>VLOOKUP(L1851,'[2]tabela de preços'!$A:$G,7,0)</f>
        <v>AUTOMOTIVO</v>
      </c>
    </row>
    <row r="1852" spans="1:24" x14ac:dyDescent="0.3">
      <c r="A1852" t="s">
        <v>1926</v>
      </c>
      <c r="C1852" t="s">
        <v>1927</v>
      </c>
      <c r="D1852" s="1">
        <v>46027</v>
      </c>
      <c r="E1852" t="s">
        <v>1928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363</v>
      </c>
      <c r="K1852" t="s">
        <v>1929</v>
      </c>
      <c r="L1852">
        <v>87000</v>
      </c>
      <c r="M1852" t="s">
        <v>333</v>
      </c>
      <c r="O1852" t="s">
        <v>11</v>
      </c>
      <c r="P1852">
        <v>5102</v>
      </c>
      <c r="Q1852">
        <v>12</v>
      </c>
      <c r="R1852">
        <v>19.98</v>
      </c>
      <c r="S1852">
        <v>239.76</v>
      </c>
      <c r="T1852">
        <v>202.08</v>
      </c>
      <c r="U1852">
        <v>15.72</v>
      </c>
      <c r="V1852" t="str">
        <f>VLOOKUP(L1852,'[2]tabela de preços'!$A:$D,4,0)</f>
        <v>WANDA</v>
      </c>
      <c r="W1852" t="str">
        <f>VLOOKUP(L1852,'[2]tabela de preços'!$A:$F,6,0)</f>
        <v>MASSA POLIÉSTER</v>
      </c>
      <c r="X1852" t="str">
        <f>VLOOKUP(L1852,'[2]tabela de preços'!$A:$G,7,0)</f>
        <v>AUTOMOTIVO</v>
      </c>
    </row>
    <row r="1853" spans="1:24" x14ac:dyDescent="0.3">
      <c r="A1853" t="s">
        <v>1926</v>
      </c>
      <c r="C1853" t="s">
        <v>1927</v>
      </c>
      <c r="D1853" s="1">
        <v>46027</v>
      </c>
      <c r="E1853" t="s">
        <v>1928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363</v>
      </c>
      <c r="K1853" t="s">
        <v>1929</v>
      </c>
      <c r="L1853">
        <v>87043</v>
      </c>
      <c r="M1853" t="s">
        <v>217</v>
      </c>
      <c r="O1853" t="s">
        <v>11</v>
      </c>
      <c r="P1853">
        <v>5102</v>
      </c>
      <c r="Q1853">
        <v>32</v>
      </c>
      <c r="R1853">
        <v>22.89</v>
      </c>
      <c r="S1853">
        <v>732.48</v>
      </c>
      <c r="T1853">
        <v>576.64</v>
      </c>
      <c r="U1853">
        <v>21.28</v>
      </c>
      <c r="V1853" t="str">
        <f>VLOOKUP(L1853,'[2]tabela de preços'!$A:$D,4,0)</f>
        <v>ROBERLO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1926</v>
      </c>
      <c r="C1854" t="s">
        <v>1927</v>
      </c>
      <c r="D1854" s="1">
        <v>46027</v>
      </c>
      <c r="E1854" t="s">
        <v>1928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363</v>
      </c>
      <c r="K1854" t="s">
        <v>1929</v>
      </c>
      <c r="L1854">
        <v>24247</v>
      </c>
      <c r="M1854" t="s">
        <v>111</v>
      </c>
      <c r="O1854" t="s">
        <v>11</v>
      </c>
      <c r="P1854">
        <v>5403</v>
      </c>
      <c r="Q1854">
        <v>24</v>
      </c>
      <c r="R1854">
        <v>19.899999999999999</v>
      </c>
      <c r="S1854">
        <v>477.6</v>
      </c>
      <c r="T1854">
        <v>398.4</v>
      </c>
      <c r="U1854">
        <v>16.579999999999998</v>
      </c>
      <c r="V1854" t="str">
        <f>VLOOKUP(L1854,'[2]tabela de preços'!$A:$D,4,0)</f>
        <v>SHERWIN WILLIAMS</v>
      </c>
      <c r="W1854" t="str">
        <f>VLOOKUP(L1854,'[2]tabela de preços'!$A:$F,6,0)</f>
        <v>PRIMER AUTOMOTIVO</v>
      </c>
      <c r="X1854" t="str">
        <f>VLOOKUP(L1854,'[2]tabela de preços'!$A:$G,7,0)</f>
        <v>AUTOMOTIVO</v>
      </c>
    </row>
    <row r="1855" spans="1:24" x14ac:dyDescent="0.3">
      <c r="A1855" t="s">
        <v>1926</v>
      </c>
      <c r="C1855" t="s">
        <v>1927</v>
      </c>
      <c r="D1855" s="1">
        <v>46027</v>
      </c>
      <c r="E1855" t="s">
        <v>1928</v>
      </c>
      <c r="F1855">
        <v>9</v>
      </c>
      <c r="G1855">
        <v>174</v>
      </c>
      <c r="H1855" t="str">
        <f>VLOOKUP(G1855,[1]OPERADORES!$A:$B,2,0)</f>
        <v>MIRIÃ LOBATO RODRIGUES</v>
      </c>
      <c r="I1855" t="s">
        <v>21</v>
      </c>
      <c r="J1855" t="s">
        <v>363</v>
      </c>
      <c r="K1855" t="s">
        <v>1929</v>
      </c>
      <c r="L1855">
        <v>84560</v>
      </c>
      <c r="M1855" t="s">
        <v>118</v>
      </c>
      <c r="O1855" t="s">
        <v>11</v>
      </c>
      <c r="P1855">
        <v>5102</v>
      </c>
      <c r="Q1855">
        <v>4</v>
      </c>
      <c r="R1855">
        <v>46.9</v>
      </c>
      <c r="S1855">
        <v>187.6</v>
      </c>
      <c r="T1855">
        <v>156.63999999999999</v>
      </c>
      <c r="U1855">
        <v>16.5</v>
      </c>
      <c r="V1855" t="str">
        <f>VLOOKUP(L1855,'[2]tabela de preços'!$A:$D,4,0)</f>
        <v>BRASILUX</v>
      </c>
      <c r="W1855" t="str">
        <f>VLOOKUP(L1855,'[2]tabela de preços'!$A:$F,6,0)</f>
        <v>THINNER DE LIMPEZA</v>
      </c>
      <c r="X1855" t="str">
        <f>VLOOKUP(L1855,'[2]tabela de preços'!$A:$G,7,0)</f>
        <v>THINNER</v>
      </c>
    </row>
    <row r="1856" spans="1:24" x14ac:dyDescent="0.3">
      <c r="A1856" t="s">
        <v>1926</v>
      </c>
      <c r="C1856" t="s">
        <v>1927</v>
      </c>
      <c r="D1856" s="1">
        <v>46027</v>
      </c>
      <c r="E1856" t="s">
        <v>1928</v>
      </c>
      <c r="F1856">
        <v>9</v>
      </c>
      <c r="G1856">
        <v>174</v>
      </c>
      <c r="H1856" t="str">
        <f>VLOOKUP(G1856,[1]OPERADORES!$A:$B,2,0)</f>
        <v>MIRIÃ LOBATO RODRIGUES</v>
      </c>
      <c r="I1856" t="s">
        <v>21</v>
      </c>
      <c r="J1856" t="s">
        <v>363</v>
      </c>
      <c r="K1856" t="s">
        <v>1929</v>
      </c>
      <c r="L1856">
        <v>10404</v>
      </c>
      <c r="M1856" t="s">
        <v>130</v>
      </c>
      <c r="O1856" t="s">
        <v>11</v>
      </c>
      <c r="P1856">
        <v>5102</v>
      </c>
      <c r="Q1856">
        <v>24</v>
      </c>
      <c r="R1856">
        <v>16.09</v>
      </c>
      <c r="S1856">
        <v>386.16</v>
      </c>
      <c r="T1856">
        <v>319.68</v>
      </c>
      <c r="U1856">
        <v>17.22</v>
      </c>
      <c r="V1856" t="str">
        <f>VLOOKUP(L1856,'[2]tabela de preços'!$A:$D,4,0)</f>
        <v>MAXI RUBBER</v>
      </c>
      <c r="W1856" t="str">
        <f>VLOOKUP(L1856,'[2]tabela de preços'!$A:$F,6,0)</f>
        <v>VEDADORES / SELANTES</v>
      </c>
      <c r="X1856" t="str">
        <f>VLOOKUP(L1856,'[2]tabela de preços'!$A:$G,7,0)</f>
        <v>AUTOMOTIVO</v>
      </c>
    </row>
    <row r="1857" spans="1:24" x14ac:dyDescent="0.3">
      <c r="A1857" t="s">
        <v>1930</v>
      </c>
      <c r="B1857" t="s">
        <v>1931</v>
      </c>
      <c r="C1857" t="s">
        <v>1932</v>
      </c>
      <c r="D1857" s="1">
        <v>46038</v>
      </c>
      <c r="E1857" t="s">
        <v>1933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104</v>
      </c>
      <c r="K1857" t="s">
        <v>1934</v>
      </c>
      <c r="L1857">
        <v>84815</v>
      </c>
      <c r="M1857" t="s">
        <v>949</v>
      </c>
      <c r="O1857" t="s">
        <v>11</v>
      </c>
      <c r="P1857">
        <v>5403</v>
      </c>
      <c r="Q1857">
        <v>6</v>
      </c>
      <c r="R1857">
        <v>32.35</v>
      </c>
      <c r="S1857">
        <v>194.1</v>
      </c>
      <c r="T1857">
        <v>147.30000000000001</v>
      </c>
      <c r="U1857">
        <v>24.11</v>
      </c>
      <c r="V1857" t="str">
        <f>VLOOKUP(L1857,'[2]tabela de preços'!$A:$D,4,0)</f>
        <v>BRASILUX</v>
      </c>
      <c r="W1857" t="str">
        <f>VLOOKUP(L1857,'[2]tabela de preços'!$A:$F,6,0)</f>
        <v>KIT BRASCORTEN</v>
      </c>
      <c r="X1857" t="str">
        <f>VLOOKUP(L1857,'[2]tabela de preços'!$A:$G,7,0)</f>
        <v>IMOBILIÁRIO</v>
      </c>
    </row>
    <row r="1858" spans="1:24" x14ac:dyDescent="0.3">
      <c r="A1858" t="s">
        <v>1930</v>
      </c>
      <c r="B1858" t="s">
        <v>1931</v>
      </c>
      <c r="C1858" t="s">
        <v>1932</v>
      </c>
      <c r="D1858" s="1">
        <v>46038</v>
      </c>
      <c r="E1858" t="s">
        <v>1933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104</v>
      </c>
      <c r="K1858" t="s">
        <v>1934</v>
      </c>
      <c r="L1858">
        <v>84814</v>
      </c>
      <c r="M1858" t="s">
        <v>950</v>
      </c>
      <c r="O1858" t="s">
        <v>11</v>
      </c>
      <c r="P1858">
        <v>5403</v>
      </c>
      <c r="Q1858">
        <v>4</v>
      </c>
      <c r="R1858">
        <v>118.93</v>
      </c>
      <c r="S1858">
        <v>475.72</v>
      </c>
      <c r="T1858">
        <v>361.08</v>
      </c>
      <c r="U1858">
        <v>24.1</v>
      </c>
      <c r="V1858" t="str">
        <f>VLOOKUP(L1858,'[2]tabela de preços'!$A:$D,4,0)</f>
        <v>BRASILUX</v>
      </c>
      <c r="W1858" t="str">
        <f>VLOOKUP(L1858,'[2]tabela de preços'!$A:$F,6,0)</f>
        <v>KIT BRASCORTEN</v>
      </c>
      <c r="X1858" t="str">
        <f>VLOOKUP(L1858,'[2]tabela de preços'!$A:$G,7,0)</f>
        <v>IMOBILIÁRIO</v>
      </c>
    </row>
    <row r="1859" spans="1:24" x14ac:dyDescent="0.3">
      <c r="A1859" t="s">
        <v>1935</v>
      </c>
      <c r="B1859" t="s">
        <v>1936</v>
      </c>
      <c r="C1859" t="s">
        <v>1937</v>
      </c>
      <c r="D1859" s="1">
        <v>46041</v>
      </c>
      <c r="E1859" t="s">
        <v>1938</v>
      </c>
      <c r="F1859">
        <v>9</v>
      </c>
      <c r="G1859">
        <v>236</v>
      </c>
      <c r="H1859" t="str">
        <f>VLOOKUP(G1859,[1]OPERADORES!$A:$B,2,0)</f>
        <v>DANIEL</v>
      </c>
      <c r="I1859" t="s">
        <v>21</v>
      </c>
      <c r="J1859" t="s">
        <v>1939</v>
      </c>
      <c r="K1859" t="s">
        <v>1940</v>
      </c>
      <c r="L1859">
        <v>86995</v>
      </c>
      <c r="M1859" t="s">
        <v>37</v>
      </c>
      <c r="O1859" t="s">
        <v>11</v>
      </c>
      <c r="P1859">
        <v>5102</v>
      </c>
      <c r="Q1859">
        <v>50</v>
      </c>
      <c r="R1859">
        <v>7.29</v>
      </c>
      <c r="S1859">
        <v>364.5</v>
      </c>
      <c r="T1859">
        <v>291.5</v>
      </c>
      <c r="U1859">
        <v>20.03</v>
      </c>
      <c r="V1859" t="str">
        <f>VLOOKUP(L1859,'[2]tabela de preços'!$A:$D,4,0)</f>
        <v>AUTOAMERICA</v>
      </c>
      <c r="W1859" t="str">
        <f>VLOOKUP(L1859,'[2]tabela de preços'!$A:$F,6,0)</f>
        <v>FLANELAS / PANOS</v>
      </c>
      <c r="X1859" t="str">
        <f>VLOOKUP(L1859,'[2]tabela de preços'!$A:$G,7,0)</f>
        <v>AUTOMOTIVO</v>
      </c>
    </row>
    <row r="1860" spans="1:24" x14ac:dyDescent="0.3">
      <c r="A1860" t="s">
        <v>1941</v>
      </c>
      <c r="C1860" t="s">
        <v>1942</v>
      </c>
      <c r="D1860" s="1">
        <v>46043</v>
      </c>
      <c r="E1860" t="s">
        <v>1943</v>
      </c>
      <c r="F1860">
        <v>9</v>
      </c>
      <c r="G1860">
        <v>236</v>
      </c>
      <c r="H1860" t="str">
        <f>VLOOKUP(G1860,[1]OPERADORES!$A:$B,2,0)</f>
        <v>DANIEL</v>
      </c>
      <c r="I1860" t="s">
        <v>21</v>
      </c>
      <c r="J1860" t="s">
        <v>22</v>
      </c>
      <c r="K1860" t="s">
        <v>1944</v>
      </c>
      <c r="L1860">
        <v>86542</v>
      </c>
      <c r="M1860" t="s">
        <v>352</v>
      </c>
      <c r="O1860" t="s">
        <v>11</v>
      </c>
      <c r="P1860">
        <v>5102</v>
      </c>
      <c r="Q1860">
        <v>7</v>
      </c>
      <c r="R1860">
        <v>78.900000000000006</v>
      </c>
      <c r="S1860">
        <v>552.29999999999995</v>
      </c>
      <c r="T1860">
        <v>484.12</v>
      </c>
      <c r="U1860">
        <v>12.34</v>
      </c>
      <c r="V1860" t="str">
        <f>VLOOKUP(L1860,'[2]tabela de preços'!$A:$D,4,0)</f>
        <v>CORAL</v>
      </c>
      <c r="W1860" t="str">
        <f>VLOOKUP(L1860,'[2]tabela de preços'!$A:$F,6,0)</f>
        <v>MASSA CORRIDA / ACRÍLICA</v>
      </c>
      <c r="X1860" t="str">
        <f>VLOOKUP(L1860,'[2]tabela de preços'!$A:$G,7,0)</f>
        <v>IMOBILIÁRIO</v>
      </c>
    </row>
    <row r="1861" spans="1:24" x14ac:dyDescent="0.3">
      <c r="A1861" t="s">
        <v>1941</v>
      </c>
      <c r="C1861" t="s">
        <v>1942</v>
      </c>
      <c r="D1861" s="1">
        <v>46043</v>
      </c>
      <c r="E1861" t="s">
        <v>1943</v>
      </c>
      <c r="F1861">
        <v>9</v>
      </c>
      <c r="G1861">
        <v>236</v>
      </c>
      <c r="H1861" t="str">
        <f>VLOOKUP(G1861,[1]OPERADORES!$A:$B,2,0)</f>
        <v>DANIEL</v>
      </c>
      <c r="I1861" t="s">
        <v>21</v>
      </c>
      <c r="J1861" t="s">
        <v>22</v>
      </c>
      <c r="K1861" t="s">
        <v>1944</v>
      </c>
      <c r="L1861">
        <v>84928</v>
      </c>
      <c r="M1861" t="s">
        <v>36</v>
      </c>
      <c r="O1861" t="s">
        <v>11</v>
      </c>
      <c r="P1861">
        <v>5102</v>
      </c>
      <c r="Q1861">
        <v>10</v>
      </c>
      <c r="R1861">
        <v>9.39</v>
      </c>
      <c r="S1861">
        <v>93.9</v>
      </c>
      <c r="T1861">
        <v>71.3</v>
      </c>
      <c r="U1861">
        <v>24.07</v>
      </c>
      <c r="V1861" t="str">
        <f>VLOOKUP(L1861,'[2]tabela de preços'!$A:$D,4,0)</f>
        <v>ADERE</v>
      </c>
      <c r="W1861" t="str">
        <f>VLOOKUP(L1861,'[2]tabela de preços'!$A:$F,6,0)</f>
        <v xml:space="preserve">FITA DE USO GERAL </v>
      </c>
      <c r="X1861" t="str">
        <f>VLOOKUP(L1861,'[2]tabela de preços'!$A:$G,7,0)</f>
        <v>IMOBILIÁRIO</v>
      </c>
    </row>
    <row r="1862" spans="1:24" x14ac:dyDescent="0.3">
      <c r="A1862" t="s">
        <v>1941</v>
      </c>
      <c r="C1862" t="s">
        <v>1942</v>
      </c>
      <c r="D1862" s="1">
        <v>46043</v>
      </c>
      <c r="E1862" t="s">
        <v>1943</v>
      </c>
      <c r="F1862">
        <v>9</v>
      </c>
      <c r="G1862">
        <v>236</v>
      </c>
      <c r="H1862" t="str">
        <f>VLOOKUP(G1862,[1]OPERADORES!$A:$B,2,0)</f>
        <v>DANIEL</v>
      </c>
      <c r="I1862" t="s">
        <v>21</v>
      </c>
      <c r="J1862" t="s">
        <v>22</v>
      </c>
      <c r="K1862" t="s">
        <v>1944</v>
      </c>
      <c r="L1862">
        <v>84020</v>
      </c>
      <c r="M1862" t="s">
        <v>518</v>
      </c>
      <c r="O1862" t="s">
        <v>11</v>
      </c>
      <c r="P1862">
        <v>5102</v>
      </c>
      <c r="Q1862">
        <v>50</v>
      </c>
      <c r="R1862">
        <v>0.91</v>
      </c>
      <c r="S1862">
        <v>45.5</v>
      </c>
      <c r="T1862">
        <v>34.5</v>
      </c>
      <c r="U1862">
        <v>24.18</v>
      </c>
      <c r="V1862" t="str">
        <f>VLOOKUP(L1862,'[2]tabela de preços'!$A:$D,4,0)</f>
        <v>3M</v>
      </c>
      <c r="W1862" t="str">
        <f>VLOOKUP(L1862,'[2]tabela de preços'!$A:$F,6,0)</f>
        <v>LIXA MASSA  /MADEIRA / PAREDE</v>
      </c>
      <c r="X1862" t="str">
        <f>VLOOKUP(L1862,'[2]tabela de preços'!$A:$G,7,0)</f>
        <v>IMOBILIÁRIO</v>
      </c>
    </row>
    <row r="1863" spans="1:24" x14ac:dyDescent="0.3">
      <c r="A1863" t="s">
        <v>1941</v>
      </c>
      <c r="C1863" t="s">
        <v>1942</v>
      </c>
      <c r="D1863" s="1">
        <v>46043</v>
      </c>
      <c r="E1863" t="s">
        <v>1943</v>
      </c>
      <c r="F1863">
        <v>9</v>
      </c>
      <c r="G1863">
        <v>236</v>
      </c>
      <c r="H1863" t="str">
        <f>VLOOKUP(G1863,[1]OPERADORES!$A:$B,2,0)</f>
        <v>DANIEL</v>
      </c>
      <c r="I1863" t="s">
        <v>21</v>
      </c>
      <c r="J1863" t="s">
        <v>22</v>
      </c>
      <c r="K1863" t="s">
        <v>1944</v>
      </c>
      <c r="L1863">
        <v>84021</v>
      </c>
      <c r="M1863" t="s">
        <v>1945</v>
      </c>
      <c r="O1863" t="s">
        <v>11</v>
      </c>
      <c r="P1863">
        <v>5102</v>
      </c>
      <c r="Q1863">
        <v>50</v>
      </c>
      <c r="R1863">
        <v>0.6</v>
      </c>
      <c r="S1863">
        <v>30</v>
      </c>
      <c r="T1863">
        <v>23</v>
      </c>
      <c r="U1863">
        <v>23.33</v>
      </c>
      <c r="V1863" t="str">
        <f>VLOOKUP(L1863,'[2]tabela de preços'!$A:$D,4,0)</f>
        <v>3M</v>
      </c>
      <c r="W1863" t="str">
        <f>VLOOKUP(L1863,'[2]tabela de preços'!$A:$F,6,0)</f>
        <v>LIXA MASSA  /MADEIRA / PAREDE</v>
      </c>
      <c r="X1863" t="str">
        <f>VLOOKUP(L1863,'[2]tabela de preços'!$A:$G,7,0)</f>
        <v>IMOBILIÁRIO</v>
      </c>
    </row>
    <row r="1864" spans="1:24" x14ac:dyDescent="0.3">
      <c r="A1864" t="s">
        <v>1941</v>
      </c>
      <c r="C1864" t="s">
        <v>1942</v>
      </c>
      <c r="D1864" s="1">
        <v>46043</v>
      </c>
      <c r="E1864" t="s">
        <v>1943</v>
      </c>
      <c r="F1864">
        <v>9</v>
      </c>
      <c r="G1864">
        <v>236</v>
      </c>
      <c r="H1864" t="str">
        <f>VLOOKUP(G1864,[1]OPERADORES!$A:$B,2,0)</f>
        <v>DANIEL</v>
      </c>
      <c r="I1864" t="s">
        <v>21</v>
      </c>
      <c r="J1864" t="s">
        <v>22</v>
      </c>
      <c r="K1864" t="s">
        <v>1944</v>
      </c>
      <c r="L1864">
        <v>85698</v>
      </c>
      <c r="M1864" t="s">
        <v>1946</v>
      </c>
      <c r="O1864" t="s">
        <v>11</v>
      </c>
      <c r="P1864">
        <v>5102</v>
      </c>
      <c r="Q1864">
        <v>5</v>
      </c>
      <c r="R1864">
        <v>129.9</v>
      </c>
      <c r="S1864">
        <v>649.5</v>
      </c>
      <c r="T1864">
        <v>519.29999999999995</v>
      </c>
      <c r="U1864">
        <v>20.05</v>
      </c>
      <c r="V1864" t="str">
        <f>VLOOKUP(L1864,'[2]tabela de preços'!$A:$D,4,0)</f>
        <v>SIMAPPEL</v>
      </c>
      <c r="W1864" t="str">
        <f>VLOOKUP(L1864,'[2]tabela de preços'!$A:$F,6,0)</f>
        <v>PAPELAO ONDULADO</v>
      </c>
      <c r="X1864" t="str">
        <f>VLOOKUP(L1864,'[2]tabela de preços'!$A:$G,7,0)</f>
        <v>IMOBILIÁRIO</v>
      </c>
    </row>
    <row r="1865" spans="1:24" x14ac:dyDescent="0.3">
      <c r="A1865" t="s">
        <v>1947</v>
      </c>
      <c r="B1865" t="s">
        <v>1948</v>
      </c>
      <c r="C1865" t="s">
        <v>1949</v>
      </c>
      <c r="D1865" s="1">
        <v>46034</v>
      </c>
      <c r="E1865" t="s">
        <v>1950</v>
      </c>
      <c r="F1865">
        <v>9</v>
      </c>
      <c r="G1865">
        <v>236</v>
      </c>
      <c r="H1865" t="str">
        <f>VLOOKUP(G1865,[1]OPERADORES!$A:$B,2,0)</f>
        <v>DANIEL</v>
      </c>
      <c r="I1865" t="s">
        <v>21</v>
      </c>
      <c r="J1865" t="s">
        <v>1951</v>
      </c>
      <c r="K1865" t="s">
        <v>1952</v>
      </c>
      <c r="L1865">
        <v>85772</v>
      </c>
      <c r="M1865" t="s">
        <v>54</v>
      </c>
      <c r="O1865" t="s">
        <v>11</v>
      </c>
      <c r="P1865">
        <v>5403</v>
      </c>
      <c r="Q1865">
        <v>1</v>
      </c>
      <c r="R1865">
        <v>78.11</v>
      </c>
      <c r="S1865">
        <v>78.11</v>
      </c>
      <c r="T1865">
        <v>59.28</v>
      </c>
      <c r="U1865">
        <v>24.11</v>
      </c>
      <c r="V1865" t="str">
        <f>VLOOKUP(L1865,'[2]tabela de preços'!$A:$D,4,0)</f>
        <v>CORAL</v>
      </c>
      <c r="W1865" t="str">
        <f>VLOOKUP(L1865,'[2]tabela de preços'!$A:$F,6,0)</f>
        <v>TINTA PAREDE</v>
      </c>
      <c r="X1865" t="str">
        <f>VLOOKUP(L1865,'[2]tabela de preços'!$A:$G,7,0)</f>
        <v>IMOBILIÁRIO</v>
      </c>
    </row>
    <row r="1866" spans="1:24" x14ac:dyDescent="0.3">
      <c r="A1866" t="s">
        <v>1947</v>
      </c>
      <c r="B1866" t="s">
        <v>1948</v>
      </c>
      <c r="C1866" t="s">
        <v>1949</v>
      </c>
      <c r="D1866" s="1">
        <v>46034</v>
      </c>
      <c r="E1866" t="s">
        <v>1950</v>
      </c>
      <c r="F1866">
        <v>9</v>
      </c>
      <c r="G1866">
        <v>236</v>
      </c>
      <c r="H1866" t="str">
        <f>VLOOKUP(G1866,[1]OPERADORES!$A:$B,2,0)</f>
        <v>DANIEL</v>
      </c>
      <c r="I1866" t="s">
        <v>21</v>
      </c>
      <c r="J1866" t="s">
        <v>1951</v>
      </c>
      <c r="K1866" t="s">
        <v>1952</v>
      </c>
      <c r="L1866">
        <v>84411</v>
      </c>
      <c r="M1866" t="s">
        <v>35</v>
      </c>
      <c r="O1866" t="s">
        <v>11</v>
      </c>
      <c r="P1866">
        <v>5102</v>
      </c>
      <c r="Q1866">
        <v>10</v>
      </c>
      <c r="R1866">
        <v>4.29</v>
      </c>
      <c r="S1866">
        <v>42.9</v>
      </c>
      <c r="T1866">
        <v>35.4</v>
      </c>
      <c r="U1866">
        <v>17.48</v>
      </c>
      <c r="V1866" t="str">
        <f>VLOOKUP(L1866,'[2]tabela de preços'!$A:$D,4,0)</f>
        <v>ADERE</v>
      </c>
      <c r="W1866" t="str">
        <f>VLOOKUP(L1866,'[2]tabela de preços'!$A:$F,6,0)</f>
        <v xml:space="preserve">FITA DE USO GERAL </v>
      </c>
      <c r="X1866" t="str">
        <f>VLOOKUP(L1866,'[2]tabela de preços'!$A:$G,7,0)</f>
        <v>IMOBILIÁRIO</v>
      </c>
    </row>
    <row r="1867" spans="1:24" x14ac:dyDescent="0.3">
      <c r="A1867" t="s">
        <v>1947</v>
      </c>
      <c r="B1867" t="s">
        <v>1948</v>
      </c>
      <c r="C1867" t="s">
        <v>1949</v>
      </c>
      <c r="D1867" s="1">
        <v>46034</v>
      </c>
      <c r="E1867" t="s">
        <v>1950</v>
      </c>
      <c r="F1867">
        <v>9</v>
      </c>
      <c r="G1867">
        <v>236</v>
      </c>
      <c r="H1867" t="str">
        <f>VLOOKUP(G1867,[1]OPERADORES!$A:$B,2,0)</f>
        <v>DANIEL</v>
      </c>
      <c r="I1867" t="s">
        <v>21</v>
      </c>
      <c r="J1867" t="s">
        <v>1951</v>
      </c>
      <c r="K1867" t="s">
        <v>1952</v>
      </c>
      <c r="L1867">
        <v>84928</v>
      </c>
      <c r="M1867" t="s">
        <v>36</v>
      </c>
      <c r="O1867" t="s">
        <v>11</v>
      </c>
      <c r="P1867">
        <v>5102</v>
      </c>
      <c r="Q1867">
        <v>6</v>
      </c>
      <c r="R1867">
        <v>9.7200000000000006</v>
      </c>
      <c r="S1867">
        <v>58.32</v>
      </c>
      <c r="T1867">
        <v>42.78</v>
      </c>
      <c r="U1867">
        <v>26.65</v>
      </c>
      <c r="V1867" t="str">
        <f>VLOOKUP(L1867,'[2]tabela de preços'!$A:$D,4,0)</f>
        <v>ADERE</v>
      </c>
      <c r="W1867" t="str">
        <f>VLOOKUP(L1867,'[2]tabela de preços'!$A:$F,6,0)</f>
        <v xml:space="preserve">FITA DE USO GERAL </v>
      </c>
      <c r="X1867" t="str">
        <f>VLOOKUP(L1867,'[2]tabela de preços'!$A:$G,7,0)</f>
        <v>IMOBILIÁRIO</v>
      </c>
    </row>
    <row r="1868" spans="1:24" x14ac:dyDescent="0.3">
      <c r="A1868" t="s">
        <v>1947</v>
      </c>
      <c r="B1868" t="s">
        <v>1948</v>
      </c>
      <c r="C1868" t="s">
        <v>1949</v>
      </c>
      <c r="D1868" s="1">
        <v>46034</v>
      </c>
      <c r="E1868" t="s">
        <v>1950</v>
      </c>
      <c r="F1868">
        <v>9</v>
      </c>
      <c r="G1868">
        <v>236</v>
      </c>
      <c r="H1868" t="str">
        <f>VLOOKUP(G1868,[1]OPERADORES!$A:$B,2,0)</f>
        <v>DANIEL</v>
      </c>
      <c r="I1868" t="s">
        <v>21</v>
      </c>
      <c r="J1868" t="s">
        <v>1951</v>
      </c>
      <c r="K1868" t="s">
        <v>1952</v>
      </c>
      <c r="L1868">
        <v>84021</v>
      </c>
      <c r="M1868" t="s">
        <v>1945</v>
      </c>
      <c r="O1868" t="s">
        <v>11</v>
      </c>
      <c r="P1868">
        <v>5102</v>
      </c>
      <c r="Q1868">
        <v>20</v>
      </c>
      <c r="R1868">
        <v>0.62</v>
      </c>
      <c r="S1868">
        <v>12.4</v>
      </c>
      <c r="T1868">
        <v>9.1999999999999993</v>
      </c>
      <c r="U1868">
        <v>25.81</v>
      </c>
      <c r="V1868" t="str">
        <f>VLOOKUP(L1868,'[2]tabela de preços'!$A:$D,4,0)</f>
        <v>3M</v>
      </c>
      <c r="W1868" t="str">
        <f>VLOOKUP(L1868,'[2]tabela de preços'!$A:$F,6,0)</f>
        <v>LIXA MASSA  /MADEIRA / PAREDE</v>
      </c>
      <c r="X1868" t="str">
        <f>VLOOKUP(L1868,'[2]tabela de preços'!$A:$G,7,0)</f>
        <v>IMOBILIÁRIO</v>
      </c>
    </row>
    <row r="1869" spans="1:24" x14ac:dyDescent="0.3">
      <c r="A1869" t="s">
        <v>1947</v>
      </c>
      <c r="B1869" t="s">
        <v>1948</v>
      </c>
      <c r="C1869" t="s">
        <v>1949</v>
      </c>
      <c r="D1869" s="1">
        <v>46034</v>
      </c>
      <c r="E1869" t="s">
        <v>1950</v>
      </c>
      <c r="F1869">
        <v>9</v>
      </c>
      <c r="G1869">
        <v>236</v>
      </c>
      <c r="H1869" t="str">
        <f>VLOOKUP(G1869,[1]OPERADORES!$A:$B,2,0)</f>
        <v>DANIEL</v>
      </c>
      <c r="I1869" t="s">
        <v>21</v>
      </c>
      <c r="J1869" t="s">
        <v>1951</v>
      </c>
      <c r="K1869" t="s">
        <v>1952</v>
      </c>
      <c r="L1869">
        <v>84017</v>
      </c>
      <c r="M1869" t="s">
        <v>519</v>
      </c>
      <c r="O1869" t="s">
        <v>11</v>
      </c>
      <c r="P1869">
        <v>5102</v>
      </c>
      <c r="Q1869">
        <v>20</v>
      </c>
      <c r="R1869">
        <v>0.62</v>
      </c>
      <c r="S1869">
        <v>12.4</v>
      </c>
      <c r="T1869">
        <v>9.1999999999999993</v>
      </c>
      <c r="U1869">
        <v>25.81</v>
      </c>
      <c r="V1869" t="str">
        <f>VLOOKUP(L1869,'[2]tabela de preços'!$A:$D,4,0)</f>
        <v>3M</v>
      </c>
      <c r="W1869" t="str">
        <f>VLOOKUP(L1869,'[2]tabela de preços'!$A:$F,6,0)</f>
        <v>LIXA MASSA  /MADEIRA / PAREDE</v>
      </c>
      <c r="X1869" t="str">
        <f>VLOOKUP(L1869,'[2]tabela de preços'!$A:$G,7,0)</f>
        <v>IMOBILIÁRIO</v>
      </c>
    </row>
    <row r="1870" spans="1:24" x14ac:dyDescent="0.3">
      <c r="A1870" t="s">
        <v>1947</v>
      </c>
      <c r="B1870" t="s">
        <v>1948</v>
      </c>
      <c r="C1870" t="s">
        <v>1949</v>
      </c>
      <c r="D1870" s="1">
        <v>46034</v>
      </c>
      <c r="E1870" t="s">
        <v>1950</v>
      </c>
      <c r="F1870">
        <v>9</v>
      </c>
      <c r="G1870">
        <v>236</v>
      </c>
      <c r="H1870" t="str">
        <f>VLOOKUP(G1870,[1]OPERADORES!$A:$B,2,0)</f>
        <v>DANIEL</v>
      </c>
      <c r="I1870" t="s">
        <v>21</v>
      </c>
      <c r="J1870" t="s">
        <v>1951</v>
      </c>
      <c r="K1870" t="s">
        <v>1952</v>
      </c>
      <c r="L1870">
        <v>85583</v>
      </c>
      <c r="M1870" t="s">
        <v>970</v>
      </c>
      <c r="O1870" t="s">
        <v>11</v>
      </c>
      <c r="P1870">
        <v>5102</v>
      </c>
      <c r="Q1870">
        <v>2</v>
      </c>
      <c r="R1870">
        <v>37</v>
      </c>
      <c r="S1870">
        <v>74</v>
      </c>
      <c r="T1870">
        <v>54.26</v>
      </c>
      <c r="U1870">
        <v>26.68</v>
      </c>
      <c r="V1870" t="str">
        <f>VLOOKUP(L1870,'[2]tabela de preços'!$A:$D,4,0)</f>
        <v>DÁVILA  INOVE</v>
      </c>
      <c r="W1870" t="str">
        <f>VLOOKUP(L1870,'[2]tabela de preços'!$A:$F,6,0)</f>
        <v>MASSA CORRIDA / ACRÍLICA</v>
      </c>
      <c r="X1870" t="str">
        <f>VLOOKUP(L1870,'[2]tabela de preços'!$A:$G,7,0)</f>
        <v>IMOBILIÁRIO</v>
      </c>
    </row>
    <row r="1871" spans="1:24" x14ac:dyDescent="0.3">
      <c r="A1871" t="s">
        <v>1947</v>
      </c>
      <c r="B1871" t="s">
        <v>1948</v>
      </c>
      <c r="C1871" t="s">
        <v>1953</v>
      </c>
      <c r="D1871" s="1">
        <v>46044</v>
      </c>
      <c r="E1871" t="s">
        <v>1954</v>
      </c>
      <c r="F1871">
        <v>9</v>
      </c>
      <c r="G1871">
        <v>236</v>
      </c>
      <c r="H1871" t="str">
        <f>VLOOKUP(G1871,[1]OPERADORES!$A:$B,2,0)</f>
        <v>DANIEL</v>
      </c>
      <c r="I1871" t="s">
        <v>21</v>
      </c>
      <c r="J1871" t="s">
        <v>1951</v>
      </c>
      <c r="K1871" t="s">
        <v>1952</v>
      </c>
      <c r="L1871">
        <v>84438</v>
      </c>
      <c r="M1871" t="s">
        <v>1955</v>
      </c>
      <c r="O1871" t="s">
        <v>11</v>
      </c>
      <c r="P1871">
        <v>5102</v>
      </c>
      <c r="Q1871">
        <v>10</v>
      </c>
      <c r="R1871">
        <v>7.16</v>
      </c>
      <c r="S1871">
        <v>71.599999999999994</v>
      </c>
      <c r="T1871">
        <v>54.3</v>
      </c>
      <c r="U1871">
        <v>24.16</v>
      </c>
      <c r="V1871" t="str">
        <f>VLOOKUP(L1871,'[2]tabela de preços'!$A:$D,4,0)</f>
        <v>ATLAS</v>
      </c>
      <c r="W1871" t="str">
        <f>VLOOKUP(L1871,'[2]tabela de preços'!$A:$F,6,0)</f>
        <v>ROLOS / TRINCHAS / PINCÉIS / ESPÁTULAS</v>
      </c>
      <c r="X1871" t="str">
        <f>VLOOKUP(L1871,'[2]tabela de preços'!$A:$G,7,0)</f>
        <v>IMOBILIÁRIO</v>
      </c>
    </row>
    <row r="1872" spans="1:24" x14ac:dyDescent="0.3">
      <c r="A1872" t="s">
        <v>1947</v>
      </c>
      <c r="B1872" t="s">
        <v>1948</v>
      </c>
      <c r="C1872" t="s">
        <v>1953</v>
      </c>
      <c r="D1872" s="1">
        <v>46044</v>
      </c>
      <c r="E1872" t="s">
        <v>1954</v>
      </c>
      <c r="F1872">
        <v>9</v>
      </c>
      <c r="G1872">
        <v>236</v>
      </c>
      <c r="H1872" t="str">
        <f>VLOOKUP(G1872,[1]OPERADORES!$A:$B,2,0)</f>
        <v>DANIEL</v>
      </c>
      <c r="I1872" t="s">
        <v>21</v>
      </c>
      <c r="J1872" t="s">
        <v>1951</v>
      </c>
      <c r="K1872" t="s">
        <v>1952</v>
      </c>
      <c r="L1872">
        <v>23878</v>
      </c>
      <c r="M1872" t="s">
        <v>851</v>
      </c>
      <c r="O1872" t="s">
        <v>11</v>
      </c>
      <c r="P1872">
        <v>5102</v>
      </c>
      <c r="Q1872">
        <v>10</v>
      </c>
      <c r="R1872">
        <v>8.41</v>
      </c>
      <c r="S1872">
        <v>84.1</v>
      </c>
      <c r="T1872">
        <v>63.8</v>
      </c>
      <c r="U1872">
        <v>24.14</v>
      </c>
      <c r="V1872" t="str">
        <f>VLOOKUP(L1872,'[2]tabela de preços'!$A:$D,4,0)</f>
        <v>ATLAS</v>
      </c>
      <c r="W1872" t="str">
        <f>VLOOKUP(L1872,'[2]tabela de preços'!$A:$F,6,0)</f>
        <v>ROLOS / TRINCHAS / PINCÉIS / ESPÁTULAS</v>
      </c>
      <c r="X1872" t="str">
        <f>VLOOKUP(L1872,'[2]tabela de preços'!$A:$G,7,0)</f>
        <v>IMOBILIÁRIO</v>
      </c>
    </row>
    <row r="1873" spans="1:24" x14ac:dyDescent="0.3">
      <c r="A1873" t="s">
        <v>1947</v>
      </c>
      <c r="B1873" t="s">
        <v>1948</v>
      </c>
      <c r="C1873" t="s">
        <v>1953</v>
      </c>
      <c r="D1873" s="1">
        <v>46044</v>
      </c>
      <c r="E1873" t="s">
        <v>1954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1951</v>
      </c>
      <c r="K1873" t="s">
        <v>1952</v>
      </c>
      <c r="L1873">
        <v>57</v>
      </c>
      <c r="M1873" t="s">
        <v>1089</v>
      </c>
      <c r="O1873" t="s">
        <v>11</v>
      </c>
      <c r="P1873">
        <v>5102</v>
      </c>
      <c r="Q1873">
        <v>50</v>
      </c>
      <c r="R1873">
        <v>0.96</v>
      </c>
      <c r="S1873">
        <v>48</v>
      </c>
      <c r="T1873">
        <v>36.5</v>
      </c>
      <c r="U1873">
        <v>23.96</v>
      </c>
      <c r="V1873" t="str">
        <f>VLOOKUP(L1873,'[2]tabela de preços'!$A:$D,4,0)</f>
        <v>3M</v>
      </c>
      <c r="W1873" t="str">
        <f>VLOOKUP(L1873,'[2]tabela de preços'!$A:$F,6,0)</f>
        <v>LIXA DÁGUA</v>
      </c>
      <c r="X1873" t="str">
        <f>VLOOKUP(L1873,'[2]tabela de preços'!$A:$G,7,0)</f>
        <v>AUTOMOTIVO</v>
      </c>
    </row>
    <row r="1874" spans="1:24" x14ac:dyDescent="0.3">
      <c r="A1874" t="s">
        <v>1947</v>
      </c>
      <c r="B1874" t="s">
        <v>1948</v>
      </c>
      <c r="C1874" t="s">
        <v>1953</v>
      </c>
      <c r="D1874" s="1">
        <v>46044</v>
      </c>
      <c r="E1874" t="s">
        <v>1954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1951</v>
      </c>
      <c r="K1874" t="s">
        <v>1952</v>
      </c>
      <c r="L1874">
        <v>84016</v>
      </c>
      <c r="M1874" t="s">
        <v>862</v>
      </c>
      <c r="O1874" t="s">
        <v>11</v>
      </c>
      <c r="P1874">
        <v>5102</v>
      </c>
      <c r="Q1874">
        <v>300</v>
      </c>
      <c r="R1874">
        <v>0.6</v>
      </c>
      <c r="S1874">
        <v>180</v>
      </c>
      <c r="T1874">
        <v>138</v>
      </c>
      <c r="U1874">
        <v>23.33</v>
      </c>
      <c r="V1874" t="str">
        <f>VLOOKUP(L1874,'[2]tabela de preços'!$A:$D,4,0)</f>
        <v>3M</v>
      </c>
      <c r="W1874" t="str">
        <f>VLOOKUP(L1874,'[2]tabela de preços'!$A:$F,6,0)</f>
        <v>LIXA MASSA  /MADEIRA / PAREDE</v>
      </c>
      <c r="X1874" t="str">
        <f>VLOOKUP(L1874,'[2]tabela de preços'!$A:$G,7,0)</f>
        <v>IMOBILIÁRIO</v>
      </c>
    </row>
    <row r="1875" spans="1:24" x14ac:dyDescent="0.3">
      <c r="A1875" t="s">
        <v>1947</v>
      </c>
      <c r="B1875" t="s">
        <v>1948</v>
      </c>
      <c r="C1875" t="s">
        <v>1953</v>
      </c>
      <c r="D1875" s="1">
        <v>46044</v>
      </c>
      <c r="E1875" t="s">
        <v>1954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1951</v>
      </c>
      <c r="K1875" t="s">
        <v>1952</v>
      </c>
      <c r="L1875">
        <v>84435</v>
      </c>
      <c r="M1875" t="s">
        <v>1956</v>
      </c>
      <c r="O1875" t="s">
        <v>11</v>
      </c>
      <c r="P1875">
        <v>5102</v>
      </c>
      <c r="Q1875">
        <v>20</v>
      </c>
      <c r="R1875">
        <v>16.809999999999999</v>
      </c>
      <c r="S1875">
        <v>336.2</v>
      </c>
      <c r="T1875">
        <v>255.2</v>
      </c>
      <c r="U1875">
        <v>24.09</v>
      </c>
      <c r="V1875" t="str">
        <f>VLOOKUP(L1875,'[2]tabela de preços'!$A:$D,4,0)</f>
        <v>ATLAS</v>
      </c>
      <c r="W1875" t="str">
        <f>VLOOKUP(L1875,'[2]tabela de preços'!$A:$F,6,0)</f>
        <v>ROLOS / TRINCHAS / PINCÉIS / ESPÁTULAS</v>
      </c>
      <c r="X1875" t="str">
        <f>VLOOKUP(L1875,'[2]tabela de preços'!$A:$G,7,0)</f>
        <v>IMOBILIÁRIO</v>
      </c>
    </row>
    <row r="1876" spans="1:24" x14ac:dyDescent="0.3">
      <c r="A1876" t="s">
        <v>1947</v>
      </c>
      <c r="B1876" t="s">
        <v>1948</v>
      </c>
      <c r="C1876" t="s">
        <v>1953</v>
      </c>
      <c r="D1876" s="1">
        <v>46044</v>
      </c>
      <c r="E1876" t="s">
        <v>1954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1951</v>
      </c>
      <c r="K1876" t="s">
        <v>1952</v>
      </c>
      <c r="L1876">
        <v>84426</v>
      </c>
      <c r="M1876" t="s">
        <v>1957</v>
      </c>
      <c r="O1876" t="s">
        <v>11</v>
      </c>
      <c r="P1876">
        <v>5102</v>
      </c>
      <c r="Q1876">
        <v>49</v>
      </c>
      <c r="R1876">
        <v>4.32</v>
      </c>
      <c r="S1876">
        <v>211.68</v>
      </c>
      <c r="T1876">
        <v>160.72</v>
      </c>
      <c r="U1876">
        <v>24.07</v>
      </c>
      <c r="V1876" t="str">
        <f>VLOOKUP(L1876,'[2]tabela de preços'!$A:$D,4,0)</f>
        <v>ATLAS</v>
      </c>
      <c r="W1876" t="str">
        <f>VLOOKUP(L1876,'[2]tabela de preços'!$A:$F,6,0)</f>
        <v>ROLOS / TRINCHAS / PINCÉIS / ESPÁTULAS</v>
      </c>
      <c r="X1876" t="str">
        <f>VLOOKUP(L1876,'[2]tabela de preços'!$A:$G,7,0)</f>
        <v>IMOBILIÁRIO</v>
      </c>
    </row>
    <row r="1877" spans="1:24" x14ac:dyDescent="0.3">
      <c r="A1877" t="s">
        <v>1947</v>
      </c>
      <c r="B1877" t="s">
        <v>1948</v>
      </c>
      <c r="C1877" t="s">
        <v>1953</v>
      </c>
      <c r="D1877" s="1">
        <v>46044</v>
      </c>
      <c r="E1877" t="s">
        <v>1954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1951</v>
      </c>
      <c r="K1877" t="s">
        <v>1952</v>
      </c>
      <c r="L1877">
        <v>10114</v>
      </c>
      <c r="M1877" t="s">
        <v>571</v>
      </c>
      <c r="O1877" t="s">
        <v>11</v>
      </c>
      <c r="P1877">
        <v>5102</v>
      </c>
      <c r="Q1877">
        <v>30</v>
      </c>
      <c r="R1877">
        <v>3.95</v>
      </c>
      <c r="S1877">
        <v>118.5</v>
      </c>
      <c r="T1877">
        <v>90</v>
      </c>
      <c r="U1877">
        <v>24.05</v>
      </c>
      <c r="V1877" t="str">
        <f>VLOOKUP(L1877,'[2]tabela de preços'!$A:$D,4,0)</f>
        <v>ATLAS</v>
      </c>
      <c r="W1877" t="str">
        <f>VLOOKUP(L1877,'[2]tabela de preços'!$A:$F,6,0)</f>
        <v>ROLOS / TRINCHAS / PINCÉIS / ESPÁTULAS</v>
      </c>
      <c r="X1877" t="str">
        <f>VLOOKUP(L1877,'[2]tabela de preços'!$A:$G,7,0)</f>
        <v>IMOBILIÁRIO</v>
      </c>
    </row>
    <row r="1878" spans="1:24" x14ac:dyDescent="0.3">
      <c r="A1878" t="s">
        <v>1947</v>
      </c>
      <c r="B1878" t="s">
        <v>1948</v>
      </c>
      <c r="C1878" t="s">
        <v>1953</v>
      </c>
      <c r="D1878" s="1">
        <v>46044</v>
      </c>
      <c r="E1878" t="s">
        <v>1954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1951</v>
      </c>
      <c r="K1878" t="s">
        <v>1952</v>
      </c>
      <c r="L1878">
        <v>10118</v>
      </c>
      <c r="M1878" t="s">
        <v>572</v>
      </c>
      <c r="O1878" t="s">
        <v>11</v>
      </c>
      <c r="P1878">
        <v>5102</v>
      </c>
      <c r="Q1878">
        <v>28</v>
      </c>
      <c r="R1878">
        <v>5.0199999999999996</v>
      </c>
      <c r="S1878">
        <v>140.56</v>
      </c>
      <c r="T1878">
        <v>106.68</v>
      </c>
      <c r="U1878">
        <v>24.1</v>
      </c>
      <c r="V1878" t="str">
        <f>VLOOKUP(L1878,'[2]tabela de preços'!$A:$D,4,0)</f>
        <v>ATLAS</v>
      </c>
      <c r="W1878" t="str">
        <f>VLOOKUP(L1878,'[2]tabela de preços'!$A:$F,6,0)</f>
        <v>ROLOS / TRINCHAS / PINCÉIS / ESPÁTULAS</v>
      </c>
      <c r="X1878" t="str">
        <f>VLOOKUP(L1878,'[2]tabela de preços'!$A:$G,7,0)</f>
        <v>IMOBILIÁRIO</v>
      </c>
    </row>
    <row r="1879" spans="1:24" x14ac:dyDescent="0.3">
      <c r="A1879" t="s">
        <v>1947</v>
      </c>
      <c r="B1879" t="s">
        <v>1948</v>
      </c>
      <c r="C1879" t="s">
        <v>1958</v>
      </c>
      <c r="D1879" s="1">
        <v>46051</v>
      </c>
      <c r="E1879" t="s">
        <v>1959</v>
      </c>
      <c r="F1879">
        <v>9</v>
      </c>
      <c r="G1879">
        <v>236</v>
      </c>
      <c r="H1879" t="str">
        <f>VLOOKUP(G1879,[1]OPERADORES!$A:$B,2,0)</f>
        <v>DANIEL</v>
      </c>
      <c r="I1879" t="s">
        <v>21</v>
      </c>
      <c r="J1879" t="s">
        <v>1951</v>
      </c>
      <c r="K1879" t="s">
        <v>1952</v>
      </c>
      <c r="L1879">
        <v>84099</v>
      </c>
      <c r="M1879" t="s">
        <v>1960</v>
      </c>
      <c r="O1879" t="s">
        <v>11</v>
      </c>
      <c r="P1879">
        <v>5403</v>
      </c>
      <c r="Q1879">
        <v>4</v>
      </c>
      <c r="R1879">
        <v>81.44</v>
      </c>
      <c r="S1879">
        <v>325.76</v>
      </c>
      <c r="T1879">
        <v>259</v>
      </c>
      <c r="U1879">
        <v>20.49</v>
      </c>
      <c r="V1879" t="str">
        <f>VLOOKUP(L1879,'[2]tabela de preços'!$A:$D,4,0)</f>
        <v>BRASILUX</v>
      </c>
      <c r="W1879" t="str">
        <f>VLOOKUP(L1879,'[2]tabela de preços'!$A:$F,6,0)</f>
        <v>ESMALTES</v>
      </c>
      <c r="X1879" t="str">
        <f>VLOOKUP(L1879,'[2]tabela de preços'!$A:$G,7,0)</f>
        <v>INDUSTRIAL</v>
      </c>
    </row>
    <row r="1880" spans="1:24" x14ac:dyDescent="0.3">
      <c r="A1880" t="s">
        <v>1947</v>
      </c>
      <c r="B1880" t="s">
        <v>1948</v>
      </c>
      <c r="C1880" t="s">
        <v>1958</v>
      </c>
      <c r="D1880" s="1">
        <v>46051</v>
      </c>
      <c r="E1880" t="s">
        <v>1959</v>
      </c>
      <c r="F1880">
        <v>9</v>
      </c>
      <c r="G1880">
        <v>236</v>
      </c>
      <c r="H1880" t="str">
        <f>VLOOKUP(G1880,[1]OPERADORES!$A:$B,2,0)</f>
        <v>DANIEL</v>
      </c>
      <c r="I1880" t="s">
        <v>21</v>
      </c>
      <c r="J1880" t="s">
        <v>1951</v>
      </c>
      <c r="K1880" t="s">
        <v>1952</v>
      </c>
      <c r="L1880">
        <v>84101</v>
      </c>
      <c r="M1880" t="s">
        <v>986</v>
      </c>
      <c r="O1880" t="s">
        <v>11</v>
      </c>
      <c r="P1880">
        <v>5403</v>
      </c>
      <c r="Q1880">
        <v>10</v>
      </c>
      <c r="R1880">
        <v>81.44</v>
      </c>
      <c r="S1880">
        <v>814.4</v>
      </c>
      <c r="T1880">
        <v>609.70000000000005</v>
      </c>
      <c r="U1880">
        <v>25.14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1947</v>
      </c>
      <c r="B1881" t="s">
        <v>1948</v>
      </c>
      <c r="C1881" t="s">
        <v>1958</v>
      </c>
      <c r="D1881" s="1">
        <v>46051</v>
      </c>
      <c r="E1881" t="s">
        <v>1959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1951</v>
      </c>
      <c r="K1881" t="s">
        <v>1952</v>
      </c>
      <c r="L1881">
        <v>84497</v>
      </c>
      <c r="M1881" t="s">
        <v>1159</v>
      </c>
      <c r="O1881" t="s">
        <v>11</v>
      </c>
      <c r="P1881">
        <v>5102</v>
      </c>
      <c r="Q1881">
        <v>56</v>
      </c>
      <c r="R1881">
        <v>9.99</v>
      </c>
      <c r="S1881">
        <v>559.44000000000005</v>
      </c>
      <c r="T1881">
        <v>455.84</v>
      </c>
      <c r="U1881">
        <v>18.52</v>
      </c>
      <c r="V1881" t="str">
        <f>VLOOKUP(L1881,'[2]tabela de preços'!$A:$D,4,0)</f>
        <v>BRASILUX</v>
      </c>
      <c r="W1881" t="str">
        <f>VLOOKUP(L1881,'[2]tabela de preços'!$A:$F,6,0)</f>
        <v>THINNER DE LIMPEZA</v>
      </c>
      <c r="X1881" t="str">
        <f>VLOOKUP(L1881,'[2]tabela de preços'!$A:$G,7,0)</f>
        <v>THINNER</v>
      </c>
    </row>
    <row r="1882" spans="1:24" x14ac:dyDescent="0.3">
      <c r="A1882" t="s">
        <v>1961</v>
      </c>
      <c r="C1882" t="s">
        <v>1962</v>
      </c>
      <c r="D1882" s="1">
        <v>46030</v>
      </c>
      <c r="E1882" t="s">
        <v>1963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21</v>
      </c>
      <c r="J1882" t="s">
        <v>762</v>
      </c>
      <c r="K1882" t="s">
        <v>1964</v>
      </c>
      <c r="L1882">
        <v>5</v>
      </c>
      <c r="M1882" t="s">
        <v>147</v>
      </c>
      <c r="O1882" t="s">
        <v>11</v>
      </c>
      <c r="P1882">
        <v>5102</v>
      </c>
      <c r="Q1882">
        <v>20</v>
      </c>
      <c r="R1882">
        <v>4.8499999999999996</v>
      </c>
      <c r="S1882">
        <v>97</v>
      </c>
      <c r="T1882">
        <v>78.2</v>
      </c>
      <c r="U1882">
        <v>19.38</v>
      </c>
      <c r="V1882" t="str">
        <f>VLOOKUP(L1882,'[2]tabela de preços'!$A:$D,4,0)</f>
        <v>BRILHO ESTOPA</v>
      </c>
      <c r="W1882" t="str">
        <f>VLOOKUP(L1882,'[2]tabela de preços'!$A:$F,6,0)</f>
        <v>ESTOPAS</v>
      </c>
      <c r="X1882" t="str">
        <f>VLOOKUP(L1882,'[2]tabela de preços'!$A:$G,7,0)</f>
        <v>AUTOMOTIVO</v>
      </c>
    </row>
    <row r="1883" spans="1:24" x14ac:dyDescent="0.3">
      <c r="A1883" t="s">
        <v>1961</v>
      </c>
      <c r="C1883" t="s">
        <v>1962</v>
      </c>
      <c r="D1883" s="1">
        <v>46030</v>
      </c>
      <c r="E1883" t="s">
        <v>1963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21</v>
      </c>
      <c r="J1883" t="s">
        <v>762</v>
      </c>
      <c r="K1883" t="s">
        <v>1964</v>
      </c>
      <c r="L1883">
        <v>84499</v>
      </c>
      <c r="M1883" t="s">
        <v>534</v>
      </c>
      <c r="O1883" t="s">
        <v>11</v>
      </c>
      <c r="P1883">
        <v>5102</v>
      </c>
      <c r="Q1883">
        <v>3</v>
      </c>
      <c r="R1883">
        <v>182.85</v>
      </c>
      <c r="S1883">
        <v>548.54999999999995</v>
      </c>
      <c r="T1883">
        <v>402.15</v>
      </c>
      <c r="U1883">
        <v>26.69</v>
      </c>
      <c r="V1883" t="str">
        <f>VLOOKUP(L1883,'[2]tabela de preços'!$A:$D,4,0)</f>
        <v>BRASILUX</v>
      </c>
      <c r="W1883" t="str">
        <f>VLOOKUP(L1883,'[2]tabela de preços'!$A:$F,6,0)</f>
        <v>THINNER DE LIMPEZA</v>
      </c>
      <c r="X1883" t="str">
        <f>VLOOKUP(L1883,'[2]tabela de preços'!$A:$G,7,0)</f>
        <v>THINNER</v>
      </c>
    </row>
    <row r="1884" spans="1:24" x14ac:dyDescent="0.3">
      <c r="A1884" t="s">
        <v>1965</v>
      </c>
      <c r="C1884" t="s">
        <v>1966</v>
      </c>
      <c r="D1884" s="1">
        <v>46045</v>
      </c>
      <c r="E1884" t="s">
        <v>1967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282</v>
      </c>
      <c r="J1884" t="s">
        <v>1294</v>
      </c>
      <c r="K1884" t="s">
        <v>1968</v>
      </c>
      <c r="L1884">
        <v>84026</v>
      </c>
      <c r="M1884" t="s">
        <v>816</v>
      </c>
      <c r="O1884" t="s">
        <v>11</v>
      </c>
      <c r="P1884">
        <v>6102</v>
      </c>
      <c r="Q1884">
        <v>10</v>
      </c>
      <c r="R1884">
        <v>9.15</v>
      </c>
      <c r="S1884">
        <v>91.5</v>
      </c>
      <c r="T1884">
        <v>69.5</v>
      </c>
      <c r="U1884">
        <v>24.04</v>
      </c>
      <c r="V1884" t="str">
        <f>VLOOKUP(L1884,'[2]tabela de preços'!$A:$D,4,0)</f>
        <v>BRASILUX</v>
      </c>
      <c r="W1884" t="str">
        <f>VLOOKUP(L1884,'[2]tabela de preços'!$A:$F,6,0)</f>
        <v>CATALISADORES INDIVIDUAIS</v>
      </c>
      <c r="X1884" t="str">
        <f>VLOOKUP(L1884,'[2]tabela de preços'!$A:$G,7,0)</f>
        <v>IMOBILIÁRIO</v>
      </c>
    </row>
    <row r="1885" spans="1:24" x14ac:dyDescent="0.3">
      <c r="A1885" t="s">
        <v>1965</v>
      </c>
      <c r="C1885" t="s">
        <v>1966</v>
      </c>
      <c r="D1885" s="1">
        <v>46045</v>
      </c>
      <c r="E1885" t="s">
        <v>1967</v>
      </c>
      <c r="F1885">
        <v>9</v>
      </c>
      <c r="G1885">
        <v>174</v>
      </c>
      <c r="H1885" t="str">
        <f>VLOOKUP(G1885,[1]OPERADORES!$A:$B,2,0)</f>
        <v>MIRIÃ LOBATO RODRIGUES</v>
      </c>
      <c r="I1885" t="s">
        <v>282</v>
      </c>
      <c r="J1885" t="s">
        <v>1294</v>
      </c>
      <c r="K1885" t="s">
        <v>1968</v>
      </c>
      <c r="L1885">
        <v>85021</v>
      </c>
      <c r="M1885" t="s">
        <v>595</v>
      </c>
      <c r="O1885" t="s">
        <v>11</v>
      </c>
      <c r="P1885">
        <v>6102</v>
      </c>
      <c r="Q1885">
        <v>5</v>
      </c>
      <c r="R1885">
        <v>1.26</v>
      </c>
      <c r="S1885">
        <v>6.3</v>
      </c>
      <c r="T1885">
        <v>4.05</v>
      </c>
      <c r="U1885">
        <v>35.71</v>
      </c>
      <c r="V1885" t="str">
        <f>VLOOKUP(L1885,'[2]tabela de preços'!$A:$D,4,0)</f>
        <v>.</v>
      </c>
      <c r="W1885" t="str">
        <f>VLOOKUP(L1885,'[2]tabela de preços'!$A:$F,6,0)</f>
        <v>PALHA DE AÇO</v>
      </c>
      <c r="X1885" t="str">
        <f>VLOOKUP(L1885,'[2]tabela de preços'!$A:$G,7,0)</f>
        <v>IMOBILIÁRIO</v>
      </c>
    </row>
    <row r="1886" spans="1:24" x14ac:dyDescent="0.3">
      <c r="A1886" t="s">
        <v>1965</v>
      </c>
      <c r="C1886" t="s">
        <v>1966</v>
      </c>
      <c r="D1886" s="1">
        <v>46045</v>
      </c>
      <c r="E1886" t="s">
        <v>1967</v>
      </c>
      <c r="F1886">
        <v>9</v>
      </c>
      <c r="G1886">
        <v>174</v>
      </c>
      <c r="H1886" t="str">
        <f>VLOOKUP(G1886,[1]OPERADORES!$A:$B,2,0)</f>
        <v>MIRIÃ LOBATO RODRIGUES</v>
      </c>
      <c r="I1886" t="s">
        <v>282</v>
      </c>
      <c r="J1886" t="s">
        <v>1294</v>
      </c>
      <c r="K1886" t="s">
        <v>1968</v>
      </c>
      <c r="L1886">
        <v>20414</v>
      </c>
      <c r="M1886" t="s">
        <v>112</v>
      </c>
      <c r="O1886" t="s">
        <v>11</v>
      </c>
      <c r="P1886">
        <v>6102</v>
      </c>
      <c r="Q1886">
        <v>10</v>
      </c>
      <c r="R1886">
        <v>21.89</v>
      </c>
      <c r="S1886">
        <v>218.9</v>
      </c>
      <c r="T1886">
        <v>180</v>
      </c>
      <c r="U1886">
        <v>17.77</v>
      </c>
      <c r="V1886" t="str">
        <f>VLOOKUP(L1886,'[2]tabela de preços'!$A:$D,4,0)</f>
        <v>SHERWIN WILLIAMS</v>
      </c>
      <c r="W1886" t="str">
        <f>VLOOKUP(L1886,'[2]tabela de preços'!$A:$F,6,0)</f>
        <v>DILUENTE</v>
      </c>
      <c r="X1886" t="str">
        <f>VLOOKUP(L1886,'[2]tabela de preços'!$A:$G,7,0)</f>
        <v>AUTOMOTIVO</v>
      </c>
    </row>
    <row r="1887" spans="1:24" x14ac:dyDescent="0.3">
      <c r="A1887" t="s">
        <v>1965</v>
      </c>
      <c r="C1887" t="s">
        <v>1966</v>
      </c>
      <c r="D1887" s="1">
        <v>46045</v>
      </c>
      <c r="E1887" t="s">
        <v>1967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282</v>
      </c>
      <c r="J1887" t="s">
        <v>1294</v>
      </c>
      <c r="K1887" t="s">
        <v>1968</v>
      </c>
      <c r="L1887">
        <v>85639</v>
      </c>
      <c r="M1887" t="s">
        <v>474</v>
      </c>
      <c r="O1887" t="s">
        <v>11</v>
      </c>
      <c r="P1887">
        <v>6403</v>
      </c>
      <c r="Q1887">
        <v>10</v>
      </c>
      <c r="R1887">
        <v>9.34</v>
      </c>
      <c r="S1887">
        <v>93.4</v>
      </c>
      <c r="T1887">
        <v>69.2</v>
      </c>
      <c r="U1887">
        <v>25.91</v>
      </c>
      <c r="V1887" t="str">
        <f>VLOOKUP(L1887,'[2]tabela de preços'!$A:$D,4,0)</f>
        <v>UNIPEGA</v>
      </c>
      <c r="W1887" t="str">
        <f>VLOOKUP(L1887,'[2]tabela de preços'!$A:$F,6,0)</f>
        <v xml:space="preserve">SPRAYS </v>
      </c>
      <c r="X1887" t="str">
        <f>VLOOKUP(L1887,'[2]tabela de preços'!$A:$G,7,0)</f>
        <v>AUTOMOTIVO</v>
      </c>
    </row>
    <row r="1888" spans="1:24" x14ac:dyDescent="0.3">
      <c r="A1888" t="s">
        <v>1969</v>
      </c>
      <c r="C1888" t="s">
        <v>1970</v>
      </c>
      <c r="D1888" s="1">
        <v>46027</v>
      </c>
      <c r="E1888" t="s">
        <v>1971</v>
      </c>
      <c r="F1888">
        <v>9</v>
      </c>
      <c r="G1888">
        <v>230</v>
      </c>
      <c r="H1888" t="str">
        <f>VLOOKUP(G1888,[1]OPERADORES!$A:$B,2,0)</f>
        <v>SÔNIA</v>
      </c>
      <c r="I1888" t="s">
        <v>715</v>
      </c>
      <c r="J1888" t="s">
        <v>1972</v>
      </c>
      <c r="K1888" t="s">
        <v>1973</v>
      </c>
      <c r="L1888">
        <v>10232</v>
      </c>
      <c r="M1888" t="s">
        <v>134</v>
      </c>
      <c r="O1888" t="s">
        <v>11</v>
      </c>
      <c r="P1888">
        <v>6102</v>
      </c>
      <c r="Q1888">
        <v>5</v>
      </c>
      <c r="R1888">
        <v>2.79</v>
      </c>
      <c r="S1888">
        <v>13.95</v>
      </c>
      <c r="T1888">
        <v>11.45</v>
      </c>
      <c r="U1888">
        <v>17.920000000000002</v>
      </c>
      <c r="V1888" t="str">
        <f>VLOOKUP(L1888,'[2]tabela de preços'!$A:$D,4,0)</f>
        <v>NORTON</v>
      </c>
      <c r="W1888" t="str">
        <f>VLOOKUP(L1888,'[2]tabela de preços'!$A:$F,6,0)</f>
        <v xml:space="preserve">DISCOS / LIXAS / ABRASIVOS </v>
      </c>
      <c r="X1888" t="str">
        <f>VLOOKUP(L1888,'[2]tabela de preços'!$A:$G,7,0)</f>
        <v>AUTOMOTIVO</v>
      </c>
    </row>
    <row r="1889" spans="1:24" x14ac:dyDescent="0.3">
      <c r="A1889" t="s">
        <v>1969</v>
      </c>
      <c r="C1889" t="s">
        <v>1970</v>
      </c>
      <c r="D1889" s="1">
        <v>46027</v>
      </c>
      <c r="E1889" t="s">
        <v>1971</v>
      </c>
      <c r="F1889">
        <v>9</v>
      </c>
      <c r="G1889">
        <v>230</v>
      </c>
      <c r="H1889" t="str">
        <f>VLOOKUP(G1889,[1]OPERADORES!$A:$B,2,0)</f>
        <v>SÔNIA</v>
      </c>
      <c r="I1889" t="s">
        <v>715</v>
      </c>
      <c r="J1889" t="s">
        <v>1972</v>
      </c>
      <c r="K1889" t="s">
        <v>1973</v>
      </c>
      <c r="L1889">
        <v>10234</v>
      </c>
      <c r="M1889" t="s">
        <v>157</v>
      </c>
      <c r="O1889" t="s">
        <v>11</v>
      </c>
      <c r="P1889">
        <v>6102</v>
      </c>
      <c r="Q1889">
        <v>5</v>
      </c>
      <c r="R1889">
        <v>2.79</v>
      </c>
      <c r="S1889">
        <v>13.95</v>
      </c>
      <c r="T1889">
        <v>11.85</v>
      </c>
      <c r="U1889">
        <v>15.05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1969</v>
      </c>
      <c r="C1890" t="s">
        <v>1970</v>
      </c>
      <c r="D1890" s="1">
        <v>46027</v>
      </c>
      <c r="E1890" t="s">
        <v>1971</v>
      </c>
      <c r="F1890">
        <v>9</v>
      </c>
      <c r="G1890">
        <v>230</v>
      </c>
      <c r="H1890" t="str">
        <f>VLOOKUP(G1890,[1]OPERADORES!$A:$B,2,0)</f>
        <v>SÔNIA</v>
      </c>
      <c r="I1890" t="s">
        <v>715</v>
      </c>
      <c r="J1890" t="s">
        <v>1972</v>
      </c>
      <c r="K1890" t="s">
        <v>1973</v>
      </c>
      <c r="L1890">
        <v>22684</v>
      </c>
      <c r="M1890" t="s">
        <v>73</v>
      </c>
      <c r="O1890" t="s">
        <v>11</v>
      </c>
      <c r="P1890">
        <v>6102</v>
      </c>
      <c r="Q1890">
        <v>80</v>
      </c>
      <c r="R1890">
        <v>3.65</v>
      </c>
      <c r="S1890">
        <v>292</v>
      </c>
      <c r="T1890">
        <v>246.4</v>
      </c>
      <c r="U1890">
        <v>15.62</v>
      </c>
      <c r="V1890" t="str">
        <f>VLOOKUP(L1890,'[2]tabela de preços'!$A:$D,4,0)</f>
        <v>3M</v>
      </c>
      <c r="W1890" t="str">
        <f>VLOOKUP(L1890,'[2]tabela de preços'!$A:$F,6,0)</f>
        <v>FITA AUTOMOTIVA</v>
      </c>
      <c r="X1890" t="str">
        <f>VLOOKUP(L1890,'[2]tabela de preços'!$A:$G,7,0)</f>
        <v>AUTOMOTIVO</v>
      </c>
    </row>
    <row r="1891" spans="1:24" x14ac:dyDescent="0.3">
      <c r="A1891" t="s">
        <v>1969</v>
      </c>
      <c r="C1891" t="s">
        <v>1970</v>
      </c>
      <c r="D1891" s="1">
        <v>46027</v>
      </c>
      <c r="E1891" t="s">
        <v>1971</v>
      </c>
      <c r="F1891">
        <v>9</v>
      </c>
      <c r="G1891">
        <v>230</v>
      </c>
      <c r="H1891" t="str">
        <f>VLOOKUP(G1891,[1]OPERADORES!$A:$B,2,0)</f>
        <v>SÔNIA</v>
      </c>
      <c r="I1891" t="s">
        <v>715</v>
      </c>
      <c r="J1891" t="s">
        <v>1972</v>
      </c>
      <c r="K1891" t="s">
        <v>1973</v>
      </c>
      <c r="L1891">
        <v>24183</v>
      </c>
      <c r="M1891" t="s">
        <v>1655</v>
      </c>
      <c r="O1891" t="s">
        <v>11</v>
      </c>
      <c r="P1891">
        <v>6102</v>
      </c>
      <c r="Q1891">
        <v>1</v>
      </c>
      <c r="R1891">
        <v>30.45</v>
      </c>
      <c r="S1891">
        <v>30.45</v>
      </c>
      <c r="T1891">
        <v>23.11</v>
      </c>
      <c r="U1891">
        <v>24.11</v>
      </c>
      <c r="V1891" t="str">
        <f>VLOOKUP(L1891,'[2]tabela de preços'!$A:$D,4,0)</f>
        <v>3M</v>
      </c>
      <c r="W1891" t="str">
        <f>VLOOKUP(L1891,'[2]tabela de preços'!$A:$F,6,0)</f>
        <v>FITA DUPLA FACE</v>
      </c>
      <c r="X1891" t="str">
        <f>VLOOKUP(L1891,'[2]tabela de preços'!$A:$G,7,0)</f>
        <v>AUTOMOTIVO</v>
      </c>
    </row>
    <row r="1892" spans="1:24" x14ac:dyDescent="0.3">
      <c r="A1892" t="s">
        <v>1969</v>
      </c>
      <c r="C1892" t="s">
        <v>1970</v>
      </c>
      <c r="D1892" s="1">
        <v>46027</v>
      </c>
      <c r="E1892" t="s">
        <v>1971</v>
      </c>
      <c r="F1892">
        <v>9</v>
      </c>
      <c r="G1892">
        <v>230</v>
      </c>
      <c r="H1892" t="str">
        <f>VLOOKUP(G1892,[1]OPERADORES!$A:$B,2,0)</f>
        <v>SÔNIA</v>
      </c>
      <c r="I1892" t="s">
        <v>715</v>
      </c>
      <c r="J1892" t="s">
        <v>1972</v>
      </c>
      <c r="K1892" t="s">
        <v>1973</v>
      </c>
      <c r="L1892">
        <v>85616</v>
      </c>
      <c r="M1892" t="s">
        <v>471</v>
      </c>
      <c r="O1892" t="s">
        <v>11</v>
      </c>
      <c r="P1892">
        <v>6102</v>
      </c>
      <c r="Q1892">
        <v>1</v>
      </c>
      <c r="R1892">
        <v>2.64</v>
      </c>
      <c r="S1892">
        <v>2.64</v>
      </c>
      <c r="T1892">
        <v>2.2799999999999998</v>
      </c>
      <c r="U1892">
        <v>13.64</v>
      </c>
      <c r="V1892" t="str">
        <f>VLOOKUP(L1892,'[2]tabela de preços'!$A:$D,4,0)</f>
        <v>ADERE</v>
      </c>
      <c r="W1892" t="str">
        <f>VLOOKUP(L1892,'[2]tabela de preços'!$A:$F,6,0)</f>
        <v xml:space="preserve">FITA DE USO GERAL </v>
      </c>
      <c r="X1892" t="str">
        <f>VLOOKUP(L1892,'[2]tabela de preços'!$A:$G,7,0)</f>
        <v>IMOBILIÁRIO</v>
      </c>
    </row>
    <row r="1893" spans="1:24" x14ac:dyDescent="0.3">
      <c r="A1893" t="s">
        <v>1969</v>
      </c>
      <c r="C1893" t="s">
        <v>1970</v>
      </c>
      <c r="D1893" s="1">
        <v>46027</v>
      </c>
      <c r="E1893" t="s">
        <v>1971</v>
      </c>
      <c r="F1893">
        <v>9</v>
      </c>
      <c r="G1893">
        <v>230</v>
      </c>
      <c r="H1893" t="str">
        <f>VLOOKUP(G1893,[1]OPERADORES!$A:$B,2,0)</f>
        <v>SÔNIA</v>
      </c>
      <c r="I1893" t="s">
        <v>715</v>
      </c>
      <c r="J1893" t="s">
        <v>1972</v>
      </c>
      <c r="K1893" t="s">
        <v>1973</v>
      </c>
      <c r="L1893">
        <v>23076</v>
      </c>
      <c r="M1893" t="s">
        <v>97</v>
      </c>
      <c r="O1893" t="s">
        <v>11</v>
      </c>
      <c r="P1893">
        <v>6403</v>
      </c>
      <c r="Q1893">
        <v>12</v>
      </c>
      <c r="R1893">
        <v>33.89</v>
      </c>
      <c r="S1893">
        <v>406.68</v>
      </c>
      <c r="T1893">
        <v>318.36</v>
      </c>
      <c r="U1893">
        <v>21.72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1969</v>
      </c>
      <c r="C1894" t="s">
        <v>1970</v>
      </c>
      <c r="D1894" s="1">
        <v>46027</v>
      </c>
      <c r="E1894" t="s">
        <v>1971</v>
      </c>
      <c r="F1894">
        <v>9</v>
      </c>
      <c r="G1894">
        <v>230</v>
      </c>
      <c r="H1894" t="str">
        <f>VLOOKUP(G1894,[1]OPERADORES!$A:$B,2,0)</f>
        <v>SÔNIA</v>
      </c>
      <c r="I1894" t="s">
        <v>715</v>
      </c>
      <c r="J1894" t="s">
        <v>1972</v>
      </c>
      <c r="K1894" t="s">
        <v>1973</v>
      </c>
      <c r="L1894">
        <v>23690</v>
      </c>
      <c r="M1894" t="s">
        <v>98</v>
      </c>
      <c r="O1894" t="s">
        <v>11</v>
      </c>
      <c r="P1894">
        <v>6403</v>
      </c>
      <c r="Q1894">
        <v>6</v>
      </c>
      <c r="R1894">
        <v>39.89</v>
      </c>
      <c r="S1894">
        <v>239.34</v>
      </c>
      <c r="T1894">
        <v>189.66</v>
      </c>
      <c r="U1894">
        <v>20.76</v>
      </c>
      <c r="V1894" t="str">
        <f>VLOOKUP(L1894,'[2]tabela de preços'!$A:$D,4,0)</f>
        <v>WANDA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1969</v>
      </c>
      <c r="C1895" t="s">
        <v>1970</v>
      </c>
      <c r="D1895" s="1">
        <v>46027</v>
      </c>
      <c r="E1895" t="s">
        <v>1971</v>
      </c>
      <c r="F1895">
        <v>9</v>
      </c>
      <c r="G1895">
        <v>230</v>
      </c>
      <c r="H1895" t="str">
        <f>VLOOKUP(G1895,[1]OPERADORES!$A:$B,2,0)</f>
        <v>SÔNIA</v>
      </c>
      <c r="I1895" t="s">
        <v>715</v>
      </c>
      <c r="J1895" t="s">
        <v>1972</v>
      </c>
      <c r="K1895" t="s">
        <v>1973</v>
      </c>
      <c r="L1895">
        <v>15</v>
      </c>
      <c r="M1895" t="s">
        <v>205</v>
      </c>
      <c r="O1895" t="s">
        <v>11</v>
      </c>
      <c r="P1895">
        <v>6102</v>
      </c>
      <c r="Q1895">
        <v>15</v>
      </c>
      <c r="R1895">
        <v>5.65</v>
      </c>
      <c r="S1895">
        <v>84.75</v>
      </c>
      <c r="T1895">
        <v>62.4</v>
      </c>
      <c r="U1895">
        <v>26.37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1969</v>
      </c>
      <c r="C1896" t="s">
        <v>1970</v>
      </c>
      <c r="D1896" s="1">
        <v>46027</v>
      </c>
      <c r="E1896" t="s">
        <v>1971</v>
      </c>
      <c r="F1896">
        <v>9</v>
      </c>
      <c r="G1896">
        <v>230</v>
      </c>
      <c r="H1896" t="str">
        <f>VLOOKUP(G1896,[1]OPERADORES!$A:$B,2,0)</f>
        <v>SÔNIA</v>
      </c>
      <c r="I1896" t="s">
        <v>715</v>
      </c>
      <c r="J1896" t="s">
        <v>1972</v>
      </c>
      <c r="K1896" t="s">
        <v>1973</v>
      </c>
      <c r="L1896">
        <v>16</v>
      </c>
      <c r="M1896" t="s">
        <v>122</v>
      </c>
      <c r="O1896" t="s">
        <v>11</v>
      </c>
      <c r="P1896">
        <v>6102</v>
      </c>
      <c r="Q1896">
        <v>15</v>
      </c>
      <c r="R1896">
        <v>2.9</v>
      </c>
      <c r="S1896">
        <v>43.5</v>
      </c>
      <c r="T1896">
        <v>33</v>
      </c>
      <c r="U1896">
        <v>24.14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1969</v>
      </c>
      <c r="C1897" t="s">
        <v>1970</v>
      </c>
      <c r="D1897" s="1">
        <v>46027</v>
      </c>
      <c r="E1897" t="s">
        <v>1971</v>
      </c>
      <c r="F1897">
        <v>9</v>
      </c>
      <c r="G1897">
        <v>230</v>
      </c>
      <c r="H1897" t="str">
        <f>VLOOKUP(G1897,[1]OPERADORES!$A:$B,2,0)</f>
        <v>SÔNIA</v>
      </c>
      <c r="I1897" t="s">
        <v>715</v>
      </c>
      <c r="J1897" t="s">
        <v>1972</v>
      </c>
      <c r="K1897" t="s">
        <v>1973</v>
      </c>
      <c r="L1897">
        <v>83819</v>
      </c>
      <c r="M1897" t="s">
        <v>1237</v>
      </c>
      <c r="O1897" t="s">
        <v>11</v>
      </c>
      <c r="P1897">
        <v>6102</v>
      </c>
      <c r="Q1897">
        <v>15</v>
      </c>
      <c r="R1897">
        <v>3.49</v>
      </c>
      <c r="S1897">
        <v>52.35</v>
      </c>
      <c r="T1897">
        <v>39.75</v>
      </c>
      <c r="U1897">
        <v>24.07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1969</v>
      </c>
      <c r="C1898" t="s">
        <v>1970</v>
      </c>
      <c r="D1898" s="1">
        <v>46027</v>
      </c>
      <c r="E1898" t="s">
        <v>1971</v>
      </c>
      <c r="F1898">
        <v>9</v>
      </c>
      <c r="G1898">
        <v>230</v>
      </c>
      <c r="H1898" t="str">
        <f>VLOOKUP(G1898,[1]OPERADORES!$A:$B,2,0)</f>
        <v>SÔNIA</v>
      </c>
      <c r="I1898" t="s">
        <v>715</v>
      </c>
      <c r="J1898" t="s">
        <v>1972</v>
      </c>
      <c r="K1898" t="s">
        <v>1973</v>
      </c>
      <c r="L1898">
        <v>10238</v>
      </c>
      <c r="M1898" t="s">
        <v>79</v>
      </c>
      <c r="O1898" t="s">
        <v>11</v>
      </c>
      <c r="P1898">
        <v>6102</v>
      </c>
      <c r="Q1898">
        <v>15</v>
      </c>
      <c r="R1898">
        <v>2.79</v>
      </c>
      <c r="S1898">
        <v>41.85</v>
      </c>
      <c r="T1898">
        <v>34.049999999999997</v>
      </c>
      <c r="U1898">
        <v>18.64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1969</v>
      </c>
      <c r="C1899" t="s">
        <v>1970</v>
      </c>
      <c r="D1899" s="1">
        <v>46027</v>
      </c>
      <c r="E1899" t="s">
        <v>1971</v>
      </c>
      <c r="F1899">
        <v>9</v>
      </c>
      <c r="G1899">
        <v>230</v>
      </c>
      <c r="H1899" t="str">
        <f>VLOOKUP(G1899,[1]OPERADORES!$A:$B,2,0)</f>
        <v>SÔNIA</v>
      </c>
      <c r="I1899" t="s">
        <v>715</v>
      </c>
      <c r="J1899" t="s">
        <v>1972</v>
      </c>
      <c r="K1899" t="s">
        <v>1973</v>
      </c>
      <c r="L1899">
        <v>10240</v>
      </c>
      <c r="M1899" t="s">
        <v>81</v>
      </c>
      <c r="O1899" t="s">
        <v>11</v>
      </c>
      <c r="P1899">
        <v>6102</v>
      </c>
      <c r="Q1899">
        <v>15</v>
      </c>
      <c r="R1899">
        <v>2.79</v>
      </c>
      <c r="S1899">
        <v>41.85</v>
      </c>
      <c r="T1899">
        <v>34.200000000000003</v>
      </c>
      <c r="U1899">
        <v>18.28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1969</v>
      </c>
      <c r="C1900" t="s">
        <v>1970</v>
      </c>
      <c r="D1900" s="1">
        <v>46027</v>
      </c>
      <c r="E1900" t="s">
        <v>1971</v>
      </c>
      <c r="F1900">
        <v>9</v>
      </c>
      <c r="G1900">
        <v>230</v>
      </c>
      <c r="H1900" t="str">
        <f>VLOOKUP(G1900,[1]OPERADORES!$A:$B,2,0)</f>
        <v>SÔNIA</v>
      </c>
      <c r="I1900" t="s">
        <v>715</v>
      </c>
      <c r="J1900" t="s">
        <v>1972</v>
      </c>
      <c r="K1900" t="s">
        <v>1973</v>
      </c>
      <c r="L1900">
        <v>10297</v>
      </c>
      <c r="M1900" t="s">
        <v>41</v>
      </c>
      <c r="O1900" t="s">
        <v>11</v>
      </c>
      <c r="P1900">
        <v>6102</v>
      </c>
      <c r="Q1900">
        <v>12</v>
      </c>
      <c r="R1900">
        <v>10.95</v>
      </c>
      <c r="S1900">
        <v>131.4</v>
      </c>
      <c r="T1900">
        <v>110.04</v>
      </c>
      <c r="U1900">
        <v>16.260000000000002</v>
      </c>
      <c r="V1900" t="str">
        <f>VLOOKUP(L1900,'[2]tabela de preços'!$A:$D,4,0)</f>
        <v>ANJO</v>
      </c>
      <c r="W1900" t="str">
        <f>VLOOKUP(L1900,'[2]tabela de preços'!$A:$F,6,0)</f>
        <v>THINNER DE LIMPEZA</v>
      </c>
      <c r="X1900" t="str">
        <f>VLOOKUP(L1900,'[2]tabela de preços'!$A:$G,7,0)</f>
        <v>THINNER</v>
      </c>
    </row>
    <row r="1901" spans="1:24" x14ac:dyDescent="0.3">
      <c r="A1901" t="s">
        <v>1969</v>
      </c>
      <c r="C1901" t="s">
        <v>1970</v>
      </c>
      <c r="D1901" s="1">
        <v>46027</v>
      </c>
      <c r="E1901" t="s">
        <v>1971</v>
      </c>
      <c r="F1901">
        <v>9</v>
      </c>
      <c r="G1901">
        <v>230</v>
      </c>
      <c r="H1901" t="str">
        <f>VLOOKUP(G1901,[1]OPERADORES!$A:$B,2,0)</f>
        <v>SÔNIA</v>
      </c>
      <c r="I1901" t="s">
        <v>715</v>
      </c>
      <c r="J1901" t="s">
        <v>1972</v>
      </c>
      <c r="K1901" t="s">
        <v>1973</v>
      </c>
      <c r="L1901">
        <v>20414</v>
      </c>
      <c r="M1901" t="s">
        <v>112</v>
      </c>
      <c r="O1901" t="s">
        <v>11</v>
      </c>
      <c r="P1901">
        <v>6102</v>
      </c>
      <c r="Q1901">
        <v>20</v>
      </c>
      <c r="R1901">
        <v>21.89</v>
      </c>
      <c r="S1901">
        <v>437.8</v>
      </c>
      <c r="T1901">
        <v>360</v>
      </c>
      <c r="U1901">
        <v>17.77</v>
      </c>
      <c r="V1901" t="str">
        <f>VLOOKUP(L1901,'[2]tabela de preços'!$A:$D,4,0)</f>
        <v>SHERWIN WILLIAMS</v>
      </c>
      <c r="W1901" t="str">
        <f>VLOOKUP(L1901,'[2]tabela de preços'!$A:$F,6,0)</f>
        <v>DILUENTE</v>
      </c>
      <c r="X1901" t="str">
        <f>VLOOKUP(L1901,'[2]tabela de preços'!$A:$G,7,0)</f>
        <v>AUTOMOTIVO</v>
      </c>
    </row>
    <row r="1902" spans="1:24" x14ac:dyDescent="0.3">
      <c r="A1902" t="s">
        <v>1969</v>
      </c>
      <c r="C1902" t="s">
        <v>1974</v>
      </c>
      <c r="D1902" s="1">
        <v>46045</v>
      </c>
      <c r="E1902" t="s">
        <v>1975</v>
      </c>
      <c r="F1902">
        <v>9</v>
      </c>
      <c r="G1902">
        <v>230</v>
      </c>
      <c r="H1902" t="str">
        <f>VLOOKUP(G1902,[1]OPERADORES!$A:$B,2,0)</f>
        <v>SÔNIA</v>
      </c>
      <c r="I1902" t="s">
        <v>715</v>
      </c>
      <c r="J1902" t="s">
        <v>1972</v>
      </c>
      <c r="K1902" t="s">
        <v>1973</v>
      </c>
      <c r="L1902">
        <v>84557</v>
      </c>
      <c r="M1902" t="s">
        <v>116</v>
      </c>
      <c r="O1902" t="s">
        <v>11</v>
      </c>
      <c r="P1902">
        <v>6102</v>
      </c>
      <c r="Q1902">
        <v>12</v>
      </c>
      <c r="R1902">
        <v>17.489999999999998</v>
      </c>
      <c r="S1902">
        <v>209.88</v>
      </c>
      <c r="T1902">
        <v>167.52</v>
      </c>
      <c r="U1902">
        <v>20.18</v>
      </c>
      <c r="V1902" t="str">
        <f>VLOOKUP(L1902,'[2]tabela de preços'!$A:$D,4,0)</f>
        <v>BRASILUX</v>
      </c>
      <c r="W1902" t="str">
        <f>VLOOKUP(L1902,'[2]tabela de preços'!$A:$F,6,0)</f>
        <v>DILUENTE</v>
      </c>
      <c r="X1902" t="str">
        <f>VLOOKUP(L1902,'[2]tabela de preços'!$A:$G,7,0)</f>
        <v>AUTOMOTIVO</v>
      </c>
    </row>
    <row r="1903" spans="1:24" x14ac:dyDescent="0.3">
      <c r="A1903" t="s">
        <v>1969</v>
      </c>
      <c r="C1903" t="s">
        <v>1974</v>
      </c>
      <c r="D1903" s="1">
        <v>46045</v>
      </c>
      <c r="E1903" t="s">
        <v>1975</v>
      </c>
      <c r="F1903">
        <v>9</v>
      </c>
      <c r="G1903">
        <v>230</v>
      </c>
      <c r="H1903" t="str">
        <f>VLOOKUP(G1903,[1]OPERADORES!$A:$B,2,0)</f>
        <v>SÔNIA</v>
      </c>
      <c r="I1903" t="s">
        <v>715</v>
      </c>
      <c r="J1903" t="s">
        <v>1972</v>
      </c>
      <c r="K1903" t="s">
        <v>1973</v>
      </c>
      <c r="L1903">
        <v>10236</v>
      </c>
      <c r="M1903" t="s">
        <v>133</v>
      </c>
      <c r="O1903" t="s">
        <v>11</v>
      </c>
      <c r="P1903">
        <v>6102</v>
      </c>
      <c r="Q1903">
        <v>25</v>
      </c>
      <c r="R1903">
        <v>2.79</v>
      </c>
      <c r="S1903">
        <v>69.75</v>
      </c>
      <c r="T1903">
        <v>58</v>
      </c>
      <c r="U1903">
        <v>16.850000000000001</v>
      </c>
      <c r="V1903" t="str">
        <f>VLOOKUP(L1903,'[2]tabela de preços'!$A:$D,4,0)</f>
        <v>NORTON</v>
      </c>
      <c r="W1903" t="str">
        <f>VLOOKUP(L1903,'[2]tabela de preços'!$A:$F,6,0)</f>
        <v xml:space="preserve">DISCOS / LIXAS / ABRASIVOS </v>
      </c>
      <c r="X1903" t="str">
        <f>VLOOKUP(L1903,'[2]tabela de preços'!$A:$G,7,0)</f>
        <v>AUTOMOTIVO</v>
      </c>
    </row>
    <row r="1904" spans="1:24" x14ac:dyDescent="0.3">
      <c r="A1904" t="s">
        <v>1969</v>
      </c>
      <c r="C1904" t="s">
        <v>1974</v>
      </c>
      <c r="D1904" s="1">
        <v>46045</v>
      </c>
      <c r="E1904" t="s">
        <v>1975</v>
      </c>
      <c r="F1904">
        <v>9</v>
      </c>
      <c r="G1904">
        <v>230</v>
      </c>
      <c r="H1904" t="str">
        <f>VLOOKUP(G1904,[1]OPERADORES!$A:$B,2,0)</f>
        <v>SÔNIA</v>
      </c>
      <c r="I1904" t="s">
        <v>715</v>
      </c>
      <c r="J1904" t="s">
        <v>1972</v>
      </c>
      <c r="K1904" t="s">
        <v>1973</v>
      </c>
      <c r="L1904">
        <v>10232</v>
      </c>
      <c r="M1904" t="s">
        <v>134</v>
      </c>
      <c r="O1904" t="s">
        <v>11</v>
      </c>
      <c r="P1904">
        <v>6102</v>
      </c>
      <c r="Q1904">
        <v>25</v>
      </c>
      <c r="R1904">
        <v>2.79</v>
      </c>
      <c r="S1904">
        <v>69.75</v>
      </c>
      <c r="T1904">
        <v>56.25</v>
      </c>
      <c r="U1904">
        <v>19.350000000000001</v>
      </c>
      <c r="V1904" t="str">
        <f>VLOOKUP(L1904,'[2]tabela de preços'!$A:$D,4,0)</f>
        <v>NORTON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1969</v>
      </c>
      <c r="C1905" t="s">
        <v>1974</v>
      </c>
      <c r="D1905" s="1">
        <v>46045</v>
      </c>
      <c r="E1905" t="s">
        <v>1975</v>
      </c>
      <c r="F1905">
        <v>9</v>
      </c>
      <c r="G1905">
        <v>230</v>
      </c>
      <c r="H1905" t="str">
        <f>VLOOKUP(G1905,[1]OPERADORES!$A:$B,2,0)</f>
        <v>SÔNIA</v>
      </c>
      <c r="I1905" t="s">
        <v>715</v>
      </c>
      <c r="J1905" t="s">
        <v>1972</v>
      </c>
      <c r="K1905" t="s">
        <v>1973</v>
      </c>
      <c r="L1905">
        <v>23076</v>
      </c>
      <c r="M1905" t="s">
        <v>97</v>
      </c>
      <c r="O1905" t="s">
        <v>11</v>
      </c>
      <c r="P1905">
        <v>6403</v>
      </c>
      <c r="Q1905">
        <v>6</v>
      </c>
      <c r="R1905">
        <v>34.89</v>
      </c>
      <c r="S1905">
        <v>209.34</v>
      </c>
      <c r="T1905">
        <v>159.18</v>
      </c>
      <c r="U1905">
        <v>23.96</v>
      </c>
      <c r="V1905" t="str">
        <f>VLOOKUP(L1905,'[2]tabela de preços'!$A:$D,4,0)</f>
        <v>WANDA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1969</v>
      </c>
      <c r="C1906" t="s">
        <v>1974</v>
      </c>
      <c r="D1906" s="1">
        <v>46045</v>
      </c>
      <c r="E1906" t="s">
        <v>1975</v>
      </c>
      <c r="F1906">
        <v>9</v>
      </c>
      <c r="G1906">
        <v>230</v>
      </c>
      <c r="H1906" t="str">
        <f>VLOOKUP(G1906,[1]OPERADORES!$A:$B,2,0)</f>
        <v>SÔNIA</v>
      </c>
      <c r="I1906" t="s">
        <v>715</v>
      </c>
      <c r="J1906" t="s">
        <v>1972</v>
      </c>
      <c r="K1906" t="s">
        <v>1973</v>
      </c>
      <c r="L1906">
        <v>23399</v>
      </c>
      <c r="M1906" t="s">
        <v>462</v>
      </c>
      <c r="O1906" t="s">
        <v>11</v>
      </c>
      <c r="P1906">
        <v>6102</v>
      </c>
      <c r="Q1906">
        <v>1</v>
      </c>
      <c r="R1906">
        <v>231.14</v>
      </c>
      <c r="S1906">
        <v>231.14</v>
      </c>
      <c r="T1906">
        <v>175.44</v>
      </c>
      <c r="U1906">
        <v>24.1</v>
      </c>
      <c r="V1906" t="str">
        <f>VLOOKUP(L1906,'[2]tabela de preços'!$A:$D,4,0)</f>
        <v>3M</v>
      </c>
      <c r="W1906" t="str">
        <f>VLOOKUP(L1906,'[2]tabela de preços'!$A:$F,6,0)</f>
        <v>EPI´S</v>
      </c>
      <c r="X1906" t="str">
        <f>VLOOKUP(L1906,'[2]tabela de preços'!$A:$G,7,0)</f>
        <v>AUTOMOTIVO</v>
      </c>
    </row>
    <row r="1907" spans="1:24" x14ac:dyDescent="0.3">
      <c r="A1907" t="s">
        <v>1969</v>
      </c>
      <c r="C1907" t="s">
        <v>1974</v>
      </c>
      <c r="D1907" s="1">
        <v>46045</v>
      </c>
      <c r="E1907" t="s">
        <v>1975</v>
      </c>
      <c r="F1907">
        <v>9</v>
      </c>
      <c r="G1907">
        <v>230</v>
      </c>
      <c r="H1907" t="str">
        <f>VLOOKUP(G1907,[1]OPERADORES!$A:$B,2,0)</f>
        <v>SÔNIA</v>
      </c>
      <c r="I1907" t="s">
        <v>715</v>
      </c>
      <c r="J1907" t="s">
        <v>1972</v>
      </c>
      <c r="K1907" t="s">
        <v>1973</v>
      </c>
      <c r="L1907">
        <v>15</v>
      </c>
      <c r="M1907" t="s">
        <v>205</v>
      </c>
      <c r="O1907" t="s">
        <v>11</v>
      </c>
      <c r="P1907">
        <v>6102</v>
      </c>
      <c r="Q1907">
        <v>10</v>
      </c>
      <c r="R1907">
        <v>5.79</v>
      </c>
      <c r="S1907">
        <v>57.9</v>
      </c>
      <c r="T1907">
        <v>41.6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1969</v>
      </c>
      <c r="C1908" t="s">
        <v>1974</v>
      </c>
      <c r="D1908" s="1">
        <v>46045</v>
      </c>
      <c r="E1908" t="s">
        <v>1975</v>
      </c>
      <c r="F1908">
        <v>9</v>
      </c>
      <c r="G1908">
        <v>230</v>
      </c>
      <c r="H1908" t="str">
        <f>VLOOKUP(G1908,[1]OPERADORES!$A:$B,2,0)</f>
        <v>SÔNIA</v>
      </c>
      <c r="I1908" t="s">
        <v>715</v>
      </c>
      <c r="J1908" t="s">
        <v>1972</v>
      </c>
      <c r="K1908" t="s">
        <v>1973</v>
      </c>
      <c r="L1908">
        <v>57</v>
      </c>
      <c r="M1908" t="s">
        <v>1089</v>
      </c>
      <c r="O1908" t="s">
        <v>11</v>
      </c>
      <c r="P1908">
        <v>6102</v>
      </c>
      <c r="Q1908">
        <v>10</v>
      </c>
      <c r="R1908">
        <v>0.96</v>
      </c>
      <c r="S1908">
        <v>9.6</v>
      </c>
      <c r="T1908">
        <v>7.3</v>
      </c>
      <c r="U1908">
        <v>23.96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1969</v>
      </c>
      <c r="C1909" t="s">
        <v>1974</v>
      </c>
      <c r="D1909" s="1">
        <v>46045</v>
      </c>
      <c r="E1909" t="s">
        <v>1975</v>
      </c>
      <c r="F1909">
        <v>9</v>
      </c>
      <c r="G1909">
        <v>230</v>
      </c>
      <c r="H1909" t="str">
        <f>VLOOKUP(G1909,[1]OPERADORES!$A:$B,2,0)</f>
        <v>SÔNIA</v>
      </c>
      <c r="I1909" t="s">
        <v>715</v>
      </c>
      <c r="J1909" t="s">
        <v>1972</v>
      </c>
      <c r="K1909" t="s">
        <v>1973</v>
      </c>
      <c r="L1909">
        <v>10243</v>
      </c>
      <c r="M1909" t="s">
        <v>83</v>
      </c>
      <c r="O1909" t="s">
        <v>11</v>
      </c>
      <c r="P1909">
        <v>6102</v>
      </c>
      <c r="Q1909">
        <v>50</v>
      </c>
      <c r="R1909">
        <v>2.79</v>
      </c>
      <c r="S1909">
        <v>139.5</v>
      </c>
      <c r="T1909">
        <v>96.5</v>
      </c>
      <c r="U1909">
        <v>30.82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1969</v>
      </c>
      <c r="C1910" t="s">
        <v>1974</v>
      </c>
      <c r="D1910" s="1">
        <v>46045</v>
      </c>
      <c r="E1910" t="s">
        <v>1975</v>
      </c>
      <c r="F1910">
        <v>9</v>
      </c>
      <c r="G1910">
        <v>230</v>
      </c>
      <c r="H1910" t="str">
        <f>VLOOKUP(G1910,[1]OPERADORES!$A:$B,2,0)</f>
        <v>SÔNIA</v>
      </c>
      <c r="I1910" t="s">
        <v>715</v>
      </c>
      <c r="J1910" t="s">
        <v>1972</v>
      </c>
      <c r="K1910" t="s">
        <v>1973</v>
      </c>
      <c r="L1910">
        <v>10244</v>
      </c>
      <c r="M1910" t="s">
        <v>84</v>
      </c>
      <c r="O1910" t="s">
        <v>11</v>
      </c>
      <c r="P1910">
        <v>6102</v>
      </c>
      <c r="Q1910">
        <v>50</v>
      </c>
      <c r="R1910">
        <v>2.79</v>
      </c>
      <c r="S1910">
        <v>139.5</v>
      </c>
      <c r="T1910">
        <v>96.5</v>
      </c>
      <c r="U1910">
        <v>30.82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1969</v>
      </c>
      <c r="C1911" t="s">
        <v>1974</v>
      </c>
      <c r="D1911" s="1">
        <v>46045</v>
      </c>
      <c r="E1911" t="s">
        <v>1975</v>
      </c>
      <c r="F1911">
        <v>9</v>
      </c>
      <c r="G1911">
        <v>230</v>
      </c>
      <c r="H1911" t="str">
        <f>VLOOKUP(G1911,[1]OPERADORES!$A:$B,2,0)</f>
        <v>SÔNIA</v>
      </c>
      <c r="I1911" t="s">
        <v>715</v>
      </c>
      <c r="J1911" t="s">
        <v>1972</v>
      </c>
      <c r="K1911" t="s">
        <v>1973</v>
      </c>
      <c r="L1911">
        <v>10297</v>
      </c>
      <c r="M1911" t="s">
        <v>41</v>
      </c>
      <c r="O1911" t="s">
        <v>11</v>
      </c>
      <c r="P1911">
        <v>6102</v>
      </c>
      <c r="Q1911">
        <v>12</v>
      </c>
      <c r="R1911">
        <v>10.89</v>
      </c>
      <c r="S1911">
        <v>130.68</v>
      </c>
      <c r="T1911">
        <v>110.04</v>
      </c>
      <c r="U1911">
        <v>15.79</v>
      </c>
      <c r="V1911" t="str">
        <f>VLOOKUP(L1911,'[2]tabela de preços'!$A:$D,4,0)</f>
        <v>ANJO</v>
      </c>
      <c r="W1911" t="str">
        <f>VLOOKUP(L1911,'[2]tabela de preços'!$A:$F,6,0)</f>
        <v>THINNER DE LIMPEZA</v>
      </c>
      <c r="X1911" t="str">
        <f>VLOOKUP(L1911,'[2]tabela de preços'!$A:$G,7,0)</f>
        <v>THINNER</v>
      </c>
    </row>
    <row r="1912" spans="1:24" x14ac:dyDescent="0.3">
      <c r="A1912" t="s">
        <v>1969</v>
      </c>
      <c r="C1912" t="s">
        <v>1974</v>
      </c>
      <c r="D1912" s="1">
        <v>46045</v>
      </c>
      <c r="E1912" t="s">
        <v>1975</v>
      </c>
      <c r="F1912">
        <v>9</v>
      </c>
      <c r="G1912">
        <v>230</v>
      </c>
      <c r="H1912" t="str">
        <f>VLOOKUP(G1912,[1]OPERADORES!$A:$B,2,0)</f>
        <v>SÔNIA</v>
      </c>
      <c r="I1912" t="s">
        <v>715</v>
      </c>
      <c r="J1912" t="s">
        <v>1972</v>
      </c>
      <c r="K1912" t="s">
        <v>1973</v>
      </c>
      <c r="L1912">
        <v>84460</v>
      </c>
      <c r="M1912" t="s">
        <v>322</v>
      </c>
      <c r="O1912" t="s">
        <v>11</v>
      </c>
      <c r="P1912">
        <v>6102</v>
      </c>
      <c r="Q1912">
        <v>1</v>
      </c>
      <c r="R1912">
        <v>31.07</v>
      </c>
      <c r="S1912">
        <v>31.07</v>
      </c>
      <c r="T1912">
        <v>23.58</v>
      </c>
      <c r="U1912">
        <v>24.11</v>
      </c>
      <c r="V1912" t="str">
        <f>VLOOKUP(L1912,'[2]tabela de preços'!$A:$D,4,0)</f>
        <v>BRASILUX</v>
      </c>
      <c r="W1912" t="str">
        <f>VLOOKUP(L1912,'[2]tabela de preços'!$A:$F,6,0)</f>
        <v>VEDADORES / SELANTES</v>
      </c>
      <c r="X1912" t="str">
        <f>VLOOKUP(L1912,'[2]tabela de preços'!$A:$G,7,0)</f>
        <v>AUTOMOTIVO</v>
      </c>
    </row>
    <row r="1913" spans="1:24" x14ac:dyDescent="0.3">
      <c r="A1913" t="s">
        <v>1969</v>
      </c>
      <c r="C1913" t="s">
        <v>1976</v>
      </c>
      <c r="D1913" s="1">
        <v>46048</v>
      </c>
      <c r="E1913" t="s">
        <v>1977</v>
      </c>
      <c r="F1913">
        <v>9</v>
      </c>
      <c r="G1913">
        <v>230</v>
      </c>
      <c r="H1913" t="str">
        <f>VLOOKUP(G1913,[1]OPERADORES!$A:$B,2,0)</f>
        <v>SÔNIA</v>
      </c>
      <c r="I1913" t="s">
        <v>715</v>
      </c>
      <c r="J1913" t="s">
        <v>1972</v>
      </c>
      <c r="K1913" t="s">
        <v>1973</v>
      </c>
      <c r="L1913">
        <v>20431</v>
      </c>
      <c r="M1913" t="s">
        <v>202</v>
      </c>
      <c r="O1913" t="s">
        <v>11</v>
      </c>
      <c r="P1913">
        <v>6403</v>
      </c>
      <c r="Q1913">
        <v>6</v>
      </c>
      <c r="R1913">
        <v>36.89</v>
      </c>
      <c r="S1913">
        <v>221.34</v>
      </c>
      <c r="T1913">
        <v>181.56</v>
      </c>
      <c r="U1913">
        <v>17.97</v>
      </c>
      <c r="V1913" t="str">
        <f>VLOOKUP(L1913,'[2]tabela de preços'!$A:$D,4,0)</f>
        <v>SHERWIN WILLIAMS</v>
      </c>
      <c r="W1913" t="str">
        <f>VLOOKUP(L1913,'[2]tabela de preços'!$A:$F,6,0)</f>
        <v>VERNIZ AUTOMOTIVO</v>
      </c>
      <c r="X1913" t="str">
        <f>VLOOKUP(L1913,'[2]tabela de preços'!$A:$G,7,0)</f>
        <v>AUTOMOTIVO</v>
      </c>
    </row>
    <row r="1914" spans="1:24" x14ac:dyDescent="0.3">
      <c r="A1914" t="s">
        <v>1969</v>
      </c>
      <c r="C1914" t="s">
        <v>1976</v>
      </c>
      <c r="D1914" s="1">
        <v>46048</v>
      </c>
      <c r="E1914" t="s">
        <v>1977</v>
      </c>
      <c r="F1914">
        <v>9</v>
      </c>
      <c r="G1914">
        <v>230</v>
      </c>
      <c r="H1914" t="str">
        <f>VLOOKUP(G1914,[1]OPERADORES!$A:$B,2,0)</f>
        <v>SÔNIA</v>
      </c>
      <c r="I1914" t="s">
        <v>715</v>
      </c>
      <c r="J1914" t="s">
        <v>1972</v>
      </c>
      <c r="K1914" t="s">
        <v>1973</v>
      </c>
      <c r="L1914">
        <v>24067</v>
      </c>
      <c r="M1914" t="s">
        <v>1978</v>
      </c>
      <c r="O1914" t="s">
        <v>11</v>
      </c>
      <c r="P1914">
        <v>6403</v>
      </c>
      <c r="Q1914">
        <v>19</v>
      </c>
      <c r="R1914">
        <v>65.180000000000007</v>
      </c>
      <c r="S1914" s="2">
        <v>1238.42</v>
      </c>
      <c r="T1914">
        <v>998.64</v>
      </c>
      <c r="U1914">
        <v>19.36</v>
      </c>
      <c r="V1914" t="str">
        <f>VLOOKUP(L1914,'[2]tabela de preços'!$A:$D,4,0)</f>
        <v>SKY</v>
      </c>
      <c r="W1914" t="str">
        <f>VLOOKUP(L1914,'[2]tabela de preços'!$A:$F,6,0)</f>
        <v>VERNIZ AUTOMOTIVO</v>
      </c>
      <c r="X1914" t="str">
        <f>VLOOKUP(L1914,'[2]tabela de preços'!$A:$G,7,0)</f>
        <v>AUTOMOTIVO</v>
      </c>
    </row>
    <row r="1915" spans="1:24" x14ac:dyDescent="0.3">
      <c r="A1915" t="s">
        <v>1979</v>
      </c>
      <c r="C1915" t="s">
        <v>1980</v>
      </c>
      <c r="D1915" s="1">
        <v>46045</v>
      </c>
      <c r="E1915" t="s">
        <v>1981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21</v>
      </c>
      <c r="J1915" t="s">
        <v>762</v>
      </c>
      <c r="K1915" t="s">
        <v>1982</v>
      </c>
      <c r="L1915">
        <v>85078</v>
      </c>
      <c r="M1915" t="s">
        <v>1048</v>
      </c>
      <c r="O1915" t="s">
        <v>11</v>
      </c>
      <c r="P1915">
        <v>5403</v>
      </c>
      <c r="Q1915">
        <v>4</v>
      </c>
      <c r="R1915">
        <v>105.32</v>
      </c>
      <c r="S1915">
        <v>421.28</v>
      </c>
      <c r="T1915">
        <v>319.72000000000003</v>
      </c>
      <c r="U1915">
        <v>24.11</v>
      </c>
      <c r="V1915" t="str">
        <f>VLOOKUP(L1915,'[2]tabela de preços'!$A:$D,4,0)</f>
        <v>BRASILUX</v>
      </c>
      <c r="W1915" t="str">
        <f>VLOOKUP(L1915,'[2]tabela de preços'!$A:$F,6,0)</f>
        <v>TINTAS LACA</v>
      </c>
      <c r="X1915" t="str">
        <f>VLOOKUP(L1915,'[2]tabela de preços'!$A:$G,7,0)</f>
        <v>AUTOMOTIVO</v>
      </c>
    </row>
    <row r="1916" spans="1:24" x14ac:dyDescent="0.3">
      <c r="A1916" t="s">
        <v>1979</v>
      </c>
      <c r="C1916" t="s">
        <v>1980</v>
      </c>
      <c r="D1916" s="1">
        <v>46045</v>
      </c>
      <c r="E1916" t="s">
        <v>1981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21</v>
      </c>
      <c r="J1916" t="s">
        <v>762</v>
      </c>
      <c r="K1916" t="s">
        <v>1982</v>
      </c>
      <c r="L1916">
        <v>84557</v>
      </c>
      <c r="M1916" t="s">
        <v>116</v>
      </c>
      <c r="O1916" t="s">
        <v>11</v>
      </c>
      <c r="P1916">
        <v>5102</v>
      </c>
      <c r="Q1916">
        <v>4</v>
      </c>
      <c r="R1916">
        <v>17.489999999999998</v>
      </c>
      <c r="S1916">
        <v>69.959999999999994</v>
      </c>
      <c r="T1916">
        <v>55.84</v>
      </c>
      <c r="U1916">
        <v>20.18</v>
      </c>
      <c r="V1916" t="str">
        <f>VLOOKUP(L1916,'[2]tabela de preços'!$A:$D,4,0)</f>
        <v>BRASILUX</v>
      </c>
      <c r="W1916" t="str">
        <f>VLOOKUP(L1916,'[2]tabela de preços'!$A:$F,6,0)</f>
        <v>DILUENTE</v>
      </c>
      <c r="X1916" t="str">
        <f>VLOOKUP(L1916,'[2]tabela de preços'!$A:$G,7,0)</f>
        <v>AUTOMOTIVO</v>
      </c>
    </row>
    <row r="1917" spans="1:24" x14ac:dyDescent="0.3">
      <c r="A1917" t="s">
        <v>1979</v>
      </c>
      <c r="C1917" t="s">
        <v>1980</v>
      </c>
      <c r="D1917" s="1">
        <v>46045</v>
      </c>
      <c r="E1917" t="s">
        <v>1981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21</v>
      </c>
      <c r="J1917" t="s">
        <v>762</v>
      </c>
      <c r="K1917" t="s">
        <v>1982</v>
      </c>
      <c r="L1917">
        <v>84499</v>
      </c>
      <c r="M1917" t="s">
        <v>534</v>
      </c>
      <c r="O1917" t="s">
        <v>11</v>
      </c>
      <c r="P1917">
        <v>5102</v>
      </c>
      <c r="Q1917">
        <v>2</v>
      </c>
      <c r="R1917">
        <v>176.61</v>
      </c>
      <c r="S1917">
        <v>353.22</v>
      </c>
      <c r="T1917">
        <v>268.10000000000002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THINNER DE LIMPEZA</v>
      </c>
      <c r="X1917" t="str">
        <f>VLOOKUP(L1917,'[2]tabela de preços'!$A:$G,7,0)</f>
        <v>THINNER</v>
      </c>
    </row>
    <row r="1918" spans="1:24" x14ac:dyDescent="0.3">
      <c r="A1918" t="s">
        <v>1979</v>
      </c>
      <c r="C1918" t="s">
        <v>2409</v>
      </c>
      <c r="D1918" s="1">
        <v>46052</v>
      </c>
      <c r="E1918" t="s">
        <v>2410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21</v>
      </c>
      <c r="J1918" t="s">
        <v>762</v>
      </c>
      <c r="K1918" t="s">
        <v>1982</v>
      </c>
      <c r="L1918">
        <v>84351</v>
      </c>
      <c r="M1918" t="s">
        <v>2152</v>
      </c>
      <c r="O1918" t="s">
        <v>11</v>
      </c>
      <c r="P1918">
        <v>5403</v>
      </c>
      <c r="Q1918">
        <v>1</v>
      </c>
      <c r="R1918">
        <v>59.98</v>
      </c>
      <c r="S1918">
        <v>59.98</v>
      </c>
      <c r="T1918">
        <v>52</v>
      </c>
      <c r="U1918">
        <v>13.3</v>
      </c>
      <c r="V1918" t="str">
        <f>VLOOKUP(L1918,'[2]tabela de preços'!$A:$D,4,0)</f>
        <v>BRASILUX</v>
      </c>
      <c r="W1918" t="str">
        <f>VLOOKUP(L1918,'[2]tabela de preços'!$A:$F,6,0)</f>
        <v>ESMALTES</v>
      </c>
      <c r="X1918" t="str">
        <f>VLOOKUP(L1918,'[2]tabela de preços'!$A:$G,7,0)</f>
        <v>INDUSTRIAL</v>
      </c>
    </row>
    <row r="1919" spans="1:24" x14ac:dyDescent="0.3">
      <c r="A1919" t="s">
        <v>1979</v>
      </c>
      <c r="C1919" t="s">
        <v>2409</v>
      </c>
      <c r="D1919" s="1">
        <v>46052</v>
      </c>
      <c r="E1919" t="s">
        <v>2410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762</v>
      </c>
      <c r="K1919" t="s">
        <v>1982</v>
      </c>
      <c r="L1919">
        <v>84329</v>
      </c>
      <c r="M1919" t="s">
        <v>285</v>
      </c>
      <c r="O1919" t="s">
        <v>11</v>
      </c>
      <c r="P1919">
        <v>5403</v>
      </c>
      <c r="Q1919">
        <v>1</v>
      </c>
      <c r="R1919">
        <v>59.98</v>
      </c>
      <c r="S1919">
        <v>59.98</v>
      </c>
      <c r="T1919">
        <v>48.27</v>
      </c>
      <c r="U1919">
        <v>19.52</v>
      </c>
      <c r="V1919" t="str">
        <f>VLOOKUP(L1919,'[2]tabela de preços'!$A:$D,4,0)</f>
        <v>BRASILUX</v>
      </c>
      <c r="W1919" t="str">
        <f>VLOOKUP(L1919,'[2]tabela de preços'!$A:$F,6,0)</f>
        <v>ESMALTES</v>
      </c>
      <c r="X1919" t="str">
        <f>VLOOKUP(L1919,'[2]tabela de preços'!$A:$G,7,0)</f>
        <v>INDUSTRIAL</v>
      </c>
    </row>
    <row r="1920" spans="1:24" x14ac:dyDescent="0.3">
      <c r="A1920" t="s">
        <v>1983</v>
      </c>
      <c r="C1920" t="s">
        <v>1984</v>
      </c>
      <c r="D1920" s="1">
        <v>46037</v>
      </c>
      <c r="F1920">
        <v>9</v>
      </c>
      <c r="G1920">
        <v>236</v>
      </c>
      <c r="H1920" t="str">
        <f>VLOOKUP(G1920,[1]OPERADORES!$A:$B,2,0)</f>
        <v>DANIEL</v>
      </c>
      <c r="I1920" t="s">
        <v>21</v>
      </c>
      <c r="J1920" t="s">
        <v>1985</v>
      </c>
      <c r="K1920" t="s">
        <v>1986</v>
      </c>
      <c r="L1920">
        <v>86571</v>
      </c>
      <c r="M1920" t="s">
        <v>1987</v>
      </c>
      <c r="O1920" t="s">
        <v>11</v>
      </c>
      <c r="P1920">
        <v>5405</v>
      </c>
      <c r="Q1920">
        <v>1</v>
      </c>
      <c r="R1920">
        <v>230.03</v>
      </c>
      <c r="S1920">
        <v>230.03</v>
      </c>
      <c r="T1920">
        <v>104.56</v>
      </c>
      <c r="U1920">
        <v>54.55</v>
      </c>
      <c r="V1920" t="str">
        <f>VLOOKUP(L1920,'[2]tabela de preços'!$A:$D,4,0)</f>
        <v>CORAL</v>
      </c>
      <c r="W1920" t="str">
        <f>VLOOKUP(L1920,'[2]tabela de preços'!$A:$F,6,0)</f>
        <v>CIMENTO QUEIMADO / EFEITOS DECORATIVOS</v>
      </c>
      <c r="X1920" t="str">
        <f>VLOOKUP(L1920,'[2]tabela de preços'!$A:$G,7,0)</f>
        <v>IMOBILIÁRIO</v>
      </c>
    </row>
    <row r="1921" spans="1:24" x14ac:dyDescent="0.3">
      <c r="A1921" t="s">
        <v>1983</v>
      </c>
      <c r="C1921" t="s">
        <v>1984</v>
      </c>
      <c r="D1921" s="1">
        <v>46037</v>
      </c>
      <c r="F1921">
        <v>9</v>
      </c>
      <c r="G1921">
        <v>236</v>
      </c>
      <c r="H1921" t="str">
        <f>VLOOKUP(G1921,[1]OPERADORES!$A:$B,2,0)</f>
        <v>DANIEL</v>
      </c>
      <c r="I1921" t="s">
        <v>21</v>
      </c>
      <c r="J1921" t="s">
        <v>1985</v>
      </c>
      <c r="K1921" t="s">
        <v>1986</v>
      </c>
      <c r="L1921">
        <v>86567</v>
      </c>
      <c r="M1921" t="s">
        <v>1988</v>
      </c>
      <c r="O1921" t="s">
        <v>11</v>
      </c>
      <c r="P1921">
        <v>5405</v>
      </c>
      <c r="Q1921">
        <v>1</v>
      </c>
      <c r="R1921">
        <v>272.07</v>
      </c>
      <c r="S1921">
        <v>272.07</v>
      </c>
      <c r="T1921">
        <v>123.67</v>
      </c>
      <c r="U1921">
        <v>54.54</v>
      </c>
      <c r="V1921" t="str">
        <f>VLOOKUP(L1921,'[2]tabela de preços'!$A:$D,4,0)</f>
        <v>CORAL</v>
      </c>
      <c r="W1921" t="str">
        <f>VLOOKUP(L1921,'[2]tabela de preços'!$A:$F,6,0)</f>
        <v>CIMENTO QUEIMADO / EFEITOS DECORATIVOS</v>
      </c>
      <c r="X1921" t="str">
        <f>VLOOKUP(L1921,'[2]tabela de preços'!$A:$G,7,0)</f>
        <v>IMOBILIÁRIO</v>
      </c>
    </row>
    <row r="1922" spans="1:24" x14ac:dyDescent="0.3">
      <c r="A1922" t="s">
        <v>1983</v>
      </c>
      <c r="C1922" t="s">
        <v>1984</v>
      </c>
      <c r="D1922" s="1">
        <v>46037</v>
      </c>
      <c r="F1922">
        <v>9</v>
      </c>
      <c r="G1922">
        <v>236</v>
      </c>
      <c r="H1922" t="str">
        <f>VLOOKUP(G1922,[1]OPERADORES!$A:$B,2,0)</f>
        <v>DANIEL</v>
      </c>
      <c r="I1922" t="s">
        <v>21</v>
      </c>
      <c r="J1922" t="s">
        <v>1985</v>
      </c>
      <c r="K1922" t="s">
        <v>1986</v>
      </c>
      <c r="L1922">
        <v>86570</v>
      </c>
      <c r="M1922" t="s">
        <v>1989</v>
      </c>
      <c r="O1922" t="s">
        <v>11</v>
      </c>
      <c r="P1922">
        <v>5405</v>
      </c>
      <c r="Q1922">
        <v>1</v>
      </c>
      <c r="R1922">
        <v>569.54</v>
      </c>
      <c r="S1922">
        <v>569.54</v>
      </c>
      <c r="T1922">
        <v>258.88</v>
      </c>
      <c r="U1922">
        <v>54.55</v>
      </c>
      <c r="V1922" t="str">
        <f>VLOOKUP(L1922,'[2]tabela de preços'!$A:$D,4,0)</f>
        <v>CORAL</v>
      </c>
      <c r="W1922" t="str">
        <f>VLOOKUP(L1922,'[2]tabela de preços'!$A:$F,6,0)</f>
        <v>BASES IMOBILIÁRIAS</v>
      </c>
      <c r="X1922" t="str">
        <f>VLOOKUP(L1922,'[2]tabela de preços'!$A:$G,7,0)</f>
        <v>IMOBILIÁRIO</v>
      </c>
    </row>
    <row r="1923" spans="1:24" x14ac:dyDescent="0.3">
      <c r="A1923" t="s">
        <v>1983</v>
      </c>
      <c r="C1923" t="s">
        <v>1984</v>
      </c>
      <c r="D1923" s="1">
        <v>46037</v>
      </c>
      <c r="F1923">
        <v>9</v>
      </c>
      <c r="G1923">
        <v>236</v>
      </c>
      <c r="H1923" t="str">
        <f>VLOOKUP(G1923,[1]OPERADORES!$A:$B,2,0)</f>
        <v>DANIEL</v>
      </c>
      <c r="I1923" t="s">
        <v>21</v>
      </c>
      <c r="J1923" t="s">
        <v>1985</v>
      </c>
      <c r="K1923" t="s">
        <v>1986</v>
      </c>
      <c r="L1923">
        <v>84276</v>
      </c>
      <c r="M1923" t="s">
        <v>1990</v>
      </c>
      <c r="O1923" t="s">
        <v>11</v>
      </c>
      <c r="P1923">
        <v>5405</v>
      </c>
      <c r="Q1923">
        <v>1</v>
      </c>
      <c r="R1923">
        <v>56.05</v>
      </c>
      <c r="S1923">
        <v>56.05</v>
      </c>
      <c r="T1923">
        <v>33.97</v>
      </c>
      <c r="U1923">
        <v>39.39</v>
      </c>
      <c r="V1923" t="str">
        <f>VLOOKUP(L1923,'[2]tabela de preços'!$A:$D,4,0)</f>
        <v>BRASILUX</v>
      </c>
      <c r="W1923" t="str">
        <f>VLOOKUP(L1923,'[2]tabela de preços'!$A:$F,6,0)</f>
        <v>TINTA PAREDE</v>
      </c>
      <c r="X1923" t="str">
        <f>VLOOKUP(L1923,'[2]tabela de preços'!$A:$G,7,0)</f>
        <v>IMOBILIÁRIO</v>
      </c>
    </row>
    <row r="1924" spans="1:24" x14ac:dyDescent="0.3">
      <c r="A1924" t="s">
        <v>1983</v>
      </c>
      <c r="C1924" t="s">
        <v>1984</v>
      </c>
      <c r="D1924" s="1">
        <v>46037</v>
      </c>
      <c r="F1924">
        <v>9</v>
      </c>
      <c r="G1924">
        <v>236</v>
      </c>
      <c r="H1924" t="str">
        <f>VLOOKUP(G1924,[1]OPERADORES!$A:$B,2,0)</f>
        <v>DANIEL</v>
      </c>
      <c r="I1924" t="s">
        <v>21</v>
      </c>
      <c r="J1924" t="s">
        <v>1985</v>
      </c>
      <c r="K1924" t="s">
        <v>1986</v>
      </c>
      <c r="L1924">
        <v>84537</v>
      </c>
      <c r="M1924" t="s">
        <v>1991</v>
      </c>
      <c r="O1924" t="s">
        <v>11</v>
      </c>
      <c r="P1924">
        <v>5405</v>
      </c>
      <c r="Q1924">
        <v>1</v>
      </c>
      <c r="R1924">
        <v>71.81</v>
      </c>
      <c r="S1924">
        <v>71.81</v>
      </c>
      <c r="T1924">
        <v>43.52</v>
      </c>
      <c r="U1924">
        <v>39.4</v>
      </c>
      <c r="V1924" t="str">
        <f>VLOOKUP(L1924,'[2]tabela de preços'!$A:$D,4,0)</f>
        <v>BRASILUX</v>
      </c>
      <c r="W1924" t="str">
        <f>VLOOKUP(L1924,'[2]tabela de preços'!$A:$F,6,0)</f>
        <v>TINTA PAREDE</v>
      </c>
      <c r="X1924" t="str">
        <f>VLOOKUP(L1924,'[2]tabela de preços'!$A:$G,7,0)</f>
        <v>IMOBILIÁRIO</v>
      </c>
    </row>
    <row r="1925" spans="1:24" x14ac:dyDescent="0.3">
      <c r="A1925" t="s">
        <v>1983</v>
      </c>
      <c r="C1925" t="s">
        <v>1984</v>
      </c>
      <c r="D1925" s="1">
        <v>46037</v>
      </c>
      <c r="F1925">
        <v>9</v>
      </c>
      <c r="G1925">
        <v>236</v>
      </c>
      <c r="H1925" t="str">
        <f>VLOOKUP(G1925,[1]OPERADORES!$A:$B,2,0)</f>
        <v>DANIEL</v>
      </c>
      <c r="I1925" t="s">
        <v>21</v>
      </c>
      <c r="J1925" t="s">
        <v>1985</v>
      </c>
      <c r="K1925" t="s">
        <v>1986</v>
      </c>
      <c r="L1925">
        <v>86107</v>
      </c>
      <c r="M1925" t="s">
        <v>1992</v>
      </c>
      <c r="O1925" t="s">
        <v>11</v>
      </c>
      <c r="P1925">
        <v>5405</v>
      </c>
      <c r="Q1925">
        <v>1</v>
      </c>
      <c r="R1925">
        <v>107.45</v>
      </c>
      <c r="S1925">
        <v>107.45</v>
      </c>
      <c r="T1925">
        <v>65.12</v>
      </c>
      <c r="U1925">
        <v>39.4</v>
      </c>
      <c r="V1925" t="str">
        <f>VLOOKUP(L1925,'[2]tabela de preços'!$A:$D,4,0)</f>
        <v>SPARLACK CETOL</v>
      </c>
      <c r="W1925" t="str">
        <f>VLOOKUP(L1925,'[2]tabela de preços'!$A:$F,6,0)</f>
        <v>LINHA MOVELEIRA</v>
      </c>
      <c r="X1925" t="str">
        <f>VLOOKUP(L1925,'[2]tabela de preços'!$A:$G,7,0)</f>
        <v>MOVELEIRA</v>
      </c>
    </row>
    <row r="1926" spans="1:24" x14ac:dyDescent="0.3">
      <c r="A1926" t="s">
        <v>1983</v>
      </c>
      <c r="C1926" t="s">
        <v>1984</v>
      </c>
      <c r="D1926" s="1">
        <v>46037</v>
      </c>
      <c r="F1926">
        <v>9</v>
      </c>
      <c r="G1926">
        <v>236</v>
      </c>
      <c r="H1926" t="str">
        <f>VLOOKUP(G1926,[1]OPERADORES!$A:$B,2,0)</f>
        <v>DANIEL</v>
      </c>
      <c r="I1926" t="s">
        <v>21</v>
      </c>
      <c r="J1926" t="s">
        <v>1985</v>
      </c>
      <c r="K1926" t="s">
        <v>1986</v>
      </c>
      <c r="L1926">
        <v>85069</v>
      </c>
      <c r="M1926" t="s">
        <v>1993</v>
      </c>
      <c r="O1926" t="s">
        <v>11</v>
      </c>
      <c r="P1926">
        <v>5102</v>
      </c>
      <c r="Q1926">
        <v>1</v>
      </c>
      <c r="R1926">
        <v>41.94</v>
      </c>
      <c r="S1926">
        <v>41.94</v>
      </c>
      <c r="T1926">
        <v>27.06</v>
      </c>
      <c r="U1926">
        <v>35.479999999999997</v>
      </c>
      <c r="V1926" t="str">
        <f>VLOOKUP(L1926,'[2]tabela de preços'!$A:$D,4,0)</f>
        <v>ATLAS</v>
      </c>
      <c r="W1926" t="str">
        <f>VLOOKUP(L1926,'[2]tabela de preços'!$A:$F,6,0)</f>
        <v>ROLOS / TRINCHAS / PINCÉIS / ESPÁTULAS</v>
      </c>
      <c r="X1926" t="str">
        <f>VLOOKUP(L1926,'[2]tabela de preços'!$A:$G,7,0)</f>
        <v>IMOBILIÁRIO</v>
      </c>
    </row>
    <row r="1927" spans="1:24" x14ac:dyDescent="0.3">
      <c r="A1927" t="s">
        <v>1983</v>
      </c>
      <c r="C1927" t="s">
        <v>1984</v>
      </c>
      <c r="D1927" s="1">
        <v>46037</v>
      </c>
      <c r="F1927">
        <v>9</v>
      </c>
      <c r="G1927">
        <v>236</v>
      </c>
      <c r="H1927" t="str">
        <f>VLOOKUP(G1927,[1]OPERADORES!$A:$B,2,0)</f>
        <v>DANIEL</v>
      </c>
      <c r="I1927" t="s">
        <v>21</v>
      </c>
      <c r="J1927" t="s">
        <v>1985</v>
      </c>
      <c r="K1927" t="s">
        <v>1986</v>
      </c>
      <c r="L1927">
        <v>85059</v>
      </c>
      <c r="M1927" t="s">
        <v>1994</v>
      </c>
      <c r="O1927" t="s">
        <v>11</v>
      </c>
      <c r="P1927">
        <v>5102</v>
      </c>
      <c r="Q1927">
        <v>1</v>
      </c>
      <c r="R1927">
        <v>92.55</v>
      </c>
      <c r="S1927">
        <v>92.55</v>
      </c>
      <c r="T1927">
        <v>59.71</v>
      </c>
      <c r="U1927">
        <v>35.479999999999997</v>
      </c>
      <c r="V1927" t="str">
        <f>VLOOKUP(L1927,'[2]tabela de preços'!$A:$D,4,0)</f>
        <v>ATLAS</v>
      </c>
      <c r="W1927" t="str">
        <f>VLOOKUP(L1927,'[2]tabela de preços'!$A:$F,6,0)</f>
        <v>ROLOS / TRINCHAS / PINCÉIS / ESPÁTULAS</v>
      </c>
      <c r="X1927" t="str">
        <f>VLOOKUP(L1927,'[2]tabela de preços'!$A:$G,7,0)</f>
        <v>IMOBILIÁRIO</v>
      </c>
    </row>
    <row r="1928" spans="1:24" x14ac:dyDescent="0.3">
      <c r="A1928" t="s">
        <v>1983</v>
      </c>
      <c r="C1928" t="s">
        <v>1984</v>
      </c>
      <c r="D1928" s="1">
        <v>46037</v>
      </c>
      <c r="F1928">
        <v>9</v>
      </c>
      <c r="G1928">
        <v>236</v>
      </c>
      <c r="H1928" t="str">
        <f>VLOOKUP(G1928,[1]OPERADORES!$A:$B,2,0)</f>
        <v>DANIEL</v>
      </c>
      <c r="I1928" t="s">
        <v>21</v>
      </c>
      <c r="J1928" t="s">
        <v>1985</v>
      </c>
      <c r="K1928" t="s">
        <v>1986</v>
      </c>
      <c r="L1928">
        <v>84390</v>
      </c>
      <c r="M1928" t="s">
        <v>1995</v>
      </c>
      <c r="O1928" t="s">
        <v>11</v>
      </c>
      <c r="P1928">
        <v>5102</v>
      </c>
      <c r="Q1928">
        <v>1</v>
      </c>
      <c r="R1928">
        <v>263.13</v>
      </c>
      <c r="S1928">
        <v>263.13</v>
      </c>
      <c r="T1928">
        <v>169.76</v>
      </c>
      <c r="U1928">
        <v>35.479999999999997</v>
      </c>
      <c r="V1928" t="str">
        <f>VLOOKUP(L1928,'[2]tabela de preços'!$A:$D,4,0)</f>
        <v>START</v>
      </c>
      <c r="W1928" t="str">
        <f>VLOOKUP(L1928,'[2]tabela de preços'!$A:$F,6,0)</f>
        <v>ESCADA</v>
      </c>
      <c r="X1928" t="str">
        <f>VLOOKUP(L1928,'[2]tabela de preços'!$A:$G,7,0)</f>
        <v>IMOBILIÁRIO</v>
      </c>
    </row>
    <row r="1929" spans="1:24" x14ac:dyDescent="0.3">
      <c r="A1929" t="s">
        <v>1996</v>
      </c>
      <c r="C1929" t="s">
        <v>1997</v>
      </c>
      <c r="D1929" s="1">
        <v>46031</v>
      </c>
      <c r="E1929" t="s">
        <v>1998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550</v>
      </c>
      <c r="K1929" t="s">
        <v>1999</v>
      </c>
      <c r="L1929">
        <v>85462</v>
      </c>
      <c r="M1929" t="s">
        <v>1823</v>
      </c>
      <c r="O1929" t="s">
        <v>11</v>
      </c>
      <c r="P1929">
        <v>5102</v>
      </c>
      <c r="Q1929">
        <v>6</v>
      </c>
      <c r="R1929">
        <v>7.54</v>
      </c>
      <c r="S1929">
        <v>45.24</v>
      </c>
      <c r="T1929">
        <v>34.32</v>
      </c>
      <c r="U1929">
        <v>24.14</v>
      </c>
      <c r="V1929" t="str">
        <f>VLOOKUP(L1929,'[2]tabela de preços'!$A:$D,4,0)</f>
        <v>TEK BOND</v>
      </c>
      <c r="W1929" t="str">
        <f>VLOOKUP(L1929,'[2]tabela de preços'!$A:$F,6,0)</f>
        <v>COLA INST./ ADESIVOS COLANTES</v>
      </c>
      <c r="X1929" t="str">
        <f>VLOOKUP(L1929,'[2]tabela de preços'!$A:$G,7,0)</f>
        <v>AUTOMOTIVO</v>
      </c>
    </row>
    <row r="1930" spans="1:24" x14ac:dyDescent="0.3">
      <c r="A1930" t="s">
        <v>1996</v>
      </c>
      <c r="C1930" t="s">
        <v>1997</v>
      </c>
      <c r="D1930" s="1">
        <v>46031</v>
      </c>
      <c r="E1930" t="s">
        <v>1998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550</v>
      </c>
      <c r="K1930" t="s">
        <v>1999</v>
      </c>
      <c r="L1930">
        <v>86874</v>
      </c>
      <c r="M1930" t="s">
        <v>513</v>
      </c>
      <c r="O1930" t="s">
        <v>11</v>
      </c>
      <c r="P1930">
        <v>5102</v>
      </c>
      <c r="Q1930">
        <v>2</v>
      </c>
      <c r="R1930">
        <v>15.61</v>
      </c>
      <c r="S1930">
        <v>31.22</v>
      </c>
      <c r="T1930">
        <v>23.7</v>
      </c>
      <c r="U1930">
        <v>24.09</v>
      </c>
      <c r="V1930" t="str">
        <f>VLOOKUP(L1930,'[2]tabela de preços'!$A:$D,4,0)</f>
        <v>UNIFORTE</v>
      </c>
      <c r="W1930" t="str">
        <f>VLOOKUP(L1930,'[2]tabela de preços'!$A:$F,6,0)</f>
        <v>ASSENTOS / SIFÕES</v>
      </c>
      <c r="X1930" t="str">
        <f>VLOOKUP(L1930,'[2]tabela de preços'!$A:$G,7,0)</f>
        <v>IMOBILIÁRIO</v>
      </c>
    </row>
    <row r="1931" spans="1:24" x14ac:dyDescent="0.3">
      <c r="A1931" t="s">
        <v>1996</v>
      </c>
      <c r="C1931" t="s">
        <v>1997</v>
      </c>
      <c r="D1931" s="1">
        <v>46031</v>
      </c>
      <c r="E1931" t="s">
        <v>1998</v>
      </c>
      <c r="F1931">
        <v>9</v>
      </c>
      <c r="G1931">
        <v>231</v>
      </c>
      <c r="H1931" t="str">
        <f>VLOOKUP(G1931,[1]OPERADORES!$A:$B,2,0)</f>
        <v>EDIJANE</v>
      </c>
      <c r="I1931" t="s">
        <v>21</v>
      </c>
      <c r="J1931" t="s">
        <v>550</v>
      </c>
      <c r="K1931" t="s">
        <v>1999</v>
      </c>
      <c r="L1931">
        <v>85680</v>
      </c>
      <c r="M1931" t="s">
        <v>669</v>
      </c>
      <c r="O1931" t="s">
        <v>11</v>
      </c>
      <c r="P1931">
        <v>5102</v>
      </c>
      <c r="Q1931">
        <v>6</v>
      </c>
      <c r="R1931">
        <v>3.86</v>
      </c>
      <c r="S1931">
        <v>23.16</v>
      </c>
      <c r="T1931">
        <v>17.579999999999998</v>
      </c>
      <c r="U1931">
        <v>24.09</v>
      </c>
      <c r="V1931" t="str">
        <f>VLOOKUP(L1931,'[2]tabela de preços'!$A:$D,4,0)</f>
        <v>UNIPEGA</v>
      </c>
      <c r="W1931" t="str">
        <f>VLOOKUP(L1931,'[2]tabela de preços'!$A:$F,6,0)</f>
        <v>FITA ISOLANTE</v>
      </c>
      <c r="X1931" t="str">
        <f>VLOOKUP(L1931,'[2]tabela de preços'!$A:$G,7,0)</f>
        <v>IMOBILIÁRIO</v>
      </c>
    </row>
    <row r="1932" spans="1:24" x14ac:dyDescent="0.3">
      <c r="A1932" t="s">
        <v>1996</v>
      </c>
      <c r="C1932" t="s">
        <v>1997</v>
      </c>
      <c r="D1932" s="1">
        <v>46031</v>
      </c>
      <c r="E1932" t="s">
        <v>1998</v>
      </c>
      <c r="F1932">
        <v>9</v>
      </c>
      <c r="G1932">
        <v>231</v>
      </c>
      <c r="H1932" t="str">
        <f>VLOOKUP(G1932,[1]OPERADORES!$A:$B,2,0)</f>
        <v>EDIJANE</v>
      </c>
      <c r="I1932" t="s">
        <v>21</v>
      </c>
      <c r="J1932" t="s">
        <v>550</v>
      </c>
      <c r="K1932" t="s">
        <v>1999</v>
      </c>
      <c r="L1932">
        <v>23878</v>
      </c>
      <c r="M1932" t="s">
        <v>851</v>
      </c>
      <c r="O1932" t="s">
        <v>11</v>
      </c>
      <c r="P1932">
        <v>5102</v>
      </c>
      <c r="Q1932">
        <v>3</v>
      </c>
      <c r="R1932">
        <v>8.41</v>
      </c>
      <c r="S1932">
        <v>25.23</v>
      </c>
      <c r="T1932">
        <v>19.14</v>
      </c>
      <c r="U1932">
        <v>24.14</v>
      </c>
      <c r="V1932" t="str">
        <f>VLOOKUP(L1932,'[2]tabela de preços'!$A:$D,4,0)</f>
        <v>ATLAS</v>
      </c>
      <c r="W1932" t="str">
        <f>VLOOKUP(L1932,'[2]tabela de preços'!$A:$F,6,0)</f>
        <v>ROLOS / TRINCHAS / PINCÉIS / ESPÁTULAS</v>
      </c>
      <c r="X1932" t="str">
        <f>VLOOKUP(L1932,'[2]tabela de preços'!$A:$G,7,0)</f>
        <v>IMOBILIÁRIO</v>
      </c>
    </row>
    <row r="1933" spans="1:24" x14ac:dyDescent="0.3">
      <c r="A1933" t="s">
        <v>1996</v>
      </c>
      <c r="C1933" t="s">
        <v>1997</v>
      </c>
      <c r="D1933" s="1">
        <v>46031</v>
      </c>
      <c r="E1933" t="s">
        <v>1998</v>
      </c>
      <c r="F1933">
        <v>9</v>
      </c>
      <c r="G1933">
        <v>231</v>
      </c>
      <c r="H1933" t="str">
        <f>VLOOKUP(G1933,[1]OPERADORES!$A:$B,2,0)</f>
        <v>EDIJANE</v>
      </c>
      <c r="I1933" t="s">
        <v>21</v>
      </c>
      <c r="J1933" t="s">
        <v>550</v>
      </c>
      <c r="K1933" t="s">
        <v>1999</v>
      </c>
      <c r="L1933">
        <v>83992</v>
      </c>
      <c r="M1933" t="s">
        <v>1038</v>
      </c>
      <c r="O1933" t="s">
        <v>11</v>
      </c>
      <c r="P1933">
        <v>5102</v>
      </c>
      <c r="Q1933">
        <v>10</v>
      </c>
      <c r="R1933">
        <v>2.41</v>
      </c>
      <c r="S1933">
        <v>24.1</v>
      </c>
      <c r="T1933">
        <v>18.3</v>
      </c>
      <c r="U1933">
        <v>24.07</v>
      </c>
      <c r="V1933" t="str">
        <f>VLOOKUP(L1933,'[2]tabela de preços'!$A:$D,4,0)</f>
        <v>3M</v>
      </c>
      <c r="W1933" t="str">
        <f>VLOOKUP(L1933,'[2]tabela de preços'!$A:$F,6,0)</f>
        <v>LIXA FERRO</v>
      </c>
      <c r="X1933" t="str">
        <f>VLOOKUP(L1933,'[2]tabela de preços'!$A:$G,7,0)</f>
        <v>IMOBILIÁRIO</v>
      </c>
    </row>
    <row r="1934" spans="1:24" x14ac:dyDescent="0.3">
      <c r="A1934" t="s">
        <v>1996</v>
      </c>
      <c r="C1934" t="s">
        <v>1997</v>
      </c>
      <c r="D1934" s="1">
        <v>46031</v>
      </c>
      <c r="E1934" t="s">
        <v>1998</v>
      </c>
      <c r="F1934">
        <v>9</v>
      </c>
      <c r="G1934">
        <v>231</v>
      </c>
      <c r="H1934" t="str">
        <f>VLOOKUP(G1934,[1]OPERADORES!$A:$B,2,0)</f>
        <v>EDIJANE</v>
      </c>
      <c r="I1934" t="s">
        <v>21</v>
      </c>
      <c r="J1934" t="s">
        <v>550</v>
      </c>
      <c r="K1934" t="s">
        <v>1999</v>
      </c>
      <c r="L1934">
        <v>84019</v>
      </c>
      <c r="M1934" t="s">
        <v>2000</v>
      </c>
      <c r="O1934" t="s">
        <v>11</v>
      </c>
      <c r="P1934">
        <v>5102</v>
      </c>
      <c r="Q1934">
        <v>20</v>
      </c>
      <c r="R1934">
        <v>0.82</v>
      </c>
      <c r="S1934">
        <v>16.399999999999999</v>
      </c>
      <c r="T1934">
        <v>13.8</v>
      </c>
      <c r="U1934">
        <v>15.85</v>
      </c>
      <c r="V1934" t="str">
        <f>VLOOKUP(L1934,'[2]tabela de preços'!$A:$D,4,0)</f>
        <v>3M</v>
      </c>
      <c r="W1934" t="str">
        <f>VLOOKUP(L1934,'[2]tabela de preços'!$A:$F,6,0)</f>
        <v>LIXA MASSA  /MADEIRA / PAREDE</v>
      </c>
      <c r="X1934" t="str">
        <f>VLOOKUP(L1934,'[2]tabela de preços'!$A:$G,7,0)</f>
        <v>IMOBILIÁRIO</v>
      </c>
    </row>
    <row r="1935" spans="1:24" x14ac:dyDescent="0.3">
      <c r="A1935" t="s">
        <v>1996</v>
      </c>
      <c r="C1935" t="s">
        <v>1997</v>
      </c>
      <c r="D1935" s="1">
        <v>46031</v>
      </c>
      <c r="E1935" t="s">
        <v>1998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550</v>
      </c>
      <c r="K1935" t="s">
        <v>1999</v>
      </c>
      <c r="L1935">
        <v>84431</v>
      </c>
      <c r="M1935" t="s">
        <v>1369</v>
      </c>
      <c r="O1935" t="s">
        <v>11</v>
      </c>
      <c r="P1935">
        <v>5102</v>
      </c>
      <c r="Q1935">
        <v>3</v>
      </c>
      <c r="R1935">
        <v>8.9600000000000009</v>
      </c>
      <c r="S1935">
        <v>26.88</v>
      </c>
      <c r="T1935">
        <v>20.399999999999999</v>
      </c>
      <c r="U1935">
        <v>24.11</v>
      </c>
      <c r="V1935" t="str">
        <f>VLOOKUP(L1935,'[2]tabela de preços'!$A:$D,4,0)</f>
        <v>ATLAS</v>
      </c>
      <c r="W1935" t="str">
        <f>VLOOKUP(L1935,'[2]tabela de preços'!$A:$F,6,0)</f>
        <v>ROLOS / TRINCHAS / PINCÉIS / ESPÁTULAS</v>
      </c>
      <c r="X1935" t="str">
        <f>VLOOKUP(L1935,'[2]tabela de preços'!$A:$G,7,0)</f>
        <v>IMOBILIÁRIO</v>
      </c>
    </row>
    <row r="1936" spans="1:24" x14ac:dyDescent="0.3">
      <c r="A1936" t="s">
        <v>1996</v>
      </c>
      <c r="C1936" t="s">
        <v>1997</v>
      </c>
      <c r="D1936" s="1">
        <v>46031</v>
      </c>
      <c r="E1936" t="s">
        <v>1998</v>
      </c>
      <c r="F1936">
        <v>9</v>
      </c>
      <c r="G1936">
        <v>231</v>
      </c>
      <c r="H1936" t="str">
        <f>VLOOKUP(G1936,[1]OPERADORES!$A:$B,2,0)</f>
        <v>EDIJANE</v>
      </c>
      <c r="I1936" t="s">
        <v>21</v>
      </c>
      <c r="J1936" t="s">
        <v>550</v>
      </c>
      <c r="K1936" t="s">
        <v>1999</v>
      </c>
      <c r="L1936">
        <v>85683</v>
      </c>
      <c r="M1936" t="s">
        <v>521</v>
      </c>
      <c r="O1936" t="s">
        <v>11</v>
      </c>
      <c r="P1936">
        <v>5102</v>
      </c>
      <c r="Q1936">
        <v>3</v>
      </c>
      <c r="R1936">
        <v>8.68</v>
      </c>
      <c r="S1936">
        <v>26.04</v>
      </c>
      <c r="T1936">
        <v>19.77</v>
      </c>
      <c r="U1936">
        <v>24.08</v>
      </c>
      <c r="V1936" t="str">
        <f>VLOOKUP(L1936,'[2]tabela de preços'!$A:$D,4,0)</f>
        <v>UNIPEGA</v>
      </c>
      <c r="W1936" t="str">
        <f>VLOOKUP(L1936,'[2]tabela de preços'!$A:$F,6,0)</f>
        <v>SILICONE</v>
      </c>
      <c r="X1936" t="str">
        <f>VLOOKUP(L1936,'[2]tabela de preços'!$A:$G,7,0)</f>
        <v>IMOBILIÁRIO</v>
      </c>
    </row>
    <row r="1937" spans="1:24" x14ac:dyDescent="0.3">
      <c r="A1937" t="s">
        <v>1996</v>
      </c>
      <c r="C1937" t="s">
        <v>1997</v>
      </c>
      <c r="D1937" s="1">
        <v>46031</v>
      </c>
      <c r="E1937" t="s">
        <v>1998</v>
      </c>
      <c r="F1937">
        <v>9</v>
      </c>
      <c r="G1937">
        <v>231</v>
      </c>
      <c r="H1937" t="str">
        <f>VLOOKUP(G1937,[1]OPERADORES!$A:$B,2,0)</f>
        <v>EDIJANE</v>
      </c>
      <c r="I1937" t="s">
        <v>21</v>
      </c>
      <c r="J1937" t="s">
        <v>550</v>
      </c>
      <c r="K1937" t="s">
        <v>1999</v>
      </c>
      <c r="L1937">
        <v>85667</v>
      </c>
      <c r="M1937" t="s">
        <v>472</v>
      </c>
      <c r="O1937" t="s">
        <v>11</v>
      </c>
      <c r="P1937">
        <v>5403</v>
      </c>
      <c r="Q1937">
        <v>3</v>
      </c>
      <c r="R1937">
        <v>13.89</v>
      </c>
      <c r="S1937">
        <v>41.67</v>
      </c>
      <c r="T1937">
        <v>35.97</v>
      </c>
      <c r="U1937">
        <v>13.68</v>
      </c>
      <c r="V1937" t="str">
        <f>VLOOKUP(L1937,'[2]tabela de preços'!$A:$D,4,0)</f>
        <v>UNIPEGA</v>
      </c>
      <c r="W1937" t="str">
        <f>VLOOKUP(L1937,'[2]tabela de preços'!$A:$F,6,0)</f>
        <v xml:space="preserve">SPRAYS </v>
      </c>
      <c r="X1937" t="str">
        <f>VLOOKUP(L1937,'[2]tabela de preços'!$A:$G,7,0)</f>
        <v>AUTOMOTIVO</v>
      </c>
    </row>
    <row r="1938" spans="1:24" x14ac:dyDescent="0.3">
      <c r="A1938" t="s">
        <v>1996</v>
      </c>
      <c r="C1938" t="s">
        <v>1997</v>
      </c>
      <c r="D1938" s="1">
        <v>46031</v>
      </c>
      <c r="E1938" t="s">
        <v>1998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550</v>
      </c>
      <c r="K1938" t="s">
        <v>1999</v>
      </c>
      <c r="L1938">
        <v>85639</v>
      </c>
      <c r="M1938" t="s">
        <v>474</v>
      </c>
      <c r="O1938" t="s">
        <v>11</v>
      </c>
      <c r="P1938">
        <v>5403</v>
      </c>
      <c r="Q1938">
        <v>6</v>
      </c>
      <c r="R1938">
        <v>8.19</v>
      </c>
      <c r="S1938">
        <v>49.14</v>
      </c>
      <c r="T1938">
        <v>41.52</v>
      </c>
      <c r="U1938">
        <v>15.51</v>
      </c>
      <c r="V1938" t="str">
        <f>VLOOKUP(L1938,'[2]tabela de preços'!$A:$D,4,0)</f>
        <v>UNIPEGA</v>
      </c>
      <c r="W1938" t="str">
        <f>VLOOKUP(L1938,'[2]tabela de preços'!$A:$F,6,0)</f>
        <v xml:space="preserve">SPRAYS </v>
      </c>
      <c r="X1938" t="str">
        <f>VLOOKUP(L1938,'[2]tabela de preços'!$A:$G,7,0)</f>
        <v>AUTOMOTIVO</v>
      </c>
    </row>
    <row r="1939" spans="1:24" x14ac:dyDescent="0.3">
      <c r="A1939" t="s">
        <v>1996</v>
      </c>
      <c r="C1939" t="s">
        <v>1997</v>
      </c>
      <c r="D1939" s="1">
        <v>46031</v>
      </c>
      <c r="E1939" t="s">
        <v>1998</v>
      </c>
      <c r="F1939">
        <v>9</v>
      </c>
      <c r="G1939">
        <v>231</v>
      </c>
      <c r="H1939" t="str">
        <f>VLOOKUP(G1939,[1]OPERADORES!$A:$B,2,0)</f>
        <v>EDIJANE</v>
      </c>
      <c r="I1939" t="s">
        <v>21</v>
      </c>
      <c r="J1939" t="s">
        <v>550</v>
      </c>
      <c r="K1939" t="s">
        <v>1999</v>
      </c>
      <c r="L1939">
        <v>85643</v>
      </c>
      <c r="M1939" t="s">
        <v>476</v>
      </c>
      <c r="O1939" t="s">
        <v>11</v>
      </c>
      <c r="P1939">
        <v>5403</v>
      </c>
      <c r="Q1939">
        <v>12</v>
      </c>
      <c r="R1939">
        <v>8.19</v>
      </c>
      <c r="S1939">
        <v>98.28</v>
      </c>
      <c r="T1939">
        <v>80.52</v>
      </c>
      <c r="U1939">
        <v>18.07</v>
      </c>
      <c r="V1939" t="str">
        <f>VLOOKUP(L1939,'[2]tabela de preços'!$A:$D,4,0)</f>
        <v>UNIPEGA</v>
      </c>
      <c r="W1939" t="str">
        <f>VLOOKUP(L1939,'[2]tabela de preços'!$A:$F,6,0)</f>
        <v xml:space="preserve">SPRAYS </v>
      </c>
      <c r="X1939" t="str">
        <f>VLOOKUP(L1939,'[2]tabela de preços'!$A:$G,7,0)</f>
        <v>AUTOMOTIVO</v>
      </c>
    </row>
    <row r="1940" spans="1:24" x14ac:dyDescent="0.3">
      <c r="A1940" t="s">
        <v>2001</v>
      </c>
      <c r="C1940" t="s">
        <v>2002</v>
      </c>
      <c r="D1940" s="1">
        <v>46037</v>
      </c>
      <c r="E1940" t="s">
        <v>2003</v>
      </c>
      <c r="F1940">
        <v>9</v>
      </c>
      <c r="G1940">
        <v>174</v>
      </c>
      <c r="H1940" t="str">
        <f>VLOOKUP(G1940,[1]OPERADORES!$A:$B,2,0)</f>
        <v>MIRIÃ LOBATO RODRIGUES</v>
      </c>
      <c r="I1940" t="s">
        <v>21</v>
      </c>
      <c r="J1940" t="s">
        <v>1427</v>
      </c>
      <c r="K1940" t="s">
        <v>2004</v>
      </c>
      <c r="L1940">
        <v>84815</v>
      </c>
      <c r="M1940" t="s">
        <v>949</v>
      </c>
      <c r="O1940" t="s">
        <v>11</v>
      </c>
      <c r="P1940">
        <v>5403</v>
      </c>
      <c r="Q1940">
        <v>5</v>
      </c>
      <c r="R1940">
        <v>32.35</v>
      </c>
      <c r="S1940">
        <v>161.75</v>
      </c>
      <c r="T1940">
        <v>122.75</v>
      </c>
      <c r="U1940">
        <v>24.11</v>
      </c>
      <c r="V1940" t="str">
        <f>VLOOKUP(L1940,'[2]tabela de preços'!$A:$D,4,0)</f>
        <v>BRASILUX</v>
      </c>
      <c r="W1940" t="str">
        <f>VLOOKUP(L1940,'[2]tabela de preços'!$A:$F,6,0)</f>
        <v>KIT BRASCORTEN</v>
      </c>
      <c r="X1940" t="str">
        <f>VLOOKUP(L1940,'[2]tabela de preços'!$A:$G,7,0)</f>
        <v>IMOBILIÁRIO</v>
      </c>
    </row>
    <row r="1941" spans="1:24" x14ac:dyDescent="0.3">
      <c r="A1941" t="s">
        <v>2001</v>
      </c>
      <c r="C1941" t="s">
        <v>2002</v>
      </c>
      <c r="D1941" s="1">
        <v>46037</v>
      </c>
      <c r="E1941" t="s">
        <v>2003</v>
      </c>
      <c r="F1941">
        <v>9</v>
      </c>
      <c r="G1941">
        <v>174</v>
      </c>
      <c r="H1941" t="str">
        <f>VLOOKUP(G1941,[1]OPERADORES!$A:$B,2,0)</f>
        <v>MIRIÃ LOBATO RODRIGUES</v>
      </c>
      <c r="I1941" t="s">
        <v>21</v>
      </c>
      <c r="J1941" t="s">
        <v>1427</v>
      </c>
      <c r="K1941" t="s">
        <v>2004</v>
      </c>
      <c r="L1941">
        <v>84814</v>
      </c>
      <c r="M1941" t="s">
        <v>950</v>
      </c>
      <c r="O1941" t="s">
        <v>11</v>
      </c>
      <c r="P1941">
        <v>5403</v>
      </c>
      <c r="Q1941">
        <v>5</v>
      </c>
      <c r="R1941">
        <v>118.93</v>
      </c>
      <c r="S1941">
        <v>594.65</v>
      </c>
      <c r="T1941">
        <v>451.35</v>
      </c>
      <c r="U1941">
        <v>24.1</v>
      </c>
      <c r="V1941" t="str">
        <f>VLOOKUP(L1941,'[2]tabela de preços'!$A:$D,4,0)</f>
        <v>BRASILUX</v>
      </c>
      <c r="W1941" t="str">
        <f>VLOOKUP(L1941,'[2]tabela de preços'!$A:$F,6,0)</f>
        <v>KIT BRASCORTEN</v>
      </c>
      <c r="X1941" t="str">
        <f>VLOOKUP(L1941,'[2]tabela de preços'!$A:$G,7,0)</f>
        <v>IMOBILIÁRIO</v>
      </c>
    </row>
    <row r="1942" spans="1:24" x14ac:dyDescent="0.3">
      <c r="A1942" t="s">
        <v>2001</v>
      </c>
      <c r="C1942" t="s">
        <v>2002</v>
      </c>
      <c r="D1942" s="1">
        <v>46037</v>
      </c>
      <c r="E1942" t="s">
        <v>2003</v>
      </c>
      <c r="F1942">
        <v>9</v>
      </c>
      <c r="G1942">
        <v>174</v>
      </c>
      <c r="H1942" t="str">
        <f>VLOOKUP(G1942,[1]OPERADORES!$A:$B,2,0)</f>
        <v>MIRIÃ LOBATO RODRIGUES</v>
      </c>
      <c r="I1942" t="s">
        <v>21</v>
      </c>
      <c r="J1942" t="s">
        <v>1427</v>
      </c>
      <c r="K1942" t="s">
        <v>2004</v>
      </c>
      <c r="L1942">
        <v>84785</v>
      </c>
      <c r="M1942" t="s">
        <v>944</v>
      </c>
      <c r="O1942" t="s">
        <v>11</v>
      </c>
      <c r="P1942">
        <v>5403</v>
      </c>
      <c r="Q1942">
        <v>2</v>
      </c>
      <c r="R1942">
        <v>172.23</v>
      </c>
      <c r="S1942">
        <v>344.46</v>
      </c>
      <c r="T1942">
        <v>261.44</v>
      </c>
      <c r="U1942">
        <v>24.1</v>
      </c>
      <c r="V1942" t="str">
        <f>VLOOKUP(L1942,'[2]tabela de preços'!$A:$D,4,0)</f>
        <v>BRASILUX</v>
      </c>
      <c r="W1942" t="str">
        <f>VLOOKUP(L1942,'[2]tabela de preços'!$A:$F,6,0)</f>
        <v>EPOXI</v>
      </c>
      <c r="X1942" t="str">
        <f>VLOOKUP(L1942,'[2]tabela de preços'!$A:$G,7,0)</f>
        <v>INDUSTRIAL</v>
      </c>
    </row>
    <row r="1943" spans="1:24" x14ac:dyDescent="0.3">
      <c r="A1943" t="s">
        <v>2001</v>
      </c>
      <c r="C1943" t="s">
        <v>2005</v>
      </c>
      <c r="D1943" s="1">
        <v>46038</v>
      </c>
      <c r="E1943" t="s">
        <v>2006</v>
      </c>
      <c r="F1943">
        <v>9</v>
      </c>
      <c r="G1943">
        <v>174</v>
      </c>
      <c r="H1943" t="str">
        <f>VLOOKUP(G1943,[1]OPERADORES!$A:$B,2,0)</f>
        <v>MIRIÃ LOBATO RODRIGUES</v>
      </c>
      <c r="I1943" t="s">
        <v>21</v>
      </c>
      <c r="J1943" t="s">
        <v>1427</v>
      </c>
      <c r="K1943" t="s">
        <v>2004</v>
      </c>
      <c r="L1943">
        <v>84922</v>
      </c>
      <c r="M1943" t="s">
        <v>1904</v>
      </c>
      <c r="O1943" t="s">
        <v>11</v>
      </c>
      <c r="P1943">
        <v>5403</v>
      </c>
      <c r="Q1943">
        <v>2</v>
      </c>
      <c r="R1943">
        <v>224.04</v>
      </c>
      <c r="S1943">
        <v>448.08</v>
      </c>
      <c r="T1943">
        <v>340.1</v>
      </c>
      <c r="U1943">
        <v>24.1</v>
      </c>
      <c r="V1943" t="str">
        <f>VLOOKUP(L1943,'[2]tabela de preços'!$A:$D,4,0)</f>
        <v>BRASILUX</v>
      </c>
      <c r="W1943" t="str">
        <f>VLOOKUP(L1943,'[2]tabela de preços'!$A:$F,6,0)</f>
        <v>EPOXI</v>
      </c>
      <c r="X1943" t="str">
        <f>VLOOKUP(L1943,'[2]tabela de preços'!$A:$G,7,0)</f>
        <v>INDUSTRIAL</v>
      </c>
    </row>
    <row r="1944" spans="1:24" x14ac:dyDescent="0.3">
      <c r="A1944" t="s">
        <v>2001</v>
      </c>
      <c r="C1944" t="s">
        <v>2007</v>
      </c>
      <c r="D1944" s="1">
        <v>46043</v>
      </c>
      <c r="E1944" t="s">
        <v>2008</v>
      </c>
      <c r="F1944">
        <v>9</v>
      </c>
      <c r="G1944">
        <v>230</v>
      </c>
      <c r="H1944" t="str">
        <f>VLOOKUP(G1944,[1]OPERADORES!$A:$B,2,0)</f>
        <v>SÔNIA</v>
      </c>
      <c r="I1944" t="s">
        <v>21</v>
      </c>
      <c r="J1944" t="s">
        <v>1427</v>
      </c>
      <c r="K1944" t="s">
        <v>2009</v>
      </c>
      <c r="L1944">
        <v>84113</v>
      </c>
      <c r="M1944" t="s">
        <v>737</v>
      </c>
      <c r="O1944" t="s">
        <v>11</v>
      </c>
      <c r="P1944">
        <v>5403</v>
      </c>
      <c r="Q1944">
        <v>1</v>
      </c>
      <c r="R1944">
        <v>153.99</v>
      </c>
      <c r="S1944">
        <v>153.99</v>
      </c>
      <c r="T1944">
        <v>116.88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EPOXI</v>
      </c>
      <c r="X1944" t="str">
        <f>VLOOKUP(L1944,'[2]tabela de preços'!$A:$G,7,0)</f>
        <v>INDUSTRIAL</v>
      </c>
    </row>
    <row r="1945" spans="1:24" x14ac:dyDescent="0.3">
      <c r="A1945" t="s">
        <v>2001</v>
      </c>
      <c r="C1945" t="s">
        <v>2010</v>
      </c>
      <c r="D1945" s="1">
        <v>46044</v>
      </c>
      <c r="E1945" t="s">
        <v>2011</v>
      </c>
      <c r="F1945">
        <v>9</v>
      </c>
      <c r="G1945">
        <v>174</v>
      </c>
      <c r="H1945" t="str">
        <f>VLOOKUP(G1945,[1]OPERADORES!$A:$B,2,0)</f>
        <v>MIRIÃ LOBATO RODRIGUES</v>
      </c>
      <c r="I1945" t="s">
        <v>21</v>
      </c>
      <c r="J1945" t="s">
        <v>1427</v>
      </c>
      <c r="K1945" t="s">
        <v>2004</v>
      </c>
      <c r="L1945">
        <v>84381</v>
      </c>
      <c r="M1945" t="s">
        <v>91</v>
      </c>
      <c r="O1945" t="s">
        <v>11</v>
      </c>
      <c r="P1945">
        <v>5403</v>
      </c>
      <c r="Q1945">
        <v>3</v>
      </c>
      <c r="R1945">
        <v>159.9</v>
      </c>
      <c r="S1945">
        <v>479.7</v>
      </c>
      <c r="T1945">
        <v>412.83</v>
      </c>
      <c r="U1945">
        <v>13.94</v>
      </c>
      <c r="V1945" t="str">
        <f>VLOOKUP(L1945,'[2]tabela de preços'!$A:$D,4,0)</f>
        <v>BRASILUX</v>
      </c>
      <c r="W1945" t="str">
        <f>VLOOKUP(L1945,'[2]tabela de preços'!$A:$F,6,0)</f>
        <v>TINTA PARA PISO</v>
      </c>
      <c r="X1945" t="str">
        <f>VLOOKUP(L1945,'[2]tabela de preços'!$A:$G,7,0)</f>
        <v>IMOBILIÁRIO</v>
      </c>
    </row>
    <row r="1946" spans="1:24" x14ac:dyDescent="0.3">
      <c r="A1946" t="s">
        <v>2001</v>
      </c>
      <c r="C1946" t="s">
        <v>2010</v>
      </c>
      <c r="D1946" s="1">
        <v>46044</v>
      </c>
      <c r="E1946" t="s">
        <v>2011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1427</v>
      </c>
      <c r="K1946" t="s">
        <v>2004</v>
      </c>
      <c r="L1946">
        <v>84385</v>
      </c>
      <c r="M1946" t="s">
        <v>2012</v>
      </c>
      <c r="O1946" t="s">
        <v>11</v>
      </c>
      <c r="P1946">
        <v>5403</v>
      </c>
      <c r="Q1946">
        <v>8</v>
      </c>
      <c r="R1946">
        <v>159.9</v>
      </c>
      <c r="S1946" s="2">
        <v>1279.2</v>
      </c>
      <c r="T1946" s="2">
        <v>1100.8800000000001</v>
      </c>
      <c r="U1946">
        <v>13.94</v>
      </c>
      <c r="V1946" t="str">
        <f>VLOOKUP(L1946,'[2]tabela de preços'!$A:$D,4,0)</f>
        <v>BRASILUX</v>
      </c>
      <c r="W1946" t="str">
        <f>VLOOKUP(L1946,'[2]tabela de preços'!$A:$F,6,0)</f>
        <v>TINTA PARA PISO</v>
      </c>
      <c r="X1946" t="str">
        <f>VLOOKUP(L1946,'[2]tabela de preços'!$A:$G,7,0)</f>
        <v>IMOBILIÁRIO</v>
      </c>
    </row>
    <row r="1947" spans="1:24" x14ac:dyDescent="0.3">
      <c r="A1947" t="s">
        <v>2001</v>
      </c>
      <c r="C1947" t="s">
        <v>2010</v>
      </c>
      <c r="D1947" s="1">
        <v>46044</v>
      </c>
      <c r="E1947" t="s">
        <v>2011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1427</v>
      </c>
      <c r="K1947" t="s">
        <v>2004</v>
      </c>
      <c r="L1947">
        <v>84405</v>
      </c>
      <c r="M1947" t="s">
        <v>2013</v>
      </c>
      <c r="O1947" t="s">
        <v>11</v>
      </c>
      <c r="P1947">
        <v>5403</v>
      </c>
      <c r="Q1947">
        <v>2</v>
      </c>
      <c r="R1947">
        <v>159.9</v>
      </c>
      <c r="S1947">
        <v>319.8</v>
      </c>
      <c r="T1947">
        <v>275.22000000000003</v>
      </c>
      <c r="U1947">
        <v>13.94</v>
      </c>
      <c r="V1947" t="str">
        <f>VLOOKUP(L1947,'[2]tabela de preços'!$A:$D,4,0)</f>
        <v>BRASILUX</v>
      </c>
      <c r="W1947" t="str">
        <f>VLOOKUP(L1947,'[2]tabela de preços'!$A:$F,6,0)</f>
        <v>TINTA PARA PISO</v>
      </c>
      <c r="X1947" t="str">
        <f>VLOOKUP(L1947,'[2]tabela de preços'!$A:$G,7,0)</f>
        <v>IMOBILIÁRIO</v>
      </c>
    </row>
    <row r="1948" spans="1:24" x14ac:dyDescent="0.3">
      <c r="A1948" t="s">
        <v>2001</v>
      </c>
      <c r="C1948" t="s">
        <v>2014</v>
      </c>
      <c r="D1948" s="1">
        <v>46045</v>
      </c>
      <c r="E1948" t="s">
        <v>2015</v>
      </c>
      <c r="F1948">
        <v>9</v>
      </c>
      <c r="G1948">
        <v>230</v>
      </c>
      <c r="H1948" t="str">
        <f>VLOOKUP(G1948,[1]OPERADORES!$A:$B,2,0)</f>
        <v>SÔNIA</v>
      </c>
      <c r="I1948" t="s">
        <v>21</v>
      </c>
      <c r="J1948" t="s">
        <v>1427</v>
      </c>
      <c r="K1948" t="s">
        <v>2009</v>
      </c>
      <c r="L1948">
        <v>84566</v>
      </c>
      <c r="M1948" t="s">
        <v>2016</v>
      </c>
      <c r="O1948" t="s">
        <v>11</v>
      </c>
      <c r="P1948">
        <v>5403</v>
      </c>
      <c r="Q1948">
        <v>5</v>
      </c>
      <c r="R1948">
        <v>479.04</v>
      </c>
      <c r="S1948" s="2">
        <v>2395.1999999999998</v>
      </c>
      <c r="T1948" s="2">
        <v>1818</v>
      </c>
      <c r="U1948">
        <v>24.1</v>
      </c>
      <c r="V1948" t="str">
        <f>VLOOKUP(L1948,'[2]tabela de preços'!$A:$D,4,0)</f>
        <v>BRASILUX</v>
      </c>
      <c r="W1948" t="str">
        <f>VLOOKUP(L1948,'[2]tabela de preços'!$A:$F,6,0)</f>
        <v>TINTA PARA PISO</v>
      </c>
      <c r="X1948" t="str">
        <f>VLOOKUP(L1948,'[2]tabela de preços'!$A:$G,7,0)</f>
        <v>IMOBILIÁRIO</v>
      </c>
    </row>
    <row r="1949" spans="1:24" x14ac:dyDescent="0.3">
      <c r="A1949" t="s">
        <v>2001</v>
      </c>
      <c r="C1949" t="s">
        <v>2017</v>
      </c>
      <c r="D1949" s="1">
        <v>46045</v>
      </c>
      <c r="E1949" t="s">
        <v>2018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1427</v>
      </c>
      <c r="K1949" t="s">
        <v>2004</v>
      </c>
      <c r="L1949">
        <v>85627</v>
      </c>
      <c r="M1949" t="s">
        <v>2016</v>
      </c>
      <c r="O1949" t="s">
        <v>11</v>
      </c>
      <c r="P1949">
        <v>5403</v>
      </c>
      <c r="Q1949">
        <v>2</v>
      </c>
      <c r="R1949">
        <v>387.58</v>
      </c>
      <c r="S1949">
        <v>775.16</v>
      </c>
      <c r="T1949">
        <v>588.36</v>
      </c>
      <c r="U1949">
        <v>24.1</v>
      </c>
      <c r="V1949" t="str">
        <f>VLOOKUP(L1949,'[2]tabela de preços'!$A:$D,4,0)</f>
        <v>BRASILUX</v>
      </c>
      <c r="W1949" t="str">
        <f>VLOOKUP(L1949,'[2]tabela de preços'!$A:$F,6,0)</f>
        <v>TINTA PARA PISO</v>
      </c>
      <c r="X1949" t="str">
        <f>VLOOKUP(L1949,'[2]tabela de preços'!$A:$G,7,0)</f>
        <v>IMOBILIÁRIO</v>
      </c>
    </row>
    <row r="1950" spans="1:24" x14ac:dyDescent="0.3">
      <c r="A1950" t="s">
        <v>2001</v>
      </c>
      <c r="C1950" t="s">
        <v>2019</v>
      </c>
      <c r="D1950" s="1">
        <v>46045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1427</v>
      </c>
      <c r="K1950" t="s">
        <v>2004</v>
      </c>
      <c r="L1950">
        <v>84405</v>
      </c>
      <c r="M1950" t="s">
        <v>2013</v>
      </c>
      <c r="N1950" t="s">
        <v>2020</v>
      </c>
      <c r="O1950" t="s">
        <v>11</v>
      </c>
      <c r="P1950">
        <v>1411</v>
      </c>
      <c r="Q1950">
        <v>-2</v>
      </c>
      <c r="R1950">
        <v>159.9</v>
      </c>
      <c r="S1950">
        <v>-319.8</v>
      </c>
      <c r="T1950">
        <v>-275.22000000000003</v>
      </c>
      <c r="U1950">
        <v>13.94</v>
      </c>
      <c r="V1950" t="str">
        <f>VLOOKUP(L1950,'[2]tabela de preços'!$A:$D,4,0)</f>
        <v>BRASILUX</v>
      </c>
      <c r="W1950" t="str">
        <f>VLOOKUP(L1950,'[2]tabela de preços'!$A:$F,6,0)</f>
        <v>TINTA PARA PISO</v>
      </c>
      <c r="X1950" t="str">
        <f>VLOOKUP(L1950,'[2]tabela de preços'!$A:$G,7,0)</f>
        <v>IMOBILIÁRIO</v>
      </c>
    </row>
    <row r="1951" spans="1:24" x14ac:dyDescent="0.3">
      <c r="A1951" t="s">
        <v>2001</v>
      </c>
      <c r="C1951" t="s">
        <v>2021</v>
      </c>
      <c r="D1951" s="1">
        <v>46045</v>
      </c>
      <c r="E1951" t="s">
        <v>2022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1427</v>
      </c>
      <c r="K1951" t="s">
        <v>2004</v>
      </c>
      <c r="L1951">
        <v>84814</v>
      </c>
      <c r="M1951" t="s">
        <v>950</v>
      </c>
      <c r="O1951" t="s">
        <v>11</v>
      </c>
      <c r="P1951">
        <v>5403</v>
      </c>
      <c r="Q1951">
        <v>1</v>
      </c>
      <c r="R1951">
        <v>118.93</v>
      </c>
      <c r="S1951">
        <v>118.93</v>
      </c>
      <c r="T1951">
        <v>90.27</v>
      </c>
      <c r="U1951">
        <v>24.1</v>
      </c>
      <c r="V1951" t="str">
        <f>VLOOKUP(L1951,'[2]tabela de preços'!$A:$D,4,0)</f>
        <v>BRASILUX</v>
      </c>
      <c r="W1951" t="str">
        <f>VLOOKUP(L1951,'[2]tabela de preços'!$A:$F,6,0)</f>
        <v>KIT BRASCORTEN</v>
      </c>
      <c r="X1951" t="str">
        <f>VLOOKUP(L1951,'[2]tabela de preços'!$A:$G,7,0)</f>
        <v>IMOBILIÁRIO</v>
      </c>
    </row>
    <row r="1952" spans="1:24" x14ac:dyDescent="0.3">
      <c r="A1952" t="s">
        <v>2001</v>
      </c>
      <c r="C1952" t="s">
        <v>2021</v>
      </c>
      <c r="D1952" s="1">
        <v>46045</v>
      </c>
      <c r="E1952" t="s">
        <v>2022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1427</v>
      </c>
      <c r="K1952" t="s">
        <v>2004</v>
      </c>
      <c r="L1952">
        <v>85627</v>
      </c>
      <c r="M1952" t="s">
        <v>2016</v>
      </c>
      <c r="O1952" t="s">
        <v>11</v>
      </c>
      <c r="P1952">
        <v>5403</v>
      </c>
      <c r="Q1952">
        <v>1</v>
      </c>
      <c r="R1952">
        <v>387.58</v>
      </c>
      <c r="S1952">
        <v>387.58</v>
      </c>
      <c r="T1952">
        <v>294.18</v>
      </c>
      <c r="U1952">
        <v>24.1</v>
      </c>
      <c r="V1952" t="str">
        <f>VLOOKUP(L1952,'[2]tabela de preços'!$A:$D,4,0)</f>
        <v>BRASILUX</v>
      </c>
      <c r="W1952" t="str">
        <f>VLOOKUP(L1952,'[2]tabela de preços'!$A:$F,6,0)</f>
        <v>TINTA PARA PISO</v>
      </c>
      <c r="X1952" t="str">
        <f>VLOOKUP(L1952,'[2]tabela de preços'!$A:$G,7,0)</f>
        <v>IMOBILIÁRIO</v>
      </c>
    </row>
    <row r="1953" spans="1:24" x14ac:dyDescent="0.3">
      <c r="A1953" t="s">
        <v>2001</v>
      </c>
      <c r="C1953" t="s">
        <v>2023</v>
      </c>
      <c r="D1953" s="1">
        <v>46049</v>
      </c>
      <c r="E1953" t="s">
        <v>2024</v>
      </c>
      <c r="F1953">
        <v>9</v>
      </c>
      <c r="G1953">
        <v>174</v>
      </c>
      <c r="H1953" t="str">
        <f>VLOOKUP(G1953,[1]OPERADORES!$A:$B,2,0)</f>
        <v>MIRIÃ LOBATO RODRIGUES</v>
      </c>
      <c r="I1953" t="s">
        <v>21</v>
      </c>
      <c r="J1953" t="s">
        <v>1427</v>
      </c>
      <c r="K1953" t="s">
        <v>2004</v>
      </c>
      <c r="L1953">
        <v>84894</v>
      </c>
      <c r="M1953" t="s">
        <v>1260</v>
      </c>
      <c r="O1953" t="s">
        <v>11</v>
      </c>
      <c r="P1953">
        <v>5102</v>
      </c>
      <c r="Q1953">
        <v>2</v>
      </c>
      <c r="R1953">
        <v>59.53</v>
      </c>
      <c r="S1953">
        <v>119.06</v>
      </c>
      <c r="T1953">
        <v>90.38</v>
      </c>
      <c r="U1953">
        <v>24.09</v>
      </c>
      <c r="V1953" t="str">
        <f>VLOOKUP(L1953,'[2]tabela de preços'!$A:$D,4,0)</f>
        <v>BRASILUX</v>
      </c>
      <c r="W1953" t="str">
        <f>VLOOKUP(L1953,'[2]tabela de preços'!$A:$F,6,0)</f>
        <v>DILUENTE</v>
      </c>
      <c r="X1953" t="str">
        <f>VLOOKUP(L1953,'[2]tabela de preços'!$A:$G,7,0)</f>
        <v>AUTOMOTIVO</v>
      </c>
    </row>
    <row r="1954" spans="1:24" x14ac:dyDescent="0.3">
      <c r="A1954" t="s">
        <v>2001</v>
      </c>
      <c r="C1954" t="s">
        <v>2023</v>
      </c>
      <c r="D1954" s="1">
        <v>46049</v>
      </c>
      <c r="E1954" t="s">
        <v>2024</v>
      </c>
      <c r="F1954">
        <v>9</v>
      </c>
      <c r="G1954">
        <v>174</v>
      </c>
      <c r="H1954" t="str">
        <f>VLOOKUP(G1954,[1]OPERADORES!$A:$B,2,0)</f>
        <v>MIRIÃ LOBATO RODRIGUES</v>
      </c>
      <c r="I1954" t="s">
        <v>21</v>
      </c>
      <c r="J1954" t="s">
        <v>1427</v>
      </c>
      <c r="K1954" t="s">
        <v>2004</v>
      </c>
      <c r="L1954">
        <v>84566</v>
      </c>
      <c r="M1954" t="s">
        <v>2016</v>
      </c>
      <c r="O1954" t="s">
        <v>11</v>
      </c>
      <c r="P1954">
        <v>5403</v>
      </c>
      <c r="Q1954">
        <v>3</v>
      </c>
      <c r="R1954">
        <v>479.04</v>
      </c>
      <c r="S1954" s="2">
        <v>1437.12</v>
      </c>
      <c r="T1954" s="2">
        <v>1090.8</v>
      </c>
      <c r="U1954">
        <v>24.1</v>
      </c>
      <c r="V1954" t="str">
        <f>VLOOKUP(L1954,'[2]tabela de preços'!$A:$D,4,0)</f>
        <v>BRASILUX</v>
      </c>
      <c r="W1954" t="str">
        <f>VLOOKUP(L1954,'[2]tabela de preços'!$A:$F,6,0)</f>
        <v>TINTA PARA PISO</v>
      </c>
      <c r="X1954" t="str">
        <f>VLOOKUP(L1954,'[2]tabela de preços'!$A:$G,7,0)</f>
        <v>IMOBILIÁRIO</v>
      </c>
    </row>
    <row r="1955" spans="1:24" x14ac:dyDescent="0.3">
      <c r="A1955" t="s">
        <v>2025</v>
      </c>
      <c r="C1955" t="s">
        <v>2026</v>
      </c>
      <c r="D1955" s="1">
        <v>46024</v>
      </c>
      <c r="E1955" t="s">
        <v>2027</v>
      </c>
      <c r="F1955">
        <v>9</v>
      </c>
      <c r="G1955">
        <v>174</v>
      </c>
      <c r="H1955" t="str">
        <f>VLOOKUP(G1955,[1]OPERADORES!$A:$B,2,0)</f>
        <v>MIRIÃ LOBATO RODRIGUES</v>
      </c>
      <c r="I1955" t="s">
        <v>21</v>
      </c>
      <c r="J1955" t="s">
        <v>762</v>
      </c>
      <c r="K1955" t="s">
        <v>2028</v>
      </c>
      <c r="L1955">
        <v>23433</v>
      </c>
      <c r="M1955" t="s">
        <v>2029</v>
      </c>
      <c r="O1955" t="s">
        <v>11</v>
      </c>
      <c r="P1955">
        <v>5102</v>
      </c>
      <c r="Q1955">
        <v>1</v>
      </c>
      <c r="R1955">
        <v>153.11000000000001</v>
      </c>
      <c r="S1955">
        <v>153.11000000000001</v>
      </c>
      <c r="T1955">
        <v>116.21</v>
      </c>
      <c r="U1955">
        <v>24.1</v>
      </c>
      <c r="V1955" t="str">
        <f>VLOOKUP(L1955,'[2]tabela de preços'!$A:$D,4,0)</f>
        <v>3M</v>
      </c>
      <c r="W1955" t="str">
        <f>VLOOKUP(L1955,'[2]tabela de preços'!$A:$F,6,0)</f>
        <v xml:space="preserve">MASCARAMENTO </v>
      </c>
      <c r="X1955" t="str">
        <f>VLOOKUP(L1955,'[2]tabela de preços'!$A:$G,7,0)</f>
        <v>AUTOMOTIVO</v>
      </c>
    </row>
    <row r="1956" spans="1:24" x14ac:dyDescent="0.3">
      <c r="A1956" t="s">
        <v>2025</v>
      </c>
      <c r="C1956" t="s">
        <v>2026</v>
      </c>
      <c r="D1956" s="1">
        <v>46024</v>
      </c>
      <c r="E1956" t="s">
        <v>2027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762</v>
      </c>
      <c r="K1956" t="s">
        <v>2028</v>
      </c>
      <c r="L1956">
        <v>22684</v>
      </c>
      <c r="M1956" t="s">
        <v>73</v>
      </c>
      <c r="O1956" t="s">
        <v>11</v>
      </c>
      <c r="P1956">
        <v>5102</v>
      </c>
      <c r="Q1956">
        <v>10</v>
      </c>
      <c r="R1956">
        <v>3.65</v>
      </c>
      <c r="S1956">
        <v>36.5</v>
      </c>
      <c r="T1956">
        <v>30.8</v>
      </c>
      <c r="U1956">
        <v>15.62</v>
      </c>
      <c r="V1956" t="str">
        <f>VLOOKUP(L1956,'[2]tabela de preços'!$A:$D,4,0)</f>
        <v>3M</v>
      </c>
      <c r="W1956" t="str">
        <f>VLOOKUP(L1956,'[2]tabela de preços'!$A:$F,6,0)</f>
        <v>FITA AUTOMOTIVA</v>
      </c>
      <c r="X1956" t="str">
        <f>VLOOKUP(L1956,'[2]tabela de preços'!$A:$G,7,0)</f>
        <v>AUTOMOTIVO</v>
      </c>
    </row>
    <row r="1957" spans="1:24" x14ac:dyDescent="0.3">
      <c r="A1957" t="s">
        <v>2025</v>
      </c>
      <c r="C1957" t="s">
        <v>2026</v>
      </c>
      <c r="D1957" s="1">
        <v>46024</v>
      </c>
      <c r="E1957" t="s">
        <v>2027</v>
      </c>
      <c r="F1957">
        <v>9</v>
      </c>
      <c r="G1957">
        <v>174</v>
      </c>
      <c r="H1957" t="str">
        <f>VLOOKUP(G1957,[1]OPERADORES!$A:$B,2,0)</f>
        <v>MIRIÃ LOBATO RODRIGUES</v>
      </c>
      <c r="I1957" t="s">
        <v>21</v>
      </c>
      <c r="J1957" t="s">
        <v>762</v>
      </c>
      <c r="K1957" t="s">
        <v>2028</v>
      </c>
      <c r="L1957">
        <v>22188</v>
      </c>
      <c r="M1957" t="s">
        <v>78</v>
      </c>
      <c r="O1957" t="s">
        <v>11</v>
      </c>
      <c r="P1957">
        <v>5102</v>
      </c>
      <c r="Q1957">
        <v>5</v>
      </c>
      <c r="R1957">
        <v>12.89</v>
      </c>
      <c r="S1957">
        <v>64.45</v>
      </c>
      <c r="T1957">
        <v>54.45</v>
      </c>
      <c r="U1957">
        <v>15.52</v>
      </c>
      <c r="V1957" t="str">
        <f>VLOOKUP(L1957,'[2]tabela de preços'!$A:$D,4,0)</f>
        <v>3M</v>
      </c>
      <c r="W1957" t="str">
        <f>VLOOKUP(L1957,'[2]tabela de preços'!$A:$F,6,0)</f>
        <v>FITA AUTOMOTIVA</v>
      </c>
      <c r="X1957" t="str">
        <f>VLOOKUP(L1957,'[2]tabela de preços'!$A:$G,7,0)</f>
        <v>AUTOMOTIVO</v>
      </c>
    </row>
    <row r="1958" spans="1:24" x14ac:dyDescent="0.3">
      <c r="A1958" t="s">
        <v>2025</v>
      </c>
      <c r="C1958" t="s">
        <v>2026</v>
      </c>
      <c r="D1958" s="1">
        <v>46024</v>
      </c>
      <c r="E1958" t="s">
        <v>2027</v>
      </c>
      <c r="F1958">
        <v>9</v>
      </c>
      <c r="G1958">
        <v>174</v>
      </c>
      <c r="H1958" t="str">
        <f>VLOOKUP(G1958,[1]OPERADORES!$A:$B,2,0)</f>
        <v>MIRIÃ LOBATO RODRIGUES</v>
      </c>
      <c r="I1958" t="s">
        <v>21</v>
      </c>
      <c r="J1958" t="s">
        <v>762</v>
      </c>
      <c r="K1958" t="s">
        <v>2028</v>
      </c>
      <c r="L1958">
        <v>23653</v>
      </c>
      <c r="M1958" t="s">
        <v>644</v>
      </c>
      <c r="O1958" t="s">
        <v>11</v>
      </c>
      <c r="P1958">
        <v>5102</v>
      </c>
      <c r="Q1958">
        <v>1</v>
      </c>
      <c r="R1958">
        <v>67.150000000000006</v>
      </c>
      <c r="S1958">
        <v>67.150000000000006</v>
      </c>
      <c r="T1958">
        <v>50.97</v>
      </c>
      <c r="U1958">
        <v>24.1</v>
      </c>
      <c r="V1958" t="str">
        <f>VLOOKUP(L1958,'[2]tabela de preços'!$A:$D,4,0)</f>
        <v>SIKKENS</v>
      </c>
      <c r="W1958" t="str">
        <f>VLOOKUP(L1958,'[2]tabela de preços'!$A:$F,6,0)</f>
        <v>CATALISADORES INDIVIDUAS</v>
      </c>
      <c r="X1958" t="str">
        <f>VLOOKUP(L1958,'[2]tabela de preços'!$A:$G,7,0)</f>
        <v>AUTOMOTIVO</v>
      </c>
    </row>
    <row r="1959" spans="1:24" x14ac:dyDescent="0.3">
      <c r="A1959" t="s">
        <v>2025</v>
      </c>
      <c r="C1959" t="s">
        <v>2026</v>
      </c>
      <c r="D1959" s="1">
        <v>46024</v>
      </c>
      <c r="E1959" t="s">
        <v>2027</v>
      </c>
      <c r="F1959">
        <v>9</v>
      </c>
      <c r="G1959">
        <v>174</v>
      </c>
      <c r="H1959" t="str">
        <f>VLOOKUP(G1959,[1]OPERADORES!$A:$B,2,0)</f>
        <v>MIRIÃ LOBATO RODRIGUES</v>
      </c>
      <c r="I1959" t="s">
        <v>21</v>
      </c>
      <c r="J1959" t="s">
        <v>762</v>
      </c>
      <c r="K1959" t="s">
        <v>2028</v>
      </c>
      <c r="L1959">
        <v>23926</v>
      </c>
      <c r="M1959" t="s">
        <v>645</v>
      </c>
      <c r="O1959" t="s">
        <v>11</v>
      </c>
      <c r="P1959">
        <v>5403</v>
      </c>
      <c r="Q1959">
        <v>1</v>
      </c>
      <c r="R1959">
        <v>135.72</v>
      </c>
      <c r="S1959">
        <v>135.72</v>
      </c>
      <c r="T1959">
        <v>103.01</v>
      </c>
      <c r="U1959">
        <v>24.1</v>
      </c>
      <c r="V1959" t="str">
        <f>VLOOKUP(L1959,'[2]tabela de preços'!$A:$D,4,0)</f>
        <v>SIKKENS</v>
      </c>
      <c r="W1959" t="str">
        <f>VLOOKUP(L1959,'[2]tabela de preços'!$A:$F,6,0)</f>
        <v>PRIMER AUTOMOTIVO</v>
      </c>
      <c r="X1959" t="str">
        <f>VLOOKUP(L1959,'[2]tabela de preços'!$A:$G,7,0)</f>
        <v>AUTOMOTIVO</v>
      </c>
    </row>
    <row r="1960" spans="1:24" x14ac:dyDescent="0.3">
      <c r="A1960" t="s">
        <v>2025</v>
      </c>
      <c r="C1960" t="s">
        <v>2026</v>
      </c>
      <c r="D1960" s="1">
        <v>46024</v>
      </c>
      <c r="E1960" t="s">
        <v>2027</v>
      </c>
      <c r="F1960">
        <v>9</v>
      </c>
      <c r="G1960">
        <v>174</v>
      </c>
      <c r="H1960" t="str">
        <f>VLOOKUP(G1960,[1]OPERADORES!$A:$B,2,0)</f>
        <v>MIRIÃ LOBATO RODRIGUES</v>
      </c>
      <c r="I1960" t="s">
        <v>21</v>
      </c>
      <c r="J1960" t="s">
        <v>762</v>
      </c>
      <c r="K1960" t="s">
        <v>2028</v>
      </c>
      <c r="L1960">
        <v>10298</v>
      </c>
      <c r="M1960" t="s">
        <v>85</v>
      </c>
      <c r="O1960" t="s">
        <v>11</v>
      </c>
      <c r="P1960">
        <v>5102</v>
      </c>
      <c r="Q1960">
        <v>2</v>
      </c>
      <c r="R1960">
        <v>56.8</v>
      </c>
      <c r="S1960">
        <v>113.6</v>
      </c>
      <c r="T1960">
        <v>94.76</v>
      </c>
      <c r="U1960">
        <v>16.579999999999998</v>
      </c>
      <c r="V1960" t="str">
        <f>VLOOKUP(L1960,'[2]tabela de preços'!$A:$D,4,0)</f>
        <v>ANJO</v>
      </c>
      <c r="W1960" t="str">
        <f>VLOOKUP(L1960,'[2]tabela de preços'!$A:$F,6,0)</f>
        <v>THINNER DE LIMPEZA</v>
      </c>
      <c r="X1960" t="str">
        <f>VLOOKUP(L1960,'[2]tabela de preços'!$A:$G,7,0)</f>
        <v>THINNER</v>
      </c>
    </row>
    <row r="1961" spans="1:24" x14ac:dyDescent="0.3">
      <c r="A1961" t="s">
        <v>2025</v>
      </c>
      <c r="C1961" t="s">
        <v>2030</v>
      </c>
      <c r="D1961" s="1">
        <v>46034</v>
      </c>
      <c r="E1961" t="s">
        <v>2031</v>
      </c>
      <c r="F1961">
        <v>9</v>
      </c>
      <c r="G1961">
        <v>174</v>
      </c>
      <c r="H1961" t="str">
        <f>VLOOKUP(G1961,[1]OPERADORES!$A:$B,2,0)</f>
        <v>MIRIÃ LOBATO RODRIGUES</v>
      </c>
      <c r="I1961" t="s">
        <v>21</v>
      </c>
      <c r="J1961" t="s">
        <v>762</v>
      </c>
      <c r="K1961" t="s">
        <v>2028</v>
      </c>
      <c r="L1961">
        <v>23295</v>
      </c>
      <c r="M1961" t="s">
        <v>789</v>
      </c>
      <c r="O1961" t="s">
        <v>11</v>
      </c>
      <c r="P1961">
        <v>5403</v>
      </c>
      <c r="Q1961">
        <v>1</v>
      </c>
      <c r="R1961">
        <v>255.71</v>
      </c>
      <c r="S1961">
        <v>255.71</v>
      </c>
      <c r="T1961">
        <v>194.09</v>
      </c>
      <c r="U1961">
        <v>24.1</v>
      </c>
      <c r="V1961" t="str">
        <f>VLOOKUP(L1961,'[2]tabela de preços'!$A:$D,4,0)</f>
        <v>SIKKENS</v>
      </c>
      <c r="W1961" t="str">
        <f>VLOOKUP(L1961,'[2]tabela de preços'!$A:$F,6,0)</f>
        <v>VERNIZ AUTOMOTIVO</v>
      </c>
      <c r="X1961" t="str">
        <f>VLOOKUP(L1961,'[2]tabela de preços'!$A:$G,7,0)</f>
        <v>AUTOMOTIVO</v>
      </c>
    </row>
    <row r="1962" spans="1:24" x14ac:dyDescent="0.3">
      <c r="A1962" t="s">
        <v>2025</v>
      </c>
      <c r="C1962" t="s">
        <v>2030</v>
      </c>
      <c r="D1962" s="1">
        <v>46034</v>
      </c>
      <c r="E1962" t="s">
        <v>2031</v>
      </c>
      <c r="F1962">
        <v>9</v>
      </c>
      <c r="G1962">
        <v>174</v>
      </c>
      <c r="H1962" t="str">
        <f>VLOOKUP(G1962,[1]OPERADORES!$A:$B,2,0)</f>
        <v>MIRIÃ LOBATO RODRIGUES</v>
      </c>
      <c r="I1962" t="s">
        <v>21</v>
      </c>
      <c r="J1962" t="s">
        <v>762</v>
      </c>
      <c r="K1962" t="s">
        <v>2028</v>
      </c>
      <c r="L1962">
        <v>10236</v>
      </c>
      <c r="M1962" t="s">
        <v>133</v>
      </c>
      <c r="O1962" t="s">
        <v>11</v>
      </c>
      <c r="P1962">
        <v>5102</v>
      </c>
      <c r="Q1962">
        <v>10</v>
      </c>
      <c r="R1962">
        <v>2.79</v>
      </c>
      <c r="S1962">
        <v>27.9</v>
      </c>
      <c r="T1962">
        <v>23.2</v>
      </c>
      <c r="U1962">
        <v>16.850000000000001</v>
      </c>
      <c r="V1962" t="str">
        <f>VLOOKUP(L1962,'[2]tabela de preços'!$A:$D,4,0)</f>
        <v>NORTON</v>
      </c>
      <c r="W1962" t="str">
        <f>VLOOKUP(L1962,'[2]tabela de preços'!$A:$F,6,0)</f>
        <v xml:space="preserve">DISCOS / LIXAS / ABRASIVOS </v>
      </c>
      <c r="X1962" t="str">
        <f>VLOOKUP(L1962,'[2]tabela de preços'!$A:$G,7,0)</f>
        <v>AUTOMOTIVO</v>
      </c>
    </row>
    <row r="1963" spans="1:24" x14ac:dyDescent="0.3">
      <c r="A1963" t="s">
        <v>2025</v>
      </c>
      <c r="C1963" t="s">
        <v>2030</v>
      </c>
      <c r="D1963" s="1">
        <v>46034</v>
      </c>
      <c r="E1963" t="s">
        <v>2031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762</v>
      </c>
      <c r="K1963" t="s">
        <v>2028</v>
      </c>
      <c r="L1963">
        <v>10226</v>
      </c>
      <c r="M1963" t="s">
        <v>145</v>
      </c>
      <c r="O1963" t="s">
        <v>11</v>
      </c>
      <c r="P1963">
        <v>5102</v>
      </c>
      <c r="Q1963">
        <v>10</v>
      </c>
      <c r="R1963">
        <v>2.79</v>
      </c>
      <c r="S1963">
        <v>27.9</v>
      </c>
      <c r="T1963">
        <v>23.2</v>
      </c>
      <c r="U1963">
        <v>16.850000000000001</v>
      </c>
      <c r="V1963" t="str">
        <f>VLOOKUP(L1963,'[2]tabela de preços'!$A:$D,4,0)</f>
        <v>NORTON</v>
      </c>
      <c r="W1963" t="str">
        <f>VLOOKUP(L1963,'[2]tabela de preços'!$A:$F,6,0)</f>
        <v xml:space="preserve">DISCOS / LIXAS / ABRASIVOS </v>
      </c>
      <c r="X1963" t="str">
        <f>VLOOKUP(L1963,'[2]tabela de preços'!$A:$G,7,0)</f>
        <v>AUTOMOTIVO</v>
      </c>
    </row>
    <row r="1964" spans="1:24" x14ac:dyDescent="0.3">
      <c r="A1964" t="s">
        <v>2025</v>
      </c>
      <c r="C1964" t="s">
        <v>2030</v>
      </c>
      <c r="D1964" s="1">
        <v>46034</v>
      </c>
      <c r="E1964" t="s">
        <v>2031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762</v>
      </c>
      <c r="K1964" t="s">
        <v>2028</v>
      </c>
      <c r="L1964">
        <v>10234</v>
      </c>
      <c r="M1964" t="s">
        <v>157</v>
      </c>
      <c r="O1964" t="s">
        <v>11</v>
      </c>
      <c r="P1964">
        <v>5102</v>
      </c>
      <c r="Q1964">
        <v>10</v>
      </c>
      <c r="R1964">
        <v>2.79</v>
      </c>
      <c r="S1964">
        <v>27.9</v>
      </c>
      <c r="T1964">
        <v>23.2</v>
      </c>
      <c r="U1964">
        <v>16.850000000000001</v>
      </c>
      <c r="V1964" t="str">
        <f>VLOOKUP(L1964,'[2]tabela de preços'!$A:$D,4,0)</f>
        <v>NORTON</v>
      </c>
      <c r="W1964" t="str">
        <f>VLOOKUP(L1964,'[2]tabela de preços'!$A:$F,6,0)</f>
        <v xml:space="preserve">DISCOS / LIXAS / ABRASIVOS </v>
      </c>
      <c r="X1964" t="str">
        <f>VLOOKUP(L1964,'[2]tabela de preços'!$A:$G,7,0)</f>
        <v>AUTOMOTIVO</v>
      </c>
    </row>
    <row r="1965" spans="1:24" x14ac:dyDescent="0.3">
      <c r="A1965" t="s">
        <v>2025</v>
      </c>
      <c r="C1965" t="s">
        <v>2030</v>
      </c>
      <c r="D1965" s="1">
        <v>46034</v>
      </c>
      <c r="E1965" t="s">
        <v>2031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762</v>
      </c>
      <c r="K1965" t="s">
        <v>2028</v>
      </c>
      <c r="L1965">
        <v>24241</v>
      </c>
      <c r="M1965" t="s">
        <v>233</v>
      </c>
      <c r="O1965" t="s">
        <v>11</v>
      </c>
      <c r="P1965">
        <v>5102</v>
      </c>
      <c r="Q1965">
        <v>4</v>
      </c>
      <c r="R1965">
        <v>12.2</v>
      </c>
      <c r="S1965">
        <v>48.8</v>
      </c>
      <c r="T1965">
        <v>37.04</v>
      </c>
      <c r="U1965">
        <v>24.1</v>
      </c>
      <c r="V1965" t="str">
        <f>VLOOKUP(L1965,'[2]tabela de preços'!$A:$D,4,0)</f>
        <v>ADERE</v>
      </c>
      <c r="W1965" t="str">
        <f>VLOOKUP(L1965,'[2]tabela de preços'!$A:$F,6,0)</f>
        <v>FITA AUTOMOTIVA</v>
      </c>
      <c r="X1965" t="str">
        <f>VLOOKUP(L1965,'[2]tabela de preços'!$A:$G,7,0)</f>
        <v>AUTOMOTIVO</v>
      </c>
    </row>
    <row r="1966" spans="1:24" x14ac:dyDescent="0.3">
      <c r="A1966" t="s">
        <v>2025</v>
      </c>
      <c r="C1966" t="s">
        <v>2030</v>
      </c>
      <c r="D1966" s="1">
        <v>46034</v>
      </c>
      <c r="E1966" t="s">
        <v>2031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762</v>
      </c>
      <c r="K1966" t="s">
        <v>2028</v>
      </c>
      <c r="L1966">
        <v>23653</v>
      </c>
      <c r="M1966" t="s">
        <v>644</v>
      </c>
      <c r="O1966" t="s">
        <v>11</v>
      </c>
      <c r="P1966">
        <v>5102</v>
      </c>
      <c r="Q1966">
        <v>2</v>
      </c>
      <c r="R1966">
        <v>67.150000000000006</v>
      </c>
      <c r="S1966">
        <v>134.30000000000001</v>
      </c>
      <c r="T1966">
        <v>101.94</v>
      </c>
      <c r="U1966">
        <v>24.1</v>
      </c>
      <c r="V1966" t="str">
        <f>VLOOKUP(L1966,'[2]tabela de preços'!$A:$D,4,0)</f>
        <v>SIKKENS</v>
      </c>
      <c r="W1966" t="str">
        <f>VLOOKUP(L1966,'[2]tabela de preços'!$A:$F,6,0)</f>
        <v>CATALISADORES INDIVIDUAS</v>
      </c>
      <c r="X1966" t="str">
        <f>VLOOKUP(L1966,'[2]tabela de preços'!$A:$G,7,0)</f>
        <v>AUTOMOTIVO</v>
      </c>
    </row>
    <row r="1967" spans="1:24" x14ac:dyDescent="0.3">
      <c r="A1967" t="s">
        <v>2025</v>
      </c>
      <c r="C1967" t="s">
        <v>2030</v>
      </c>
      <c r="D1967" s="1">
        <v>46034</v>
      </c>
      <c r="E1967" t="s">
        <v>2031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762</v>
      </c>
      <c r="K1967" t="s">
        <v>2028</v>
      </c>
      <c r="L1967">
        <v>23296</v>
      </c>
      <c r="M1967" t="s">
        <v>2032</v>
      </c>
      <c r="O1967" t="s">
        <v>11</v>
      </c>
      <c r="P1967">
        <v>5102</v>
      </c>
      <c r="Q1967">
        <v>1</v>
      </c>
      <c r="R1967">
        <v>42.14</v>
      </c>
      <c r="S1967">
        <v>42.14</v>
      </c>
      <c r="T1967">
        <v>31.99</v>
      </c>
      <c r="U1967">
        <v>24.09</v>
      </c>
      <c r="V1967" t="str">
        <f>VLOOKUP(L1967,'[2]tabela de preços'!$A:$D,4,0)</f>
        <v>SIKKENS</v>
      </c>
      <c r="W1967" t="str">
        <f>VLOOKUP(L1967,'[2]tabela de preços'!$A:$F,6,0)</f>
        <v>CATALISADORES INDIVIDUAS</v>
      </c>
      <c r="X1967" t="str">
        <f>VLOOKUP(L1967,'[2]tabela de preços'!$A:$G,7,0)</f>
        <v>AUTOMOTIVO</v>
      </c>
    </row>
    <row r="1968" spans="1:24" x14ac:dyDescent="0.3">
      <c r="A1968" t="s">
        <v>2025</v>
      </c>
      <c r="C1968" t="s">
        <v>2030</v>
      </c>
      <c r="D1968" s="1">
        <v>46034</v>
      </c>
      <c r="E1968" t="s">
        <v>2031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762</v>
      </c>
      <c r="K1968" t="s">
        <v>2028</v>
      </c>
      <c r="L1968">
        <v>23623</v>
      </c>
      <c r="M1968" t="s">
        <v>2033</v>
      </c>
      <c r="O1968" t="s">
        <v>11</v>
      </c>
      <c r="P1968">
        <v>5102</v>
      </c>
      <c r="Q1968">
        <v>1</v>
      </c>
      <c r="R1968">
        <v>118.74</v>
      </c>
      <c r="S1968">
        <v>118.74</v>
      </c>
      <c r="T1968">
        <v>90.12</v>
      </c>
      <c r="U1968">
        <v>24.1</v>
      </c>
      <c r="V1968" t="str">
        <f>VLOOKUP(L1968,'[2]tabela de preços'!$A:$D,4,0)</f>
        <v>SIKKENS</v>
      </c>
      <c r="W1968" t="str">
        <f>VLOOKUP(L1968,'[2]tabela de preços'!$A:$F,6,0)</f>
        <v>MASSA POLIÉSTER</v>
      </c>
      <c r="X1968" t="str">
        <f>VLOOKUP(L1968,'[2]tabela de preços'!$A:$G,7,0)</f>
        <v>AUTOMOTIVO</v>
      </c>
    </row>
    <row r="1969" spans="1:24" x14ac:dyDescent="0.3">
      <c r="A1969" t="s">
        <v>2025</v>
      </c>
      <c r="C1969" t="s">
        <v>2034</v>
      </c>
      <c r="D1969" s="1">
        <v>46041</v>
      </c>
      <c r="E1969" t="s">
        <v>2035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762</v>
      </c>
      <c r="K1969" t="s">
        <v>2028</v>
      </c>
      <c r="L1969">
        <v>10232</v>
      </c>
      <c r="M1969" t="s">
        <v>134</v>
      </c>
      <c r="O1969" t="s">
        <v>11</v>
      </c>
      <c r="P1969">
        <v>5102</v>
      </c>
      <c r="Q1969">
        <v>20</v>
      </c>
      <c r="R1969">
        <v>2.79</v>
      </c>
      <c r="S1969">
        <v>55.8</v>
      </c>
      <c r="T1969">
        <v>45</v>
      </c>
      <c r="U1969">
        <v>19.350000000000001</v>
      </c>
      <c r="V1969" t="str">
        <f>VLOOKUP(L1969,'[2]tabela de preços'!$A:$D,4,0)</f>
        <v>NORTON</v>
      </c>
      <c r="W1969" t="str">
        <f>VLOOKUP(L1969,'[2]tabela de preços'!$A:$F,6,0)</f>
        <v xml:space="preserve">DISCOS / LIXAS / ABRASIVOS </v>
      </c>
      <c r="X1969" t="str">
        <f>VLOOKUP(L1969,'[2]tabela de preços'!$A:$G,7,0)</f>
        <v>AUTOMOTIVO</v>
      </c>
    </row>
    <row r="1970" spans="1:24" x14ac:dyDescent="0.3">
      <c r="A1970" t="s">
        <v>2025</v>
      </c>
      <c r="C1970" t="s">
        <v>2034</v>
      </c>
      <c r="D1970" s="1">
        <v>46041</v>
      </c>
      <c r="E1970" t="s">
        <v>2035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762</v>
      </c>
      <c r="K1970" t="s">
        <v>2028</v>
      </c>
      <c r="L1970">
        <v>10234</v>
      </c>
      <c r="M1970" t="s">
        <v>157</v>
      </c>
      <c r="O1970" t="s">
        <v>11</v>
      </c>
      <c r="P1970">
        <v>5102</v>
      </c>
      <c r="Q1970">
        <v>10</v>
      </c>
      <c r="R1970">
        <v>2.79</v>
      </c>
      <c r="S1970">
        <v>27.9</v>
      </c>
      <c r="T1970">
        <v>23.2</v>
      </c>
      <c r="U1970">
        <v>16.850000000000001</v>
      </c>
      <c r="V1970" t="str">
        <f>VLOOKUP(L1970,'[2]tabela de preços'!$A:$D,4,0)</f>
        <v>NORTON</v>
      </c>
      <c r="W1970" t="str">
        <f>VLOOKUP(L1970,'[2]tabela de preços'!$A:$F,6,0)</f>
        <v xml:space="preserve">DISCOS / LIXAS / ABRASIVOS </v>
      </c>
      <c r="X1970" t="str">
        <f>VLOOKUP(L1970,'[2]tabela de preços'!$A:$G,7,0)</f>
        <v>AUTOMOTIVO</v>
      </c>
    </row>
    <row r="1971" spans="1:24" x14ac:dyDescent="0.3">
      <c r="A1971" t="s">
        <v>2025</v>
      </c>
      <c r="C1971" t="s">
        <v>2034</v>
      </c>
      <c r="D1971" s="1">
        <v>46041</v>
      </c>
      <c r="E1971" t="s">
        <v>2035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762</v>
      </c>
      <c r="K1971" t="s">
        <v>2028</v>
      </c>
      <c r="L1971">
        <v>22188</v>
      </c>
      <c r="M1971" t="s">
        <v>78</v>
      </c>
      <c r="O1971" t="s">
        <v>11</v>
      </c>
      <c r="P1971">
        <v>5102</v>
      </c>
      <c r="Q1971">
        <v>3</v>
      </c>
      <c r="R1971">
        <v>14.35</v>
      </c>
      <c r="S1971">
        <v>43.05</v>
      </c>
      <c r="T1971">
        <v>32.67</v>
      </c>
      <c r="U1971">
        <v>24.11</v>
      </c>
      <c r="V1971" t="str">
        <f>VLOOKUP(L1971,'[2]tabela de preços'!$A:$D,4,0)</f>
        <v>3M</v>
      </c>
      <c r="W1971" t="str">
        <f>VLOOKUP(L1971,'[2]tabela de preços'!$A:$F,6,0)</f>
        <v>FITA AUTOMOTIVA</v>
      </c>
      <c r="X1971" t="str">
        <f>VLOOKUP(L1971,'[2]tabela de preços'!$A:$G,7,0)</f>
        <v>AUTOMOTIVO</v>
      </c>
    </row>
    <row r="1972" spans="1:24" x14ac:dyDescent="0.3">
      <c r="A1972" t="s">
        <v>2025</v>
      </c>
      <c r="C1972" t="s">
        <v>2034</v>
      </c>
      <c r="D1972" s="1">
        <v>46041</v>
      </c>
      <c r="E1972" t="s">
        <v>2035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762</v>
      </c>
      <c r="K1972" t="s">
        <v>2028</v>
      </c>
      <c r="L1972">
        <v>23653</v>
      </c>
      <c r="M1972" t="s">
        <v>644</v>
      </c>
      <c r="O1972" t="s">
        <v>11</v>
      </c>
      <c r="P1972">
        <v>5102</v>
      </c>
      <c r="Q1972">
        <v>1</v>
      </c>
      <c r="R1972">
        <v>67.150000000000006</v>
      </c>
      <c r="S1972">
        <v>67.150000000000006</v>
      </c>
      <c r="T1972">
        <v>50.97</v>
      </c>
      <c r="U1972">
        <v>24.1</v>
      </c>
      <c r="V1972" t="str">
        <f>VLOOKUP(L1972,'[2]tabela de preços'!$A:$D,4,0)</f>
        <v>SIKKENS</v>
      </c>
      <c r="W1972" t="str">
        <f>VLOOKUP(L1972,'[2]tabela de preços'!$A:$F,6,0)</f>
        <v>CATALISADORES INDIVIDUAS</v>
      </c>
      <c r="X1972" t="str">
        <f>VLOOKUP(L1972,'[2]tabela de preços'!$A:$G,7,0)</f>
        <v>AUTOMOTIVO</v>
      </c>
    </row>
    <row r="1973" spans="1:24" x14ac:dyDescent="0.3">
      <c r="A1973" t="s">
        <v>2025</v>
      </c>
      <c r="C1973" t="s">
        <v>2034</v>
      </c>
      <c r="D1973" s="1">
        <v>46041</v>
      </c>
      <c r="E1973" t="s">
        <v>2035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762</v>
      </c>
      <c r="K1973" t="s">
        <v>2028</v>
      </c>
      <c r="L1973">
        <v>10238</v>
      </c>
      <c r="M1973" t="s">
        <v>79</v>
      </c>
      <c r="O1973" t="s">
        <v>11</v>
      </c>
      <c r="P1973">
        <v>5102</v>
      </c>
      <c r="Q1973">
        <v>10</v>
      </c>
      <c r="R1973">
        <v>2.79</v>
      </c>
      <c r="S1973">
        <v>27.9</v>
      </c>
      <c r="T1973">
        <v>22.4</v>
      </c>
      <c r="U1973">
        <v>19.71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2025</v>
      </c>
      <c r="C1974" t="s">
        <v>2034</v>
      </c>
      <c r="D1974" s="1">
        <v>46041</v>
      </c>
      <c r="E1974" t="s">
        <v>2035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762</v>
      </c>
      <c r="K1974" t="s">
        <v>2028</v>
      </c>
      <c r="L1974">
        <v>10240</v>
      </c>
      <c r="M1974" t="s">
        <v>81</v>
      </c>
      <c r="O1974" t="s">
        <v>11</v>
      </c>
      <c r="P1974">
        <v>5102</v>
      </c>
      <c r="Q1974">
        <v>10</v>
      </c>
      <c r="R1974">
        <v>2.79</v>
      </c>
      <c r="S1974">
        <v>27.9</v>
      </c>
      <c r="T1974">
        <v>22.4</v>
      </c>
      <c r="U1974">
        <v>19.71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2025</v>
      </c>
      <c r="C1975" t="s">
        <v>2034</v>
      </c>
      <c r="D1975" s="1">
        <v>46041</v>
      </c>
      <c r="E1975" t="s">
        <v>2035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762</v>
      </c>
      <c r="K1975" t="s">
        <v>2028</v>
      </c>
      <c r="L1975">
        <v>10243</v>
      </c>
      <c r="M1975" t="s">
        <v>83</v>
      </c>
      <c r="O1975" t="s">
        <v>11</v>
      </c>
      <c r="P1975">
        <v>5102</v>
      </c>
      <c r="Q1975">
        <v>10</v>
      </c>
      <c r="R1975">
        <v>2.79</v>
      </c>
      <c r="S1975">
        <v>27.9</v>
      </c>
      <c r="T1975">
        <v>19.3</v>
      </c>
      <c r="U1975">
        <v>30.82</v>
      </c>
      <c r="V1975" t="str">
        <f>VLOOKUP(L1975,'[2]tabela de preços'!$A:$D,4,0)</f>
        <v>NORTON</v>
      </c>
      <c r="W1975" t="str">
        <f>VLOOKUP(L1975,'[2]tabela de preços'!$A:$F,6,0)</f>
        <v xml:space="preserve">DISCOS / LIXAS / ABRASIVOS </v>
      </c>
      <c r="X1975" t="str">
        <f>VLOOKUP(L1975,'[2]tabela de preços'!$A:$G,7,0)</f>
        <v>AUTOMOTIVO</v>
      </c>
    </row>
    <row r="1976" spans="1:24" x14ac:dyDescent="0.3">
      <c r="A1976" t="s">
        <v>2025</v>
      </c>
      <c r="C1976" t="s">
        <v>2034</v>
      </c>
      <c r="D1976" s="1">
        <v>46041</v>
      </c>
      <c r="E1976" t="s">
        <v>2035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762</v>
      </c>
      <c r="K1976" t="s">
        <v>2028</v>
      </c>
      <c r="L1976">
        <v>10244</v>
      </c>
      <c r="M1976" t="s">
        <v>84</v>
      </c>
      <c r="O1976" t="s">
        <v>11</v>
      </c>
      <c r="P1976">
        <v>5102</v>
      </c>
      <c r="Q1976">
        <v>10</v>
      </c>
      <c r="R1976">
        <v>2.79</v>
      </c>
      <c r="S1976">
        <v>27.9</v>
      </c>
      <c r="T1976">
        <v>19.3</v>
      </c>
      <c r="U1976">
        <v>30.82</v>
      </c>
      <c r="V1976" t="str">
        <f>VLOOKUP(L1976,'[2]tabela de preços'!$A:$D,4,0)</f>
        <v>NORTON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2025</v>
      </c>
      <c r="C1977" t="s">
        <v>2034</v>
      </c>
      <c r="D1977" s="1">
        <v>46041</v>
      </c>
      <c r="E1977" t="s">
        <v>2035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762</v>
      </c>
      <c r="K1977" t="s">
        <v>2028</v>
      </c>
      <c r="L1977">
        <v>10245</v>
      </c>
      <c r="M1977" t="s">
        <v>195</v>
      </c>
      <c r="O1977" t="s">
        <v>11</v>
      </c>
      <c r="P1977">
        <v>5102</v>
      </c>
      <c r="Q1977">
        <v>10</v>
      </c>
      <c r="R1977">
        <v>2.79</v>
      </c>
      <c r="S1977">
        <v>27.9</v>
      </c>
      <c r="T1977">
        <v>19.3</v>
      </c>
      <c r="U1977">
        <v>30.82</v>
      </c>
      <c r="V1977" t="str">
        <f>VLOOKUP(L1977,'[2]tabela de preços'!$A:$D,4,0)</f>
        <v>NORTON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2025</v>
      </c>
      <c r="C1978" t="s">
        <v>2034</v>
      </c>
      <c r="D1978" s="1">
        <v>46041</v>
      </c>
      <c r="E1978" t="s">
        <v>2035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762</v>
      </c>
      <c r="K1978" t="s">
        <v>2028</v>
      </c>
      <c r="L1978">
        <v>10246</v>
      </c>
      <c r="M1978" t="s">
        <v>206</v>
      </c>
      <c r="O1978" t="s">
        <v>11</v>
      </c>
      <c r="P1978">
        <v>5102</v>
      </c>
      <c r="Q1978">
        <v>10</v>
      </c>
      <c r="R1978">
        <v>2.79</v>
      </c>
      <c r="S1978">
        <v>27.9</v>
      </c>
      <c r="T1978">
        <v>19.3</v>
      </c>
      <c r="U1978">
        <v>30.82</v>
      </c>
      <c r="V1978" t="str">
        <f>VLOOKUP(L1978,'[2]tabela de preços'!$A:$D,4,0)</f>
        <v>NORTON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2025</v>
      </c>
      <c r="C1979" t="s">
        <v>2034</v>
      </c>
      <c r="D1979" s="1">
        <v>46041</v>
      </c>
      <c r="E1979" t="s">
        <v>2035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762</v>
      </c>
      <c r="K1979" t="s">
        <v>2028</v>
      </c>
      <c r="L1979">
        <v>23623</v>
      </c>
      <c r="M1979" t="s">
        <v>2033</v>
      </c>
      <c r="O1979" t="s">
        <v>11</v>
      </c>
      <c r="P1979">
        <v>5102</v>
      </c>
      <c r="Q1979">
        <v>1</v>
      </c>
      <c r="R1979">
        <v>118.74</v>
      </c>
      <c r="S1979">
        <v>118.74</v>
      </c>
      <c r="T1979">
        <v>90.12</v>
      </c>
      <c r="U1979">
        <v>24.1</v>
      </c>
      <c r="V1979" t="str">
        <f>VLOOKUP(L1979,'[2]tabela de preços'!$A:$D,4,0)</f>
        <v>SIKKENS</v>
      </c>
      <c r="W1979" t="str">
        <f>VLOOKUP(L1979,'[2]tabela de preços'!$A:$F,6,0)</f>
        <v>MASSA POLIÉSTER</v>
      </c>
      <c r="X1979" t="str">
        <f>VLOOKUP(L1979,'[2]tabela de preços'!$A:$G,7,0)</f>
        <v>AUTOMOTIVO</v>
      </c>
    </row>
    <row r="1980" spans="1:24" x14ac:dyDescent="0.3">
      <c r="A1980" t="s">
        <v>2025</v>
      </c>
      <c r="C1980" t="s">
        <v>2034</v>
      </c>
      <c r="D1980" s="1">
        <v>46041</v>
      </c>
      <c r="E1980" t="s">
        <v>2035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762</v>
      </c>
      <c r="K1980" t="s">
        <v>2028</v>
      </c>
      <c r="L1980">
        <v>23926</v>
      </c>
      <c r="M1980" t="s">
        <v>645</v>
      </c>
      <c r="O1980" t="s">
        <v>11</v>
      </c>
      <c r="P1980">
        <v>5403</v>
      </c>
      <c r="Q1980">
        <v>1</v>
      </c>
      <c r="R1980">
        <v>153.22999999999999</v>
      </c>
      <c r="S1980">
        <v>153.22999999999999</v>
      </c>
      <c r="T1980">
        <v>103.01</v>
      </c>
      <c r="U1980">
        <v>32.770000000000003</v>
      </c>
      <c r="V1980" t="str">
        <f>VLOOKUP(L1980,'[2]tabela de preços'!$A:$D,4,0)</f>
        <v>SIKKENS</v>
      </c>
      <c r="W1980" t="str">
        <f>VLOOKUP(L1980,'[2]tabela de preços'!$A:$F,6,0)</f>
        <v>PRIMER AUTOMOTIVO</v>
      </c>
      <c r="X1980" t="str">
        <f>VLOOKUP(L1980,'[2]tabela de preços'!$A:$G,7,0)</f>
        <v>AUTOMOTIVO</v>
      </c>
    </row>
    <row r="1981" spans="1:24" x14ac:dyDescent="0.3">
      <c r="A1981" t="s">
        <v>2025</v>
      </c>
      <c r="C1981" t="s">
        <v>2034</v>
      </c>
      <c r="D1981" s="1">
        <v>46041</v>
      </c>
      <c r="E1981" t="s">
        <v>2035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762</v>
      </c>
      <c r="K1981" t="s">
        <v>2028</v>
      </c>
      <c r="L1981">
        <v>9995</v>
      </c>
      <c r="M1981" t="s">
        <v>704</v>
      </c>
      <c r="O1981" t="s">
        <v>11</v>
      </c>
      <c r="P1981">
        <v>5102</v>
      </c>
      <c r="Q1981">
        <v>1</v>
      </c>
      <c r="R1981">
        <v>193.83</v>
      </c>
      <c r="S1981">
        <v>193.83</v>
      </c>
      <c r="T1981">
        <v>147.12</v>
      </c>
      <c r="U1981">
        <v>24.1</v>
      </c>
      <c r="V1981" t="str">
        <f>VLOOKUP(L1981,'[2]tabela de preços'!$A:$D,4,0)</f>
        <v>SIKKENS</v>
      </c>
      <c r="W1981" t="str">
        <f>VLOOKUP(L1981,'[2]tabela de preços'!$A:$F,6,0)</f>
        <v>DILUENTE</v>
      </c>
      <c r="X1981" t="str">
        <f>VLOOKUP(L1981,'[2]tabela de preços'!$A:$G,7,0)</f>
        <v>AUTOMOTIVO</v>
      </c>
    </row>
    <row r="1982" spans="1:24" x14ac:dyDescent="0.3">
      <c r="A1982" t="s">
        <v>2025</v>
      </c>
      <c r="C1982" t="s">
        <v>2034</v>
      </c>
      <c r="D1982" s="1">
        <v>46041</v>
      </c>
      <c r="E1982" t="s">
        <v>2035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762</v>
      </c>
      <c r="K1982" t="s">
        <v>2028</v>
      </c>
      <c r="L1982">
        <v>10298</v>
      </c>
      <c r="M1982" t="s">
        <v>85</v>
      </c>
      <c r="O1982" t="s">
        <v>11</v>
      </c>
      <c r="P1982">
        <v>5102</v>
      </c>
      <c r="Q1982">
        <v>2</v>
      </c>
      <c r="R1982">
        <v>56.89</v>
      </c>
      <c r="S1982">
        <v>113.78</v>
      </c>
      <c r="T1982">
        <v>94.76</v>
      </c>
      <c r="U1982">
        <v>16.72</v>
      </c>
      <c r="V1982" t="str">
        <f>VLOOKUP(L1982,'[2]tabela de preços'!$A:$D,4,0)</f>
        <v>ANJO</v>
      </c>
      <c r="W1982" t="str">
        <f>VLOOKUP(L1982,'[2]tabela de preços'!$A:$F,6,0)</f>
        <v>THINNER DE LIMPEZA</v>
      </c>
      <c r="X1982" t="str">
        <f>VLOOKUP(L1982,'[2]tabela de preços'!$A:$G,7,0)</f>
        <v>THINNER</v>
      </c>
    </row>
    <row r="1983" spans="1:24" x14ac:dyDescent="0.3">
      <c r="A1983" t="s">
        <v>2025</v>
      </c>
      <c r="C1983" t="s">
        <v>2034</v>
      </c>
      <c r="D1983" s="1">
        <v>46041</v>
      </c>
      <c r="E1983" t="s">
        <v>2035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2028</v>
      </c>
      <c r="L1983">
        <v>84460</v>
      </c>
      <c r="M1983" t="s">
        <v>322</v>
      </c>
      <c r="O1983" t="s">
        <v>11</v>
      </c>
      <c r="P1983">
        <v>5102</v>
      </c>
      <c r="Q1983">
        <v>2</v>
      </c>
      <c r="R1983">
        <v>31.07</v>
      </c>
      <c r="S1983">
        <v>62.14</v>
      </c>
      <c r="T1983">
        <v>47.16</v>
      </c>
      <c r="U1983">
        <v>24.11</v>
      </c>
      <c r="V1983" t="str">
        <f>VLOOKUP(L1983,'[2]tabela de preços'!$A:$D,4,0)</f>
        <v>BRASILUX</v>
      </c>
      <c r="W1983" t="str">
        <f>VLOOKUP(L1983,'[2]tabela de preços'!$A:$F,6,0)</f>
        <v>VEDADORES / SELANTES</v>
      </c>
      <c r="X1983" t="str">
        <f>VLOOKUP(L1983,'[2]tabela de preços'!$A:$G,7,0)</f>
        <v>AUTOMOTIVO</v>
      </c>
    </row>
    <row r="1984" spans="1:24" x14ac:dyDescent="0.3">
      <c r="A1984" t="s">
        <v>2025</v>
      </c>
      <c r="C1984" t="s">
        <v>2036</v>
      </c>
      <c r="D1984" s="1">
        <v>46045</v>
      </c>
      <c r="E1984" t="s">
        <v>2037</v>
      </c>
      <c r="F1984">
        <v>9</v>
      </c>
      <c r="G1984">
        <v>174</v>
      </c>
      <c r="H1984" t="str">
        <f>VLOOKUP(G1984,[1]OPERADORES!$A:$B,2,0)</f>
        <v>MIRIÃ LOBATO RODRIGUES</v>
      </c>
      <c r="I1984" t="s">
        <v>21</v>
      </c>
      <c r="J1984" t="s">
        <v>762</v>
      </c>
      <c r="K1984" t="s">
        <v>2028</v>
      </c>
      <c r="L1984">
        <v>21860</v>
      </c>
      <c r="M1984" t="s">
        <v>2038</v>
      </c>
      <c r="O1984" t="s">
        <v>11</v>
      </c>
      <c r="P1984">
        <v>5403</v>
      </c>
      <c r="Q1984">
        <v>2</v>
      </c>
      <c r="R1984">
        <v>61.32</v>
      </c>
      <c r="S1984">
        <v>122.64</v>
      </c>
      <c r="T1984">
        <v>93.08</v>
      </c>
      <c r="U1984">
        <v>24.1</v>
      </c>
      <c r="V1984" t="str">
        <f>VLOOKUP(L1984,'[2]tabela de preços'!$A:$D,4,0)</f>
        <v>SIKKENS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2025</v>
      </c>
      <c r="C1985" t="s">
        <v>2036</v>
      </c>
      <c r="D1985" s="1">
        <v>46045</v>
      </c>
      <c r="E1985" t="s">
        <v>2037</v>
      </c>
      <c r="F1985">
        <v>9</v>
      </c>
      <c r="G1985">
        <v>174</v>
      </c>
      <c r="H1985" t="str">
        <f>VLOOKUP(G1985,[1]OPERADORES!$A:$B,2,0)</f>
        <v>MIRIÃ LOBATO RODRIGUES</v>
      </c>
      <c r="I1985" t="s">
        <v>21</v>
      </c>
      <c r="J1985" t="s">
        <v>762</v>
      </c>
      <c r="K1985" t="s">
        <v>2028</v>
      </c>
      <c r="L1985">
        <v>10236</v>
      </c>
      <c r="M1985" t="s">
        <v>133</v>
      </c>
      <c r="O1985" t="s">
        <v>11</v>
      </c>
      <c r="P1985">
        <v>5102</v>
      </c>
      <c r="Q1985">
        <v>10</v>
      </c>
      <c r="R1985">
        <v>2.79</v>
      </c>
      <c r="S1985">
        <v>27.9</v>
      </c>
      <c r="T1985">
        <v>23.2</v>
      </c>
      <c r="U1985">
        <v>16.850000000000001</v>
      </c>
      <c r="V1985" t="str">
        <f>VLOOKUP(L1985,'[2]tabela de preços'!$A:$D,4,0)</f>
        <v>NORTON</v>
      </c>
      <c r="W1985" t="str">
        <f>VLOOKUP(L1985,'[2]tabela de preços'!$A:$F,6,0)</f>
        <v xml:space="preserve">DISCOS / LIXAS / ABRASIVOS </v>
      </c>
      <c r="X1985" t="str">
        <f>VLOOKUP(L1985,'[2]tabela de preços'!$A:$G,7,0)</f>
        <v>AUTOMOTIVO</v>
      </c>
    </row>
    <row r="1986" spans="1:24" x14ac:dyDescent="0.3">
      <c r="A1986" t="s">
        <v>2025</v>
      </c>
      <c r="C1986" t="s">
        <v>2036</v>
      </c>
      <c r="D1986" s="1">
        <v>46045</v>
      </c>
      <c r="E1986" t="s">
        <v>2037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21</v>
      </c>
      <c r="J1986" t="s">
        <v>762</v>
      </c>
      <c r="K1986" t="s">
        <v>2028</v>
      </c>
      <c r="L1986">
        <v>10230</v>
      </c>
      <c r="M1986" t="s">
        <v>193</v>
      </c>
      <c r="O1986" t="s">
        <v>11</v>
      </c>
      <c r="P1986">
        <v>5102</v>
      </c>
      <c r="Q1986">
        <v>10</v>
      </c>
      <c r="R1986">
        <v>2.79</v>
      </c>
      <c r="S1986">
        <v>27.9</v>
      </c>
      <c r="T1986">
        <v>23.2</v>
      </c>
      <c r="U1986">
        <v>16.850000000000001</v>
      </c>
      <c r="V1986" t="str">
        <f>VLOOKUP(L1986,'[2]tabela de preços'!$A:$D,4,0)</f>
        <v>NORTON</v>
      </c>
      <c r="W1986" t="str">
        <f>VLOOKUP(L1986,'[2]tabela de preços'!$A:$F,6,0)</f>
        <v xml:space="preserve">DISCOS / LIXAS / ABRASIVOS </v>
      </c>
      <c r="X1986" t="str">
        <f>VLOOKUP(L1986,'[2]tabela de preços'!$A:$G,7,0)</f>
        <v>AUTOMOTIVO</v>
      </c>
    </row>
    <row r="1987" spans="1:24" x14ac:dyDescent="0.3">
      <c r="A1987" t="s">
        <v>2025</v>
      </c>
      <c r="C1987" t="s">
        <v>2036</v>
      </c>
      <c r="D1987" s="1">
        <v>46045</v>
      </c>
      <c r="E1987" t="s">
        <v>2037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21</v>
      </c>
      <c r="J1987" t="s">
        <v>762</v>
      </c>
      <c r="K1987" t="s">
        <v>2028</v>
      </c>
      <c r="L1987">
        <v>10232</v>
      </c>
      <c r="M1987" t="s">
        <v>134</v>
      </c>
      <c r="O1987" t="s">
        <v>11</v>
      </c>
      <c r="P1987">
        <v>5102</v>
      </c>
      <c r="Q1987">
        <v>10</v>
      </c>
      <c r="R1987">
        <v>2.79</v>
      </c>
      <c r="S1987">
        <v>27.9</v>
      </c>
      <c r="T1987">
        <v>22.5</v>
      </c>
      <c r="U1987">
        <v>19.350000000000001</v>
      </c>
      <c r="V1987" t="str">
        <f>VLOOKUP(L1987,'[2]tabela de preços'!$A:$D,4,0)</f>
        <v>NORTON</v>
      </c>
      <c r="W1987" t="str">
        <f>VLOOKUP(L1987,'[2]tabela de preços'!$A:$F,6,0)</f>
        <v xml:space="preserve">DISCOS / LIXAS / ABRASIVOS </v>
      </c>
      <c r="X1987" t="str">
        <f>VLOOKUP(L1987,'[2]tabela de preços'!$A:$G,7,0)</f>
        <v>AUTOMOTIVO</v>
      </c>
    </row>
    <row r="1988" spans="1:24" x14ac:dyDescent="0.3">
      <c r="A1988" t="s">
        <v>2025</v>
      </c>
      <c r="C1988" t="s">
        <v>2036</v>
      </c>
      <c r="D1988" s="1">
        <v>46045</v>
      </c>
      <c r="E1988" t="s">
        <v>2037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21</v>
      </c>
      <c r="J1988" t="s">
        <v>762</v>
      </c>
      <c r="K1988" t="s">
        <v>2028</v>
      </c>
      <c r="L1988">
        <v>10237</v>
      </c>
      <c r="M1988" t="s">
        <v>271</v>
      </c>
      <c r="O1988" t="s">
        <v>11</v>
      </c>
      <c r="P1988">
        <v>5102</v>
      </c>
      <c r="Q1988">
        <v>5</v>
      </c>
      <c r="R1988">
        <v>2.79</v>
      </c>
      <c r="S1988">
        <v>13.95</v>
      </c>
      <c r="T1988">
        <v>11.25</v>
      </c>
      <c r="U1988">
        <v>19.350000000000001</v>
      </c>
      <c r="V1988" t="str">
        <f>VLOOKUP(L1988,'[2]tabela de preços'!$A:$D,4,0)</f>
        <v>NORTON</v>
      </c>
      <c r="W1988" t="str">
        <f>VLOOKUP(L1988,'[2]tabela de preços'!$A:$F,6,0)</f>
        <v xml:space="preserve">DISCOS / LIXAS / ABRASIVOS </v>
      </c>
      <c r="X1988" t="str">
        <f>VLOOKUP(L1988,'[2]tabela de preços'!$A:$G,7,0)</f>
        <v>AUTOMOTIVO</v>
      </c>
    </row>
    <row r="1989" spans="1:24" x14ac:dyDescent="0.3">
      <c r="A1989" t="s">
        <v>2025</v>
      </c>
      <c r="C1989" t="s">
        <v>2036</v>
      </c>
      <c r="D1989" s="1">
        <v>46045</v>
      </c>
      <c r="E1989" t="s">
        <v>2039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21</v>
      </c>
      <c r="J1989" t="s">
        <v>762</v>
      </c>
      <c r="K1989" t="s">
        <v>2028</v>
      </c>
      <c r="L1989">
        <v>20135</v>
      </c>
      <c r="M1989" t="s">
        <v>459</v>
      </c>
      <c r="O1989" t="s">
        <v>11</v>
      </c>
      <c r="P1989">
        <v>5102</v>
      </c>
      <c r="Q1989">
        <v>2</v>
      </c>
      <c r="R1989">
        <v>25.37</v>
      </c>
      <c r="S1989">
        <v>50.74</v>
      </c>
      <c r="T1989">
        <v>38.520000000000003</v>
      </c>
      <c r="U1989">
        <v>24.08</v>
      </c>
      <c r="V1989" t="str">
        <f>VLOOKUP(L1989,'[2]tabela de preços'!$A:$D,4,0)</f>
        <v>3M</v>
      </c>
      <c r="W1989" t="str">
        <f>VLOOKUP(L1989,'[2]tabela de preços'!$A:$F,6,0)</f>
        <v>DISCO TRIZACT</v>
      </c>
      <c r="X1989" t="str">
        <f>VLOOKUP(L1989,'[2]tabela de preços'!$A:$G,7,0)</f>
        <v>AUTOMOTIVO</v>
      </c>
    </row>
    <row r="1990" spans="1:24" x14ac:dyDescent="0.3">
      <c r="A1990" t="s">
        <v>2025</v>
      </c>
      <c r="C1990" t="s">
        <v>2036</v>
      </c>
      <c r="D1990" s="1">
        <v>46045</v>
      </c>
      <c r="E1990" t="s">
        <v>2037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21</v>
      </c>
      <c r="J1990" t="s">
        <v>762</v>
      </c>
      <c r="K1990" t="s">
        <v>2028</v>
      </c>
      <c r="L1990">
        <v>23433</v>
      </c>
      <c r="M1990" t="s">
        <v>2029</v>
      </c>
      <c r="O1990" t="s">
        <v>11</v>
      </c>
      <c r="P1990">
        <v>5102</v>
      </c>
      <c r="Q1990">
        <v>1</v>
      </c>
      <c r="R1990">
        <v>153.11000000000001</v>
      </c>
      <c r="S1990">
        <v>153.11000000000001</v>
      </c>
      <c r="T1990">
        <v>116.21</v>
      </c>
      <c r="U1990">
        <v>24.1</v>
      </c>
      <c r="V1990" t="str">
        <f>VLOOKUP(L1990,'[2]tabela de preços'!$A:$D,4,0)</f>
        <v>3M</v>
      </c>
      <c r="W1990" t="str">
        <f>VLOOKUP(L1990,'[2]tabela de preços'!$A:$F,6,0)</f>
        <v xml:space="preserve">MASCARAMENTO </v>
      </c>
      <c r="X1990" t="str">
        <f>VLOOKUP(L1990,'[2]tabela de preços'!$A:$G,7,0)</f>
        <v>AUTOMOTIVO</v>
      </c>
    </row>
    <row r="1991" spans="1:24" x14ac:dyDescent="0.3">
      <c r="A1991" t="s">
        <v>2025</v>
      </c>
      <c r="C1991" t="s">
        <v>2036</v>
      </c>
      <c r="D1991" s="1">
        <v>46045</v>
      </c>
      <c r="E1991" t="s">
        <v>2037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21</v>
      </c>
      <c r="J1991" t="s">
        <v>762</v>
      </c>
      <c r="K1991" t="s">
        <v>2028</v>
      </c>
      <c r="L1991">
        <v>21862</v>
      </c>
      <c r="M1991" t="s">
        <v>2040</v>
      </c>
      <c r="O1991" t="s">
        <v>11</v>
      </c>
      <c r="P1991">
        <v>5102</v>
      </c>
      <c r="Q1991">
        <v>2</v>
      </c>
      <c r="R1991">
        <v>28.62</v>
      </c>
      <c r="S1991">
        <v>57.24</v>
      </c>
      <c r="T1991">
        <v>43.44</v>
      </c>
      <c r="U1991">
        <v>24.11</v>
      </c>
      <c r="V1991" t="str">
        <f>VLOOKUP(L1991,'[2]tabela de preços'!$A:$D,4,0)</f>
        <v>SIKKENS</v>
      </c>
      <c r="W1991" t="str">
        <f>VLOOKUP(L1991,'[2]tabela de preços'!$A:$F,6,0)</f>
        <v>CATALISADORES INDIVIDUAS</v>
      </c>
      <c r="X1991" t="str">
        <f>VLOOKUP(L1991,'[2]tabela de preços'!$A:$G,7,0)</f>
        <v>AUTOMOTIVO</v>
      </c>
    </row>
    <row r="1992" spans="1:24" x14ac:dyDescent="0.3">
      <c r="A1992" t="s">
        <v>2025</v>
      </c>
      <c r="C1992" t="s">
        <v>2036</v>
      </c>
      <c r="D1992" s="1">
        <v>46045</v>
      </c>
      <c r="E1992" t="s">
        <v>2037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21</v>
      </c>
      <c r="J1992" t="s">
        <v>762</v>
      </c>
      <c r="K1992" t="s">
        <v>2028</v>
      </c>
      <c r="L1992">
        <v>13</v>
      </c>
      <c r="M1992" t="s">
        <v>152</v>
      </c>
      <c r="O1992" t="s">
        <v>11</v>
      </c>
      <c r="P1992">
        <v>5102</v>
      </c>
      <c r="Q1992">
        <v>4</v>
      </c>
      <c r="R1992">
        <v>5.79</v>
      </c>
      <c r="S1992">
        <v>23.16</v>
      </c>
      <c r="T1992">
        <v>16.64</v>
      </c>
      <c r="U1992">
        <v>28.15</v>
      </c>
      <c r="V1992" t="str">
        <f>VLOOKUP(L1992,'[2]tabela de preços'!$A:$D,4,0)</f>
        <v>3M</v>
      </c>
      <c r="W1992" t="str">
        <f>VLOOKUP(L1992,'[2]tabela de preços'!$A:$F,6,0)</f>
        <v>LIXA DÁGUA</v>
      </c>
      <c r="X1992" t="str">
        <f>VLOOKUP(L1992,'[2]tabela de preços'!$A:$G,7,0)</f>
        <v>AUTOMOTIVO</v>
      </c>
    </row>
    <row r="1993" spans="1:24" x14ac:dyDescent="0.3">
      <c r="A1993" t="s">
        <v>2025</v>
      </c>
      <c r="C1993" t="s">
        <v>2036</v>
      </c>
      <c r="D1993" s="1">
        <v>46045</v>
      </c>
      <c r="E1993" t="s">
        <v>2037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21</v>
      </c>
      <c r="J1993" t="s">
        <v>762</v>
      </c>
      <c r="K1993" t="s">
        <v>2028</v>
      </c>
      <c r="L1993">
        <v>10238</v>
      </c>
      <c r="M1993" t="s">
        <v>79</v>
      </c>
      <c r="O1993" t="s">
        <v>11</v>
      </c>
      <c r="P1993">
        <v>5102</v>
      </c>
      <c r="Q1993">
        <v>5</v>
      </c>
      <c r="R1993">
        <v>2.79</v>
      </c>
      <c r="S1993">
        <v>13.95</v>
      </c>
      <c r="T1993">
        <v>11.2</v>
      </c>
      <c r="U1993">
        <v>19.71</v>
      </c>
      <c r="V1993" t="str">
        <f>VLOOKUP(L1993,'[2]tabela de preços'!$A:$D,4,0)</f>
        <v>NORTON</v>
      </c>
      <c r="W1993" t="str">
        <f>VLOOKUP(L1993,'[2]tabela de preços'!$A:$F,6,0)</f>
        <v xml:space="preserve">DISCOS / LIXAS / ABRASIVOS </v>
      </c>
      <c r="X1993" t="str">
        <f>VLOOKUP(L1993,'[2]tabela de preços'!$A:$G,7,0)</f>
        <v>AUTOMOTIVO</v>
      </c>
    </row>
    <row r="1994" spans="1:24" x14ac:dyDescent="0.3">
      <c r="A1994" t="s">
        <v>2025</v>
      </c>
      <c r="C1994" t="s">
        <v>2036</v>
      </c>
      <c r="D1994" s="1">
        <v>46045</v>
      </c>
      <c r="E1994" t="s">
        <v>2037</v>
      </c>
      <c r="F1994">
        <v>9</v>
      </c>
      <c r="G1994">
        <v>174</v>
      </c>
      <c r="H1994" t="str">
        <f>VLOOKUP(G1994,[1]OPERADORES!$A:$B,2,0)</f>
        <v>MIRIÃ LOBATO RODRIGUES</v>
      </c>
      <c r="I1994" t="s">
        <v>21</v>
      </c>
      <c r="J1994" t="s">
        <v>762</v>
      </c>
      <c r="K1994" t="s">
        <v>2028</v>
      </c>
      <c r="L1994">
        <v>10240</v>
      </c>
      <c r="M1994" t="s">
        <v>81</v>
      </c>
      <c r="O1994" t="s">
        <v>11</v>
      </c>
      <c r="P1994">
        <v>5102</v>
      </c>
      <c r="Q1994">
        <v>5</v>
      </c>
      <c r="R1994">
        <v>2.79</v>
      </c>
      <c r="S1994">
        <v>13.95</v>
      </c>
      <c r="T1994">
        <v>11.2</v>
      </c>
      <c r="U1994">
        <v>19.71</v>
      </c>
      <c r="V1994" t="str">
        <f>VLOOKUP(L1994,'[2]tabela de preços'!$A:$D,4,0)</f>
        <v>NORTON</v>
      </c>
      <c r="W1994" t="str">
        <f>VLOOKUP(L1994,'[2]tabela de preços'!$A:$F,6,0)</f>
        <v xml:space="preserve">DISCOS / LIXAS / ABRASIVOS </v>
      </c>
      <c r="X1994" t="str">
        <f>VLOOKUP(L1994,'[2]tabela de preços'!$A:$G,7,0)</f>
        <v>AUTOMOTIVO</v>
      </c>
    </row>
    <row r="1995" spans="1:24" x14ac:dyDescent="0.3">
      <c r="A1995" t="s">
        <v>2025</v>
      </c>
      <c r="C1995" t="s">
        <v>2036</v>
      </c>
      <c r="D1995" s="1">
        <v>46045</v>
      </c>
      <c r="E1995" t="s">
        <v>2037</v>
      </c>
      <c r="F1995">
        <v>9</v>
      </c>
      <c r="G1995">
        <v>174</v>
      </c>
      <c r="H1995" t="str">
        <f>VLOOKUP(G1995,[1]OPERADORES!$A:$B,2,0)</f>
        <v>MIRIÃ LOBATO RODRIGUES</v>
      </c>
      <c r="I1995" t="s">
        <v>21</v>
      </c>
      <c r="J1995" t="s">
        <v>762</v>
      </c>
      <c r="K1995" t="s">
        <v>2028</v>
      </c>
      <c r="L1995">
        <v>10242</v>
      </c>
      <c r="M1995" t="s">
        <v>82</v>
      </c>
      <c r="O1995" t="s">
        <v>11</v>
      </c>
      <c r="P1995">
        <v>5102</v>
      </c>
      <c r="Q1995">
        <v>5</v>
      </c>
      <c r="R1995">
        <v>2.79</v>
      </c>
      <c r="S1995">
        <v>13.95</v>
      </c>
      <c r="T1995">
        <v>11.2</v>
      </c>
      <c r="U1995">
        <v>19.71</v>
      </c>
      <c r="V1995" t="str">
        <f>VLOOKUP(L1995,'[2]tabela de preços'!$A:$D,4,0)</f>
        <v>NORTON</v>
      </c>
      <c r="W1995" t="str">
        <f>VLOOKUP(L1995,'[2]tabela de preços'!$A:$F,6,0)</f>
        <v xml:space="preserve">DISCOS / LIXAS / ABRASIVOS </v>
      </c>
      <c r="X1995" t="str">
        <f>VLOOKUP(L1995,'[2]tabela de preços'!$A:$G,7,0)</f>
        <v>AUTOMOTIVO</v>
      </c>
    </row>
    <row r="1996" spans="1:24" x14ac:dyDescent="0.3">
      <c r="A1996" t="s">
        <v>2025</v>
      </c>
      <c r="C1996" t="s">
        <v>2036</v>
      </c>
      <c r="D1996" s="1">
        <v>46045</v>
      </c>
      <c r="E1996" t="s">
        <v>2037</v>
      </c>
      <c r="F1996">
        <v>9</v>
      </c>
      <c r="G1996">
        <v>174</v>
      </c>
      <c r="H1996" t="str">
        <f>VLOOKUP(G1996,[1]OPERADORES!$A:$B,2,0)</f>
        <v>MIRIÃ LOBATO RODRIGUES</v>
      </c>
      <c r="I1996" t="s">
        <v>21</v>
      </c>
      <c r="J1996" t="s">
        <v>762</v>
      </c>
      <c r="K1996" t="s">
        <v>2028</v>
      </c>
      <c r="L1996">
        <v>10243</v>
      </c>
      <c r="M1996" t="s">
        <v>83</v>
      </c>
      <c r="O1996" t="s">
        <v>11</v>
      </c>
      <c r="P1996">
        <v>5102</v>
      </c>
      <c r="Q1996">
        <v>5</v>
      </c>
      <c r="R1996">
        <v>2.79</v>
      </c>
      <c r="S1996">
        <v>13.95</v>
      </c>
      <c r="T1996">
        <v>9.65</v>
      </c>
      <c r="U1996">
        <v>30.82</v>
      </c>
      <c r="V1996" t="str">
        <f>VLOOKUP(L1996,'[2]tabela de preços'!$A:$D,4,0)</f>
        <v>NORTON</v>
      </c>
      <c r="W1996" t="str">
        <f>VLOOKUP(L1996,'[2]tabela de preços'!$A:$F,6,0)</f>
        <v xml:space="preserve">DISCOS / LIXAS / ABRASIVOS </v>
      </c>
      <c r="X1996" t="str">
        <f>VLOOKUP(L1996,'[2]tabela de preços'!$A:$G,7,0)</f>
        <v>AUTOMOTIVO</v>
      </c>
    </row>
    <row r="1997" spans="1:24" x14ac:dyDescent="0.3">
      <c r="A1997" t="s">
        <v>2025</v>
      </c>
      <c r="C1997" t="s">
        <v>2036</v>
      </c>
      <c r="D1997" s="1">
        <v>46045</v>
      </c>
      <c r="E1997" t="s">
        <v>2037</v>
      </c>
      <c r="F1997">
        <v>9</v>
      </c>
      <c r="G1997">
        <v>174</v>
      </c>
      <c r="H1997" t="str">
        <f>VLOOKUP(G1997,[1]OPERADORES!$A:$B,2,0)</f>
        <v>MIRIÃ LOBATO RODRIGUES</v>
      </c>
      <c r="I1997" t="s">
        <v>21</v>
      </c>
      <c r="J1997" t="s">
        <v>762</v>
      </c>
      <c r="K1997" t="s">
        <v>2028</v>
      </c>
      <c r="L1997">
        <v>10245</v>
      </c>
      <c r="M1997" t="s">
        <v>195</v>
      </c>
      <c r="O1997" t="s">
        <v>11</v>
      </c>
      <c r="P1997">
        <v>5102</v>
      </c>
      <c r="Q1997">
        <v>10</v>
      </c>
      <c r="R1997">
        <v>2.79</v>
      </c>
      <c r="S1997">
        <v>27.9</v>
      </c>
      <c r="T1997">
        <v>19.3</v>
      </c>
      <c r="U1997">
        <v>30.82</v>
      </c>
      <c r="V1997" t="str">
        <f>VLOOKUP(L1997,'[2]tabela de preços'!$A:$D,4,0)</f>
        <v>NORTON</v>
      </c>
      <c r="W1997" t="str">
        <f>VLOOKUP(L1997,'[2]tabela de preços'!$A:$F,6,0)</f>
        <v xml:space="preserve">DISCOS / LIXAS / ABRASIVOS </v>
      </c>
      <c r="X1997" t="str">
        <f>VLOOKUP(L1997,'[2]tabela de preços'!$A:$G,7,0)</f>
        <v>AUTOMOTIVO</v>
      </c>
    </row>
    <row r="1998" spans="1:24" x14ac:dyDescent="0.3">
      <c r="A1998" t="s">
        <v>2025</v>
      </c>
      <c r="C1998" t="s">
        <v>2036</v>
      </c>
      <c r="D1998" s="1">
        <v>46045</v>
      </c>
      <c r="E1998" t="s">
        <v>2037</v>
      </c>
      <c r="F1998">
        <v>9</v>
      </c>
      <c r="G1998">
        <v>174</v>
      </c>
      <c r="H1998" t="str">
        <f>VLOOKUP(G1998,[1]OPERADORES!$A:$B,2,0)</f>
        <v>MIRIÃ LOBATO RODRIGUES</v>
      </c>
      <c r="I1998" t="s">
        <v>21</v>
      </c>
      <c r="J1998" t="s">
        <v>762</v>
      </c>
      <c r="K1998" t="s">
        <v>2028</v>
      </c>
      <c r="L1998">
        <v>10246</v>
      </c>
      <c r="M1998" t="s">
        <v>206</v>
      </c>
      <c r="O1998" t="s">
        <v>11</v>
      </c>
      <c r="P1998">
        <v>5102</v>
      </c>
      <c r="Q1998">
        <v>5</v>
      </c>
      <c r="R1998">
        <v>2.79</v>
      </c>
      <c r="S1998">
        <v>13.95</v>
      </c>
      <c r="T1998">
        <v>9.65</v>
      </c>
      <c r="U1998">
        <v>30.82</v>
      </c>
      <c r="V1998" t="str">
        <f>VLOOKUP(L1998,'[2]tabela de preços'!$A:$D,4,0)</f>
        <v>NORTON</v>
      </c>
      <c r="W1998" t="str">
        <f>VLOOKUP(L1998,'[2]tabela de preços'!$A:$F,6,0)</f>
        <v xml:space="preserve">DISCOS / LIXAS / ABRASIVOS </v>
      </c>
      <c r="X1998" t="str">
        <f>VLOOKUP(L1998,'[2]tabela de preços'!$A:$G,7,0)</f>
        <v>AUTOMOTIVO</v>
      </c>
    </row>
    <row r="1999" spans="1:24" x14ac:dyDescent="0.3">
      <c r="A1999" t="s">
        <v>2025</v>
      </c>
      <c r="C1999" t="s">
        <v>2036</v>
      </c>
      <c r="D1999" s="1">
        <v>46045</v>
      </c>
      <c r="E1999" t="s">
        <v>2037</v>
      </c>
      <c r="F1999">
        <v>9</v>
      </c>
      <c r="G1999">
        <v>174</v>
      </c>
      <c r="H1999" t="str">
        <f>VLOOKUP(G1999,[1]OPERADORES!$A:$B,2,0)</f>
        <v>MIRIÃ LOBATO RODRIGUES</v>
      </c>
      <c r="I1999" t="s">
        <v>21</v>
      </c>
      <c r="J1999" t="s">
        <v>762</v>
      </c>
      <c r="K1999" t="s">
        <v>2028</v>
      </c>
      <c r="L1999">
        <v>23623</v>
      </c>
      <c r="M1999" t="s">
        <v>2033</v>
      </c>
      <c r="O1999" t="s">
        <v>11</v>
      </c>
      <c r="P1999">
        <v>5102</v>
      </c>
      <c r="Q1999">
        <v>1</v>
      </c>
      <c r="R1999">
        <v>113.99</v>
      </c>
      <c r="S1999">
        <v>113.99</v>
      </c>
      <c r="T1999">
        <v>86.52</v>
      </c>
      <c r="U1999">
        <v>24.1</v>
      </c>
      <c r="V1999" t="str">
        <f>VLOOKUP(L1999,'[2]tabela de preços'!$A:$D,4,0)</f>
        <v>SIKKENS</v>
      </c>
      <c r="W1999" t="str">
        <f>VLOOKUP(L1999,'[2]tabela de preços'!$A:$F,6,0)</f>
        <v>MASSA POLIÉSTER</v>
      </c>
      <c r="X1999" t="str">
        <f>VLOOKUP(L1999,'[2]tabela de preços'!$A:$G,7,0)</f>
        <v>AUTOMOTIVO</v>
      </c>
    </row>
    <row r="2000" spans="1:24" x14ac:dyDescent="0.3">
      <c r="A2000" t="s">
        <v>2025</v>
      </c>
      <c r="C2000" t="s">
        <v>2036</v>
      </c>
      <c r="D2000" s="1">
        <v>46045</v>
      </c>
      <c r="E2000" t="s">
        <v>2037</v>
      </c>
      <c r="F2000">
        <v>9</v>
      </c>
      <c r="G2000">
        <v>174</v>
      </c>
      <c r="H2000" t="str">
        <f>VLOOKUP(G2000,[1]OPERADORES!$A:$B,2,0)</f>
        <v>MIRIÃ LOBATO RODRIGUES</v>
      </c>
      <c r="I2000" t="s">
        <v>21</v>
      </c>
      <c r="J2000" t="s">
        <v>762</v>
      </c>
      <c r="K2000" t="s">
        <v>2028</v>
      </c>
      <c r="L2000">
        <v>10298</v>
      </c>
      <c r="M2000" t="s">
        <v>85</v>
      </c>
      <c r="O2000" t="s">
        <v>11</v>
      </c>
      <c r="P2000">
        <v>5102</v>
      </c>
      <c r="Q2000">
        <v>1</v>
      </c>
      <c r="R2000">
        <v>56.89</v>
      </c>
      <c r="S2000">
        <v>56.89</v>
      </c>
      <c r="T2000">
        <v>47.38</v>
      </c>
      <c r="U2000">
        <v>16.72</v>
      </c>
      <c r="V2000" t="str">
        <f>VLOOKUP(L2000,'[2]tabela de preços'!$A:$D,4,0)</f>
        <v>ANJO</v>
      </c>
      <c r="W2000" t="str">
        <f>VLOOKUP(L2000,'[2]tabela de preços'!$A:$F,6,0)</f>
        <v>THINNER DE LIMPEZA</v>
      </c>
      <c r="X2000" t="str">
        <f>VLOOKUP(L2000,'[2]tabela de preços'!$A:$G,7,0)</f>
        <v>THINNER</v>
      </c>
    </row>
    <row r="2001" spans="1:24" x14ac:dyDescent="0.3">
      <c r="A2001" t="s">
        <v>2025</v>
      </c>
      <c r="C2001" t="s">
        <v>2411</v>
      </c>
      <c r="D2001" s="1">
        <v>46052</v>
      </c>
      <c r="E2001" t="s">
        <v>2412</v>
      </c>
      <c r="F2001">
        <v>9</v>
      </c>
      <c r="G2001">
        <v>174</v>
      </c>
      <c r="H2001" t="str">
        <f>VLOOKUP(G2001,[1]OPERADORES!$A:$B,2,0)</f>
        <v>MIRIÃ LOBATO RODRIGUES</v>
      </c>
      <c r="I2001" t="s">
        <v>21</v>
      </c>
      <c r="J2001" t="s">
        <v>762</v>
      </c>
      <c r="K2001" t="s">
        <v>2028</v>
      </c>
      <c r="L2001">
        <v>10232</v>
      </c>
      <c r="M2001" t="s">
        <v>134</v>
      </c>
      <c r="O2001" t="s">
        <v>11</v>
      </c>
      <c r="P2001">
        <v>5102</v>
      </c>
      <c r="Q2001">
        <v>7</v>
      </c>
      <c r="R2001">
        <v>2.79</v>
      </c>
      <c r="S2001">
        <v>19.53</v>
      </c>
      <c r="T2001">
        <v>15.75</v>
      </c>
      <c r="U2001">
        <v>19.350000000000001</v>
      </c>
      <c r="V2001" t="str">
        <f>VLOOKUP(L2001,'[2]tabela de preços'!$A:$D,4,0)</f>
        <v>NORTON</v>
      </c>
      <c r="W2001" t="str">
        <f>VLOOKUP(L2001,'[2]tabela de preços'!$A:$F,6,0)</f>
        <v xml:space="preserve">DISCOS / LIXAS / ABRASIVOS </v>
      </c>
      <c r="X2001" t="str">
        <f>VLOOKUP(L2001,'[2]tabela de preços'!$A:$G,7,0)</f>
        <v>AUTOMOTIVO</v>
      </c>
    </row>
    <row r="2002" spans="1:24" x14ac:dyDescent="0.3">
      <c r="A2002" t="s">
        <v>2025</v>
      </c>
      <c r="C2002" t="s">
        <v>2411</v>
      </c>
      <c r="D2002" s="1">
        <v>46052</v>
      </c>
      <c r="E2002" t="s">
        <v>2412</v>
      </c>
      <c r="F2002">
        <v>9</v>
      </c>
      <c r="G2002">
        <v>174</v>
      </c>
      <c r="H2002" t="str">
        <f>VLOOKUP(G2002,[1]OPERADORES!$A:$B,2,0)</f>
        <v>MIRIÃ LOBATO RODRIGUES</v>
      </c>
      <c r="I2002" t="s">
        <v>21</v>
      </c>
      <c r="J2002" t="s">
        <v>762</v>
      </c>
      <c r="K2002" t="s">
        <v>2028</v>
      </c>
      <c r="L2002">
        <v>22188</v>
      </c>
      <c r="M2002" t="s">
        <v>78</v>
      </c>
      <c r="O2002" t="s">
        <v>11</v>
      </c>
      <c r="P2002">
        <v>5102</v>
      </c>
      <c r="Q2002">
        <v>10</v>
      </c>
      <c r="R2002">
        <v>14.35</v>
      </c>
      <c r="S2002">
        <v>143.5</v>
      </c>
      <c r="T2002">
        <v>108.9</v>
      </c>
      <c r="U2002">
        <v>24.11</v>
      </c>
      <c r="V2002" t="str">
        <f>VLOOKUP(L2002,'[2]tabela de preços'!$A:$D,4,0)</f>
        <v>3M</v>
      </c>
      <c r="W2002" t="str">
        <f>VLOOKUP(L2002,'[2]tabela de preços'!$A:$F,6,0)</f>
        <v>FITA AUTOMOTIVA</v>
      </c>
      <c r="X2002" t="str">
        <f>VLOOKUP(L2002,'[2]tabela de preços'!$A:$G,7,0)</f>
        <v>AUTOMOTIVO</v>
      </c>
    </row>
    <row r="2003" spans="1:24" x14ac:dyDescent="0.3">
      <c r="A2003" t="s">
        <v>2025</v>
      </c>
      <c r="C2003" t="s">
        <v>2411</v>
      </c>
      <c r="D2003" s="1">
        <v>46052</v>
      </c>
      <c r="E2003" t="s">
        <v>2412</v>
      </c>
      <c r="F2003">
        <v>9</v>
      </c>
      <c r="G2003">
        <v>174</v>
      </c>
      <c r="H2003" t="str">
        <f>VLOOKUP(G2003,[1]OPERADORES!$A:$B,2,0)</f>
        <v>MIRIÃ LOBATO RODRIGUES</v>
      </c>
      <c r="I2003" t="s">
        <v>21</v>
      </c>
      <c r="J2003" t="s">
        <v>762</v>
      </c>
      <c r="K2003" t="s">
        <v>2028</v>
      </c>
      <c r="L2003">
        <v>23653</v>
      </c>
      <c r="M2003" t="s">
        <v>644</v>
      </c>
      <c r="O2003" t="s">
        <v>11</v>
      </c>
      <c r="P2003">
        <v>5102</v>
      </c>
      <c r="Q2003">
        <v>1</v>
      </c>
      <c r="R2003">
        <v>67.150000000000006</v>
      </c>
      <c r="S2003">
        <v>67.150000000000006</v>
      </c>
      <c r="T2003">
        <v>50.97</v>
      </c>
      <c r="U2003">
        <v>24.1</v>
      </c>
      <c r="V2003" t="str">
        <f>VLOOKUP(L2003,'[2]tabela de preços'!$A:$D,4,0)</f>
        <v>SIKKENS</v>
      </c>
      <c r="W2003" t="str">
        <f>VLOOKUP(L2003,'[2]tabela de preços'!$A:$F,6,0)</f>
        <v>CATALISADORES INDIVIDUAS</v>
      </c>
      <c r="X2003" t="str">
        <f>VLOOKUP(L2003,'[2]tabela de preços'!$A:$G,7,0)</f>
        <v>AUTOMOTIVO</v>
      </c>
    </row>
    <row r="2004" spans="1:24" x14ac:dyDescent="0.3">
      <c r="A2004" t="s">
        <v>2025</v>
      </c>
      <c r="C2004" t="s">
        <v>2411</v>
      </c>
      <c r="D2004" s="1">
        <v>46052</v>
      </c>
      <c r="E2004" t="s">
        <v>2412</v>
      </c>
      <c r="F2004">
        <v>9</v>
      </c>
      <c r="G2004">
        <v>174</v>
      </c>
      <c r="H2004" t="str">
        <f>VLOOKUP(G2004,[1]OPERADORES!$A:$B,2,0)</f>
        <v>MIRIÃ LOBATO RODRIGUES</v>
      </c>
      <c r="I2004" t="s">
        <v>21</v>
      </c>
      <c r="J2004" t="s">
        <v>762</v>
      </c>
      <c r="K2004" t="s">
        <v>2028</v>
      </c>
      <c r="L2004">
        <v>10245</v>
      </c>
      <c r="M2004" t="s">
        <v>195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19.3</v>
      </c>
      <c r="U2004">
        <v>30.82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2025</v>
      </c>
      <c r="C2005" t="s">
        <v>2411</v>
      </c>
      <c r="D2005" s="1">
        <v>46052</v>
      </c>
      <c r="E2005" t="s">
        <v>2412</v>
      </c>
      <c r="F2005">
        <v>9</v>
      </c>
      <c r="G2005">
        <v>174</v>
      </c>
      <c r="H2005" t="str">
        <f>VLOOKUP(G2005,[1]OPERADORES!$A:$B,2,0)</f>
        <v>MIRIÃ LOBATO RODRIGUES</v>
      </c>
      <c r="I2005" t="s">
        <v>21</v>
      </c>
      <c r="J2005" t="s">
        <v>762</v>
      </c>
      <c r="K2005" t="s">
        <v>2028</v>
      </c>
      <c r="L2005">
        <v>10246</v>
      </c>
      <c r="M2005" t="s">
        <v>206</v>
      </c>
      <c r="O2005" t="s">
        <v>11</v>
      </c>
      <c r="P2005">
        <v>5102</v>
      </c>
      <c r="Q2005">
        <v>5</v>
      </c>
      <c r="R2005">
        <v>2.79</v>
      </c>
      <c r="S2005">
        <v>13.95</v>
      </c>
      <c r="T2005">
        <v>9.65</v>
      </c>
      <c r="U2005">
        <v>30.82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2025</v>
      </c>
      <c r="C2006" t="s">
        <v>2411</v>
      </c>
      <c r="D2006" s="1">
        <v>46052</v>
      </c>
      <c r="E2006" t="s">
        <v>2412</v>
      </c>
      <c r="F2006">
        <v>9</v>
      </c>
      <c r="G2006">
        <v>174</v>
      </c>
      <c r="H2006" t="str">
        <f>VLOOKUP(G2006,[1]OPERADORES!$A:$B,2,0)</f>
        <v>MIRIÃ LOBATO RODRIGUES</v>
      </c>
      <c r="I2006" t="s">
        <v>21</v>
      </c>
      <c r="J2006" t="s">
        <v>762</v>
      </c>
      <c r="K2006" t="s">
        <v>2028</v>
      </c>
      <c r="L2006">
        <v>10073</v>
      </c>
      <c r="M2006" t="s">
        <v>2413</v>
      </c>
      <c r="O2006" t="s">
        <v>11</v>
      </c>
      <c r="P2006">
        <v>5102</v>
      </c>
      <c r="Q2006">
        <v>1</v>
      </c>
      <c r="R2006">
        <v>64.16</v>
      </c>
      <c r="S2006">
        <v>64.16</v>
      </c>
      <c r="T2006">
        <v>48.7</v>
      </c>
      <c r="U2006">
        <v>24.1</v>
      </c>
      <c r="V2006" t="str">
        <f>VLOOKUP(L2006,'[2]tabela de preços'!$A:$D,4,0)</f>
        <v>3M</v>
      </c>
      <c r="W2006" t="str">
        <f>VLOOKUP(L2006,'[2]tabela de preços'!$A:$F,6,0)</f>
        <v>MASSA DE POLIR</v>
      </c>
      <c r="X2006" t="str">
        <f>VLOOKUP(L2006,'[2]tabela de preços'!$A:$G,7,0)</f>
        <v>AUTOMOTIVO</v>
      </c>
    </row>
    <row r="2007" spans="1:24" x14ac:dyDescent="0.3">
      <c r="A2007" t="s">
        <v>2025</v>
      </c>
      <c r="C2007" t="s">
        <v>2411</v>
      </c>
      <c r="D2007" s="1">
        <v>46052</v>
      </c>
      <c r="E2007" t="s">
        <v>2412</v>
      </c>
      <c r="F2007">
        <v>9</v>
      </c>
      <c r="G2007">
        <v>174</v>
      </c>
      <c r="H2007" t="str">
        <f>VLOOKUP(G2007,[1]OPERADORES!$A:$B,2,0)</f>
        <v>MIRIÃ LOBATO RODRIGUES</v>
      </c>
      <c r="I2007" t="s">
        <v>21</v>
      </c>
      <c r="J2007" t="s">
        <v>762</v>
      </c>
      <c r="K2007" t="s">
        <v>2028</v>
      </c>
      <c r="L2007">
        <v>23926</v>
      </c>
      <c r="M2007" t="s">
        <v>645</v>
      </c>
      <c r="O2007" t="s">
        <v>11</v>
      </c>
      <c r="P2007">
        <v>5403</v>
      </c>
      <c r="Q2007">
        <v>1</v>
      </c>
      <c r="R2007">
        <v>147.1</v>
      </c>
      <c r="S2007">
        <v>147.1</v>
      </c>
      <c r="T2007">
        <v>98.89</v>
      </c>
      <c r="U2007">
        <v>32.770000000000003</v>
      </c>
      <c r="V2007" t="str">
        <f>VLOOKUP(L2007,'[2]tabela de preços'!$A:$D,4,0)</f>
        <v>SIKKENS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2025</v>
      </c>
      <c r="C2008" t="s">
        <v>2411</v>
      </c>
      <c r="D2008" s="1">
        <v>46052</v>
      </c>
      <c r="E2008" t="s">
        <v>2412</v>
      </c>
      <c r="F2008">
        <v>9</v>
      </c>
      <c r="G2008">
        <v>174</v>
      </c>
      <c r="H2008" t="str">
        <f>VLOOKUP(G2008,[1]OPERADORES!$A:$B,2,0)</f>
        <v>MIRIÃ LOBATO RODRIGUES</v>
      </c>
      <c r="I2008" t="s">
        <v>21</v>
      </c>
      <c r="J2008" t="s">
        <v>762</v>
      </c>
      <c r="K2008" t="s">
        <v>2028</v>
      </c>
      <c r="L2008">
        <v>10298</v>
      </c>
      <c r="M2008" t="s">
        <v>85</v>
      </c>
      <c r="O2008" t="s">
        <v>11</v>
      </c>
      <c r="P2008">
        <v>5102</v>
      </c>
      <c r="Q2008">
        <v>1</v>
      </c>
      <c r="R2008">
        <v>56.89</v>
      </c>
      <c r="S2008">
        <v>56.89</v>
      </c>
      <c r="T2008">
        <v>47.38</v>
      </c>
      <c r="U2008">
        <v>16.72</v>
      </c>
      <c r="V2008" t="str">
        <f>VLOOKUP(L2008,'[2]tabela de preços'!$A:$D,4,0)</f>
        <v>ANJO</v>
      </c>
      <c r="W2008" t="str">
        <f>VLOOKUP(L2008,'[2]tabela de preços'!$A:$F,6,0)</f>
        <v>THINNER DE LIMPEZA</v>
      </c>
      <c r="X2008" t="str">
        <f>VLOOKUP(L2008,'[2]tabela de preços'!$A:$G,7,0)</f>
        <v>THINNER</v>
      </c>
    </row>
    <row r="2009" spans="1:24" x14ac:dyDescent="0.3">
      <c r="A2009" t="s">
        <v>2041</v>
      </c>
      <c r="C2009" t="s">
        <v>2042</v>
      </c>
      <c r="D2009" s="1">
        <v>46035</v>
      </c>
      <c r="E2009" t="s">
        <v>2043</v>
      </c>
      <c r="F2009">
        <v>9</v>
      </c>
      <c r="G2009">
        <v>231</v>
      </c>
      <c r="H2009" t="str">
        <f>VLOOKUP(G2009,[1]OPERADORES!$A:$B,2,0)</f>
        <v>EDIJANE</v>
      </c>
      <c r="I2009" t="s">
        <v>21</v>
      </c>
      <c r="J2009" t="s">
        <v>1653</v>
      </c>
      <c r="K2009" t="s">
        <v>2044</v>
      </c>
      <c r="L2009">
        <v>85628</v>
      </c>
      <c r="M2009" t="s">
        <v>2045</v>
      </c>
      <c r="O2009" t="s">
        <v>11</v>
      </c>
      <c r="P2009">
        <v>5403</v>
      </c>
      <c r="Q2009">
        <v>1</v>
      </c>
      <c r="R2009">
        <v>466.65</v>
      </c>
      <c r="S2009">
        <v>466.65</v>
      </c>
      <c r="T2009">
        <v>264.62</v>
      </c>
      <c r="U2009">
        <v>43.29</v>
      </c>
      <c r="V2009" t="str">
        <f>VLOOKUP(L2009,'[2]tabela de preços'!$A:$D,4,0)</f>
        <v>BRASILUX</v>
      </c>
      <c r="W2009" t="str">
        <f>VLOOKUP(L2009,'[2]tabela de preços'!$A:$F,6,0)</f>
        <v>TINTA PARA PISO</v>
      </c>
      <c r="X2009" t="str">
        <f>VLOOKUP(L2009,'[2]tabela de preços'!$A:$G,7,0)</f>
        <v>IMOBILIÁRIO</v>
      </c>
    </row>
    <row r="2010" spans="1:24" x14ac:dyDescent="0.3">
      <c r="A2010" t="s">
        <v>2046</v>
      </c>
      <c r="C2010" t="s">
        <v>2047</v>
      </c>
      <c r="D2010" s="1">
        <v>46028</v>
      </c>
      <c r="E2010" t="s">
        <v>2048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614</v>
      </c>
      <c r="K2010" t="s">
        <v>2049</v>
      </c>
      <c r="L2010">
        <v>23076</v>
      </c>
      <c r="M2010" t="s">
        <v>97</v>
      </c>
      <c r="O2010" t="s">
        <v>11</v>
      </c>
      <c r="P2010">
        <v>5403</v>
      </c>
      <c r="Q2010">
        <v>30</v>
      </c>
      <c r="R2010">
        <v>33.89</v>
      </c>
      <c r="S2010" s="2">
        <v>1016.7</v>
      </c>
      <c r="T2010">
        <v>795.9</v>
      </c>
      <c r="U2010">
        <v>21.72</v>
      </c>
      <c r="V2010" t="str">
        <f>VLOOKUP(L2010,'[2]tabela de preços'!$A:$D,4,0)</f>
        <v>WANDA</v>
      </c>
      <c r="W2010" t="str">
        <f>VLOOKUP(L2010,'[2]tabela de preços'!$A:$F,6,0)</f>
        <v>PRIMER AUTOMOTIVO</v>
      </c>
      <c r="X2010" t="str">
        <f>VLOOKUP(L2010,'[2]tabela de preços'!$A:$G,7,0)</f>
        <v>AUTOMOTIVO</v>
      </c>
    </row>
    <row r="2011" spans="1:24" x14ac:dyDescent="0.3">
      <c r="A2011" t="s">
        <v>2046</v>
      </c>
      <c r="C2011" t="s">
        <v>2047</v>
      </c>
      <c r="D2011" s="1">
        <v>46028</v>
      </c>
      <c r="E2011" t="s">
        <v>2048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614</v>
      </c>
      <c r="K2011" t="s">
        <v>2049</v>
      </c>
      <c r="L2011">
        <v>23690</v>
      </c>
      <c r="M2011" t="s">
        <v>98</v>
      </c>
      <c r="O2011" t="s">
        <v>11</v>
      </c>
      <c r="P2011">
        <v>5403</v>
      </c>
      <c r="Q2011">
        <v>6</v>
      </c>
      <c r="R2011">
        <v>39.89</v>
      </c>
      <c r="S2011">
        <v>239.34</v>
      </c>
      <c r="T2011">
        <v>189.66</v>
      </c>
      <c r="U2011">
        <v>20.76</v>
      </c>
      <c r="V2011" t="str">
        <f>VLOOKUP(L2011,'[2]tabela de preços'!$A:$D,4,0)</f>
        <v>WANDA</v>
      </c>
      <c r="W2011" t="str">
        <f>VLOOKUP(L2011,'[2]tabela de preços'!$A:$F,6,0)</f>
        <v>VERNIZ AUTOMOTIVO</v>
      </c>
      <c r="X2011" t="str">
        <f>VLOOKUP(L2011,'[2]tabela de preços'!$A:$G,7,0)</f>
        <v>AUTOMOTIVO</v>
      </c>
    </row>
    <row r="2012" spans="1:24" x14ac:dyDescent="0.3">
      <c r="A2012" t="s">
        <v>2046</v>
      </c>
      <c r="C2012" t="s">
        <v>2047</v>
      </c>
      <c r="D2012" s="1">
        <v>46028</v>
      </c>
      <c r="E2012" t="s">
        <v>2048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614</v>
      </c>
      <c r="K2012" t="s">
        <v>2049</v>
      </c>
      <c r="L2012">
        <v>23602</v>
      </c>
      <c r="M2012" t="s">
        <v>215</v>
      </c>
      <c r="O2012" t="s">
        <v>11</v>
      </c>
      <c r="P2012">
        <v>5403</v>
      </c>
      <c r="Q2012">
        <v>18</v>
      </c>
      <c r="R2012">
        <v>35.89</v>
      </c>
      <c r="S2012">
        <v>646.02</v>
      </c>
      <c r="T2012">
        <v>526.5</v>
      </c>
      <c r="U2012">
        <v>18.5</v>
      </c>
      <c r="V2012" t="str">
        <f>VLOOKUP(L2012,'[2]tabela de preços'!$A:$D,4,0)</f>
        <v>SHERWIN WILLIAMS</v>
      </c>
      <c r="W2012" t="str">
        <f>VLOOKUP(L2012,'[2]tabela de preços'!$A:$F,6,0)</f>
        <v>VERNIZ AUTOMOTIVO</v>
      </c>
      <c r="X2012" t="str">
        <f>VLOOKUP(L2012,'[2]tabela de preços'!$A:$G,7,0)</f>
        <v>AUTOMOTIVO</v>
      </c>
    </row>
    <row r="2013" spans="1:24" x14ac:dyDescent="0.3">
      <c r="A2013" t="s">
        <v>2046</v>
      </c>
      <c r="C2013" t="s">
        <v>2047</v>
      </c>
      <c r="D2013" s="1">
        <v>46028</v>
      </c>
      <c r="E2013" t="s">
        <v>2048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614</v>
      </c>
      <c r="K2013" t="s">
        <v>2049</v>
      </c>
      <c r="L2013">
        <v>20431</v>
      </c>
      <c r="M2013" t="s">
        <v>202</v>
      </c>
      <c r="O2013" t="s">
        <v>11</v>
      </c>
      <c r="P2013">
        <v>5403</v>
      </c>
      <c r="Q2013">
        <v>9</v>
      </c>
      <c r="R2013">
        <v>36.89</v>
      </c>
      <c r="S2013">
        <v>332.01</v>
      </c>
      <c r="T2013">
        <v>268.02</v>
      </c>
      <c r="U2013">
        <v>19.27</v>
      </c>
      <c r="V2013" t="str">
        <f>VLOOKUP(L2013,'[2]tabela de preços'!$A:$D,4,0)</f>
        <v>SHERWIN WILLIAMS</v>
      </c>
      <c r="W2013" t="str">
        <f>VLOOKUP(L2013,'[2]tabela de preços'!$A:$F,6,0)</f>
        <v>VERNIZ AUTOMOTIVO</v>
      </c>
      <c r="X2013" t="str">
        <f>VLOOKUP(L2013,'[2]tabela de preços'!$A:$G,7,0)</f>
        <v>AUTOMOTIVO</v>
      </c>
    </row>
    <row r="2014" spans="1:24" x14ac:dyDescent="0.3">
      <c r="A2014" t="s">
        <v>2046</v>
      </c>
      <c r="C2014" t="s">
        <v>2047</v>
      </c>
      <c r="D2014" s="1">
        <v>46028</v>
      </c>
      <c r="E2014" t="s">
        <v>2048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614</v>
      </c>
      <c r="K2014" t="s">
        <v>2049</v>
      </c>
      <c r="L2014">
        <v>13</v>
      </c>
      <c r="M2014" t="s">
        <v>152</v>
      </c>
      <c r="O2014" t="s">
        <v>11</v>
      </c>
      <c r="P2014">
        <v>5102</v>
      </c>
      <c r="Q2014">
        <v>50</v>
      </c>
      <c r="R2014">
        <v>5.65</v>
      </c>
      <c r="S2014">
        <v>282.5</v>
      </c>
      <c r="T2014">
        <v>208</v>
      </c>
      <c r="U2014">
        <v>26.37</v>
      </c>
      <c r="V2014" t="str">
        <f>VLOOKUP(L2014,'[2]tabela de preços'!$A:$D,4,0)</f>
        <v>3M</v>
      </c>
      <c r="W2014" t="str">
        <f>VLOOKUP(L2014,'[2]tabela de preços'!$A:$F,6,0)</f>
        <v>LIXA DÁGUA</v>
      </c>
      <c r="X2014" t="str">
        <f>VLOOKUP(L2014,'[2]tabela de preços'!$A:$G,7,0)</f>
        <v>AUTOMOTIVO</v>
      </c>
    </row>
    <row r="2015" spans="1:24" x14ac:dyDescent="0.3">
      <c r="A2015" t="s">
        <v>2046</v>
      </c>
      <c r="C2015" t="s">
        <v>2047</v>
      </c>
      <c r="D2015" s="1">
        <v>46028</v>
      </c>
      <c r="E2015" t="s">
        <v>2048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614</v>
      </c>
      <c r="K2015" t="s">
        <v>2049</v>
      </c>
      <c r="L2015">
        <v>15</v>
      </c>
      <c r="M2015" t="s">
        <v>205</v>
      </c>
      <c r="O2015" t="s">
        <v>11</v>
      </c>
      <c r="P2015">
        <v>5102</v>
      </c>
      <c r="Q2015">
        <v>50</v>
      </c>
      <c r="R2015">
        <v>5.65</v>
      </c>
      <c r="S2015">
        <v>282.5</v>
      </c>
      <c r="T2015">
        <v>208</v>
      </c>
      <c r="U2015">
        <v>26.37</v>
      </c>
      <c r="V2015" t="str">
        <f>VLOOKUP(L2015,'[2]tabela de preços'!$A:$D,4,0)</f>
        <v>3M</v>
      </c>
      <c r="W2015" t="str">
        <f>VLOOKUP(L2015,'[2]tabela de preços'!$A:$F,6,0)</f>
        <v>LIXA DÁGUA</v>
      </c>
      <c r="X2015" t="str">
        <f>VLOOKUP(L2015,'[2]tabela de preços'!$A:$G,7,0)</f>
        <v>AUTOMOTIVO</v>
      </c>
    </row>
    <row r="2016" spans="1:24" x14ac:dyDescent="0.3">
      <c r="A2016" t="s">
        <v>2046</v>
      </c>
      <c r="C2016" t="s">
        <v>2047</v>
      </c>
      <c r="D2016" s="1">
        <v>46028</v>
      </c>
      <c r="E2016" t="s">
        <v>2048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614</v>
      </c>
      <c r="K2016" t="s">
        <v>2049</v>
      </c>
      <c r="L2016">
        <v>10246</v>
      </c>
      <c r="M2016" t="s">
        <v>206</v>
      </c>
      <c r="O2016" t="s">
        <v>11</v>
      </c>
      <c r="P2016">
        <v>5102</v>
      </c>
      <c r="Q2016">
        <v>50</v>
      </c>
      <c r="R2016">
        <v>2.79</v>
      </c>
      <c r="S2016">
        <v>139.5</v>
      </c>
      <c r="T2016">
        <v>97.5</v>
      </c>
      <c r="U2016">
        <v>30.11</v>
      </c>
      <c r="V2016" t="str">
        <f>VLOOKUP(L2016,'[2]tabela de preços'!$A:$D,4,0)</f>
        <v>NORTON</v>
      </c>
      <c r="W2016" t="str">
        <f>VLOOKUP(L2016,'[2]tabela de preços'!$A:$F,6,0)</f>
        <v xml:space="preserve">DISCOS / LIXAS / ABRASIVOS </v>
      </c>
      <c r="X2016" t="str">
        <f>VLOOKUP(L2016,'[2]tabela de preços'!$A:$G,7,0)</f>
        <v>AUTOMOTIVO</v>
      </c>
    </row>
    <row r="2017" spans="1:24" x14ac:dyDescent="0.3">
      <c r="A2017" t="s">
        <v>2046</v>
      </c>
      <c r="C2017" t="s">
        <v>2047</v>
      </c>
      <c r="D2017" s="1">
        <v>46028</v>
      </c>
      <c r="E2017" t="s">
        <v>2048</v>
      </c>
      <c r="F2017">
        <v>9</v>
      </c>
      <c r="G2017">
        <v>236</v>
      </c>
      <c r="H2017" t="str">
        <f>VLOOKUP(G2017,[1]OPERADORES!$A:$B,2,0)</f>
        <v>DANIEL</v>
      </c>
      <c r="I2017" t="s">
        <v>21</v>
      </c>
      <c r="J2017" t="s">
        <v>614</v>
      </c>
      <c r="K2017" t="s">
        <v>2049</v>
      </c>
      <c r="L2017">
        <v>20817</v>
      </c>
      <c r="M2017" t="s">
        <v>153</v>
      </c>
      <c r="O2017" t="s">
        <v>11</v>
      </c>
      <c r="P2017">
        <v>5102</v>
      </c>
      <c r="Q2017">
        <v>6</v>
      </c>
      <c r="R2017">
        <v>22.89</v>
      </c>
      <c r="S2017">
        <v>137.34</v>
      </c>
      <c r="T2017">
        <v>111.72</v>
      </c>
      <c r="U2017">
        <v>18.649999999999999</v>
      </c>
      <c r="V2017" t="str">
        <f>VLOOKUP(L2017,'[2]tabela de preços'!$A:$D,4,0)</f>
        <v>AUTO AMERICA</v>
      </c>
      <c r="W2017" t="str">
        <f>VLOOKUP(L2017,'[2]tabela de preços'!$A:$F,6,0)</f>
        <v>MASSA DE POLIR</v>
      </c>
      <c r="X2017" t="str">
        <f>VLOOKUP(L2017,'[2]tabela de preços'!$A:$G,7,0)</f>
        <v>AUTOMOTIVO</v>
      </c>
    </row>
    <row r="2018" spans="1:24" x14ac:dyDescent="0.3">
      <c r="A2018" t="s">
        <v>2046</v>
      </c>
      <c r="C2018" t="s">
        <v>2047</v>
      </c>
      <c r="D2018" s="1">
        <v>46028</v>
      </c>
      <c r="E2018" t="s">
        <v>2048</v>
      </c>
      <c r="F2018">
        <v>9</v>
      </c>
      <c r="G2018">
        <v>236</v>
      </c>
      <c r="H2018" t="str">
        <f>VLOOKUP(G2018,[1]OPERADORES!$A:$B,2,0)</f>
        <v>DANIEL</v>
      </c>
      <c r="I2018" t="s">
        <v>21</v>
      </c>
      <c r="J2018" t="s">
        <v>614</v>
      </c>
      <c r="K2018" t="s">
        <v>2049</v>
      </c>
      <c r="L2018">
        <v>85164</v>
      </c>
      <c r="M2018" t="s">
        <v>278</v>
      </c>
      <c r="O2018" t="s">
        <v>11</v>
      </c>
      <c r="P2018">
        <v>5102</v>
      </c>
      <c r="Q2018">
        <v>12</v>
      </c>
      <c r="R2018">
        <v>13.29</v>
      </c>
      <c r="S2018">
        <v>159.47999999999999</v>
      </c>
      <c r="T2018">
        <v>121.08</v>
      </c>
      <c r="U2018">
        <v>24.08</v>
      </c>
      <c r="V2018" t="str">
        <f>VLOOKUP(L2018,'[2]tabela de preços'!$A:$D,4,0)</f>
        <v>BRASILUX</v>
      </c>
      <c r="W2018" t="str">
        <f>VLOOKUP(L2018,'[2]tabela de preços'!$A:$F,6,0)</f>
        <v>QUEROSENE</v>
      </c>
      <c r="X2018" t="str">
        <f>VLOOKUP(L2018,'[2]tabela de preços'!$A:$G,7,0)</f>
        <v>AUTOMOTIVO</v>
      </c>
    </row>
    <row r="2019" spans="1:24" x14ac:dyDescent="0.3">
      <c r="A2019" t="s">
        <v>2046</v>
      </c>
      <c r="C2019" t="s">
        <v>2047</v>
      </c>
      <c r="D2019" s="1">
        <v>46028</v>
      </c>
      <c r="E2019" t="s">
        <v>2048</v>
      </c>
      <c r="F2019">
        <v>9</v>
      </c>
      <c r="G2019">
        <v>236</v>
      </c>
      <c r="H2019" t="str">
        <f>VLOOKUP(G2019,[1]OPERADORES!$A:$B,2,0)</f>
        <v>DANIEL</v>
      </c>
      <c r="I2019" t="s">
        <v>21</v>
      </c>
      <c r="J2019" t="s">
        <v>614</v>
      </c>
      <c r="K2019" t="s">
        <v>2049</v>
      </c>
      <c r="L2019">
        <v>10298</v>
      </c>
      <c r="M2019" t="s">
        <v>85</v>
      </c>
      <c r="O2019" t="s">
        <v>11</v>
      </c>
      <c r="P2019">
        <v>5102</v>
      </c>
      <c r="Q2019">
        <v>4</v>
      </c>
      <c r="R2019">
        <v>56.8</v>
      </c>
      <c r="S2019">
        <v>227.2</v>
      </c>
      <c r="T2019">
        <v>189.52</v>
      </c>
      <c r="U2019">
        <v>16.579999999999998</v>
      </c>
      <c r="V2019" t="str">
        <f>VLOOKUP(L2019,'[2]tabela de preços'!$A:$D,4,0)</f>
        <v>ANJO</v>
      </c>
      <c r="W2019" t="str">
        <f>VLOOKUP(L2019,'[2]tabela de preços'!$A:$F,6,0)</f>
        <v>THINNER DE LIMPEZA</v>
      </c>
      <c r="X2019" t="str">
        <f>VLOOKUP(L2019,'[2]tabela de preços'!$A:$G,7,0)</f>
        <v>THINNER</v>
      </c>
    </row>
    <row r="2020" spans="1:24" x14ac:dyDescent="0.3">
      <c r="A2020" t="s">
        <v>2046</v>
      </c>
      <c r="C2020" t="s">
        <v>2047</v>
      </c>
      <c r="D2020" s="1">
        <v>46028</v>
      </c>
      <c r="E2020" t="s">
        <v>2048</v>
      </c>
      <c r="F2020">
        <v>9</v>
      </c>
      <c r="G2020">
        <v>236</v>
      </c>
      <c r="H2020" t="str">
        <f>VLOOKUP(G2020,[1]OPERADORES!$A:$B,2,0)</f>
        <v>DANIEL</v>
      </c>
      <c r="I2020" t="s">
        <v>21</v>
      </c>
      <c r="J2020" t="s">
        <v>614</v>
      </c>
      <c r="K2020" t="s">
        <v>2049</v>
      </c>
      <c r="L2020">
        <v>10297</v>
      </c>
      <c r="M2020" t="s">
        <v>41</v>
      </c>
      <c r="O2020" t="s">
        <v>11</v>
      </c>
      <c r="P2020">
        <v>5102</v>
      </c>
      <c r="Q2020">
        <v>24</v>
      </c>
      <c r="R2020">
        <v>10.95</v>
      </c>
      <c r="S2020">
        <v>262.8</v>
      </c>
      <c r="T2020">
        <v>220.08</v>
      </c>
      <c r="U2020">
        <v>16.260000000000002</v>
      </c>
      <c r="V2020" t="str">
        <f>VLOOKUP(L2020,'[2]tabela de preços'!$A:$D,4,0)</f>
        <v>ANJO</v>
      </c>
      <c r="W2020" t="str">
        <f>VLOOKUP(L2020,'[2]tabela de preços'!$A:$F,6,0)</f>
        <v>THINNER DE LIMPEZA</v>
      </c>
      <c r="X2020" t="str">
        <f>VLOOKUP(L2020,'[2]tabela de preços'!$A:$G,7,0)</f>
        <v>THINNER</v>
      </c>
    </row>
    <row r="2021" spans="1:24" x14ac:dyDescent="0.3">
      <c r="A2021" t="s">
        <v>2046</v>
      </c>
      <c r="C2021" t="s">
        <v>2050</v>
      </c>
      <c r="D2021" s="1">
        <v>46035</v>
      </c>
      <c r="E2021" t="s">
        <v>2051</v>
      </c>
      <c r="F2021">
        <v>9</v>
      </c>
      <c r="G2021">
        <v>236</v>
      </c>
      <c r="H2021" t="str">
        <f>VLOOKUP(G2021,[1]OPERADORES!$A:$B,2,0)</f>
        <v>DANIEL</v>
      </c>
      <c r="I2021" t="s">
        <v>21</v>
      </c>
      <c r="J2021" t="s">
        <v>614</v>
      </c>
      <c r="K2021" t="s">
        <v>2049</v>
      </c>
      <c r="L2021">
        <v>84108</v>
      </c>
      <c r="M2021" t="s">
        <v>144</v>
      </c>
      <c r="O2021" t="s">
        <v>11</v>
      </c>
      <c r="P2021">
        <v>5403</v>
      </c>
      <c r="Q2021">
        <v>6</v>
      </c>
      <c r="R2021">
        <v>27.29</v>
      </c>
      <c r="S2021">
        <v>163.74</v>
      </c>
      <c r="T2021">
        <v>124.26</v>
      </c>
      <c r="U2021">
        <v>24.11</v>
      </c>
      <c r="V2021" t="str">
        <f>VLOOKUP(L2021,'[2]tabela de preços'!$A:$D,4,0)</f>
        <v>BRASILUX</v>
      </c>
      <c r="W2021" t="str">
        <f>VLOOKUP(L2021,'[2]tabela de preços'!$A:$F,6,0)</f>
        <v>TINTAS LACA</v>
      </c>
      <c r="X2021" t="str">
        <f>VLOOKUP(L2021,'[2]tabela de preços'!$A:$G,7,0)</f>
        <v>AUTOMOTIVO</v>
      </c>
    </row>
    <row r="2022" spans="1:24" x14ac:dyDescent="0.3">
      <c r="A2022" t="s">
        <v>2046</v>
      </c>
      <c r="C2022" t="s">
        <v>2050</v>
      </c>
      <c r="D2022" s="1">
        <v>46035</v>
      </c>
      <c r="E2022" t="s">
        <v>2051</v>
      </c>
      <c r="F2022">
        <v>9</v>
      </c>
      <c r="G2022">
        <v>236</v>
      </c>
      <c r="H2022" t="str">
        <f>VLOOKUP(G2022,[1]OPERADORES!$A:$B,2,0)</f>
        <v>DANIEL</v>
      </c>
      <c r="I2022" t="s">
        <v>21</v>
      </c>
      <c r="J2022" t="s">
        <v>614</v>
      </c>
      <c r="K2022" t="s">
        <v>2049</v>
      </c>
      <c r="L2022">
        <v>24248</v>
      </c>
      <c r="M2022" t="s">
        <v>107</v>
      </c>
      <c r="O2022" t="s">
        <v>11</v>
      </c>
      <c r="P2022">
        <v>5102</v>
      </c>
      <c r="Q2022">
        <v>12</v>
      </c>
      <c r="R2022">
        <v>8</v>
      </c>
      <c r="S2022">
        <v>96</v>
      </c>
      <c r="T2022">
        <v>76.92</v>
      </c>
      <c r="U2022">
        <v>19.88</v>
      </c>
      <c r="V2022" t="str">
        <f>VLOOKUP(L2022,'[2]tabela de preços'!$A:$D,4,0)</f>
        <v>SHERWIN WILLIAMS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2046</v>
      </c>
      <c r="C2023" t="s">
        <v>2050</v>
      </c>
      <c r="D2023" s="1">
        <v>46035</v>
      </c>
      <c r="E2023" t="s">
        <v>2051</v>
      </c>
      <c r="F2023">
        <v>9</v>
      </c>
      <c r="G2023">
        <v>236</v>
      </c>
      <c r="H2023" t="str">
        <f>VLOOKUP(G2023,[1]OPERADORES!$A:$B,2,0)</f>
        <v>DANIEL</v>
      </c>
      <c r="I2023" t="s">
        <v>21</v>
      </c>
      <c r="J2023" t="s">
        <v>614</v>
      </c>
      <c r="K2023" t="s">
        <v>2049</v>
      </c>
      <c r="L2023">
        <v>10277</v>
      </c>
      <c r="M2023" t="s">
        <v>135</v>
      </c>
      <c r="O2023" t="s">
        <v>11</v>
      </c>
      <c r="P2023">
        <v>5102</v>
      </c>
      <c r="Q2023">
        <v>12</v>
      </c>
      <c r="R2023">
        <v>15.89</v>
      </c>
      <c r="S2023">
        <v>190.68</v>
      </c>
      <c r="T2023">
        <v>154.56</v>
      </c>
      <c r="U2023">
        <v>18.940000000000001</v>
      </c>
      <c r="V2023" t="str">
        <f>VLOOKUP(L2023,'[2]tabela de preços'!$A:$D,4,0)</f>
        <v>RETOQUE</v>
      </c>
      <c r="W2023" t="str">
        <f>VLOOKUP(L2023,'[2]tabela de preços'!$A:$F,6,0)</f>
        <v xml:space="preserve">COLA  PLÁSTICA </v>
      </c>
      <c r="X2023" t="str">
        <f>VLOOKUP(L2023,'[2]tabela de preços'!$A:$G,7,0)</f>
        <v>AUTOMOTIVO</v>
      </c>
    </row>
    <row r="2024" spans="1:24" x14ac:dyDescent="0.3">
      <c r="A2024" t="s">
        <v>2046</v>
      </c>
      <c r="C2024" t="s">
        <v>2050</v>
      </c>
      <c r="D2024" s="1">
        <v>46035</v>
      </c>
      <c r="E2024" t="s">
        <v>2051</v>
      </c>
      <c r="F2024">
        <v>9</v>
      </c>
      <c r="G2024">
        <v>236</v>
      </c>
      <c r="H2024" t="str">
        <f>VLOOKUP(G2024,[1]OPERADORES!$A:$B,2,0)</f>
        <v>DANIEL</v>
      </c>
      <c r="I2024" t="s">
        <v>21</v>
      </c>
      <c r="J2024" t="s">
        <v>614</v>
      </c>
      <c r="K2024" t="s">
        <v>2049</v>
      </c>
      <c r="L2024">
        <v>20431</v>
      </c>
      <c r="M2024" t="s">
        <v>202</v>
      </c>
      <c r="O2024" t="s">
        <v>11</v>
      </c>
      <c r="P2024">
        <v>5403</v>
      </c>
      <c r="Q2024">
        <v>9</v>
      </c>
      <c r="R2024">
        <v>36.89</v>
      </c>
      <c r="S2024">
        <v>332.01</v>
      </c>
      <c r="T2024">
        <v>268.02</v>
      </c>
      <c r="U2024">
        <v>19.27</v>
      </c>
      <c r="V2024" t="str">
        <f>VLOOKUP(L2024,'[2]tabela de preços'!$A:$D,4,0)</f>
        <v>SHERWIN WILLIAMS</v>
      </c>
      <c r="W2024" t="str">
        <f>VLOOKUP(L2024,'[2]tabela de preços'!$A:$F,6,0)</f>
        <v>VERNIZ AUTOMOTIVO</v>
      </c>
      <c r="X2024" t="str">
        <f>VLOOKUP(L2024,'[2]tabela de preços'!$A:$G,7,0)</f>
        <v>AUTOMOTIVO</v>
      </c>
    </row>
    <row r="2025" spans="1:24" x14ac:dyDescent="0.3">
      <c r="A2025" t="s">
        <v>2046</v>
      </c>
      <c r="C2025" t="s">
        <v>2050</v>
      </c>
      <c r="D2025" s="1">
        <v>46035</v>
      </c>
      <c r="E2025" t="s">
        <v>2051</v>
      </c>
      <c r="F2025">
        <v>9</v>
      </c>
      <c r="G2025">
        <v>236</v>
      </c>
      <c r="H2025" t="str">
        <f>VLOOKUP(G2025,[1]OPERADORES!$A:$B,2,0)</f>
        <v>DANIEL</v>
      </c>
      <c r="I2025" t="s">
        <v>21</v>
      </c>
      <c r="J2025" t="s">
        <v>614</v>
      </c>
      <c r="K2025" t="s">
        <v>2049</v>
      </c>
      <c r="L2025">
        <v>21215</v>
      </c>
      <c r="M2025" t="s">
        <v>2052</v>
      </c>
      <c r="O2025" t="s">
        <v>11</v>
      </c>
      <c r="P2025">
        <v>5403</v>
      </c>
      <c r="Q2025">
        <v>1</v>
      </c>
      <c r="R2025">
        <v>51.61</v>
      </c>
      <c r="S2025">
        <v>51.61</v>
      </c>
      <c r="T2025">
        <v>36.799999999999997</v>
      </c>
      <c r="U2025">
        <v>28.7</v>
      </c>
      <c r="V2025" t="str">
        <f>VLOOKUP(L2025,'[2]tabela de preços'!$A:$D,4,0)</f>
        <v>SHERWIN WILLIAMS</v>
      </c>
      <c r="W2025" t="str">
        <f>VLOOKUP(L2025,'[2]tabela de preços'!$A:$F,6,0)</f>
        <v>TINTAS POLIÉSTER</v>
      </c>
      <c r="X2025" t="str">
        <f>VLOOKUP(L2025,'[2]tabela de preços'!$A:$G,7,0)</f>
        <v>AUTOMOTIVO</v>
      </c>
    </row>
    <row r="2026" spans="1:24" x14ac:dyDescent="0.3">
      <c r="A2026" t="s">
        <v>2046</v>
      </c>
      <c r="C2026" t="s">
        <v>2050</v>
      </c>
      <c r="D2026" s="1">
        <v>46035</v>
      </c>
      <c r="E2026" t="s">
        <v>2051</v>
      </c>
      <c r="F2026">
        <v>9</v>
      </c>
      <c r="G2026">
        <v>236</v>
      </c>
      <c r="H2026" t="str">
        <f>VLOOKUP(G2026,[1]OPERADORES!$A:$B,2,0)</f>
        <v>DANIEL</v>
      </c>
      <c r="I2026" t="s">
        <v>21</v>
      </c>
      <c r="J2026" t="s">
        <v>614</v>
      </c>
      <c r="K2026" t="s">
        <v>2049</v>
      </c>
      <c r="L2026">
        <v>20525</v>
      </c>
      <c r="M2026" t="s">
        <v>137</v>
      </c>
      <c r="O2026" t="s">
        <v>11</v>
      </c>
      <c r="P2026">
        <v>5102</v>
      </c>
      <c r="Q2026">
        <v>6</v>
      </c>
      <c r="R2026">
        <v>13.65</v>
      </c>
      <c r="S2026">
        <v>81.900000000000006</v>
      </c>
      <c r="T2026">
        <v>62.16</v>
      </c>
      <c r="U2026">
        <v>24.1</v>
      </c>
      <c r="V2026" t="str">
        <f>VLOOKUP(L2026,'[2]tabela de preços'!$A:$D,4,0)</f>
        <v>SHERWIN WILLIAMS</v>
      </c>
      <c r="W2026" t="str">
        <f>VLOOKUP(L2026,'[2]tabela de preços'!$A:$F,6,0)</f>
        <v>MASSA DE PEQUENOS REPAROS</v>
      </c>
      <c r="X2026" t="str">
        <f>VLOOKUP(L2026,'[2]tabela de preços'!$A:$G,7,0)</f>
        <v>AUTOMOTIVO</v>
      </c>
    </row>
    <row r="2027" spans="1:24" x14ac:dyDescent="0.3">
      <c r="A2027" t="s">
        <v>2046</v>
      </c>
      <c r="C2027" t="s">
        <v>2050</v>
      </c>
      <c r="D2027" s="1">
        <v>46035</v>
      </c>
      <c r="E2027" t="s">
        <v>2051</v>
      </c>
      <c r="F2027">
        <v>9</v>
      </c>
      <c r="G2027">
        <v>236</v>
      </c>
      <c r="H2027" t="str">
        <f>VLOOKUP(G2027,[1]OPERADORES!$A:$B,2,0)</f>
        <v>DANIEL</v>
      </c>
      <c r="I2027" t="s">
        <v>21</v>
      </c>
      <c r="J2027" t="s">
        <v>614</v>
      </c>
      <c r="K2027" t="s">
        <v>2049</v>
      </c>
      <c r="L2027">
        <v>21077</v>
      </c>
      <c r="M2027" t="s">
        <v>207</v>
      </c>
      <c r="O2027" t="s">
        <v>11</v>
      </c>
      <c r="P2027">
        <v>5102</v>
      </c>
      <c r="Q2027">
        <v>6</v>
      </c>
      <c r="R2027">
        <v>44.68</v>
      </c>
      <c r="S2027">
        <v>268.08</v>
      </c>
      <c r="T2027">
        <v>203.52</v>
      </c>
      <c r="U2027">
        <v>24.08</v>
      </c>
      <c r="V2027" t="str">
        <f>VLOOKUP(L2027,'[2]tabela de preços'!$A:$D,4,0)</f>
        <v>SHERWIN WILLIAMS</v>
      </c>
      <c r="W2027" t="str">
        <f>VLOOKUP(L2027,'[2]tabela de preços'!$A:$F,6,0)</f>
        <v>MASSA POLIÉSTER</v>
      </c>
      <c r="X2027" t="str">
        <f>VLOOKUP(L2027,'[2]tabela de preços'!$A:$G,7,0)</f>
        <v>AUTOMOTIVO</v>
      </c>
    </row>
    <row r="2028" spans="1:24" x14ac:dyDescent="0.3">
      <c r="A2028" t="s">
        <v>2046</v>
      </c>
      <c r="C2028" t="s">
        <v>2050</v>
      </c>
      <c r="D2028" s="1">
        <v>46035</v>
      </c>
      <c r="E2028" t="s">
        <v>2051</v>
      </c>
      <c r="F2028">
        <v>9</v>
      </c>
      <c r="G2028">
        <v>236</v>
      </c>
      <c r="H2028" t="str">
        <f>VLOOKUP(G2028,[1]OPERADORES!$A:$B,2,0)</f>
        <v>DANIEL</v>
      </c>
      <c r="I2028" t="s">
        <v>21</v>
      </c>
      <c r="J2028" t="s">
        <v>614</v>
      </c>
      <c r="K2028" t="s">
        <v>2049</v>
      </c>
      <c r="L2028">
        <v>23267</v>
      </c>
      <c r="M2028" t="s">
        <v>164</v>
      </c>
      <c r="O2028" t="s">
        <v>11</v>
      </c>
      <c r="P2028">
        <v>5102</v>
      </c>
      <c r="Q2028">
        <v>12</v>
      </c>
      <c r="R2028">
        <v>22.89</v>
      </c>
      <c r="S2028">
        <v>274.68</v>
      </c>
      <c r="T2028">
        <v>234.48</v>
      </c>
      <c r="U2028">
        <v>14.64</v>
      </c>
      <c r="V2028" t="str">
        <f>VLOOKUP(L2028,'[2]tabela de preços'!$A:$D,4,0)</f>
        <v>ANJO</v>
      </c>
      <c r="W2028" t="str">
        <f>VLOOKUP(L2028,'[2]tabela de preços'!$A:$F,6,0)</f>
        <v>MASSA POLIÉSTER</v>
      </c>
      <c r="X2028" t="str">
        <f>VLOOKUP(L2028,'[2]tabela de preços'!$A:$G,7,0)</f>
        <v>AUTOMOTIVO</v>
      </c>
    </row>
    <row r="2029" spans="1:24" x14ac:dyDescent="0.3">
      <c r="A2029" t="s">
        <v>2046</v>
      </c>
      <c r="C2029" t="s">
        <v>2050</v>
      </c>
      <c r="D2029" s="1">
        <v>46035</v>
      </c>
      <c r="E2029" t="s">
        <v>2051</v>
      </c>
      <c r="F2029">
        <v>9</v>
      </c>
      <c r="G2029">
        <v>236</v>
      </c>
      <c r="H2029" t="str">
        <f>VLOOKUP(G2029,[1]OPERADORES!$A:$B,2,0)</f>
        <v>DANIEL</v>
      </c>
      <c r="I2029" t="s">
        <v>21</v>
      </c>
      <c r="J2029" t="s">
        <v>614</v>
      </c>
      <c r="K2029" t="s">
        <v>2049</v>
      </c>
      <c r="L2029">
        <v>24247</v>
      </c>
      <c r="M2029" t="s">
        <v>111</v>
      </c>
      <c r="O2029" t="s">
        <v>11</v>
      </c>
      <c r="P2029">
        <v>5403</v>
      </c>
      <c r="Q2029">
        <v>12</v>
      </c>
      <c r="R2029">
        <v>21</v>
      </c>
      <c r="S2029">
        <v>252</v>
      </c>
      <c r="T2029">
        <v>199.2</v>
      </c>
      <c r="U2029">
        <v>20.95</v>
      </c>
      <c r="V2029" t="str">
        <f>VLOOKUP(L2029,'[2]tabela de preços'!$A:$D,4,0)</f>
        <v>SHERWIN WILLIAMS</v>
      </c>
      <c r="W2029" t="str">
        <f>VLOOKUP(L2029,'[2]tabela de preços'!$A:$F,6,0)</f>
        <v>PRIMER AUTOMOTIVO</v>
      </c>
      <c r="X2029" t="str">
        <f>VLOOKUP(L2029,'[2]tabela de preços'!$A:$G,7,0)</f>
        <v>AUTOMOTIVO</v>
      </c>
    </row>
    <row r="2030" spans="1:24" x14ac:dyDescent="0.3">
      <c r="A2030" t="s">
        <v>2046</v>
      </c>
      <c r="C2030" t="s">
        <v>2050</v>
      </c>
      <c r="D2030" s="1">
        <v>46035</v>
      </c>
      <c r="E2030" t="s">
        <v>2051</v>
      </c>
      <c r="F2030">
        <v>9</v>
      </c>
      <c r="G2030">
        <v>236</v>
      </c>
      <c r="H2030" t="str">
        <f>VLOOKUP(G2030,[1]OPERADORES!$A:$B,2,0)</f>
        <v>DANIEL</v>
      </c>
      <c r="I2030" t="s">
        <v>21</v>
      </c>
      <c r="J2030" t="s">
        <v>614</v>
      </c>
      <c r="K2030" t="s">
        <v>2049</v>
      </c>
      <c r="L2030">
        <v>10298</v>
      </c>
      <c r="M2030" t="s">
        <v>85</v>
      </c>
      <c r="O2030" t="s">
        <v>11</v>
      </c>
      <c r="P2030">
        <v>5102</v>
      </c>
      <c r="Q2030">
        <v>8</v>
      </c>
      <c r="R2030">
        <v>56.89</v>
      </c>
      <c r="S2030">
        <v>455.12</v>
      </c>
      <c r="T2030">
        <v>379.04</v>
      </c>
      <c r="U2030">
        <v>16.72</v>
      </c>
      <c r="V2030" t="str">
        <f>VLOOKUP(L2030,'[2]tabela de preços'!$A:$D,4,0)</f>
        <v>ANJO</v>
      </c>
      <c r="W2030" t="str">
        <f>VLOOKUP(L2030,'[2]tabela de preços'!$A:$F,6,0)</f>
        <v>THINNER DE LIMPEZA</v>
      </c>
      <c r="X2030" t="str">
        <f>VLOOKUP(L2030,'[2]tabela de preços'!$A:$G,7,0)</f>
        <v>THINNER</v>
      </c>
    </row>
    <row r="2031" spans="1:24" x14ac:dyDescent="0.3">
      <c r="A2031" t="s">
        <v>2046</v>
      </c>
      <c r="C2031" t="s">
        <v>2050</v>
      </c>
      <c r="D2031" s="1">
        <v>46035</v>
      </c>
      <c r="E2031" t="s">
        <v>2051</v>
      </c>
      <c r="F2031">
        <v>9</v>
      </c>
      <c r="G2031">
        <v>236</v>
      </c>
      <c r="H2031" t="str">
        <f>VLOOKUP(G2031,[1]OPERADORES!$A:$B,2,0)</f>
        <v>DANIEL</v>
      </c>
      <c r="I2031" t="s">
        <v>21</v>
      </c>
      <c r="J2031" t="s">
        <v>614</v>
      </c>
      <c r="K2031" t="s">
        <v>2049</v>
      </c>
      <c r="L2031">
        <v>10297</v>
      </c>
      <c r="M2031" t="s">
        <v>41</v>
      </c>
      <c r="O2031" t="s">
        <v>11</v>
      </c>
      <c r="P2031">
        <v>5102</v>
      </c>
      <c r="Q2031">
        <v>12</v>
      </c>
      <c r="R2031">
        <v>10.89</v>
      </c>
      <c r="S2031">
        <v>130.68</v>
      </c>
      <c r="T2031">
        <v>110.04</v>
      </c>
      <c r="U2031">
        <v>15.79</v>
      </c>
      <c r="V2031" t="str">
        <f>VLOOKUP(L2031,'[2]tabela de preços'!$A:$D,4,0)</f>
        <v>ANJO</v>
      </c>
      <c r="W2031" t="str">
        <f>VLOOKUP(L2031,'[2]tabela de preços'!$A:$F,6,0)</f>
        <v>THINNER DE LIMPEZA</v>
      </c>
      <c r="X2031" t="str">
        <f>VLOOKUP(L2031,'[2]tabela de preços'!$A:$G,7,0)</f>
        <v>THINNER</v>
      </c>
    </row>
    <row r="2032" spans="1:24" x14ac:dyDescent="0.3">
      <c r="A2032" t="s">
        <v>2046</v>
      </c>
      <c r="C2032" t="s">
        <v>2050</v>
      </c>
      <c r="D2032" s="1">
        <v>46035</v>
      </c>
      <c r="E2032" t="s">
        <v>2051</v>
      </c>
      <c r="F2032">
        <v>9</v>
      </c>
      <c r="G2032">
        <v>236</v>
      </c>
      <c r="H2032" t="str">
        <f>VLOOKUP(G2032,[1]OPERADORES!$A:$B,2,0)</f>
        <v>DANIEL</v>
      </c>
      <c r="I2032" t="s">
        <v>21</v>
      </c>
      <c r="J2032" t="s">
        <v>614</v>
      </c>
      <c r="K2032" t="s">
        <v>2049</v>
      </c>
      <c r="L2032">
        <v>10404</v>
      </c>
      <c r="M2032" t="s">
        <v>130</v>
      </c>
      <c r="O2032" t="s">
        <v>11</v>
      </c>
      <c r="P2032">
        <v>5102</v>
      </c>
      <c r="Q2032">
        <v>24</v>
      </c>
      <c r="R2032">
        <v>16.29</v>
      </c>
      <c r="S2032">
        <v>390.96</v>
      </c>
      <c r="T2032">
        <v>319.68</v>
      </c>
      <c r="U2032">
        <v>18.23</v>
      </c>
      <c r="V2032" t="str">
        <f>VLOOKUP(L2032,'[2]tabela de preços'!$A:$D,4,0)</f>
        <v>MAXI RUBBER</v>
      </c>
      <c r="W2032" t="str">
        <f>VLOOKUP(L2032,'[2]tabela de preços'!$A:$F,6,0)</f>
        <v>VEDADORES / SELANTES</v>
      </c>
      <c r="X2032" t="str">
        <f>VLOOKUP(L2032,'[2]tabela de preços'!$A:$G,7,0)</f>
        <v>AUTOMOTIVO</v>
      </c>
    </row>
    <row r="2033" spans="1:24" x14ac:dyDescent="0.3">
      <c r="A2033" t="s">
        <v>2046</v>
      </c>
      <c r="C2033" t="s">
        <v>2053</v>
      </c>
      <c r="D2033" s="1">
        <v>46048</v>
      </c>
      <c r="E2033" t="s">
        <v>2054</v>
      </c>
      <c r="F2033">
        <v>9</v>
      </c>
      <c r="G2033">
        <v>236</v>
      </c>
      <c r="H2033" t="str">
        <f>VLOOKUP(G2033,[1]OPERADORES!$A:$B,2,0)</f>
        <v>DANIEL</v>
      </c>
      <c r="I2033" t="s">
        <v>21</v>
      </c>
      <c r="J2033" t="s">
        <v>614</v>
      </c>
      <c r="K2033" t="s">
        <v>2049</v>
      </c>
      <c r="L2033">
        <v>20099</v>
      </c>
      <c r="M2033" t="s">
        <v>1308</v>
      </c>
      <c r="O2033" t="s">
        <v>11</v>
      </c>
      <c r="P2033">
        <v>5403</v>
      </c>
      <c r="Q2033">
        <v>12</v>
      </c>
      <c r="R2033">
        <v>16.46</v>
      </c>
      <c r="S2033">
        <v>197.52</v>
      </c>
      <c r="T2033">
        <v>144.84</v>
      </c>
      <c r="U2033">
        <v>26.67</v>
      </c>
      <c r="V2033" t="str">
        <f>VLOOKUP(L2033,'[2]tabela de preços'!$A:$D,4,0)</f>
        <v>MAXI RUBBER</v>
      </c>
      <c r="W2033" t="str">
        <f>VLOOKUP(L2033,'[2]tabela de preços'!$A:$F,6,0)</f>
        <v>BATIDA DE PEDRA</v>
      </c>
      <c r="X2033" t="str">
        <f>VLOOKUP(L2033,'[2]tabela de preços'!$A:$G,7,0)</f>
        <v>AUTOMOTIVO</v>
      </c>
    </row>
    <row r="2034" spans="1:24" x14ac:dyDescent="0.3">
      <c r="A2034" t="s">
        <v>2046</v>
      </c>
      <c r="C2034" t="s">
        <v>2053</v>
      </c>
      <c r="D2034" s="1">
        <v>46048</v>
      </c>
      <c r="E2034" t="s">
        <v>2054</v>
      </c>
      <c r="F2034">
        <v>9</v>
      </c>
      <c r="G2034">
        <v>236</v>
      </c>
      <c r="H2034" t="str">
        <f>VLOOKUP(G2034,[1]OPERADORES!$A:$B,2,0)</f>
        <v>DANIEL</v>
      </c>
      <c r="I2034" t="s">
        <v>21</v>
      </c>
      <c r="J2034" t="s">
        <v>614</v>
      </c>
      <c r="K2034" t="s">
        <v>2049</v>
      </c>
      <c r="L2034">
        <v>23716</v>
      </c>
      <c r="M2034" t="s">
        <v>220</v>
      </c>
      <c r="O2034" t="s">
        <v>11</v>
      </c>
      <c r="P2034">
        <v>5102</v>
      </c>
      <c r="Q2034">
        <v>3</v>
      </c>
      <c r="R2034">
        <v>42.14</v>
      </c>
      <c r="S2034">
        <v>126.42</v>
      </c>
      <c r="T2034">
        <v>92.7</v>
      </c>
      <c r="U2034">
        <v>26.67</v>
      </c>
      <c r="V2034" t="str">
        <f>VLOOKUP(L2034,'[2]tabela de preços'!$A:$D,4,0)</f>
        <v>NEW PAD</v>
      </c>
      <c r="W2034" t="str">
        <f>VLOOKUP(L2034,'[2]tabela de preços'!$A:$F,6,0)</f>
        <v>BOINAS PARA POLIMENTO</v>
      </c>
      <c r="X2034" t="str">
        <f>VLOOKUP(L2034,'[2]tabela de preços'!$A:$G,7,0)</f>
        <v>AUTOMOTIVO</v>
      </c>
    </row>
    <row r="2035" spans="1:24" x14ac:dyDescent="0.3">
      <c r="A2035" t="s">
        <v>2046</v>
      </c>
      <c r="C2035" t="s">
        <v>2053</v>
      </c>
      <c r="D2035" s="1">
        <v>46048</v>
      </c>
      <c r="E2035" t="s">
        <v>2054</v>
      </c>
      <c r="F2035">
        <v>9</v>
      </c>
      <c r="G2035">
        <v>236</v>
      </c>
      <c r="H2035" t="str">
        <f>VLOOKUP(G2035,[1]OPERADORES!$A:$B,2,0)</f>
        <v>DANIEL</v>
      </c>
      <c r="I2035" t="s">
        <v>21</v>
      </c>
      <c r="J2035" t="s">
        <v>614</v>
      </c>
      <c r="K2035" t="s">
        <v>2049</v>
      </c>
      <c r="L2035">
        <v>10067</v>
      </c>
      <c r="M2035" t="s">
        <v>177</v>
      </c>
      <c r="O2035" t="s">
        <v>11</v>
      </c>
      <c r="P2035">
        <v>5102</v>
      </c>
      <c r="Q2035">
        <v>1</v>
      </c>
      <c r="R2035">
        <v>100.36</v>
      </c>
      <c r="S2035">
        <v>100.36</v>
      </c>
      <c r="T2035">
        <v>73.58</v>
      </c>
      <c r="U2035">
        <v>26.68</v>
      </c>
      <c r="V2035" t="str">
        <f>VLOOKUP(L2035,'[2]tabela de preços'!$A:$D,4,0)</f>
        <v>3M</v>
      </c>
      <c r="W2035" t="str">
        <f>VLOOKUP(L2035,'[2]tabela de preços'!$A:$F,6,0)</f>
        <v>BOINAS PARA POLIMENTO</v>
      </c>
      <c r="X2035" t="str">
        <f>VLOOKUP(L2035,'[2]tabela de preços'!$A:$G,7,0)</f>
        <v>AUTOMOTIVO</v>
      </c>
    </row>
    <row r="2036" spans="1:24" x14ac:dyDescent="0.3">
      <c r="A2036" t="s">
        <v>2046</v>
      </c>
      <c r="C2036" t="s">
        <v>2053</v>
      </c>
      <c r="D2036" s="1">
        <v>46048</v>
      </c>
      <c r="E2036" t="s">
        <v>2054</v>
      </c>
      <c r="F2036">
        <v>9</v>
      </c>
      <c r="G2036">
        <v>236</v>
      </c>
      <c r="H2036" t="str">
        <f>VLOOKUP(G2036,[1]OPERADORES!$A:$B,2,0)</f>
        <v>DANIEL</v>
      </c>
      <c r="I2036" t="s">
        <v>21</v>
      </c>
      <c r="J2036" t="s">
        <v>614</v>
      </c>
      <c r="K2036" t="s">
        <v>2049</v>
      </c>
      <c r="L2036">
        <v>23715</v>
      </c>
      <c r="M2036" t="s">
        <v>978</v>
      </c>
      <c r="O2036" t="s">
        <v>11</v>
      </c>
      <c r="P2036">
        <v>5102</v>
      </c>
      <c r="Q2036">
        <v>3</v>
      </c>
      <c r="R2036">
        <v>42.14</v>
      </c>
      <c r="S2036">
        <v>126.42</v>
      </c>
      <c r="T2036">
        <v>92.7</v>
      </c>
      <c r="U2036">
        <v>26.67</v>
      </c>
      <c r="V2036" t="str">
        <f>VLOOKUP(L2036,'[2]tabela de preços'!$A:$D,4,0)</f>
        <v>NEW PAD</v>
      </c>
      <c r="W2036" t="str">
        <f>VLOOKUP(L2036,'[2]tabela de preços'!$A:$F,6,0)</f>
        <v>BOINAS PARA POLIMENTO</v>
      </c>
      <c r="X2036" t="str">
        <f>VLOOKUP(L2036,'[2]tabela de preços'!$A:$G,7,0)</f>
        <v>AUTOMOTIVO</v>
      </c>
    </row>
    <row r="2037" spans="1:24" x14ac:dyDescent="0.3">
      <c r="A2037" t="s">
        <v>2046</v>
      </c>
      <c r="C2037" t="s">
        <v>2053</v>
      </c>
      <c r="D2037" s="1">
        <v>46048</v>
      </c>
      <c r="E2037" t="s">
        <v>2054</v>
      </c>
      <c r="F2037">
        <v>9</v>
      </c>
      <c r="G2037">
        <v>236</v>
      </c>
      <c r="H2037" t="str">
        <f>VLOOKUP(G2037,[1]OPERADORES!$A:$B,2,0)</f>
        <v>DANIEL</v>
      </c>
      <c r="I2037" t="s">
        <v>21</v>
      </c>
      <c r="J2037" t="s">
        <v>614</v>
      </c>
      <c r="K2037" t="s">
        <v>2049</v>
      </c>
      <c r="L2037">
        <v>23375</v>
      </c>
      <c r="M2037" t="s">
        <v>2055</v>
      </c>
      <c r="O2037" t="s">
        <v>11</v>
      </c>
      <c r="P2037">
        <v>5403</v>
      </c>
      <c r="Q2037">
        <v>6</v>
      </c>
      <c r="R2037">
        <v>42.95</v>
      </c>
      <c r="S2037">
        <v>257.7</v>
      </c>
      <c r="T2037">
        <v>195.6</v>
      </c>
      <c r="U2037">
        <v>24.1</v>
      </c>
      <c r="V2037" t="str">
        <f>VLOOKUP(L2037,'[2]tabela de preços'!$A:$D,4,0)</f>
        <v>WANDA</v>
      </c>
      <c r="W2037" t="str">
        <f>VLOOKUP(L2037,'[2]tabela de preços'!$A:$F,6,0)</f>
        <v>TINTAS POLIÉSTER</v>
      </c>
      <c r="X2037" t="str">
        <f>VLOOKUP(L2037,'[2]tabela de preços'!$A:$G,7,0)</f>
        <v>AUTOMOTIVO</v>
      </c>
    </row>
    <row r="2038" spans="1:24" x14ac:dyDescent="0.3">
      <c r="A2038" t="s">
        <v>2046</v>
      </c>
      <c r="C2038" t="s">
        <v>2053</v>
      </c>
      <c r="D2038" s="1">
        <v>46048</v>
      </c>
      <c r="E2038" t="s">
        <v>2054</v>
      </c>
      <c r="F2038">
        <v>9</v>
      </c>
      <c r="G2038">
        <v>236</v>
      </c>
      <c r="H2038" t="str">
        <f>VLOOKUP(G2038,[1]OPERADORES!$A:$B,2,0)</f>
        <v>DANIEL</v>
      </c>
      <c r="I2038" t="s">
        <v>21</v>
      </c>
      <c r="J2038" t="s">
        <v>614</v>
      </c>
      <c r="K2038" t="s">
        <v>2049</v>
      </c>
      <c r="L2038">
        <v>23076</v>
      </c>
      <c r="M2038" t="s">
        <v>97</v>
      </c>
      <c r="O2038" t="s">
        <v>11</v>
      </c>
      <c r="P2038">
        <v>5403</v>
      </c>
      <c r="Q2038">
        <v>30</v>
      </c>
      <c r="R2038">
        <v>34.89</v>
      </c>
      <c r="S2038" s="2">
        <v>1046.7</v>
      </c>
      <c r="T2038">
        <v>795.9</v>
      </c>
      <c r="U2038">
        <v>23.96</v>
      </c>
      <c r="V2038" t="str">
        <f>VLOOKUP(L2038,'[2]tabela de preços'!$A:$D,4,0)</f>
        <v>WANDA</v>
      </c>
      <c r="W2038" t="str">
        <f>VLOOKUP(L2038,'[2]tabela de preços'!$A:$F,6,0)</f>
        <v>PRIMER AUTOMOTIVO</v>
      </c>
      <c r="X2038" t="str">
        <f>VLOOKUP(L2038,'[2]tabela de preços'!$A:$G,7,0)</f>
        <v>AUTOMOTIVO</v>
      </c>
    </row>
    <row r="2039" spans="1:24" x14ac:dyDescent="0.3">
      <c r="A2039" t="s">
        <v>2046</v>
      </c>
      <c r="C2039" t="s">
        <v>2053</v>
      </c>
      <c r="D2039" s="1">
        <v>46048</v>
      </c>
      <c r="E2039" t="s">
        <v>2054</v>
      </c>
      <c r="F2039">
        <v>9</v>
      </c>
      <c r="G2039">
        <v>236</v>
      </c>
      <c r="H2039" t="str">
        <f>VLOOKUP(G2039,[1]OPERADORES!$A:$B,2,0)</f>
        <v>DANIEL</v>
      </c>
      <c r="I2039" t="s">
        <v>21</v>
      </c>
      <c r="J2039" t="s">
        <v>614</v>
      </c>
      <c r="K2039" t="s">
        <v>2049</v>
      </c>
      <c r="L2039">
        <v>20431</v>
      </c>
      <c r="M2039" t="s">
        <v>202</v>
      </c>
      <c r="O2039" t="s">
        <v>11</v>
      </c>
      <c r="P2039">
        <v>5403</v>
      </c>
      <c r="Q2039">
        <v>9</v>
      </c>
      <c r="R2039">
        <v>36.89</v>
      </c>
      <c r="S2039">
        <v>332.01</v>
      </c>
      <c r="T2039">
        <v>272.33999999999997</v>
      </c>
      <c r="U2039">
        <v>17.97</v>
      </c>
      <c r="V2039" t="str">
        <f>VLOOKUP(L2039,'[2]tabela de preços'!$A:$D,4,0)</f>
        <v>SHERWIN WILLIAMS</v>
      </c>
      <c r="W2039" t="str">
        <f>VLOOKUP(L2039,'[2]tabela de preços'!$A:$F,6,0)</f>
        <v>VERNIZ AUTOMOTIVO</v>
      </c>
      <c r="X2039" t="str">
        <f>VLOOKUP(L2039,'[2]tabela de preços'!$A:$G,7,0)</f>
        <v>AUTOMOTIVO</v>
      </c>
    </row>
    <row r="2040" spans="1:24" x14ac:dyDescent="0.3">
      <c r="A2040" t="s">
        <v>2046</v>
      </c>
      <c r="C2040" t="s">
        <v>2053</v>
      </c>
      <c r="D2040" s="1">
        <v>46048</v>
      </c>
      <c r="E2040" t="s">
        <v>2054</v>
      </c>
      <c r="F2040">
        <v>9</v>
      </c>
      <c r="G2040">
        <v>236</v>
      </c>
      <c r="H2040" t="str">
        <f>VLOOKUP(G2040,[1]OPERADORES!$A:$B,2,0)</f>
        <v>DANIEL</v>
      </c>
      <c r="I2040" t="s">
        <v>21</v>
      </c>
      <c r="J2040" t="s">
        <v>614</v>
      </c>
      <c r="K2040" t="s">
        <v>2049</v>
      </c>
      <c r="L2040">
        <v>20375</v>
      </c>
      <c r="M2040" t="s">
        <v>148</v>
      </c>
      <c r="O2040" t="s">
        <v>11</v>
      </c>
      <c r="P2040">
        <v>5403</v>
      </c>
      <c r="Q2040">
        <v>6</v>
      </c>
      <c r="R2040">
        <v>35.69</v>
      </c>
      <c r="S2040">
        <v>214.14</v>
      </c>
      <c r="T2040">
        <v>152.69999999999999</v>
      </c>
      <c r="U2040">
        <v>28.69</v>
      </c>
      <c r="V2040" t="str">
        <f>VLOOKUP(L2040,'[2]tabela de preços'!$A:$D,4,0)</f>
        <v>SHERWIN WILLIAMS</v>
      </c>
      <c r="W2040" t="str">
        <f>VLOOKUP(L2040,'[2]tabela de preços'!$A:$F,6,0)</f>
        <v>TINTAS POLIÉSTER</v>
      </c>
      <c r="X2040" t="str">
        <f>VLOOKUP(L2040,'[2]tabela de preços'!$A:$G,7,0)</f>
        <v>AUTOMOTIVO</v>
      </c>
    </row>
    <row r="2041" spans="1:24" x14ac:dyDescent="0.3">
      <c r="A2041" t="s">
        <v>2046</v>
      </c>
      <c r="C2041" t="s">
        <v>2053</v>
      </c>
      <c r="D2041" s="1">
        <v>46048</v>
      </c>
      <c r="E2041" t="s">
        <v>2054</v>
      </c>
      <c r="F2041">
        <v>9</v>
      </c>
      <c r="G2041">
        <v>236</v>
      </c>
      <c r="H2041" t="str">
        <f>VLOOKUP(G2041,[1]OPERADORES!$A:$B,2,0)</f>
        <v>DANIEL</v>
      </c>
      <c r="I2041" t="s">
        <v>21</v>
      </c>
      <c r="J2041" t="s">
        <v>614</v>
      </c>
      <c r="K2041" t="s">
        <v>2049</v>
      </c>
      <c r="L2041">
        <v>21820</v>
      </c>
      <c r="M2041" t="s">
        <v>149</v>
      </c>
      <c r="O2041" t="s">
        <v>11</v>
      </c>
      <c r="P2041">
        <v>5403</v>
      </c>
      <c r="Q2041">
        <v>6</v>
      </c>
      <c r="R2041">
        <v>38.61</v>
      </c>
      <c r="S2041">
        <v>231.66</v>
      </c>
      <c r="T2041">
        <v>165.18</v>
      </c>
      <c r="U2041">
        <v>28.7</v>
      </c>
      <c r="V2041" t="str">
        <f>VLOOKUP(L2041,'[2]tabela de preços'!$A:$D,4,0)</f>
        <v>SHERWIN WILLIAMS</v>
      </c>
      <c r="W2041" t="str">
        <f>VLOOKUP(L2041,'[2]tabela de preços'!$A:$F,6,0)</f>
        <v>TINTAS PU</v>
      </c>
      <c r="X2041" t="str">
        <f>VLOOKUP(L2041,'[2]tabela de preços'!$A:$G,7,0)</f>
        <v>AUTOMOTIVO</v>
      </c>
    </row>
    <row r="2042" spans="1:24" x14ac:dyDescent="0.3">
      <c r="A2042" t="s">
        <v>2046</v>
      </c>
      <c r="C2042" t="s">
        <v>2053</v>
      </c>
      <c r="D2042" s="1">
        <v>46048</v>
      </c>
      <c r="E2042" t="s">
        <v>2054</v>
      </c>
      <c r="F2042">
        <v>9</v>
      </c>
      <c r="G2042">
        <v>236</v>
      </c>
      <c r="H2042" t="str">
        <f>VLOOKUP(G2042,[1]OPERADORES!$A:$B,2,0)</f>
        <v>DANIEL</v>
      </c>
      <c r="I2042" t="s">
        <v>21</v>
      </c>
      <c r="J2042" t="s">
        <v>614</v>
      </c>
      <c r="K2042" t="s">
        <v>2049</v>
      </c>
      <c r="L2042">
        <v>13</v>
      </c>
      <c r="M2042" t="s">
        <v>152</v>
      </c>
      <c r="O2042" t="s">
        <v>11</v>
      </c>
      <c r="P2042">
        <v>5102</v>
      </c>
      <c r="Q2042">
        <v>50</v>
      </c>
      <c r="R2042">
        <v>5.79</v>
      </c>
      <c r="S2042">
        <v>289.5</v>
      </c>
      <c r="T2042">
        <v>208</v>
      </c>
      <c r="U2042">
        <v>28.15</v>
      </c>
      <c r="V2042" t="str">
        <f>VLOOKUP(L2042,'[2]tabela de preços'!$A:$D,4,0)</f>
        <v>3M</v>
      </c>
      <c r="W2042" t="str">
        <f>VLOOKUP(L2042,'[2]tabela de preços'!$A:$F,6,0)</f>
        <v>LIXA DÁGUA</v>
      </c>
      <c r="X2042" t="str">
        <f>VLOOKUP(L2042,'[2]tabela de preços'!$A:$G,7,0)</f>
        <v>AUTOMOTIVO</v>
      </c>
    </row>
    <row r="2043" spans="1:24" x14ac:dyDescent="0.3">
      <c r="A2043" t="s">
        <v>2046</v>
      </c>
      <c r="C2043" t="s">
        <v>2053</v>
      </c>
      <c r="D2043" s="1">
        <v>46048</v>
      </c>
      <c r="E2043" t="s">
        <v>2054</v>
      </c>
      <c r="F2043">
        <v>9</v>
      </c>
      <c r="G2043">
        <v>236</v>
      </c>
      <c r="H2043" t="str">
        <f>VLOOKUP(G2043,[1]OPERADORES!$A:$B,2,0)</f>
        <v>DANIEL</v>
      </c>
      <c r="I2043" t="s">
        <v>21</v>
      </c>
      <c r="J2043" t="s">
        <v>614</v>
      </c>
      <c r="K2043" t="s">
        <v>2049</v>
      </c>
      <c r="L2043">
        <v>9764</v>
      </c>
      <c r="M2043" t="s">
        <v>173</v>
      </c>
      <c r="O2043" t="s">
        <v>11</v>
      </c>
      <c r="P2043">
        <v>5102</v>
      </c>
      <c r="Q2043">
        <v>2</v>
      </c>
      <c r="R2043">
        <v>33.54</v>
      </c>
      <c r="S2043">
        <v>67.08</v>
      </c>
      <c r="T2043">
        <v>50.92</v>
      </c>
      <c r="U2043">
        <v>24.09</v>
      </c>
      <c r="V2043" t="str">
        <f>VLOOKUP(L2043,'[2]tabela de preços'!$A:$D,4,0)</f>
        <v>SIKKENS</v>
      </c>
      <c r="W2043" t="str">
        <f>VLOOKUP(L2043,'[2]tabela de preços'!$A:$F,6,0)</f>
        <v>MASSA DE PEQUENOS REPAROS</v>
      </c>
      <c r="X2043" t="str">
        <f>VLOOKUP(L2043,'[2]tabela de preços'!$A:$G,7,0)</f>
        <v>AUTOMOTIVO</v>
      </c>
    </row>
    <row r="2044" spans="1:24" x14ac:dyDescent="0.3">
      <c r="A2044" t="s">
        <v>2046</v>
      </c>
      <c r="C2044" t="s">
        <v>2053</v>
      </c>
      <c r="D2044" s="1">
        <v>46048</v>
      </c>
      <c r="E2044" t="s">
        <v>2054</v>
      </c>
      <c r="F2044">
        <v>9</v>
      </c>
      <c r="G2044">
        <v>236</v>
      </c>
      <c r="H2044" t="str">
        <f>VLOOKUP(G2044,[1]OPERADORES!$A:$B,2,0)</f>
        <v>DANIEL</v>
      </c>
      <c r="I2044" t="s">
        <v>21</v>
      </c>
      <c r="J2044" t="s">
        <v>614</v>
      </c>
      <c r="K2044" t="s">
        <v>2049</v>
      </c>
      <c r="L2044">
        <v>22180</v>
      </c>
      <c r="M2044" t="s">
        <v>404</v>
      </c>
      <c r="O2044" t="s">
        <v>11</v>
      </c>
      <c r="P2044">
        <v>5102</v>
      </c>
      <c r="Q2044">
        <v>5</v>
      </c>
      <c r="R2044">
        <v>19.29</v>
      </c>
      <c r="S2044">
        <v>96.45</v>
      </c>
      <c r="T2044">
        <v>73.2</v>
      </c>
      <c r="U2044">
        <v>24.11</v>
      </c>
      <c r="V2044" t="str">
        <f>VLOOKUP(L2044,'[2]tabela de preços'!$A:$D,4,0)</f>
        <v>MADRUGA</v>
      </c>
      <c r="W2044" t="str">
        <f>VLOOKUP(L2044,'[2]tabela de preços'!$A:$F,6,0)</f>
        <v>PAPEL DE MASCARAMENTO</v>
      </c>
      <c r="X2044" t="str">
        <f>VLOOKUP(L2044,'[2]tabela de preços'!$A:$G,7,0)</f>
        <v>AUTOMOTIVO</v>
      </c>
    </row>
    <row r="2045" spans="1:24" x14ac:dyDescent="0.3">
      <c r="A2045" t="s">
        <v>2046</v>
      </c>
      <c r="C2045" t="s">
        <v>2053</v>
      </c>
      <c r="D2045" s="1">
        <v>46048</v>
      </c>
      <c r="E2045" t="s">
        <v>2054</v>
      </c>
      <c r="F2045">
        <v>9</v>
      </c>
      <c r="G2045">
        <v>236</v>
      </c>
      <c r="H2045" t="str">
        <f>VLOOKUP(G2045,[1]OPERADORES!$A:$B,2,0)</f>
        <v>DANIEL</v>
      </c>
      <c r="I2045" t="s">
        <v>21</v>
      </c>
      <c r="J2045" t="s">
        <v>614</v>
      </c>
      <c r="K2045" t="s">
        <v>2049</v>
      </c>
      <c r="L2045">
        <v>10296</v>
      </c>
      <c r="M2045" t="s">
        <v>334</v>
      </c>
      <c r="O2045" t="s">
        <v>11</v>
      </c>
      <c r="P2045">
        <v>5102</v>
      </c>
      <c r="Q2045">
        <v>12</v>
      </c>
      <c r="R2045">
        <v>17.02</v>
      </c>
      <c r="S2045">
        <v>204.24</v>
      </c>
      <c r="T2045">
        <v>150.84</v>
      </c>
      <c r="U2045">
        <v>26.15</v>
      </c>
      <c r="V2045" t="str">
        <f>VLOOKUP(L2045,'[2]tabela de preços'!$A:$D,4,0)</f>
        <v>ANJO</v>
      </c>
      <c r="W2045" t="str">
        <f>VLOOKUP(L2045,'[2]tabela de preços'!$A:$F,6,0)</f>
        <v>DESENGRAXANTE</v>
      </c>
      <c r="X2045" t="str">
        <f>VLOOKUP(L2045,'[2]tabela de preços'!$A:$G,7,0)</f>
        <v>AUTOMOTIVO</v>
      </c>
    </row>
    <row r="2046" spans="1:24" x14ac:dyDescent="0.3">
      <c r="A2046" t="s">
        <v>2046</v>
      </c>
      <c r="C2046" t="s">
        <v>2053</v>
      </c>
      <c r="D2046" s="1">
        <v>46048</v>
      </c>
      <c r="E2046" t="s">
        <v>2054</v>
      </c>
      <c r="F2046">
        <v>9</v>
      </c>
      <c r="G2046">
        <v>236</v>
      </c>
      <c r="H2046" t="str">
        <f>VLOOKUP(G2046,[1]OPERADORES!$A:$B,2,0)</f>
        <v>DANIEL</v>
      </c>
      <c r="I2046" t="s">
        <v>21</v>
      </c>
      <c r="J2046" t="s">
        <v>614</v>
      </c>
      <c r="K2046" t="s">
        <v>2049</v>
      </c>
      <c r="L2046">
        <v>10297</v>
      </c>
      <c r="M2046" t="s">
        <v>41</v>
      </c>
      <c r="O2046" t="s">
        <v>11</v>
      </c>
      <c r="P2046">
        <v>5102</v>
      </c>
      <c r="Q2046">
        <v>24</v>
      </c>
      <c r="R2046">
        <v>10.89</v>
      </c>
      <c r="S2046">
        <v>261.36</v>
      </c>
      <c r="T2046">
        <v>220.08</v>
      </c>
      <c r="U2046">
        <v>15.79</v>
      </c>
      <c r="V2046" t="str">
        <f>VLOOKUP(L2046,'[2]tabela de preços'!$A:$D,4,0)</f>
        <v>ANJO</v>
      </c>
      <c r="W2046" t="str">
        <f>VLOOKUP(L2046,'[2]tabela de preços'!$A:$F,6,0)</f>
        <v>THINNER DE LIMPEZA</v>
      </c>
      <c r="X2046" t="str">
        <f>VLOOKUP(L2046,'[2]tabela de preços'!$A:$G,7,0)</f>
        <v>THINNER</v>
      </c>
    </row>
    <row r="2047" spans="1:24" x14ac:dyDescent="0.3">
      <c r="A2047" t="s">
        <v>2056</v>
      </c>
      <c r="C2047" t="s">
        <v>2057</v>
      </c>
      <c r="D2047" s="1">
        <v>46036</v>
      </c>
      <c r="E2047" t="s">
        <v>2058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715</v>
      </c>
      <c r="J2047" t="s">
        <v>2059</v>
      </c>
      <c r="K2047" t="s">
        <v>2060</v>
      </c>
      <c r="L2047">
        <v>23110</v>
      </c>
      <c r="M2047" t="s">
        <v>409</v>
      </c>
      <c r="O2047" t="s">
        <v>11</v>
      </c>
      <c r="P2047">
        <v>6102</v>
      </c>
      <c r="Q2047">
        <v>300</v>
      </c>
      <c r="R2047">
        <v>2.35</v>
      </c>
      <c r="S2047">
        <v>705</v>
      </c>
      <c r="T2047">
        <v>555</v>
      </c>
      <c r="U2047">
        <v>21.28</v>
      </c>
      <c r="V2047" t="str">
        <f>VLOOKUP(L2047,'[2]tabela de preços'!$A:$D,4,0)</f>
        <v>3M</v>
      </c>
      <c r="W2047" t="str">
        <f>VLOOKUP(L2047,'[2]tabela de preços'!$A:$F,6,0)</f>
        <v xml:space="preserve">DISCOS / LIXAS / ABRASIVOS </v>
      </c>
      <c r="X2047" t="str">
        <f>VLOOKUP(L2047,'[2]tabela de preços'!$A:$G,7,0)</f>
        <v>AUTOMOTIVO</v>
      </c>
    </row>
    <row r="2048" spans="1:24" x14ac:dyDescent="0.3">
      <c r="A2048" t="s">
        <v>2056</v>
      </c>
      <c r="C2048" t="s">
        <v>2057</v>
      </c>
      <c r="D2048" s="1">
        <v>46036</v>
      </c>
      <c r="E2048" t="s">
        <v>2058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715</v>
      </c>
      <c r="J2048" t="s">
        <v>2059</v>
      </c>
      <c r="K2048" t="s">
        <v>2060</v>
      </c>
      <c r="L2048">
        <v>23105</v>
      </c>
      <c r="M2048" t="s">
        <v>402</v>
      </c>
      <c r="O2048" t="s">
        <v>11</v>
      </c>
      <c r="P2048">
        <v>6102</v>
      </c>
      <c r="Q2048">
        <v>300</v>
      </c>
      <c r="R2048">
        <v>2.35</v>
      </c>
      <c r="S2048">
        <v>705</v>
      </c>
      <c r="T2048">
        <v>576</v>
      </c>
      <c r="U2048">
        <v>18.3</v>
      </c>
      <c r="V2048" t="str">
        <f>VLOOKUP(L2048,'[2]tabela de preços'!$A:$D,4,0)</f>
        <v>3M</v>
      </c>
      <c r="W2048" t="str">
        <f>VLOOKUP(L2048,'[2]tabela de preços'!$A:$F,6,0)</f>
        <v xml:space="preserve">DISCOS / LIXAS / ABRASIVOS </v>
      </c>
      <c r="X2048" t="str">
        <f>VLOOKUP(L2048,'[2]tabela de preços'!$A:$G,7,0)</f>
        <v>AUTOMOTIVO</v>
      </c>
    </row>
    <row r="2049" spans="1:24" x14ac:dyDescent="0.3">
      <c r="A2049" t="s">
        <v>2056</v>
      </c>
      <c r="C2049" t="s">
        <v>2057</v>
      </c>
      <c r="D2049" s="1">
        <v>46036</v>
      </c>
      <c r="E2049" t="s">
        <v>2058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715</v>
      </c>
      <c r="J2049" t="s">
        <v>2059</v>
      </c>
      <c r="K2049" t="s">
        <v>2060</v>
      </c>
      <c r="L2049">
        <v>23106</v>
      </c>
      <c r="M2049" t="s">
        <v>403</v>
      </c>
      <c r="O2049" t="s">
        <v>11</v>
      </c>
      <c r="P2049">
        <v>6102</v>
      </c>
      <c r="Q2049">
        <v>300</v>
      </c>
      <c r="R2049">
        <v>2.35</v>
      </c>
      <c r="S2049">
        <v>705</v>
      </c>
      <c r="T2049">
        <v>576</v>
      </c>
      <c r="U2049">
        <v>18.3</v>
      </c>
      <c r="V2049" t="str">
        <f>VLOOKUP(L2049,'[2]tabela de preços'!$A:$D,4,0)</f>
        <v>3M</v>
      </c>
      <c r="W2049" t="str">
        <f>VLOOKUP(L2049,'[2]tabela de preços'!$A:$F,6,0)</f>
        <v xml:space="preserve">DISCOS / LIXAS / ABRASIVOS </v>
      </c>
      <c r="X2049" t="str">
        <f>VLOOKUP(L2049,'[2]tabela de preços'!$A:$G,7,0)</f>
        <v>AUTOMOTIVO</v>
      </c>
    </row>
    <row r="2050" spans="1:24" x14ac:dyDescent="0.3">
      <c r="A2050" t="s">
        <v>2056</v>
      </c>
      <c r="C2050" t="s">
        <v>2057</v>
      </c>
      <c r="D2050" s="1">
        <v>46036</v>
      </c>
      <c r="E2050" t="s">
        <v>2058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715</v>
      </c>
      <c r="J2050" t="s">
        <v>2059</v>
      </c>
      <c r="K2050" t="s">
        <v>2060</v>
      </c>
      <c r="L2050">
        <v>23107</v>
      </c>
      <c r="M2050" t="s">
        <v>247</v>
      </c>
      <c r="O2050" t="s">
        <v>11</v>
      </c>
      <c r="P2050">
        <v>6102</v>
      </c>
      <c r="Q2050">
        <v>300</v>
      </c>
      <c r="R2050">
        <v>2.35</v>
      </c>
      <c r="S2050">
        <v>705</v>
      </c>
      <c r="T2050">
        <v>555</v>
      </c>
      <c r="U2050">
        <v>21.28</v>
      </c>
      <c r="V2050" t="str">
        <f>VLOOKUP(L2050,'[2]tabela de preços'!$A:$D,4,0)</f>
        <v>3M</v>
      </c>
      <c r="W2050" t="str">
        <f>VLOOKUP(L2050,'[2]tabela de preços'!$A:$F,6,0)</f>
        <v xml:space="preserve">DISCOS / LIXAS / ABRASIVOS </v>
      </c>
      <c r="X2050" t="str">
        <f>VLOOKUP(L2050,'[2]tabela de preços'!$A:$G,7,0)</f>
        <v>AUTOMOTIVO</v>
      </c>
    </row>
    <row r="2051" spans="1:24" x14ac:dyDescent="0.3">
      <c r="A2051" t="s">
        <v>2056</v>
      </c>
      <c r="C2051" t="s">
        <v>2057</v>
      </c>
      <c r="D2051" s="1">
        <v>46036</v>
      </c>
      <c r="E2051" t="s">
        <v>2058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715</v>
      </c>
      <c r="J2051" t="s">
        <v>2059</v>
      </c>
      <c r="K2051" t="s">
        <v>2060</v>
      </c>
      <c r="L2051">
        <v>214</v>
      </c>
      <c r="M2051" t="s">
        <v>2061</v>
      </c>
      <c r="O2051" t="s">
        <v>11</v>
      </c>
      <c r="P2051">
        <v>6403</v>
      </c>
      <c r="Q2051">
        <v>2</v>
      </c>
      <c r="R2051">
        <v>283.49</v>
      </c>
      <c r="S2051">
        <v>566.98</v>
      </c>
      <c r="T2051">
        <v>406.44</v>
      </c>
      <c r="U2051">
        <v>28.31</v>
      </c>
      <c r="V2051" t="str">
        <f>VLOOKUP(L2051,'[2]tabela de preços'!$A:$D,4,0)</f>
        <v>SKY</v>
      </c>
      <c r="W2051" t="str">
        <f>VLOOKUP(L2051,'[2]tabela de preços'!$A:$F,6,0)</f>
        <v>BASES PU</v>
      </c>
      <c r="X2051" t="str">
        <f>VLOOKUP(L2051,'[2]tabela de preços'!$A:$G,7,0)</f>
        <v>AUTOMOTIVO</v>
      </c>
    </row>
    <row r="2052" spans="1:24" x14ac:dyDescent="0.3">
      <c r="A2052" t="s">
        <v>2056</v>
      </c>
      <c r="C2052" t="s">
        <v>2057</v>
      </c>
      <c r="D2052" s="1">
        <v>46036</v>
      </c>
      <c r="E2052" t="s">
        <v>2058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715</v>
      </c>
      <c r="J2052" t="s">
        <v>2059</v>
      </c>
      <c r="K2052" t="s">
        <v>2060</v>
      </c>
      <c r="L2052">
        <v>211</v>
      </c>
      <c r="M2052" t="s">
        <v>2062</v>
      </c>
      <c r="O2052" t="s">
        <v>11</v>
      </c>
      <c r="P2052">
        <v>6403</v>
      </c>
      <c r="Q2052">
        <v>2</v>
      </c>
      <c r="R2052">
        <v>255.26</v>
      </c>
      <c r="S2052">
        <v>510.52</v>
      </c>
      <c r="T2052">
        <v>365.96</v>
      </c>
      <c r="U2052">
        <v>28.32</v>
      </c>
      <c r="V2052" t="str">
        <f>VLOOKUP(L2052,'[2]tabela de preços'!$A:$D,4,0)</f>
        <v>SKY</v>
      </c>
      <c r="W2052" t="str">
        <f>VLOOKUP(L2052,'[2]tabela de preços'!$A:$F,6,0)</f>
        <v>BASES PU</v>
      </c>
      <c r="X2052" t="str">
        <f>VLOOKUP(L2052,'[2]tabela de preços'!$A:$G,7,0)</f>
        <v>AUTOMOTIVO</v>
      </c>
    </row>
    <row r="2053" spans="1:24" x14ac:dyDescent="0.3">
      <c r="A2053" t="s">
        <v>2056</v>
      </c>
      <c r="C2053" t="s">
        <v>2057</v>
      </c>
      <c r="D2053" s="1">
        <v>46036</v>
      </c>
      <c r="E2053" t="s">
        <v>2058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715</v>
      </c>
      <c r="J2053" t="s">
        <v>2059</v>
      </c>
      <c r="K2053" t="s">
        <v>2060</v>
      </c>
      <c r="L2053">
        <v>10404</v>
      </c>
      <c r="M2053" t="s">
        <v>130</v>
      </c>
      <c r="O2053" t="s">
        <v>11</v>
      </c>
      <c r="P2053">
        <v>6102</v>
      </c>
      <c r="Q2053">
        <v>24</v>
      </c>
      <c r="R2053">
        <v>16.29</v>
      </c>
      <c r="S2053">
        <v>390.96</v>
      </c>
      <c r="T2053">
        <v>319.68</v>
      </c>
      <c r="U2053">
        <v>18.23</v>
      </c>
      <c r="V2053" t="str">
        <f>VLOOKUP(L2053,'[2]tabela de preços'!$A:$D,4,0)</f>
        <v>MAXI RUBBER</v>
      </c>
      <c r="W2053" t="str">
        <f>VLOOKUP(L2053,'[2]tabela de preços'!$A:$F,6,0)</f>
        <v>VEDADORES / SELANTES</v>
      </c>
      <c r="X2053" t="str">
        <f>VLOOKUP(L2053,'[2]tabela de preços'!$A:$G,7,0)</f>
        <v>AUTOMOTIVO</v>
      </c>
    </row>
    <row r="2054" spans="1:24" x14ac:dyDescent="0.3">
      <c r="A2054" t="s">
        <v>2063</v>
      </c>
      <c r="C2054" t="s">
        <v>2064</v>
      </c>
      <c r="D2054" s="1">
        <v>46042</v>
      </c>
      <c r="E2054" t="s">
        <v>2065</v>
      </c>
      <c r="F2054">
        <v>9</v>
      </c>
      <c r="G2054">
        <v>231</v>
      </c>
      <c r="H2054" t="str">
        <f>VLOOKUP(G2054,[1]OPERADORES!$A:$B,2,0)</f>
        <v>EDIJANE</v>
      </c>
      <c r="I2054" t="s">
        <v>21</v>
      </c>
      <c r="J2054" t="s">
        <v>2066</v>
      </c>
      <c r="K2054" t="s">
        <v>2067</v>
      </c>
      <c r="L2054">
        <v>86861</v>
      </c>
      <c r="M2054" t="s">
        <v>2068</v>
      </c>
      <c r="O2054" t="s">
        <v>11</v>
      </c>
      <c r="P2054">
        <v>5403</v>
      </c>
      <c r="Q2054">
        <v>4</v>
      </c>
      <c r="R2054">
        <v>4.55</v>
      </c>
      <c r="S2054">
        <v>18.2</v>
      </c>
      <c r="T2054">
        <v>13.8</v>
      </c>
      <c r="U2054">
        <v>24.18</v>
      </c>
      <c r="V2054" t="str">
        <f>VLOOKUP(L2054,'[2]tabela de preços'!$A:$D,4,0)</f>
        <v>SHERWIN WILLIAMS</v>
      </c>
      <c r="W2054" t="str">
        <f>VLOOKUP(L2054,'[2]tabela de preços'!$A:$F,6,0)</f>
        <v>CORANTES</v>
      </c>
      <c r="X2054" t="str">
        <f>VLOOKUP(L2054,'[2]tabela de preços'!$A:$G,7,0)</f>
        <v>IMOBILIÁRIO</v>
      </c>
    </row>
    <row r="2055" spans="1:24" x14ac:dyDescent="0.3">
      <c r="A2055" t="s">
        <v>2063</v>
      </c>
      <c r="C2055" t="s">
        <v>2064</v>
      </c>
      <c r="D2055" s="1">
        <v>46042</v>
      </c>
      <c r="E2055" t="s">
        <v>2065</v>
      </c>
      <c r="F2055">
        <v>9</v>
      </c>
      <c r="G2055">
        <v>231</v>
      </c>
      <c r="H2055" t="str">
        <f>VLOOKUP(G2055,[1]OPERADORES!$A:$B,2,0)</f>
        <v>EDIJANE</v>
      </c>
      <c r="I2055" t="s">
        <v>21</v>
      </c>
      <c r="J2055" t="s">
        <v>2066</v>
      </c>
      <c r="K2055" t="s">
        <v>2067</v>
      </c>
      <c r="L2055">
        <v>86865</v>
      </c>
      <c r="M2055" t="s">
        <v>2069</v>
      </c>
      <c r="O2055" t="s">
        <v>11</v>
      </c>
      <c r="P2055">
        <v>5403</v>
      </c>
      <c r="Q2055">
        <v>4</v>
      </c>
      <c r="R2055">
        <v>4.55</v>
      </c>
      <c r="S2055">
        <v>18.2</v>
      </c>
      <c r="T2055">
        <v>13.8</v>
      </c>
      <c r="U2055">
        <v>24.18</v>
      </c>
      <c r="V2055" t="str">
        <f>VLOOKUP(L2055,'[2]tabela de preços'!$A:$D,4,0)</f>
        <v>SHERWIN WILLIAMS</v>
      </c>
      <c r="W2055" t="str">
        <f>VLOOKUP(L2055,'[2]tabela de preços'!$A:$F,6,0)</f>
        <v>CORANTES</v>
      </c>
      <c r="X2055" t="str">
        <f>VLOOKUP(L2055,'[2]tabela de preços'!$A:$G,7,0)</f>
        <v>IMOBILIÁRIO</v>
      </c>
    </row>
    <row r="2056" spans="1:24" x14ac:dyDescent="0.3">
      <c r="A2056" t="s">
        <v>2063</v>
      </c>
      <c r="C2056" t="s">
        <v>2064</v>
      </c>
      <c r="D2056" s="1">
        <v>46042</v>
      </c>
      <c r="E2056" t="s">
        <v>2065</v>
      </c>
      <c r="F2056">
        <v>9</v>
      </c>
      <c r="G2056">
        <v>231</v>
      </c>
      <c r="H2056" t="str">
        <f>VLOOKUP(G2056,[1]OPERADORES!$A:$B,2,0)</f>
        <v>EDIJANE</v>
      </c>
      <c r="I2056" t="s">
        <v>21</v>
      </c>
      <c r="J2056" t="s">
        <v>2066</v>
      </c>
      <c r="K2056" t="s">
        <v>2067</v>
      </c>
      <c r="L2056">
        <v>86864</v>
      </c>
      <c r="M2056" t="s">
        <v>2070</v>
      </c>
      <c r="O2056" t="s">
        <v>11</v>
      </c>
      <c r="P2056">
        <v>5403</v>
      </c>
      <c r="Q2056">
        <v>4</v>
      </c>
      <c r="R2056">
        <v>4.55</v>
      </c>
      <c r="S2056">
        <v>18.2</v>
      </c>
      <c r="T2056">
        <v>13.8</v>
      </c>
      <c r="U2056">
        <v>24.18</v>
      </c>
      <c r="V2056" t="str">
        <f>VLOOKUP(L2056,'[2]tabela de preços'!$A:$D,4,0)</f>
        <v>SHERWIN WILLIAMS</v>
      </c>
      <c r="W2056" t="str">
        <f>VLOOKUP(L2056,'[2]tabela de preços'!$A:$F,6,0)</f>
        <v>CORANTES</v>
      </c>
      <c r="X2056" t="str">
        <f>VLOOKUP(L2056,'[2]tabela de preços'!$A:$G,7,0)</f>
        <v>IMOBILIÁRIO</v>
      </c>
    </row>
    <row r="2057" spans="1:24" x14ac:dyDescent="0.3">
      <c r="A2057" t="s">
        <v>2063</v>
      </c>
      <c r="C2057" t="s">
        <v>2064</v>
      </c>
      <c r="D2057" s="1">
        <v>46042</v>
      </c>
      <c r="E2057" t="s">
        <v>2065</v>
      </c>
      <c r="F2057">
        <v>9</v>
      </c>
      <c r="G2057">
        <v>231</v>
      </c>
      <c r="H2057" t="str">
        <f>VLOOKUP(G2057,[1]OPERADORES!$A:$B,2,0)</f>
        <v>EDIJANE</v>
      </c>
      <c r="I2057" t="s">
        <v>21</v>
      </c>
      <c r="J2057" t="s">
        <v>2066</v>
      </c>
      <c r="K2057" t="s">
        <v>2067</v>
      </c>
      <c r="L2057">
        <v>86866</v>
      </c>
      <c r="M2057" t="s">
        <v>2071</v>
      </c>
      <c r="O2057" t="s">
        <v>11</v>
      </c>
      <c r="P2057">
        <v>5403</v>
      </c>
      <c r="Q2057">
        <v>4</v>
      </c>
      <c r="R2057">
        <v>4.55</v>
      </c>
      <c r="S2057">
        <v>18.2</v>
      </c>
      <c r="T2057">
        <v>13.8</v>
      </c>
      <c r="U2057">
        <v>24.18</v>
      </c>
      <c r="V2057" t="str">
        <f>VLOOKUP(L2057,'[2]tabela de preços'!$A:$D,4,0)</f>
        <v>SHERWIN WILLIAMS</v>
      </c>
      <c r="W2057" t="str">
        <f>VLOOKUP(L2057,'[2]tabela de preços'!$A:$F,6,0)</f>
        <v>CORANTES</v>
      </c>
      <c r="X2057" t="str">
        <f>VLOOKUP(L2057,'[2]tabela de preços'!$A:$G,7,0)</f>
        <v>IMOBILIÁRIO</v>
      </c>
    </row>
    <row r="2058" spans="1:24" x14ac:dyDescent="0.3">
      <c r="A2058" t="s">
        <v>2063</v>
      </c>
      <c r="C2058" t="s">
        <v>2064</v>
      </c>
      <c r="D2058" s="1">
        <v>46042</v>
      </c>
      <c r="E2058" t="s">
        <v>2065</v>
      </c>
      <c r="F2058">
        <v>9</v>
      </c>
      <c r="G2058">
        <v>231</v>
      </c>
      <c r="H2058" t="str">
        <f>VLOOKUP(G2058,[1]OPERADORES!$A:$B,2,0)</f>
        <v>EDIJANE</v>
      </c>
      <c r="I2058" t="s">
        <v>21</v>
      </c>
      <c r="J2058" t="s">
        <v>2066</v>
      </c>
      <c r="K2058" t="s">
        <v>2067</v>
      </c>
      <c r="L2058">
        <v>86867</v>
      </c>
      <c r="M2058" t="s">
        <v>2072</v>
      </c>
      <c r="O2058" t="s">
        <v>11</v>
      </c>
      <c r="P2058">
        <v>5403</v>
      </c>
      <c r="Q2058">
        <v>3</v>
      </c>
      <c r="R2058">
        <v>4.55</v>
      </c>
      <c r="S2058">
        <v>13.65</v>
      </c>
      <c r="T2058">
        <v>10.35</v>
      </c>
      <c r="U2058">
        <v>24.18</v>
      </c>
      <c r="V2058" t="str">
        <f>VLOOKUP(L2058,'[2]tabela de preços'!$A:$D,4,0)</f>
        <v>SHERWIN WILLIAMS</v>
      </c>
      <c r="W2058" t="str">
        <f>VLOOKUP(L2058,'[2]tabela de preços'!$A:$F,6,0)</f>
        <v>CORANTES</v>
      </c>
      <c r="X2058" t="str">
        <f>VLOOKUP(L2058,'[2]tabela de preços'!$A:$G,7,0)</f>
        <v>IMOBILIÁRIO</v>
      </c>
    </row>
    <row r="2059" spans="1:24" x14ac:dyDescent="0.3">
      <c r="A2059" t="s">
        <v>2063</v>
      </c>
      <c r="C2059" t="s">
        <v>2064</v>
      </c>
      <c r="D2059" s="1">
        <v>46042</v>
      </c>
      <c r="E2059" t="s">
        <v>2065</v>
      </c>
      <c r="F2059">
        <v>9</v>
      </c>
      <c r="G2059">
        <v>231</v>
      </c>
      <c r="H2059" t="str">
        <f>VLOOKUP(G2059,[1]OPERADORES!$A:$B,2,0)</f>
        <v>EDIJANE</v>
      </c>
      <c r="I2059" t="s">
        <v>21</v>
      </c>
      <c r="J2059" t="s">
        <v>2066</v>
      </c>
      <c r="K2059" t="s">
        <v>2067</v>
      </c>
      <c r="L2059">
        <v>86868</v>
      </c>
      <c r="M2059" t="s">
        <v>1368</v>
      </c>
      <c r="O2059" t="s">
        <v>11</v>
      </c>
      <c r="P2059">
        <v>5403</v>
      </c>
      <c r="Q2059">
        <v>4</v>
      </c>
      <c r="R2059">
        <v>4.55</v>
      </c>
      <c r="S2059">
        <v>18.2</v>
      </c>
      <c r="T2059">
        <v>13.8</v>
      </c>
      <c r="U2059">
        <v>24.18</v>
      </c>
      <c r="V2059" t="str">
        <f>VLOOKUP(L2059,'[2]tabela de preços'!$A:$D,4,0)</f>
        <v>SHERWIN WILLIAMS</v>
      </c>
      <c r="W2059" t="str">
        <f>VLOOKUP(L2059,'[2]tabela de preços'!$A:$F,6,0)</f>
        <v>CORANTES</v>
      </c>
      <c r="X2059" t="str">
        <f>VLOOKUP(L2059,'[2]tabela de preços'!$A:$G,7,0)</f>
        <v>IMOBILIÁRIO</v>
      </c>
    </row>
    <row r="2060" spans="1:24" x14ac:dyDescent="0.3">
      <c r="A2060" t="s">
        <v>2063</v>
      </c>
      <c r="C2060" t="s">
        <v>2064</v>
      </c>
      <c r="D2060" s="1">
        <v>46042</v>
      </c>
      <c r="E2060" t="s">
        <v>2065</v>
      </c>
      <c r="F2060">
        <v>9</v>
      </c>
      <c r="G2060">
        <v>231</v>
      </c>
      <c r="H2060" t="str">
        <f>VLOOKUP(G2060,[1]OPERADORES!$A:$B,2,0)</f>
        <v>EDIJANE</v>
      </c>
      <c r="I2060" t="s">
        <v>21</v>
      </c>
      <c r="J2060" t="s">
        <v>2066</v>
      </c>
      <c r="K2060" t="s">
        <v>2067</v>
      </c>
      <c r="L2060">
        <v>84928</v>
      </c>
      <c r="M2060" t="s">
        <v>36</v>
      </c>
      <c r="O2060" t="s">
        <v>11</v>
      </c>
      <c r="P2060">
        <v>5102</v>
      </c>
      <c r="Q2060">
        <v>6</v>
      </c>
      <c r="R2060">
        <v>9.39</v>
      </c>
      <c r="S2060">
        <v>56.34</v>
      </c>
      <c r="T2060">
        <v>42.78</v>
      </c>
      <c r="U2060">
        <v>24.07</v>
      </c>
      <c r="V2060" t="str">
        <f>VLOOKUP(L2060,'[2]tabela de preços'!$A:$D,4,0)</f>
        <v>ADERE</v>
      </c>
      <c r="W2060" t="str">
        <f>VLOOKUP(L2060,'[2]tabela de preços'!$A:$F,6,0)</f>
        <v xml:space="preserve">FITA DE USO GERAL </v>
      </c>
      <c r="X2060" t="str">
        <f>VLOOKUP(L2060,'[2]tabela de preços'!$A:$G,7,0)</f>
        <v>IMOBILIÁRIO</v>
      </c>
    </row>
    <row r="2061" spans="1:24" x14ac:dyDescent="0.3">
      <c r="A2061" t="s">
        <v>2063</v>
      </c>
      <c r="C2061" t="s">
        <v>2064</v>
      </c>
      <c r="D2061" s="1">
        <v>46042</v>
      </c>
      <c r="E2061" t="s">
        <v>2065</v>
      </c>
      <c r="F2061">
        <v>9</v>
      </c>
      <c r="G2061">
        <v>231</v>
      </c>
      <c r="H2061" t="str">
        <f>VLOOKUP(G2061,[1]OPERADORES!$A:$B,2,0)</f>
        <v>EDIJANE</v>
      </c>
      <c r="I2061" t="s">
        <v>21</v>
      </c>
      <c r="J2061" t="s">
        <v>2066</v>
      </c>
      <c r="K2061" t="s">
        <v>2067</v>
      </c>
      <c r="L2061">
        <v>85599</v>
      </c>
      <c r="M2061" t="s">
        <v>38</v>
      </c>
      <c r="O2061" t="s">
        <v>11</v>
      </c>
      <c r="P2061">
        <v>5102</v>
      </c>
      <c r="Q2061">
        <v>10</v>
      </c>
      <c r="R2061">
        <v>2.58</v>
      </c>
      <c r="S2061">
        <v>25.8</v>
      </c>
      <c r="T2061">
        <v>19.600000000000001</v>
      </c>
      <c r="U2061">
        <v>24.03</v>
      </c>
      <c r="V2061" t="str">
        <f>VLOOKUP(L2061,'[2]tabela de preços'!$A:$D,4,0)</f>
        <v>REJUMASSA</v>
      </c>
      <c r="W2061" t="str">
        <f>VLOOKUP(L2061,'[2]tabela de preços'!$A:$F,6,0)</f>
        <v>GESSO</v>
      </c>
      <c r="X2061" t="str">
        <f>VLOOKUP(L2061,'[2]tabela de preços'!$A:$G,7,0)</f>
        <v>IMOBILIÁRIO</v>
      </c>
    </row>
    <row r="2062" spans="1:24" x14ac:dyDescent="0.3">
      <c r="A2062" t="s">
        <v>2073</v>
      </c>
      <c r="C2062" t="s">
        <v>2074</v>
      </c>
      <c r="D2062" s="1">
        <v>46031</v>
      </c>
      <c r="E2062" t="s">
        <v>2075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1257</v>
      </c>
      <c r="K2062" t="s">
        <v>2076</v>
      </c>
      <c r="L2062">
        <v>84293</v>
      </c>
      <c r="M2062" t="s">
        <v>2077</v>
      </c>
      <c r="O2062" t="s">
        <v>11</v>
      </c>
      <c r="P2062">
        <v>5403</v>
      </c>
      <c r="Q2062">
        <v>5</v>
      </c>
      <c r="R2062">
        <v>83.95</v>
      </c>
      <c r="S2062">
        <v>419.75</v>
      </c>
      <c r="T2062">
        <v>318.55</v>
      </c>
      <c r="U2062">
        <v>24.11</v>
      </c>
      <c r="V2062" t="str">
        <f>VLOOKUP(L2062,'[2]tabela de preços'!$A:$D,4,0)</f>
        <v>BRASILUX</v>
      </c>
      <c r="W2062" t="str">
        <f>VLOOKUP(L2062,'[2]tabela de preços'!$A:$F,6,0)</f>
        <v>TINTA PAREDE</v>
      </c>
      <c r="X2062" t="str">
        <f>VLOOKUP(L2062,'[2]tabela de preços'!$A:$G,7,0)</f>
        <v>IMOBILIÁRIO</v>
      </c>
    </row>
    <row r="2063" spans="1:24" x14ac:dyDescent="0.3">
      <c r="A2063" t="s">
        <v>2073</v>
      </c>
      <c r="C2063" t="s">
        <v>2074</v>
      </c>
      <c r="D2063" s="1">
        <v>46031</v>
      </c>
      <c r="E2063" t="s">
        <v>2075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1257</v>
      </c>
      <c r="K2063" t="s">
        <v>2076</v>
      </c>
      <c r="L2063">
        <v>84335</v>
      </c>
      <c r="M2063" t="s">
        <v>269</v>
      </c>
      <c r="O2063" t="s">
        <v>11</v>
      </c>
      <c r="P2063">
        <v>5403</v>
      </c>
      <c r="Q2063">
        <v>4</v>
      </c>
      <c r="R2063">
        <v>60.89</v>
      </c>
      <c r="S2063">
        <v>243.56</v>
      </c>
      <c r="T2063">
        <v>202.6</v>
      </c>
      <c r="U2063">
        <v>16.82</v>
      </c>
      <c r="V2063" t="str">
        <f>VLOOKUP(L2063,'[2]tabela de preços'!$A:$D,4,0)</f>
        <v>BRASILUX</v>
      </c>
      <c r="W2063" t="str">
        <f>VLOOKUP(L2063,'[2]tabela de preços'!$A:$F,6,0)</f>
        <v>ESMALTES</v>
      </c>
      <c r="X2063" t="str">
        <f>VLOOKUP(L2063,'[2]tabela de preços'!$A:$G,7,0)</f>
        <v>INDUSTRIAL</v>
      </c>
    </row>
    <row r="2064" spans="1:24" x14ac:dyDescent="0.3">
      <c r="A2064" t="s">
        <v>2073</v>
      </c>
      <c r="C2064" t="s">
        <v>2074</v>
      </c>
      <c r="D2064" s="1">
        <v>46031</v>
      </c>
      <c r="E2064" t="s">
        <v>2075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1257</v>
      </c>
      <c r="K2064" t="s">
        <v>2076</v>
      </c>
      <c r="L2064">
        <v>84304</v>
      </c>
      <c r="M2064" t="s">
        <v>2078</v>
      </c>
      <c r="O2064" t="s">
        <v>11</v>
      </c>
      <c r="P2064">
        <v>5403</v>
      </c>
      <c r="Q2064">
        <v>5</v>
      </c>
      <c r="R2064">
        <v>50.84</v>
      </c>
      <c r="S2064">
        <v>254.2</v>
      </c>
      <c r="T2064">
        <v>192.95</v>
      </c>
      <c r="U2064">
        <v>24.1</v>
      </c>
      <c r="V2064" t="str">
        <f>VLOOKUP(L2064,'[2]tabela de preços'!$A:$D,4,0)</f>
        <v>BRASILUX</v>
      </c>
      <c r="W2064" t="str">
        <f>VLOOKUP(L2064,'[2]tabela de preços'!$A:$F,6,0)</f>
        <v>TINTA PARA PISO</v>
      </c>
      <c r="X2064" t="str">
        <f>VLOOKUP(L2064,'[2]tabela de preços'!$A:$G,7,0)</f>
        <v>IMOBILIÁRIO</v>
      </c>
    </row>
    <row r="2065" spans="1:24" x14ac:dyDescent="0.3">
      <c r="A2065" t="s">
        <v>2073</v>
      </c>
      <c r="C2065" t="s">
        <v>2074</v>
      </c>
      <c r="D2065" s="1">
        <v>46031</v>
      </c>
      <c r="E2065" t="s">
        <v>2075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1257</v>
      </c>
      <c r="K2065" t="s">
        <v>2076</v>
      </c>
      <c r="L2065">
        <v>84762</v>
      </c>
      <c r="M2065" t="s">
        <v>1014</v>
      </c>
      <c r="O2065" t="s">
        <v>11</v>
      </c>
      <c r="P2065">
        <v>5403</v>
      </c>
      <c r="Q2065">
        <v>3</v>
      </c>
      <c r="R2065">
        <v>153.99</v>
      </c>
      <c r="S2065">
        <v>461.97</v>
      </c>
      <c r="T2065">
        <v>350.64</v>
      </c>
      <c r="U2065">
        <v>24.1</v>
      </c>
      <c r="V2065" t="str">
        <f>VLOOKUP(L2065,'[2]tabela de preços'!$A:$D,4,0)</f>
        <v>BRASILUX</v>
      </c>
      <c r="W2065" t="str">
        <f>VLOOKUP(L2065,'[2]tabela de preços'!$A:$F,6,0)</f>
        <v>EPOXI</v>
      </c>
      <c r="X2065" t="str">
        <f>VLOOKUP(L2065,'[2]tabela de preços'!$A:$G,7,0)</f>
        <v>INDUSTRIAL</v>
      </c>
    </row>
    <row r="2066" spans="1:24" x14ac:dyDescent="0.3">
      <c r="A2066" t="s">
        <v>2073</v>
      </c>
      <c r="C2066" t="s">
        <v>2074</v>
      </c>
      <c r="D2066" s="1">
        <v>46031</v>
      </c>
      <c r="E2066" t="s">
        <v>2075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1257</v>
      </c>
      <c r="K2066" t="s">
        <v>2076</v>
      </c>
      <c r="L2066">
        <v>84036</v>
      </c>
      <c r="M2066" t="s">
        <v>289</v>
      </c>
      <c r="O2066" t="s">
        <v>11</v>
      </c>
      <c r="P2066">
        <v>5102</v>
      </c>
      <c r="Q2066">
        <v>4</v>
      </c>
      <c r="R2066">
        <v>47.89</v>
      </c>
      <c r="S2066">
        <v>191.56</v>
      </c>
      <c r="T2066">
        <v>166.52</v>
      </c>
      <c r="U2066">
        <v>13.07</v>
      </c>
      <c r="V2066" t="str">
        <f>VLOOKUP(L2066,'[2]tabela de preços'!$A:$D,4,0)</f>
        <v>BRASILUX</v>
      </c>
      <c r="W2066" t="str">
        <f>VLOOKUP(L2066,'[2]tabela de preços'!$A:$F,6,0)</f>
        <v>MASSA CORRIDA / ACRÍLICA</v>
      </c>
      <c r="X2066" t="str">
        <f>VLOOKUP(L2066,'[2]tabela de preços'!$A:$G,7,0)</f>
        <v>IMOBILIÁRIO</v>
      </c>
    </row>
    <row r="2067" spans="1:24" x14ac:dyDescent="0.3">
      <c r="A2067" t="s">
        <v>2073</v>
      </c>
      <c r="C2067" t="s">
        <v>2074</v>
      </c>
      <c r="D2067" s="1">
        <v>46031</v>
      </c>
      <c r="E2067" t="s">
        <v>2075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1257</v>
      </c>
      <c r="K2067" t="s">
        <v>2076</v>
      </c>
      <c r="L2067">
        <v>85443</v>
      </c>
      <c r="M2067" t="s">
        <v>2079</v>
      </c>
      <c r="O2067" t="s">
        <v>11</v>
      </c>
      <c r="P2067">
        <v>5403</v>
      </c>
      <c r="Q2067">
        <v>5</v>
      </c>
      <c r="R2067">
        <v>78.12</v>
      </c>
      <c r="S2067">
        <v>390.6</v>
      </c>
      <c r="T2067">
        <v>296.45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TINTA PARA PISO</v>
      </c>
      <c r="X2067" t="str">
        <f>VLOOKUP(L2067,'[2]tabela de preços'!$A:$G,7,0)</f>
        <v>IMOBILIÁRIO</v>
      </c>
    </row>
    <row r="2068" spans="1:24" x14ac:dyDescent="0.3">
      <c r="A2068" t="s">
        <v>2080</v>
      </c>
      <c r="B2068" t="s">
        <v>2081</v>
      </c>
      <c r="C2068" t="s">
        <v>2082</v>
      </c>
      <c r="D2068" s="1">
        <v>46029</v>
      </c>
      <c r="E2068" t="s">
        <v>2083</v>
      </c>
      <c r="F2068">
        <v>9</v>
      </c>
      <c r="G2068">
        <v>197</v>
      </c>
      <c r="H2068" t="str">
        <f>VLOOKUP(G2068,[1]OPERADORES!$A:$B,2,0)</f>
        <v xml:space="preserve">POLIANA LORRANE DE AMORIM </v>
      </c>
      <c r="I2068" t="s">
        <v>21</v>
      </c>
      <c r="J2068" t="s">
        <v>614</v>
      </c>
      <c r="K2068" t="s">
        <v>2084</v>
      </c>
      <c r="L2068">
        <v>84026</v>
      </c>
      <c r="M2068" t="s">
        <v>816</v>
      </c>
      <c r="O2068" t="s">
        <v>11</v>
      </c>
      <c r="P2068">
        <v>5102</v>
      </c>
      <c r="Q2068">
        <v>29</v>
      </c>
      <c r="R2068">
        <v>9.48</v>
      </c>
      <c r="S2068">
        <v>274.92</v>
      </c>
      <c r="T2068">
        <v>201.55</v>
      </c>
      <c r="U2068">
        <v>26.69</v>
      </c>
      <c r="V2068" t="str">
        <f>VLOOKUP(L2068,'[2]tabela de preços'!$A:$D,4,0)</f>
        <v>BRASILUX</v>
      </c>
      <c r="W2068" t="str">
        <f>VLOOKUP(L2068,'[2]tabela de preços'!$A:$F,6,0)</f>
        <v>CATALISADORES INDIVIDUAIS</v>
      </c>
      <c r="X2068" t="str">
        <f>VLOOKUP(L2068,'[2]tabela de preços'!$A:$G,7,0)</f>
        <v>IMOBILIÁRIO</v>
      </c>
    </row>
    <row r="2069" spans="1:24" x14ac:dyDescent="0.3">
      <c r="A2069" t="s">
        <v>2080</v>
      </c>
      <c r="B2069" t="s">
        <v>2081</v>
      </c>
      <c r="C2069" t="s">
        <v>2082</v>
      </c>
      <c r="D2069" s="1">
        <v>46029</v>
      </c>
      <c r="E2069" t="s">
        <v>2083</v>
      </c>
      <c r="F2069">
        <v>9</v>
      </c>
      <c r="G2069">
        <v>197</v>
      </c>
      <c r="H2069" t="str">
        <f>VLOOKUP(G2069,[1]OPERADORES!$A:$B,2,0)</f>
        <v xml:space="preserve">POLIANA LORRANE DE AMORIM </v>
      </c>
      <c r="I2069" t="s">
        <v>21</v>
      </c>
      <c r="J2069" t="s">
        <v>614</v>
      </c>
      <c r="K2069" t="s">
        <v>2084</v>
      </c>
      <c r="L2069">
        <v>84560</v>
      </c>
      <c r="M2069" t="s">
        <v>118</v>
      </c>
      <c r="O2069" t="s">
        <v>11</v>
      </c>
      <c r="P2069">
        <v>5102</v>
      </c>
      <c r="Q2069">
        <v>12</v>
      </c>
      <c r="R2069">
        <v>46.9</v>
      </c>
      <c r="S2069">
        <v>562.79999999999995</v>
      </c>
      <c r="T2069">
        <v>469.92</v>
      </c>
      <c r="U2069">
        <v>16.5</v>
      </c>
      <c r="V2069" t="str">
        <f>VLOOKUP(L2069,'[2]tabela de preços'!$A:$D,4,0)</f>
        <v>BRASILUX</v>
      </c>
      <c r="W2069" t="str">
        <f>VLOOKUP(L2069,'[2]tabela de preços'!$A:$F,6,0)</f>
        <v>THINNER DE LIMPEZA</v>
      </c>
      <c r="X2069" t="str">
        <f>VLOOKUP(L2069,'[2]tabela de preços'!$A:$G,7,0)</f>
        <v>THINNER</v>
      </c>
    </row>
    <row r="2070" spans="1:24" x14ac:dyDescent="0.3">
      <c r="A2070" t="s">
        <v>2080</v>
      </c>
      <c r="B2070" t="s">
        <v>2081</v>
      </c>
      <c r="C2070" t="s">
        <v>2082</v>
      </c>
      <c r="D2070" s="1">
        <v>46029</v>
      </c>
      <c r="E2070" t="s">
        <v>2083</v>
      </c>
      <c r="F2070">
        <v>9</v>
      </c>
      <c r="G2070">
        <v>197</v>
      </c>
      <c r="H2070" t="str">
        <f>VLOOKUP(G2070,[1]OPERADORES!$A:$B,2,0)</f>
        <v xml:space="preserve">POLIANA LORRANE DE AMORIM </v>
      </c>
      <c r="I2070" t="s">
        <v>21</v>
      </c>
      <c r="J2070" t="s">
        <v>614</v>
      </c>
      <c r="K2070" t="s">
        <v>2084</v>
      </c>
      <c r="L2070">
        <v>84497</v>
      </c>
      <c r="M2070" t="s">
        <v>1159</v>
      </c>
      <c r="O2070" t="s">
        <v>11</v>
      </c>
      <c r="P2070">
        <v>5102</v>
      </c>
      <c r="Q2070">
        <v>12</v>
      </c>
      <c r="R2070">
        <v>9.89</v>
      </c>
      <c r="S2070">
        <v>118.68</v>
      </c>
      <c r="T2070">
        <v>97.68</v>
      </c>
      <c r="U2070">
        <v>17.690000000000001</v>
      </c>
      <c r="V2070" t="str">
        <f>VLOOKUP(L2070,'[2]tabela de preços'!$A:$D,4,0)</f>
        <v>BRASILUX</v>
      </c>
      <c r="W2070" t="str">
        <f>VLOOKUP(L2070,'[2]tabela de preços'!$A:$F,6,0)</f>
        <v>THINNER DE LIMPEZA</v>
      </c>
      <c r="X2070" t="str">
        <f>VLOOKUP(L2070,'[2]tabela de preços'!$A:$G,7,0)</f>
        <v>THINNER</v>
      </c>
    </row>
    <row r="2071" spans="1:24" x14ac:dyDescent="0.3">
      <c r="A2071" t="s">
        <v>2080</v>
      </c>
      <c r="B2071" t="s">
        <v>2081</v>
      </c>
      <c r="C2071" t="s">
        <v>2085</v>
      </c>
      <c r="D2071" s="1">
        <v>46043</v>
      </c>
      <c r="E2071" t="s">
        <v>2086</v>
      </c>
      <c r="F2071">
        <v>9</v>
      </c>
      <c r="G2071">
        <v>197</v>
      </c>
      <c r="H2071" t="str">
        <f>VLOOKUP(G2071,[1]OPERADORES!$A:$B,2,0)</f>
        <v xml:space="preserve">POLIANA LORRANE DE AMORIM </v>
      </c>
      <c r="I2071" t="s">
        <v>21</v>
      </c>
      <c r="J2071" t="s">
        <v>614</v>
      </c>
      <c r="K2071" t="s">
        <v>2084</v>
      </c>
      <c r="L2071">
        <v>21078</v>
      </c>
      <c r="M2071" t="s">
        <v>141</v>
      </c>
      <c r="O2071" t="s">
        <v>11</v>
      </c>
      <c r="P2071">
        <v>5102</v>
      </c>
      <c r="Q2071">
        <v>12</v>
      </c>
      <c r="R2071">
        <v>22.89</v>
      </c>
      <c r="S2071">
        <v>274.68</v>
      </c>
      <c r="T2071">
        <v>223.92</v>
      </c>
      <c r="U2071">
        <v>18.48</v>
      </c>
      <c r="V2071" t="str">
        <f>VLOOKUP(L2071,'[2]tabela de preços'!$A:$D,4,0)</f>
        <v>SHERWIN WILLIAMS</v>
      </c>
      <c r="W2071" t="str">
        <f>VLOOKUP(L2071,'[2]tabela de preços'!$A:$F,6,0)</f>
        <v>MASSA POLIÉSTER</v>
      </c>
      <c r="X2071" t="str">
        <f>VLOOKUP(L2071,'[2]tabela de preços'!$A:$G,7,0)</f>
        <v>AUTOMOTIVO</v>
      </c>
    </row>
    <row r="2072" spans="1:24" x14ac:dyDescent="0.3">
      <c r="A2072" t="s">
        <v>2087</v>
      </c>
      <c r="C2072" t="s">
        <v>2088</v>
      </c>
      <c r="D2072" s="1">
        <v>46031</v>
      </c>
      <c r="E2072" t="s">
        <v>2089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2090</v>
      </c>
      <c r="K2072" t="s">
        <v>2091</v>
      </c>
      <c r="L2072">
        <v>84108</v>
      </c>
      <c r="M2072" t="s">
        <v>144</v>
      </c>
      <c r="O2072" t="s">
        <v>11</v>
      </c>
      <c r="P2072">
        <v>5403</v>
      </c>
      <c r="Q2072">
        <v>4</v>
      </c>
      <c r="R2072">
        <v>27.29</v>
      </c>
      <c r="S2072">
        <v>109.16</v>
      </c>
      <c r="T2072">
        <v>82.84</v>
      </c>
      <c r="U2072">
        <v>24.11</v>
      </c>
      <c r="V2072" t="str">
        <f>VLOOKUP(L2072,'[2]tabela de preços'!$A:$D,4,0)</f>
        <v>BRASILUX</v>
      </c>
      <c r="W2072" t="str">
        <f>VLOOKUP(L2072,'[2]tabela de preços'!$A:$F,6,0)</f>
        <v>TINTAS LACA</v>
      </c>
      <c r="X2072" t="str">
        <f>VLOOKUP(L2072,'[2]tabela de preços'!$A:$G,7,0)</f>
        <v>AUTOMOTIVO</v>
      </c>
    </row>
    <row r="2073" spans="1:24" x14ac:dyDescent="0.3">
      <c r="A2073" t="s">
        <v>2087</v>
      </c>
      <c r="C2073" t="s">
        <v>2088</v>
      </c>
      <c r="D2073" s="1">
        <v>46031</v>
      </c>
      <c r="E2073" t="s">
        <v>2089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2090</v>
      </c>
      <c r="K2073" t="s">
        <v>2091</v>
      </c>
      <c r="L2073">
        <v>23580</v>
      </c>
      <c r="M2073" t="s">
        <v>115</v>
      </c>
      <c r="O2073" t="s">
        <v>11</v>
      </c>
      <c r="P2073">
        <v>5102</v>
      </c>
      <c r="Q2073">
        <v>20</v>
      </c>
      <c r="R2073">
        <v>0.56000000000000005</v>
      </c>
      <c r="S2073">
        <v>11.2</v>
      </c>
      <c r="T2073">
        <v>7.2</v>
      </c>
      <c r="U2073">
        <v>35.71</v>
      </c>
      <c r="V2073" t="str">
        <f>VLOOKUP(L2073,'[2]tabela de preços'!$A:$D,4,0)</f>
        <v>RENOVA COADORES</v>
      </c>
      <c r="W2073" t="str">
        <f>VLOOKUP(L2073,'[2]tabela de preços'!$A:$F,6,0)</f>
        <v>COADORES</v>
      </c>
      <c r="X2073" t="str">
        <f>VLOOKUP(L2073,'[2]tabela de preços'!$A:$G,7,0)</f>
        <v>AUTOMOTIVO</v>
      </c>
    </row>
    <row r="2074" spans="1:24" x14ac:dyDescent="0.3">
      <c r="A2074" t="s">
        <v>2087</v>
      </c>
      <c r="C2074" t="s">
        <v>2088</v>
      </c>
      <c r="D2074" s="1">
        <v>46031</v>
      </c>
      <c r="E2074" t="s">
        <v>2089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2090</v>
      </c>
      <c r="K2074" t="s">
        <v>2091</v>
      </c>
      <c r="L2074">
        <v>10236</v>
      </c>
      <c r="M2074" t="s">
        <v>133</v>
      </c>
      <c r="O2074" t="s">
        <v>11</v>
      </c>
      <c r="P2074">
        <v>5102</v>
      </c>
      <c r="Q2074">
        <v>50</v>
      </c>
      <c r="R2074">
        <v>2.79</v>
      </c>
      <c r="S2074">
        <v>139.5</v>
      </c>
      <c r="T2074">
        <v>118.5</v>
      </c>
      <c r="U2074">
        <v>15.05</v>
      </c>
      <c r="V2074" t="str">
        <f>VLOOKUP(L2074,'[2]tabela de preços'!$A:$D,4,0)</f>
        <v>NORTON</v>
      </c>
      <c r="W2074" t="str">
        <f>VLOOKUP(L2074,'[2]tabela de preços'!$A:$F,6,0)</f>
        <v xml:space="preserve">DISCOS / LIXAS / ABRASIVOS </v>
      </c>
      <c r="X2074" t="str">
        <f>VLOOKUP(L2074,'[2]tabela de preços'!$A:$G,7,0)</f>
        <v>AUTOMOTIVO</v>
      </c>
    </row>
    <row r="2075" spans="1:24" x14ac:dyDescent="0.3">
      <c r="A2075" t="s">
        <v>2087</v>
      </c>
      <c r="C2075" t="s">
        <v>2088</v>
      </c>
      <c r="D2075" s="1">
        <v>46031</v>
      </c>
      <c r="E2075" t="s">
        <v>2089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2090</v>
      </c>
      <c r="K2075" t="s">
        <v>2091</v>
      </c>
      <c r="L2075">
        <v>10230</v>
      </c>
      <c r="M2075" t="s">
        <v>193</v>
      </c>
      <c r="O2075" t="s">
        <v>11</v>
      </c>
      <c r="P2075">
        <v>5102</v>
      </c>
      <c r="Q2075">
        <v>50</v>
      </c>
      <c r="R2075">
        <v>2.79</v>
      </c>
      <c r="S2075">
        <v>139.5</v>
      </c>
      <c r="T2075">
        <v>118</v>
      </c>
      <c r="U2075">
        <v>15.41</v>
      </c>
      <c r="V2075" t="str">
        <f>VLOOKUP(L2075,'[2]tabela de preços'!$A:$D,4,0)</f>
        <v>NORTON</v>
      </c>
      <c r="W2075" t="str">
        <f>VLOOKUP(L2075,'[2]tabela de preços'!$A:$F,6,0)</f>
        <v xml:space="preserve">DISCOS / LIXAS / ABRASIVOS </v>
      </c>
      <c r="X2075" t="str">
        <f>VLOOKUP(L2075,'[2]tabela de preços'!$A:$G,7,0)</f>
        <v>AUTOMOTIVO</v>
      </c>
    </row>
    <row r="2076" spans="1:24" x14ac:dyDescent="0.3">
      <c r="A2076" t="s">
        <v>2087</v>
      </c>
      <c r="C2076" t="s">
        <v>2088</v>
      </c>
      <c r="D2076" s="1">
        <v>46031</v>
      </c>
      <c r="E2076" t="s">
        <v>2089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2090</v>
      </c>
      <c r="K2076" t="s">
        <v>2091</v>
      </c>
      <c r="L2076">
        <v>20318</v>
      </c>
      <c r="M2076" t="s">
        <v>136</v>
      </c>
      <c r="O2076" t="s">
        <v>11</v>
      </c>
      <c r="P2076">
        <v>5403</v>
      </c>
      <c r="Q2076">
        <v>3</v>
      </c>
      <c r="R2076">
        <v>33.4</v>
      </c>
      <c r="S2076">
        <v>100.2</v>
      </c>
      <c r="T2076">
        <v>71.430000000000007</v>
      </c>
      <c r="U2076">
        <v>28.71</v>
      </c>
      <c r="V2076" t="str">
        <f>VLOOKUP(L2076,'[2]tabela de preços'!$A:$D,4,0)</f>
        <v>SHERWIN WILLIAMS</v>
      </c>
      <c r="W2076" t="str">
        <f>VLOOKUP(L2076,'[2]tabela de preços'!$A:$F,6,0)</f>
        <v>TINTAS POLIÉSTER</v>
      </c>
      <c r="X2076" t="str">
        <f>VLOOKUP(L2076,'[2]tabela de preços'!$A:$G,7,0)</f>
        <v>AUTOMOTIVO</v>
      </c>
    </row>
    <row r="2077" spans="1:24" x14ac:dyDescent="0.3">
      <c r="A2077" t="s">
        <v>2087</v>
      </c>
      <c r="C2077" t="s">
        <v>2088</v>
      </c>
      <c r="D2077" s="1">
        <v>46031</v>
      </c>
      <c r="E2077" t="s">
        <v>2089</v>
      </c>
      <c r="F2077">
        <v>9</v>
      </c>
      <c r="G2077">
        <v>231</v>
      </c>
      <c r="H2077" t="str">
        <f>VLOOKUP(G2077,[1]OPERADORES!$A:$B,2,0)</f>
        <v>EDIJANE</v>
      </c>
      <c r="I2077" t="s">
        <v>21</v>
      </c>
      <c r="J2077" t="s">
        <v>2090</v>
      </c>
      <c r="K2077" t="s">
        <v>2091</v>
      </c>
      <c r="L2077">
        <v>20325</v>
      </c>
      <c r="M2077" t="s">
        <v>150</v>
      </c>
      <c r="O2077" t="s">
        <v>11</v>
      </c>
      <c r="P2077">
        <v>5403</v>
      </c>
      <c r="Q2077">
        <v>3</v>
      </c>
      <c r="R2077">
        <v>32.299999999999997</v>
      </c>
      <c r="S2077">
        <v>96.9</v>
      </c>
      <c r="T2077">
        <v>69.09</v>
      </c>
      <c r="U2077">
        <v>28.7</v>
      </c>
      <c r="V2077" t="str">
        <f>VLOOKUP(L2077,'[2]tabela de preços'!$A:$D,4,0)</f>
        <v>SHERWIN WILLIAMS</v>
      </c>
      <c r="W2077" t="str">
        <f>VLOOKUP(L2077,'[2]tabela de preços'!$A:$F,6,0)</f>
        <v>TINTAS POLIÉSTER</v>
      </c>
      <c r="X2077" t="str">
        <f>VLOOKUP(L2077,'[2]tabela de preços'!$A:$G,7,0)</f>
        <v>AUTOMOTIVO</v>
      </c>
    </row>
    <row r="2078" spans="1:24" x14ac:dyDescent="0.3">
      <c r="A2078" t="s">
        <v>2087</v>
      </c>
      <c r="C2078" t="s">
        <v>2088</v>
      </c>
      <c r="D2078" s="1">
        <v>46031</v>
      </c>
      <c r="E2078" t="s">
        <v>2089</v>
      </c>
      <c r="F2078">
        <v>9</v>
      </c>
      <c r="G2078">
        <v>231</v>
      </c>
      <c r="H2078" t="str">
        <f>VLOOKUP(G2078,[1]OPERADORES!$A:$B,2,0)</f>
        <v>EDIJANE</v>
      </c>
      <c r="I2078" t="s">
        <v>21</v>
      </c>
      <c r="J2078" t="s">
        <v>2090</v>
      </c>
      <c r="K2078" t="s">
        <v>2091</v>
      </c>
      <c r="L2078">
        <v>20339</v>
      </c>
      <c r="M2078" t="s">
        <v>2092</v>
      </c>
      <c r="O2078" t="s">
        <v>11</v>
      </c>
      <c r="P2078">
        <v>5102</v>
      </c>
      <c r="Q2078">
        <v>4</v>
      </c>
      <c r="R2078">
        <v>33.83</v>
      </c>
      <c r="S2078">
        <v>135.32</v>
      </c>
      <c r="T2078">
        <v>102.72</v>
      </c>
      <c r="U2078">
        <v>24.09</v>
      </c>
      <c r="V2078" t="str">
        <f>VLOOKUP(L2078,'[2]tabela de preços'!$A:$D,4,0)</f>
        <v>SHERWIN WILLIAMS</v>
      </c>
      <c r="W2078" t="str">
        <f>VLOOKUP(L2078,'[2]tabela de preços'!$A:$F,6,0)</f>
        <v>TINTAS PU</v>
      </c>
      <c r="X2078" t="str">
        <f>VLOOKUP(L2078,'[2]tabela de preços'!$A:$G,7,0)</f>
        <v>AUTOMOTIVO</v>
      </c>
    </row>
    <row r="2079" spans="1:24" x14ac:dyDescent="0.3">
      <c r="A2079" t="s">
        <v>2087</v>
      </c>
      <c r="C2079" t="s">
        <v>2088</v>
      </c>
      <c r="D2079" s="1">
        <v>46031</v>
      </c>
      <c r="E2079" t="s">
        <v>2089</v>
      </c>
      <c r="F2079">
        <v>9</v>
      </c>
      <c r="G2079">
        <v>231</v>
      </c>
      <c r="H2079" t="str">
        <f>VLOOKUP(G2079,[1]OPERADORES!$A:$B,2,0)</f>
        <v>EDIJANE</v>
      </c>
      <c r="I2079" t="s">
        <v>21</v>
      </c>
      <c r="J2079" t="s">
        <v>2090</v>
      </c>
      <c r="K2079" t="s">
        <v>2091</v>
      </c>
      <c r="L2079">
        <v>20846</v>
      </c>
      <c r="M2079" t="s">
        <v>163</v>
      </c>
      <c r="O2079" t="s">
        <v>11</v>
      </c>
      <c r="P2079">
        <v>5102</v>
      </c>
      <c r="Q2079">
        <v>4</v>
      </c>
      <c r="R2079">
        <v>32.44</v>
      </c>
      <c r="S2079">
        <v>129.76</v>
      </c>
      <c r="T2079">
        <v>98.48</v>
      </c>
      <c r="U2079">
        <v>24.11</v>
      </c>
      <c r="V2079" t="str">
        <f>VLOOKUP(L2079,'[2]tabela de preços'!$A:$D,4,0)</f>
        <v>SHERWIN WILLIAMS</v>
      </c>
      <c r="W2079" t="str">
        <f>VLOOKUP(L2079,'[2]tabela de preços'!$A:$F,6,0)</f>
        <v>TINTAS POLIÉSTER</v>
      </c>
      <c r="X2079" t="str">
        <f>VLOOKUP(L2079,'[2]tabela de preços'!$A:$G,7,0)</f>
        <v>AUTOMOTIVO</v>
      </c>
    </row>
    <row r="2080" spans="1:24" x14ac:dyDescent="0.3">
      <c r="A2080" t="s">
        <v>2087</v>
      </c>
      <c r="C2080" t="s">
        <v>2088</v>
      </c>
      <c r="D2080" s="1">
        <v>46031</v>
      </c>
      <c r="E2080" t="s">
        <v>2089</v>
      </c>
      <c r="F2080">
        <v>9</v>
      </c>
      <c r="G2080">
        <v>231</v>
      </c>
      <c r="H2080" t="str">
        <f>VLOOKUP(G2080,[1]OPERADORES!$A:$B,2,0)</f>
        <v>EDIJANE</v>
      </c>
      <c r="I2080" t="s">
        <v>21</v>
      </c>
      <c r="J2080" t="s">
        <v>2090</v>
      </c>
      <c r="K2080" t="s">
        <v>2091</v>
      </c>
      <c r="L2080">
        <v>10238</v>
      </c>
      <c r="M2080" t="s">
        <v>79</v>
      </c>
      <c r="O2080" t="s">
        <v>11</v>
      </c>
      <c r="P2080">
        <v>5102</v>
      </c>
      <c r="Q2080">
        <v>50</v>
      </c>
      <c r="R2080">
        <v>2.79</v>
      </c>
      <c r="S2080">
        <v>139.5</v>
      </c>
      <c r="T2080">
        <v>113.5</v>
      </c>
      <c r="U2080">
        <v>18.64</v>
      </c>
      <c r="V2080" t="str">
        <f>VLOOKUP(L2080,'[2]tabela de preços'!$A:$D,4,0)</f>
        <v>NORTON</v>
      </c>
      <c r="W2080" t="str">
        <f>VLOOKUP(L2080,'[2]tabela de preços'!$A:$F,6,0)</f>
        <v xml:space="preserve">DISCOS / LIXAS / ABRASIVOS </v>
      </c>
      <c r="X2080" t="str">
        <f>VLOOKUP(L2080,'[2]tabela de preços'!$A:$G,7,0)</f>
        <v>AUTOMOTIVO</v>
      </c>
    </row>
    <row r="2081" spans="1:24" x14ac:dyDescent="0.3">
      <c r="A2081" t="s">
        <v>2087</v>
      </c>
      <c r="C2081" t="s">
        <v>2088</v>
      </c>
      <c r="D2081" s="1">
        <v>46031</v>
      </c>
      <c r="E2081" t="s">
        <v>2089</v>
      </c>
      <c r="F2081">
        <v>9</v>
      </c>
      <c r="G2081">
        <v>231</v>
      </c>
      <c r="H2081" t="str">
        <f>VLOOKUP(G2081,[1]OPERADORES!$A:$B,2,0)</f>
        <v>EDIJANE</v>
      </c>
      <c r="I2081" t="s">
        <v>21</v>
      </c>
      <c r="J2081" t="s">
        <v>2090</v>
      </c>
      <c r="K2081" t="s">
        <v>2091</v>
      </c>
      <c r="L2081">
        <v>10246</v>
      </c>
      <c r="M2081" t="s">
        <v>206</v>
      </c>
      <c r="O2081" t="s">
        <v>11</v>
      </c>
      <c r="P2081">
        <v>5102</v>
      </c>
      <c r="Q2081">
        <v>50</v>
      </c>
      <c r="R2081">
        <v>2.79</v>
      </c>
      <c r="S2081">
        <v>139.5</v>
      </c>
      <c r="T2081">
        <v>97.5</v>
      </c>
      <c r="U2081">
        <v>30.11</v>
      </c>
      <c r="V2081" t="str">
        <f>VLOOKUP(L2081,'[2]tabela de preços'!$A:$D,4,0)</f>
        <v>NORTON</v>
      </c>
      <c r="W2081" t="str">
        <f>VLOOKUP(L2081,'[2]tabela de preços'!$A:$F,6,0)</f>
        <v xml:space="preserve">DISCOS / LIXAS / ABRASIVOS </v>
      </c>
      <c r="X2081" t="str">
        <f>VLOOKUP(L2081,'[2]tabela de preços'!$A:$G,7,0)</f>
        <v>AUTOMOTIVO</v>
      </c>
    </row>
    <row r="2082" spans="1:24" x14ac:dyDescent="0.3">
      <c r="A2082" t="s">
        <v>2087</v>
      </c>
      <c r="C2082" t="s">
        <v>2093</v>
      </c>
      <c r="D2082" s="1">
        <v>46043</v>
      </c>
      <c r="E2082" t="s">
        <v>2094</v>
      </c>
      <c r="F2082">
        <v>9</v>
      </c>
      <c r="G2082">
        <v>231</v>
      </c>
      <c r="H2082" t="str">
        <f>VLOOKUP(G2082,[1]OPERADORES!$A:$B,2,0)</f>
        <v>EDIJANE</v>
      </c>
      <c r="I2082" t="s">
        <v>21</v>
      </c>
      <c r="J2082" t="s">
        <v>2090</v>
      </c>
      <c r="K2082" t="s">
        <v>2091</v>
      </c>
      <c r="L2082">
        <v>85692</v>
      </c>
      <c r="M2082" t="s">
        <v>969</v>
      </c>
      <c r="O2082" t="s">
        <v>11</v>
      </c>
      <c r="P2082">
        <v>5102</v>
      </c>
      <c r="Q2082">
        <v>12</v>
      </c>
      <c r="R2082">
        <v>7.89</v>
      </c>
      <c r="S2082">
        <v>94.68</v>
      </c>
      <c r="T2082">
        <v>78.12</v>
      </c>
      <c r="U2082">
        <v>17.489999999999998</v>
      </c>
      <c r="V2082" t="str">
        <f>VLOOKUP(L2082,'[2]tabela de preços'!$A:$D,4,0)</f>
        <v>UNIPEGA</v>
      </c>
      <c r="W2082" t="str">
        <f>VLOOKUP(L2082,'[2]tabela de preços'!$A:$F,6,0)</f>
        <v>PU 40</v>
      </c>
      <c r="X2082" t="str">
        <f>VLOOKUP(L2082,'[2]tabela de preços'!$A:$G,7,0)</f>
        <v>IMOBILIÁRIO</v>
      </c>
    </row>
    <row r="2083" spans="1:24" x14ac:dyDescent="0.3">
      <c r="A2083" t="s">
        <v>2087</v>
      </c>
      <c r="C2083" t="s">
        <v>2093</v>
      </c>
      <c r="D2083" s="1">
        <v>46043</v>
      </c>
      <c r="E2083" t="s">
        <v>2094</v>
      </c>
      <c r="F2083">
        <v>9</v>
      </c>
      <c r="G2083">
        <v>231</v>
      </c>
      <c r="H2083" t="str">
        <f>VLOOKUP(G2083,[1]OPERADORES!$A:$B,2,0)</f>
        <v>EDIJANE</v>
      </c>
      <c r="I2083" t="s">
        <v>21</v>
      </c>
      <c r="J2083" t="s">
        <v>2090</v>
      </c>
      <c r="K2083" t="s">
        <v>2091</v>
      </c>
      <c r="L2083">
        <v>85693</v>
      </c>
      <c r="M2083" t="s">
        <v>526</v>
      </c>
      <c r="O2083" t="s">
        <v>11</v>
      </c>
      <c r="P2083">
        <v>5102</v>
      </c>
      <c r="Q2083">
        <v>12</v>
      </c>
      <c r="R2083">
        <v>7.89</v>
      </c>
      <c r="S2083">
        <v>94.68</v>
      </c>
      <c r="T2083">
        <v>78.12</v>
      </c>
      <c r="U2083">
        <v>17.489999999999998</v>
      </c>
      <c r="V2083" t="str">
        <f>VLOOKUP(L2083,'[2]tabela de preços'!$A:$D,4,0)</f>
        <v>UNIPEGA</v>
      </c>
      <c r="W2083" t="str">
        <f>VLOOKUP(L2083,'[2]tabela de preços'!$A:$F,6,0)</f>
        <v>PU 40</v>
      </c>
      <c r="X2083" t="str">
        <f>VLOOKUP(L2083,'[2]tabela de preços'!$A:$G,7,0)</f>
        <v>IMOBILIÁRIO</v>
      </c>
    </row>
    <row r="2084" spans="1:24" x14ac:dyDescent="0.3">
      <c r="A2084" t="s">
        <v>2087</v>
      </c>
      <c r="C2084" t="s">
        <v>2093</v>
      </c>
      <c r="D2084" s="1">
        <v>46043</v>
      </c>
      <c r="E2084" t="s">
        <v>2094</v>
      </c>
      <c r="F2084">
        <v>9</v>
      </c>
      <c r="G2084">
        <v>231</v>
      </c>
      <c r="H2084" t="str">
        <f>VLOOKUP(G2084,[1]OPERADORES!$A:$B,2,0)</f>
        <v>EDIJANE</v>
      </c>
      <c r="I2084" t="s">
        <v>21</v>
      </c>
      <c r="J2084" t="s">
        <v>2090</v>
      </c>
      <c r="K2084" t="s">
        <v>2091</v>
      </c>
      <c r="L2084">
        <v>10232</v>
      </c>
      <c r="M2084" t="s">
        <v>134</v>
      </c>
      <c r="O2084" t="s">
        <v>11</v>
      </c>
      <c r="P2084">
        <v>5102</v>
      </c>
      <c r="Q2084">
        <v>50</v>
      </c>
      <c r="R2084">
        <v>2.79</v>
      </c>
      <c r="S2084">
        <v>139.5</v>
      </c>
      <c r="T2084">
        <v>112.5</v>
      </c>
      <c r="U2084">
        <v>19.350000000000001</v>
      </c>
      <c r="V2084" t="str">
        <f>VLOOKUP(L2084,'[2]tabela de preços'!$A:$D,4,0)</f>
        <v>NORTON</v>
      </c>
      <c r="W2084" t="str">
        <f>VLOOKUP(L2084,'[2]tabela de preços'!$A:$F,6,0)</f>
        <v xml:space="preserve">DISCOS / LIXAS / ABRASIVOS </v>
      </c>
      <c r="X2084" t="str">
        <f>VLOOKUP(L2084,'[2]tabela de preços'!$A:$G,7,0)</f>
        <v>AUTOMOTIVO</v>
      </c>
    </row>
    <row r="2085" spans="1:24" x14ac:dyDescent="0.3">
      <c r="A2085" t="s">
        <v>2087</v>
      </c>
      <c r="C2085" t="s">
        <v>2093</v>
      </c>
      <c r="D2085" s="1">
        <v>46043</v>
      </c>
      <c r="E2085" t="s">
        <v>2094</v>
      </c>
      <c r="F2085">
        <v>9</v>
      </c>
      <c r="G2085">
        <v>231</v>
      </c>
      <c r="H2085" t="str">
        <f>VLOOKUP(G2085,[1]OPERADORES!$A:$B,2,0)</f>
        <v>EDIJANE</v>
      </c>
      <c r="I2085" t="s">
        <v>21</v>
      </c>
      <c r="J2085" t="s">
        <v>2090</v>
      </c>
      <c r="K2085" t="s">
        <v>2091</v>
      </c>
      <c r="L2085">
        <v>24248</v>
      </c>
      <c r="M2085" t="s">
        <v>107</v>
      </c>
      <c r="O2085" t="s">
        <v>11</v>
      </c>
      <c r="P2085">
        <v>5102</v>
      </c>
      <c r="Q2085">
        <v>12</v>
      </c>
      <c r="R2085">
        <v>8</v>
      </c>
      <c r="S2085">
        <v>96</v>
      </c>
      <c r="T2085">
        <v>78</v>
      </c>
      <c r="U2085">
        <v>18.75</v>
      </c>
      <c r="V2085" t="str">
        <f>VLOOKUP(L2085,'[2]tabela de preços'!$A:$D,4,0)</f>
        <v>SHERWIN WILLIAMS</v>
      </c>
      <c r="W2085" t="str">
        <f>VLOOKUP(L2085,'[2]tabela de preços'!$A:$F,6,0)</f>
        <v>PRIMER AUTOMOTIVO</v>
      </c>
      <c r="X2085" t="str">
        <f>VLOOKUP(L2085,'[2]tabela de preços'!$A:$G,7,0)</f>
        <v>AUTOMOTIVO</v>
      </c>
    </row>
    <row r="2086" spans="1:24" x14ac:dyDescent="0.3">
      <c r="A2086" t="s">
        <v>2087</v>
      </c>
      <c r="C2086" t="s">
        <v>2093</v>
      </c>
      <c r="D2086" s="1">
        <v>46043</v>
      </c>
      <c r="E2086" t="s">
        <v>2094</v>
      </c>
      <c r="F2086">
        <v>9</v>
      </c>
      <c r="G2086">
        <v>231</v>
      </c>
      <c r="H2086" t="str">
        <f>VLOOKUP(G2086,[1]OPERADORES!$A:$B,2,0)</f>
        <v>EDIJANE</v>
      </c>
      <c r="I2086" t="s">
        <v>21</v>
      </c>
      <c r="J2086" t="s">
        <v>2090</v>
      </c>
      <c r="K2086" t="s">
        <v>2091</v>
      </c>
      <c r="L2086">
        <v>10277</v>
      </c>
      <c r="M2086" t="s">
        <v>135</v>
      </c>
      <c r="O2086" t="s">
        <v>11</v>
      </c>
      <c r="P2086">
        <v>5102</v>
      </c>
      <c r="Q2086">
        <v>10</v>
      </c>
      <c r="R2086">
        <v>15.89</v>
      </c>
      <c r="S2086">
        <v>158.9</v>
      </c>
      <c r="T2086">
        <v>128.80000000000001</v>
      </c>
      <c r="U2086">
        <v>18.940000000000001</v>
      </c>
      <c r="V2086" t="str">
        <f>VLOOKUP(L2086,'[2]tabela de preços'!$A:$D,4,0)</f>
        <v>RETOQUE</v>
      </c>
      <c r="W2086" t="str">
        <f>VLOOKUP(L2086,'[2]tabela de preços'!$A:$F,6,0)</f>
        <v xml:space="preserve">COLA  PLÁSTICA </v>
      </c>
      <c r="X2086" t="str">
        <f>VLOOKUP(L2086,'[2]tabela de preços'!$A:$G,7,0)</f>
        <v>AUTOMOTIVO</v>
      </c>
    </row>
    <row r="2087" spans="1:24" x14ac:dyDescent="0.3">
      <c r="A2087" t="s">
        <v>2087</v>
      </c>
      <c r="C2087" t="s">
        <v>2093</v>
      </c>
      <c r="D2087" s="1">
        <v>46043</v>
      </c>
      <c r="E2087" t="s">
        <v>2094</v>
      </c>
      <c r="F2087">
        <v>9</v>
      </c>
      <c r="G2087">
        <v>231</v>
      </c>
      <c r="H2087" t="str">
        <f>VLOOKUP(G2087,[1]OPERADORES!$A:$B,2,0)</f>
        <v>EDIJANE</v>
      </c>
      <c r="I2087" t="s">
        <v>21</v>
      </c>
      <c r="J2087" t="s">
        <v>2090</v>
      </c>
      <c r="K2087" t="s">
        <v>2091</v>
      </c>
      <c r="L2087">
        <v>20431</v>
      </c>
      <c r="M2087" t="s">
        <v>202</v>
      </c>
      <c r="O2087" t="s">
        <v>11</v>
      </c>
      <c r="P2087">
        <v>5403</v>
      </c>
      <c r="Q2087">
        <v>9</v>
      </c>
      <c r="R2087">
        <v>36.89</v>
      </c>
      <c r="S2087">
        <v>332.01</v>
      </c>
      <c r="T2087">
        <v>272.33999999999997</v>
      </c>
      <c r="U2087">
        <v>17.97</v>
      </c>
      <c r="V2087" t="str">
        <f>VLOOKUP(L2087,'[2]tabela de preços'!$A:$D,4,0)</f>
        <v>SHERWIN WILLIAMS</v>
      </c>
      <c r="W2087" t="str">
        <f>VLOOKUP(L2087,'[2]tabela de preços'!$A:$F,6,0)</f>
        <v>VERNIZ AUTOMOTIVO</v>
      </c>
      <c r="X2087" t="str">
        <f>VLOOKUP(L2087,'[2]tabela de preços'!$A:$G,7,0)</f>
        <v>AUTOMOTIVO</v>
      </c>
    </row>
    <row r="2088" spans="1:24" x14ac:dyDescent="0.3">
      <c r="A2088" t="s">
        <v>2087</v>
      </c>
      <c r="C2088" t="s">
        <v>2093</v>
      </c>
      <c r="D2088" s="1">
        <v>46043</v>
      </c>
      <c r="E2088" t="s">
        <v>2094</v>
      </c>
      <c r="F2088">
        <v>9</v>
      </c>
      <c r="G2088">
        <v>231</v>
      </c>
      <c r="H2088" t="str">
        <f>VLOOKUP(G2088,[1]OPERADORES!$A:$B,2,0)</f>
        <v>EDIJANE</v>
      </c>
      <c r="I2088" t="s">
        <v>21</v>
      </c>
      <c r="J2088" t="s">
        <v>2090</v>
      </c>
      <c r="K2088" t="s">
        <v>2091</v>
      </c>
      <c r="L2088">
        <v>10242</v>
      </c>
      <c r="M2088" t="s">
        <v>82</v>
      </c>
      <c r="O2088" t="s">
        <v>11</v>
      </c>
      <c r="P2088">
        <v>5102</v>
      </c>
      <c r="Q2088">
        <v>50</v>
      </c>
      <c r="R2088">
        <v>2.79</v>
      </c>
      <c r="S2088">
        <v>139.5</v>
      </c>
      <c r="T2088">
        <v>112</v>
      </c>
      <c r="U2088">
        <v>19.71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2087</v>
      </c>
      <c r="C2089" t="s">
        <v>2093</v>
      </c>
      <c r="D2089" s="1">
        <v>46043</v>
      </c>
      <c r="E2089" t="s">
        <v>2094</v>
      </c>
      <c r="F2089">
        <v>9</v>
      </c>
      <c r="G2089">
        <v>231</v>
      </c>
      <c r="H2089" t="str">
        <f>VLOOKUP(G2089,[1]OPERADORES!$A:$B,2,0)</f>
        <v>EDIJANE</v>
      </c>
      <c r="I2089" t="s">
        <v>21</v>
      </c>
      <c r="J2089" t="s">
        <v>2090</v>
      </c>
      <c r="K2089" t="s">
        <v>2091</v>
      </c>
      <c r="L2089">
        <v>86984</v>
      </c>
      <c r="M2089" t="s">
        <v>720</v>
      </c>
      <c r="O2089" t="s">
        <v>11</v>
      </c>
      <c r="P2089">
        <v>5102</v>
      </c>
      <c r="Q2089">
        <v>2</v>
      </c>
      <c r="R2089">
        <v>44.9</v>
      </c>
      <c r="S2089">
        <v>89.8</v>
      </c>
      <c r="T2089">
        <v>74.42</v>
      </c>
      <c r="U2089">
        <v>17.13</v>
      </c>
      <c r="V2089" t="str">
        <f>VLOOKUP(L2089,'[2]tabela de preços'!$A:$D,4,0)</f>
        <v>ARPREX</v>
      </c>
      <c r="W2089" t="str">
        <f>VLOOKUP(L2089,'[2]tabela de preços'!$A:$F,6,0)</f>
        <v>PISTOLAS</v>
      </c>
      <c r="X2089" t="str">
        <f>VLOOKUP(L2089,'[2]tabela de preços'!$A:$G,7,0)</f>
        <v>IMOBILIÁRIO</v>
      </c>
    </row>
    <row r="2090" spans="1:24" x14ac:dyDescent="0.3">
      <c r="A2090" t="s">
        <v>2087</v>
      </c>
      <c r="C2090" t="s">
        <v>2093</v>
      </c>
      <c r="D2090" s="1">
        <v>46043</v>
      </c>
      <c r="E2090" t="s">
        <v>2094</v>
      </c>
      <c r="F2090">
        <v>9</v>
      </c>
      <c r="G2090">
        <v>231</v>
      </c>
      <c r="H2090" t="str">
        <f>VLOOKUP(G2090,[1]OPERADORES!$A:$B,2,0)</f>
        <v>EDIJANE</v>
      </c>
      <c r="I2090" t="s">
        <v>21</v>
      </c>
      <c r="J2090" t="s">
        <v>2090</v>
      </c>
      <c r="K2090" t="s">
        <v>2091</v>
      </c>
      <c r="L2090">
        <v>24247</v>
      </c>
      <c r="M2090" t="s">
        <v>160</v>
      </c>
      <c r="O2090" t="s">
        <v>11</v>
      </c>
      <c r="P2090">
        <v>5403</v>
      </c>
      <c r="Q2090">
        <v>12</v>
      </c>
      <c r="R2090">
        <v>21</v>
      </c>
      <c r="S2090">
        <v>252</v>
      </c>
      <c r="T2090">
        <v>202.44</v>
      </c>
      <c r="U2090">
        <v>19.670000000000002</v>
      </c>
      <c r="V2090" t="str">
        <f>VLOOKUP(L2090,'[2]tabela de preços'!$A:$D,4,0)</f>
        <v>SHERWIN WILLIAMS</v>
      </c>
      <c r="W2090" t="str">
        <f>VLOOKUP(L2090,'[2]tabela de preços'!$A:$F,6,0)</f>
        <v>PRIMER AUTOMOTIVO</v>
      </c>
      <c r="X2090" t="str">
        <f>VLOOKUP(L2090,'[2]tabela de preços'!$A:$G,7,0)</f>
        <v>AUTOMOTIVO</v>
      </c>
    </row>
    <row r="2091" spans="1:24" x14ac:dyDescent="0.3">
      <c r="A2091" t="s">
        <v>2095</v>
      </c>
      <c r="C2091" t="s">
        <v>2096</v>
      </c>
      <c r="D2091" s="1">
        <v>46044</v>
      </c>
      <c r="E2091" t="s">
        <v>2097</v>
      </c>
      <c r="F2091">
        <v>9</v>
      </c>
      <c r="G2091">
        <v>197</v>
      </c>
      <c r="H2091" t="str">
        <f>VLOOKUP(G2091,[1]OPERADORES!$A:$B,2,0)</f>
        <v xml:space="preserve">POLIANA LORRANE DE AMORIM </v>
      </c>
      <c r="I2091" t="s">
        <v>126</v>
      </c>
      <c r="J2091" t="s">
        <v>127</v>
      </c>
      <c r="K2091" t="s">
        <v>2098</v>
      </c>
      <c r="L2091">
        <v>24338</v>
      </c>
      <c r="M2091" t="s">
        <v>2099</v>
      </c>
      <c r="O2091" t="s">
        <v>11</v>
      </c>
      <c r="P2091">
        <v>6403</v>
      </c>
      <c r="Q2091">
        <v>2</v>
      </c>
      <c r="R2091">
        <v>312.60000000000002</v>
      </c>
      <c r="S2091">
        <v>625.20000000000005</v>
      </c>
      <c r="T2091">
        <v>458.36</v>
      </c>
      <c r="U2091">
        <v>26.69</v>
      </c>
      <c r="V2091" t="str">
        <f>VLOOKUP(L2091,'[2]tabela de preços'!$A:$D,4,0)</f>
        <v>BRASILUX</v>
      </c>
      <c r="W2091" t="str">
        <f>VLOOKUP(L2091,'[2]tabela de preços'!$A:$F,6,0)</f>
        <v xml:space="preserve">BASES SISTEMA NO MACHINE </v>
      </c>
      <c r="X2091" t="str">
        <f>VLOOKUP(L2091,'[2]tabela de preços'!$A:$G,7,0)</f>
        <v>INDUSTRIAL</v>
      </c>
    </row>
    <row r="2092" spans="1:24" x14ac:dyDescent="0.3">
      <c r="A2092" t="s">
        <v>2095</v>
      </c>
      <c r="C2092" t="s">
        <v>2096</v>
      </c>
      <c r="D2092" s="1">
        <v>46044</v>
      </c>
      <c r="E2092" t="s">
        <v>2097</v>
      </c>
      <c r="F2092">
        <v>9</v>
      </c>
      <c r="G2092">
        <v>197</v>
      </c>
      <c r="H2092" t="str">
        <f>VLOOKUP(G2092,[1]OPERADORES!$A:$B,2,0)</f>
        <v xml:space="preserve">POLIANA LORRANE DE AMORIM </v>
      </c>
      <c r="I2092" t="s">
        <v>126</v>
      </c>
      <c r="J2092" t="s">
        <v>127</v>
      </c>
      <c r="K2092" t="s">
        <v>2098</v>
      </c>
      <c r="L2092">
        <v>13</v>
      </c>
      <c r="M2092" t="s">
        <v>152</v>
      </c>
      <c r="O2092" t="s">
        <v>11</v>
      </c>
      <c r="P2092">
        <v>6102</v>
      </c>
      <c r="Q2092">
        <v>50</v>
      </c>
      <c r="R2092">
        <v>5.79</v>
      </c>
      <c r="S2092">
        <v>289.5</v>
      </c>
      <c r="T2092">
        <v>208</v>
      </c>
      <c r="U2092">
        <v>28.15</v>
      </c>
      <c r="V2092" t="str">
        <f>VLOOKUP(L2092,'[2]tabela de preços'!$A:$D,4,0)</f>
        <v>3M</v>
      </c>
      <c r="W2092" t="str">
        <f>VLOOKUP(L2092,'[2]tabela de preços'!$A:$F,6,0)</f>
        <v>LIXA DÁGUA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2101</v>
      </c>
      <c r="D2093" s="1">
        <v>46029</v>
      </c>
      <c r="E2093" t="s">
        <v>2102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21860</v>
      </c>
      <c r="M2093" t="s">
        <v>2038</v>
      </c>
      <c r="O2093" t="s">
        <v>11</v>
      </c>
      <c r="P2093">
        <v>5403</v>
      </c>
      <c r="Q2093">
        <v>1</v>
      </c>
      <c r="R2093">
        <v>63.87</v>
      </c>
      <c r="S2093">
        <v>63.87</v>
      </c>
      <c r="T2093">
        <v>48.48</v>
      </c>
      <c r="U2093">
        <v>24.1</v>
      </c>
      <c r="V2093" t="str">
        <f>VLOOKUP(L2093,'[2]tabela de preços'!$A:$D,4,0)</f>
        <v>SIKKENS</v>
      </c>
      <c r="W2093" t="str">
        <f>VLOOKUP(L2093,'[2]tabela de preços'!$A:$F,6,0)</f>
        <v>VERNIZ AUTOMOTIVO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2101</v>
      </c>
      <c r="D2094" s="1">
        <v>46029</v>
      </c>
      <c r="E2094" t="s">
        <v>2102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84487</v>
      </c>
      <c r="M2094" t="s">
        <v>633</v>
      </c>
      <c r="O2094" t="s">
        <v>11</v>
      </c>
      <c r="P2094">
        <v>5403</v>
      </c>
      <c r="Q2094">
        <v>3</v>
      </c>
      <c r="R2094">
        <v>28.84</v>
      </c>
      <c r="S2094">
        <v>86.52</v>
      </c>
      <c r="T2094">
        <v>65.67</v>
      </c>
      <c r="U2094">
        <v>24.1</v>
      </c>
      <c r="V2094" t="str">
        <f>VLOOKUP(L2094,'[2]tabela de preços'!$A:$D,4,0)</f>
        <v>BRASILUX</v>
      </c>
      <c r="W2094" t="str">
        <f>VLOOKUP(L2094,'[2]tabela de preços'!$A:$F,6,0)</f>
        <v>TINTAS LACA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2101</v>
      </c>
      <c r="D2095" s="1">
        <v>46029</v>
      </c>
      <c r="E2095" t="s">
        <v>2102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84108</v>
      </c>
      <c r="M2095" t="s">
        <v>144</v>
      </c>
      <c r="O2095" t="s">
        <v>11</v>
      </c>
      <c r="P2095">
        <v>5403</v>
      </c>
      <c r="Q2095">
        <v>4</v>
      </c>
      <c r="R2095">
        <v>27.29</v>
      </c>
      <c r="S2095">
        <v>109.16</v>
      </c>
      <c r="T2095">
        <v>82.84</v>
      </c>
      <c r="U2095">
        <v>24.11</v>
      </c>
      <c r="V2095" t="str">
        <f>VLOOKUP(L2095,'[2]tabela de preços'!$A:$D,4,0)</f>
        <v>BRASILUX</v>
      </c>
      <c r="W2095" t="str">
        <f>VLOOKUP(L2095,'[2]tabela de preços'!$A:$F,6,0)</f>
        <v>TINTAS LACA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2101</v>
      </c>
      <c r="D2096" s="1">
        <v>46029</v>
      </c>
      <c r="E2096" t="s">
        <v>2102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21741</v>
      </c>
      <c r="M2096" t="s">
        <v>1509</v>
      </c>
      <c r="O2096" t="s">
        <v>11</v>
      </c>
      <c r="P2096">
        <v>5102</v>
      </c>
      <c r="Q2096">
        <v>4</v>
      </c>
      <c r="R2096">
        <v>20.89</v>
      </c>
      <c r="S2096">
        <v>83.56</v>
      </c>
      <c r="T2096">
        <v>63.44</v>
      </c>
      <c r="U2096">
        <v>24.08</v>
      </c>
      <c r="V2096" t="str">
        <f>VLOOKUP(L2096,'[2]tabela de preços'!$A:$D,4,0)</f>
        <v>SOLUFIX</v>
      </c>
      <c r="W2096" t="str">
        <f>VLOOKUP(L2096,'[2]tabela de preços'!$A:$F,6,0)</f>
        <v>COLA INST./ ADESIVOS COLANTES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2101</v>
      </c>
      <c r="D2097" s="1">
        <v>46029</v>
      </c>
      <c r="E2097" t="s">
        <v>2102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10316</v>
      </c>
      <c r="M2097" t="s">
        <v>582</v>
      </c>
      <c r="O2097" t="s">
        <v>11</v>
      </c>
      <c r="P2097">
        <v>5102</v>
      </c>
      <c r="Q2097">
        <v>8</v>
      </c>
      <c r="R2097">
        <v>13.89</v>
      </c>
      <c r="S2097">
        <v>111.12</v>
      </c>
      <c r="T2097">
        <v>93.04</v>
      </c>
      <c r="U2097">
        <v>16.27</v>
      </c>
      <c r="V2097" t="str">
        <f>VLOOKUP(L2097,'[2]tabela de preços'!$A:$D,4,0)</f>
        <v>ANJO</v>
      </c>
      <c r="W2097" t="str">
        <f>VLOOKUP(L2097,'[2]tabela de preços'!$A:$F,6,0)</f>
        <v xml:space="preserve">COLA  PLÁSTICA 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2101</v>
      </c>
      <c r="D2098" s="1">
        <v>46029</v>
      </c>
      <c r="E2098" t="s">
        <v>2102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24248</v>
      </c>
      <c r="M2098" t="s">
        <v>107</v>
      </c>
      <c r="O2098" t="s">
        <v>11</v>
      </c>
      <c r="P2098">
        <v>5102</v>
      </c>
      <c r="Q2098">
        <v>8</v>
      </c>
      <c r="R2098">
        <v>9.9</v>
      </c>
      <c r="S2098">
        <v>79.2</v>
      </c>
      <c r="T2098">
        <v>51.28</v>
      </c>
      <c r="U2098">
        <v>35.25</v>
      </c>
      <c r="V2098" t="str">
        <f>VLOOKUP(L2098,'[2]tabela de preços'!$A:$D,4,0)</f>
        <v>SHERWIN WILLIAMS</v>
      </c>
      <c r="W2098" t="str">
        <f>VLOOKUP(L2098,'[2]tabela de preços'!$A:$F,6,0)</f>
        <v>PRIMER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2101</v>
      </c>
      <c r="D2099" s="1">
        <v>46029</v>
      </c>
      <c r="E2099" t="s">
        <v>2102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24240</v>
      </c>
      <c r="M2099" t="s">
        <v>240</v>
      </c>
      <c r="O2099" t="s">
        <v>11</v>
      </c>
      <c r="P2099">
        <v>5102</v>
      </c>
      <c r="Q2099">
        <v>32</v>
      </c>
      <c r="R2099">
        <v>3.87</v>
      </c>
      <c r="S2099">
        <v>123.84</v>
      </c>
      <c r="T2099">
        <v>104.96</v>
      </c>
      <c r="U2099">
        <v>15.25</v>
      </c>
      <c r="V2099" t="str">
        <f>VLOOKUP(L2099,'[2]tabela de preços'!$A:$D,4,0)</f>
        <v>ADERE</v>
      </c>
      <c r="W2099" t="str">
        <f>VLOOKUP(L2099,'[2]tabela de preços'!$A:$F,6,0)</f>
        <v>FITA AUTOMOTIVA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2101</v>
      </c>
      <c r="D2100" s="1">
        <v>46029</v>
      </c>
      <c r="E2100" t="s">
        <v>2102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86995</v>
      </c>
      <c r="M2100" t="s">
        <v>37</v>
      </c>
      <c r="O2100" t="s">
        <v>11</v>
      </c>
      <c r="P2100">
        <v>5102</v>
      </c>
      <c r="Q2100">
        <v>5</v>
      </c>
      <c r="R2100">
        <v>7.39</v>
      </c>
      <c r="S2100">
        <v>36.950000000000003</v>
      </c>
      <c r="T2100">
        <v>29.15</v>
      </c>
      <c r="U2100">
        <v>21.11</v>
      </c>
      <c r="V2100" t="str">
        <f>VLOOKUP(L2100,'[2]tabela de preços'!$A:$D,4,0)</f>
        <v>AUTOAMERICA</v>
      </c>
      <c r="W2100" t="str">
        <f>VLOOKUP(L2100,'[2]tabela de preços'!$A:$F,6,0)</f>
        <v>FLANELAS / PANOS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2101</v>
      </c>
      <c r="D2101" s="1">
        <v>46029</v>
      </c>
      <c r="E2101" t="s">
        <v>2102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21862</v>
      </c>
      <c r="M2101" t="s">
        <v>2040</v>
      </c>
      <c r="O2101" t="s">
        <v>11</v>
      </c>
      <c r="P2101">
        <v>5102</v>
      </c>
      <c r="Q2101">
        <v>1</v>
      </c>
      <c r="R2101">
        <v>29.8</v>
      </c>
      <c r="S2101">
        <v>29.8</v>
      </c>
      <c r="T2101">
        <v>22.62</v>
      </c>
      <c r="U2101">
        <v>24.09</v>
      </c>
      <c r="V2101" t="str">
        <f>VLOOKUP(L2101,'[2]tabela de preços'!$A:$D,4,0)</f>
        <v>SIKKENS</v>
      </c>
      <c r="W2101" t="str">
        <f>VLOOKUP(L2101,'[2]tabela de preços'!$A:$F,6,0)</f>
        <v>CATALISADORES INDIVIDUAS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2101</v>
      </c>
      <c r="D2102" s="1">
        <v>46029</v>
      </c>
      <c r="E2102" t="s">
        <v>2102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20455</v>
      </c>
      <c r="M2102" t="s">
        <v>2104</v>
      </c>
      <c r="O2102" t="s">
        <v>11</v>
      </c>
      <c r="P2102">
        <v>5403</v>
      </c>
      <c r="Q2102">
        <v>6</v>
      </c>
      <c r="R2102">
        <v>30.04</v>
      </c>
      <c r="S2102">
        <v>180.24</v>
      </c>
      <c r="T2102">
        <v>136.80000000000001</v>
      </c>
      <c r="U2102">
        <v>24.1</v>
      </c>
      <c r="V2102" t="str">
        <f>VLOOKUP(L2102,'[2]tabela de preços'!$A:$D,4,0)</f>
        <v>SHERWIN WILLIAMS</v>
      </c>
      <c r="W2102" t="str">
        <f>VLOOKUP(L2102,'[2]tabela de preços'!$A:$F,6,0)</f>
        <v>VERNIZ AUTOMOTIVO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2101</v>
      </c>
      <c r="D2103" s="1">
        <v>46029</v>
      </c>
      <c r="E2103" t="s">
        <v>2102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23602</v>
      </c>
      <c r="M2103" t="s">
        <v>215</v>
      </c>
      <c r="O2103" t="s">
        <v>11</v>
      </c>
      <c r="P2103">
        <v>5403</v>
      </c>
      <c r="Q2103">
        <v>9</v>
      </c>
      <c r="R2103">
        <v>35.89</v>
      </c>
      <c r="S2103">
        <v>323.01</v>
      </c>
      <c r="T2103">
        <v>263.25</v>
      </c>
      <c r="U2103">
        <v>18.5</v>
      </c>
      <c r="V2103" t="str">
        <f>VLOOKUP(L2103,'[2]tabela de preços'!$A:$D,4,0)</f>
        <v>SHERWIN WILLIAMS</v>
      </c>
      <c r="W2103" t="str">
        <f>VLOOKUP(L2103,'[2]tabela de preços'!$A:$F,6,0)</f>
        <v>VERNIZ AUTOMOTIVO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2101</v>
      </c>
      <c r="D2104" s="1">
        <v>46029</v>
      </c>
      <c r="E2104" t="s">
        <v>2102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20817</v>
      </c>
      <c r="M2104" t="s">
        <v>153</v>
      </c>
      <c r="O2104" t="s">
        <v>11</v>
      </c>
      <c r="P2104">
        <v>5102</v>
      </c>
      <c r="Q2104">
        <v>4</v>
      </c>
      <c r="R2104">
        <v>22.89</v>
      </c>
      <c r="S2104">
        <v>91.56</v>
      </c>
      <c r="T2104">
        <v>74.48</v>
      </c>
      <c r="U2104">
        <v>18.649999999999999</v>
      </c>
      <c r="V2104" t="str">
        <f>VLOOKUP(L2104,'[2]tabela de preços'!$A:$D,4,0)</f>
        <v>AUTO AMERICA</v>
      </c>
      <c r="W2104" t="str">
        <f>VLOOKUP(L2104,'[2]tabela de preços'!$A:$F,6,0)</f>
        <v>MASSA DE POLIR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2101</v>
      </c>
      <c r="D2105" s="1">
        <v>46029</v>
      </c>
      <c r="E2105" t="s">
        <v>2102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9764</v>
      </c>
      <c r="M2105" t="s">
        <v>173</v>
      </c>
      <c r="O2105" t="s">
        <v>11</v>
      </c>
      <c r="P2105">
        <v>5102</v>
      </c>
      <c r="Q2105">
        <v>2</v>
      </c>
      <c r="R2105">
        <v>33.54</v>
      </c>
      <c r="S2105">
        <v>67.08</v>
      </c>
      <c r="T2105">
        <v>50.92</v>
      </c>
      <c r="U2105">
        <v>24.09</v>
      </c>
      <c r="V2105" t="str">
        <f>VLOOKUP(L2105,'[2]tabela de preços'!$A:$D,4,0)</f>
        <v>SIKKENS</v>
      </c>
      <c r="W2105" t="str">
        <f>VLOOKUP(L2105,'[2]tabela de preços'!$A:$F,6,0)</f>
        <v>MASSA DE PEQUENOS REPAROS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2101</v>
      </c>
      <c r="D2106" s="1">
        <v>46029</v>
      </c>
      <c r="E2106" t="s">
        <v>2102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20525</v>
      </c>
      <c r="M2106" t="s">
        <v>137</v>
      </c>
      <c r="O2106" t="s">
        <v>11</v>
      </c>
      <c r="P2106">
        <v>5102</v>
      </c>
      <c r="Q2106">
        <v>6</v>
      </c>
      <c r="R2106">
        <v>13.65</v>
      </c>
      <c r="S2106">
        <v>81.900000000000006</v>
      </c>
      <c r="T2106">
        <v>62.16</v>
      </c>
      <c r="U2106">
        <v>24.1</v>
      </c>
      <c r="V2106" t="str">
        <f>VLOOKUP(L2106,'[2]tabela de preços'!$A:$D,4,0)</f>
        <v>SHERWIN WILLIAMS</v>
      </c>
      <c r="W2106" t="str">
        <f>VLOOKUP(L2106,'[2]tabela de preços'!$A:$F,6,0)</f>
        <v>MASSA DE PEQUENOS REPAROS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2101</v>
      </c>
      <c r="D2107" s="1">
        <v>46029</v>
      </c>
      <c r="E2107" t="s">
        <v>2102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21077</v>
      </c>
      <c r="M2107" t="s">
        <v>207</v>
      </c>
      <c r="O2107" t="s">
        <v>11</v>
      </c>
      <c r="P2107">
        <v>5102</v>
      </c>
      <c r="Q2107">
        <v>3</v>
      </c>
      <c r="R2107">
        <v>44.68</v>
      </c>
      <c r="S2107">
        <v>134.04</v>
      </c>
      <c r="T2107">
        <v>101.76</v>
      </c>
      <c r="U2107">
        <v>24.08</v>
      </c>
      <c r="V2107" t="str">
        <f>VLOOKUP(L2107,'[2]tabela de preços'!$A:$D,4,0)</f>
        <v>SHERWIN WILLIAMS</v>
      </c>
      <c r="W2107" t="str">
        <f>VLOOKUP(L2107,'[2]tabela de preços'!$A:$F,6,0)</f>
        <v>MASSA POLIÉSTER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2101</v>
      </c>
      <c r="D2108" s="1">
        <v>46029</v>
      </c>
      <c r="E2108" t="s">
        <v>2102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87043</v>
      </c>
      <c r="M2108" t="s">
        <v>217</v>
      </c>
      <c r="O2108" t="s">
        <v>11</v>
      </c>
      <c r="P2108">
        <v>5102</v>
      </c>
      <c r="Q2108">
        <v>8</v>
      </c>
      <c r="R2108">
        <v>22.89</v>
      </c>
      <c r="S2108">
        <v>183.12</v>
      </c>
      <c r="T2108">
        <v>144.16</v>
      </c>
      <c r="U2108">
        <v>21.28</v>
      </c>
      <c r="V2108" t="str">
        <f>VLOOKUP(L2108,'[2]tabela de preços'!$A:$D,4,0)</f>
        <v>ROBERLO</v>
      </c>
      <c r="W2108" t="str">
        <f>VLOOKUP(L2108,'[2]tabela de preços'!$A:$F,6,0)</f>
        <v>MASSA POLIÉSTER</v>
      </c>
      <c r="X2108" t="str">
        <f>VLOOKUP(L2108,'[2]tabela de preços'!$A:$G,7,0)</f>
        <v>AUTOMOTIVO</v>
      </c>
    </row>
    <row r="2109" spans="1:24" x14ac:dyDescent="0.3">
      <c r="A2109" t="s">
        <v>2100</v>
      </c>
      <c r="C2109" t="s">
        <v>2101</v>
      </c>
      <c r="D2109" s="1">
        <v>46029</v>
      </c>
      <c r="E2109" t="s">
        <v>2102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24247</v>
      </c>
      <c r="M2109" t="s">
        <v>111</v>
      </c>
      <c r="O2109" t="s">
        <v>11</v>
      </c>
      <c r="P2109">
        <v>5403</v>
      </c>
      <c r="Q2109">
        <v>8</v>
      </c>
      <c r="R2109">
        <v>19.899999999999999</v>
      </c>
      <c r="S2109">
        <v>159.19999999999999</v>
      </c>
      <c r="T2109">
        <v>132.80000000000001</v>
      </c>
      <c r="U2109">
        <v>16.579999999999998</v>
      </c>
      <c r="V2109" t="str">
        <f>VLOOKUP(L2109,'[2]tabela de preços'!$A:$D,4,0)</f>
        <v>SHERWIN WILLIAMS</v>
      </c>
      <c r="W2109" t="str">
        <f>VLOOKUP(L2109,'[2]tabela de preços'!$A:$F,6,0)</f>
        <v>PRIMER AUTOMOTIVO</v>
      </c>
      <c r="X2109" t="str">
        <f>VLOOKUP(L2109,'[2]tabela de preços'!$A:$G,7,0)</f>
        <v>AUTOMOTIVO</v>
      </c>
    </row>
    <row r="2110" spans="1:24" x14ac:dyDescent="0.3">
      <c r="A2110" t="s">
        <v>2100</v>
      </c>
      <c r="C2110" t="s">
        <v>2101</v>
      </c>
      <c r="D2110" s="1">
        <v>46029</v>
      </c>
      <c r="E2110" t="s">
        <v>2102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20212</v>
      </c>
      <c r="M2110" t="s">
        <v>198</v>
      </c>
      <c r="O2110" t="s">
        <v>11</v>
      </c>
      <c r="P2110">
        <v>5403</v>
      </c>
      <c r="Q2110">
        <v>2</v>
      </c>
      <c r="R2110">
        <v>26.95</v>
      </c>
      <c r="S2110">
        <v>53.9</v>
      </c>
      <c r="T2110">
        <v>40.92</v>
      </c>
      <c r="U2110">
        <v>24.08</v>
      </c>
      <c r="V2110" t="str">
        <f>VLOOKUP(L2110,'[2]tabela de preços'!$A:$D,4,0)</f>
        <v>MAXI RUBBER</v>
      </c>
      <c r="W2110" t="str">
        <f>VLOOKUP(L2110,'[2]tabela de preços'!$A:$F,6,0)</f>
        <v>SELADORA P/ PLASTICO</v>
      </c>
      <c r="X2110" t="str">
        <f>VLOOKUP(L2110,'[2]tabela de preços'!$A:$G,7,0)</f>
        <v>AUTOMOTIVO</v>
      </c>
    </row>
    <row r="2111" spans="1:24" x14ac:dyDescent="0.3">
      <c r="A2111" t="s">
        <v>2100</v>
      </c>
      <c r="C2111" t="s">
        <v>2101</v>
      </c>
      <c r="D2111" s="1">
        <v>46029</v>
      </c>
      <c r="E2111" t="s">
        <v>2102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10298</v>
      </c>
      <c r="M2111" t="s">
        <v>85</v>
      </c>
      <c r="O2111" t="s">
        <v>11</v>
      </c>
      <c r="P2111">
        <v>5102</v>
      </c>
      <c r="Q2111">
        <v>2</v>
      </c>
      <c r="R2111">
        <v>56.8</v>
      </c>
      <c r="S2111">
        <v>113.6</v>
      </c>
      <c r="T2111">
        <v>94.76</v>
      </c>
      <c r="U2111">
        <v>16.579999999999998</v>
      </c>
      <c r="V2111" t="str">
        <f>VLOOKUP(L2111,'[2]tabela de preços'!$A:$D,4,0)</f>
        <v>ANJO</v>
      </c>
      <c r="W2111" t="str">
        <f>VLOOKUP(L2111,'[2]tabela de preços'!$A:$F,6,0)</f>
        <v>THINNER DE LIMPEZA</v>
      </c>
      <c r="X2111" t="str">
        <f>VLOOKUP(L2111,'[2]tabela de preços'!$A:$G,7,0)</f>
        <v>THINNER</v>
      </c>
    </row>
    <row r="2112" spans="1:24" x14ac:dyDescent="0.3">
      <c r="A2112" t="s">
        <v>2100</v>
      </c>
      <c r="C2112" t="s">
        <v>2101</v>
      </c>
      <c r="D2112" s="1">
        <v>46029</v>
      </c>
      <c r="E2112" t="s">
        <v>2102</v>
      </c>
      <c r="F2112">
        <v>9</v>
      </c>
      <c r="G2112">
        <v>174</v>
      </c>
      <c r="H2112" t="str">
        <f>VLOOKUP(G2112,[1]OPERADORES!$A:$B,2,0)</f>
        <v>MIRIÃ LOBATO RODRIGUES</v>
      </c>
      <c r="I2112" t="s">
        <v>21</v>
      </c>
      <c r="J2112" t="s">
        <v>1788</v>
      </c>
      <c r="K2112" t="s">
        <v>2103</v>
      </c>
      <c r="L2112">
        <v>10297</v>
      </c>
      <c r="M2112" t="s">
        <v>41</v>
      </c>
      <c r="O2112" t="s">
        <v>11</v>
      </c>
      <c r="P2112">
        <v>5102</v>
      </c>
      <c r="Q2112">
        <v>15</v>
      </c>
      <c r="R2112">
        <v>10.95</v>
      </c>
      <c r="S2112">
        <v>164.25</v>
      </c>
      <c r="T2112">
        <v>137.55000000000001</v>
      </c>
      <c r="U2112">
        <v>16.260000000000002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2100</v>
      </c>
      <c r="C2113" t="s">
        <v>2101</v>
      </c>
      <c r="D2113" s="1">
        <v>46029</v>
      </c>
      <c r="E2113" t="s">
        <v>2102</v>
      </c>
      <c r="F2113">
        <v>9</v>
      </c>
      <c r="G2113">
        <v>174</v>
      </c>
      <c r="H2113" t="str">
        <f>VLOOKUP(G2113,[1]OPERADORES!$A:$B,2,0)</f>
        <v>MIRIÃ LOBATO RODRIGUES</v>
      </c>
      <c r="I2113" t="s">
        <v>21</v>
      </c>
      <c r="J2113" t="s">
        <v>1788</v>
      </c>
      <c r="K2113" t="s">
        <v>2103</v>
      </c>
      <c r="L2113">
        <v>84560</v>
      </c>
      <c r="M2113" t="s">
        <v>118</v>
      </c>
      <c r="O2113" t="s">
        <v>11</v>
      </c>
      <c r="P2113">
        <v>5102</v>
      </c>
      <c r="Q2113">
        <v>2</v>
      </c>
      <c r="R2113">
        <v>46.9</v>
      </c>
      <c r="S2113">
        <v>93.8</v>
      </c>
      <c r="T2113">
        <v>78.319999999999993</v>
      </c>
      <c r="U2113">
        <v>16.5</v>
      </c>
      <c r="V2113" t="str">
        <f>VLOOKUP(L2113,'[2]tabela de preços'!$A:$D,4,0)</f>
        <v>BRASILUX</v>
      </c>
      <c r="W2113" t="str">
        <f>VLOOKUP(L2113,'[2]tabela de preços'!$A:$F,6,0)</f>
        <v>THINNER DE LIMPEZA</v>
      </c>
      <c r="X2113" t="str">
        <f>VLOOKUP(L2113,'[2]tabela de preços'!$A:$G,7,0)</f>
        <v>THINNER</v>
      </c>
    </row>
    <row r="2114" spans="1:24" x14ac:dyDescent="0.3">
      <c r="A2114" t="s">
        <v>2100</v>
      </c>
      <c r="C2114" t="s">
        <v>2101</v>
      </c>
      <c r="D2114" s="1">
        <v>46029</v>
      </c>
      <c r="E2114" t="s">
        <v>2102</v>
      </c>
      <c r="F2114">
        <v>9</v>
      </c>
      <c r="G2114">
        <v>174</v>
      </c>
      <c r="H2114" t="str">
        <f>VLOOKUP(G2114,[1]OPERADORES!$A:$B,2,0)</f>
        <v>MIRIÃ LOBATO RODRIGUES</v>
      </c>
      <c r="I2114" t="s">
        <v>21</v>
      </c>
      <c r="J2114" t="s">
        <v>1788</v>
      </c>
      <c r="K2114" t="s">
        <v>2103</v>
      </c>
      <c r="L2114">
        <v>21316</v>
      </c>
      <c r="M2114" t="s">
        <v>1829</v>
      </c>
      <c r="O2114" t="s">
        <v>11</v>
      </c>
      <c r="P2114">
        <v>5102</v>
      </c>
      <c r="Q2114">
        <v>1</v>
      </c>
      <c r="R2114">
        <v>124.15</v>
      </c>
      <c r="S2114">
        <v>124.15</v>
      </c>
      <c r="T2114">
        <v>94.23</v>
      </c>
      <c r="U2114">
        <v>24.1</v>
      </c>
      <c r="V2114" t="str">
        <f>VLOOKUP(L2114,'[2]tabela de preços'!$A:$D,4,0)</f>
        <v>SHERWIN WILLIAMS</v>
      </c>
      <c r="W2114" t="str">
        <f>VLOOKUP(L2114,'[2]tabela de preços'!$A:$F,6,0)</f>
        <v>DILUENTE</v>
      </c>
      <c r="X2114" t="str">
        <f>VLOOKUP(L2114,'[2]tabela de preços'!$A:$G,7,0)</f>
        <v>AUTOMOTIVO</v>
      </c>
    </row>
    <row r="2115" spans="1:24" x14ac:dyDescent="0.3">
      <c r="A2115" t="s">
        <v>2100</v>
      </c>
      <c r="C2115" t="s">
        <v>2105</v>
      </c>
      <c r="D2115" s="1">
        <v>46035</v>
      </c>
      <c r="E2115" t="s">
        <v>2106</v>
      </c>
      <c r="F2115">
        <v>9</v>
      </c>
      <c r="G2115">
        <v>174</v>
      </c>
      <c r="H2115" t="str">
        <f>VLOOKUP(G2115,[1]OPERADORES!$A:$B,2,0)</f>
        <v>MIRIÃ LOBATO RODRIGUES</v>
      </c>
      <c r="I2115" t="s">
        <v>21</v>
      </c>
      <c r="J2115" t="s">
        <v>1788</v>
      </c>
      <c r="K2115" t="s">
        <v>2103</v>
      </c>
      <c r="L2115">
        <v>20099</v>
      </c>
      <c r="M2115" t="s">
        <v>1308</v>
      </c>
      <c r="O2115" t="s">
        <v>11</v>
      </c>
      <c r="P2115">
        <v>5403</v>
      </c>
      <c r="Q2115">
        <v>3</v>
      </c>
      <c r="R2115">
        <v>15.9</v>
      </c>
      <c r="S2115">
        <v>47.7</v>
      </c>
      <c r="T2115">
        <v>36.21</v>
      </c>
      <c r="U2115">
        <v>24.09</v>
      </c>
      <c r="V2115" t="str">
        <f>VLOOKUP(L2115,'[2]tabela de preços'!$A:$D,4,0)</f>
        <v>MAXI RUBBER</v>
      </c>
      <c r="W2115" t="str">
        <f>VLOOKUP(L2115,'[2]tabela de preços'!$A:$F,6,0)</f>
        <v>BATIDA DE PEDRA</v>
      </c>
      <c r="X2115" t="str">
        <f>VLOOKUP(L2115,'[2]tabela de preços'!$A:$G,7,0)</f>
        <v>AUTOMOTIVO</v>
      </c>
    </row>
    <row r="2116" spans="1:24" x14ac:dyDescent="0.3">
      <c r="A2116" t="s">
        <v>2100</v>
      </c>
      <c r="C2116" t="s">
        <v>2105</v>
      </c>
      <c r="D2116" s="1">
        <v>46035</v>
      </c>
      <c r="E2116" t="s">
        <v>2106</v>
      </c>
      <c r="F2116">
        <v>9</v>
      </c>
      <c r="G2116">
        <v>174</v>
      </c>
      <c r="H2116" t="str">
        <f>VLOOKUP(G2116,[1]OPERADORES!$A:$B,2,0)</f>
        <v>MIRIÃ LOBATO RODRIGUES</v>
      </c>
      <c r="I2116" t="s">
        <v>21</v>
      </c>
      <c r="J2116" t="s">
        <v>1788</v>
      </c>
      <c r="K2116" t="s">
        <v>2103</v>
      </c>
      <c r="L2116">
        <v>84557</v>
      </c>
      <c r="M2116" t="s">
        <v>116</v>
      </c>
      <c r="O2116" t="s">
        <v>11</v>
      </c>
      <c r="P2116">
        <v>5102</v>
      </c>
      <c r="Q2116">
        <v>8</v>
      </c>
      <c r="R2116">
        <v>17.489999999999998</v>
      </c>
      <c r="S2116">
        <v>139.91999999999999</v>
      </c>
      <c r="T2116">
        <v>111.68</v>
      </c>
      <c r="U2116">
        <v>20.18</v>
      </c>
      <c r="V2116" t="str">
        <f>VLOOKUP(L2116,'[2]tabela de preços'!$A:$D,4,0)</f>
        <v>BRASILUX</v>
      </c>
      <c r="W2116" t="str">
        <f>VLOOKUP(L2116,'[2]tabela de preços'!$A:$F,6,0)</f>
        <v>DILUENTE</v>
      </c>
      <c r="X2116" t="str">
        <f>VLOOKUP(L2116,'[2]tabela de preços'!$A:$G,7,0)</f>
        <v>AUTOMOTIVO</v>
      </c>
    </row>
    <row r="2117" spans="1:24" x14ac:dyDescent="0.3">
      <c r="A2117" t="s">
        <v>2100</v>
      </c>
      <c r="C2117" t="s">
        <v>2105</v>
      </c>
      <c r="D2117" s="1">
        <v>46035</v>
      </c>
      <c r="E2117" t="s">
        <v>2106</v>
      </c>
      <c r="F2117">
        <v>9</v>
      </c>
      <c r="G2117">
        <v>174</v>
      </c>
      <c r="H2117" t="str">
        <f>VLOOKUP(G2117,[1]OPERADORES!$A:$B,2,0)</f>
        <v>MIRIÃ LOBATO RODRIGUES</v>
      </c>
      <c r="I2117" t="s">
        <v>21</v>
      </c>
      <c r="J2117" t="s">
        <v>1788</v>
      </c>
      <c r="K2117" t="s">
        <v>2103</v>
      </c>
      <c r="L2117">
        <v>10236</v>
      </c>
      <c r="M2117" t="s">
        <v>133</v>
      </c>
      <c r="O2117" t="s">
        <v>11</v>
      </c>
      <c r="P2117">
        <v>5102</v>
      </c>
      <c r="Q2117">
        <v>25</v>
      </c>
      <c r="R2117">
        <v>2.79</v>
      </c>
      <c r="S2117">
        <v>69.75</v>
      </c>
      <c r="T2117">
        <v>58</v>
      </c>
      <c r="U2117">
        <v>16.850000000000001</v>
      </c>
      <c r="V2117" t="str">
        <f>VLOOKUP(L2117,'[2]tabela de preços'!$A:$D,4,0)</f>
        <v>NORTON</v>
      </c>
      <c r="W2117" t="str">
        <f>VLOOKUP(L2117,'[2]tabela de preços'!$A:$F,6,0)</f>
        <v xml:space="preserve">DISCOS / LIXAS / ABRASIVOS </v>
      </c>
      <c r="X2117" t="str">
        <f>VLOOKUP(L2117,'[2]tabela de preços'!$A:$G,7,0)</f>
        <v>AUTOMOTIVO</v>
      </c>
    </row>
    <row r="2118" spans="1:24" x14ac:dyDescent="0.3">
      <c r="A2118" t="s">
        <v>2100</v>
      </c>
      <c r="C2118" t="s">
        <v>2105</v>
      </c>
      <c r="D2118" s="1">
        <v>46035</v>
      </c>
      <c r="E2118" t="s">
        <v>2106</v>
      </c>
      <c r="F2118">
        <v>9</v>
      </c>
      <c r="G2118">
        <v>174</v>
      </c>
      <c r="H2118" t="str">
        <f>VLOOKUP(G2118,[1]OPERADORES!$A:$B,2,0)</f>
        <v>MIRIÃ LOBATO RODRIGUES</v>
      </c>
      <c r="I2118" t="s">
        <v>21</v>
      </c>
      <c r="J2118" t="s">
        <v>1788</v>
      </c>
      <c r="K2118" t="s">
        <v>2103</v>
      </c>
      <c r="L2118">
        <v>10226</v>
      </c>
      <c r="M2118" t="s">
        <v>145</v>
      </c>
      <c r="O2118" t="s">
        <v>11</v>
      </c>
      <c r="P2118">
        <v>5102</v>
      </c>
      <c r="Q2118">
        <v>20</v>
      </c>
      <c r="R2118">
        <v>2.79</v>
      </c>
      <c r="S2118">
        <v>55.8</v>
      </c>
      <c r="T2118">
        <v>46.4</v>
      </c>
      <c r="U2118">
        <v>16.850000000000001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2100</v>
      </c>
      <c r="C2119" t="s">
        <v>2105</v>
      </c>
      <c r="D2119" s="1">
        <v>46035</v>
      </c>
      <c r="E2119" t="s">
        <v>2106</v>
      </c>
      <c r="F2119">
        <v>9</v>
      </c>
      <c r="G2119">
        <v>174</v>
      </c>
      <c r="H2119" t="str">
        <f>VLOOKUP(G2119,[1]OPERADORES!$A:$B,2,0)</f>
        <v>MIRIÃ LOBATO RODRIGUES</v>
      </c>
      <c r="I2119" t="s">
        <v>21</v>
      </c>
      <c r="J2119" t="s">
        <v>1788</v>
      </c>
      <c r="K2119" t="s">
        <v>2103</v>
      </c>
      <c r="L2119">
        <v>20983</v>
      </c>
      <c r="M2119" t="s">
        <v>2107</v>
      </c>
      <c r="O2119" t="s">
        <v>11</v>
      </c>
      <c r="P2119">
        <v>5102</v>
      </c>
      <c r="Q2119">
        <v>2</v>
      </c>
      <c r="R2119">
        <v>16.84</v>
      </c>
      <c r="S2119">
        <v>33.68</v>
      </c>
      <c r="T2119">
        <v>25.56</v>
      </c>
      <c r="U2119">
        <v>24.11</v>
      </c>
      <c r="V2119" t="str">
        <f>VLOOKUP(L2119,'[2]tabela de preços'!$A:$D,4,0)</f>
        <v>3M</v>
      </c>
      <c r="W2119" t="str">
        <f>VLOOKUP(L2119,'[2]tabela de preços'!$A:$F,6,0)</f>
        <v>DISCO TRIZACT</v>
      </c>
      <c r="X2119" t="str">
        <f>VLOOKUP(L2119,'[2]tabela de preços'!$A:$G,7,0)</f>
        <v>AUTOMOTIVO</v>
      </c>
    </row>
    <row r="2120" spans="1:24" x14ac:dyDescent="0.3">
      <c r="A2120" t="s">
        <v>2100</v>
      </c>
      <c r="C2120" t="s">
        <v>2105</v>
      </c>
      <c r="D2120" s="1">
        <v>46035</v>
      </c>
      <c r="E2120" t="s">
        <v>2106</v>
      </c>
      <c r="F2120">
        <v>9</v>
      </c>
      <c r="G2120">
        <v>174</v>
      </c>
      <c r="H2120" t="str">
        <f>VLOOKUP(G2120,[1]OPERADORES!$A:$B,2,0)</f>
        <v>MIRIÃ LOBATO RODRIGUES</v>
      </c>
      <c r="I2120" t="s">
        <v>21</v>
      </c>
      <c r="J2120" t="s">
        <v>1788</v>
      </c>
      <c r="K2120" t="s">
        <v>2103</v>
      </c>
      <c r="L2120">
        <v>20135</v>
      </c>
      <c r="M2120" t="s">
        <v>459</v>
      </c>
      <c r="O2120" t="s">
        <v>11</v>
      </c>
      <c r="P2120">
        <v>5102</v>
      </c>
      <c r="Q2120">
        <v>2</v>
      </c>
      <c r="R2120">
        <v>25.37</v>
      </c>
      <c r="S2120">
        <v>50.74</v>
      </c>
      <c r="T2120">
        <v>38.520000000000003</v>
      </c>
      <c r="U2120">
        <v>24.08</v>
      </c>
      <c r="V2120" t="str">
        <f>VLOOKUP(L2120,'[2]tabela de preços'!$A:$D,4,0)</f>
        <v>3M</v>
      </c>
      <c r="W2120" t="str">
        <f>VLOOKUP(L2120,'[2]tabela de preços'!$A:$F,6,0)</f>
        <v>DISCO TRIZACT</v>
      </c>
      <c r="X2120" t="str">
        <f>VLOOKUP(L2120,'[2]tabela de preços'!$A:$G,7,0)</f>
        <v>AUTOMOTIVO</v>
      </c>
    </row>
    <row r="2121" spans="1:24" x14ac:dyDescent="0.3">
      <c r="A2121" t="s">
        <v>2100</v>
      </c>
      <c r="C2121" t="s">
        <v>2105</v>
      </c>
      <c r="D2121" s="1">
        <v>46035</v>
      </c>
      <c r="E2121" t="s">
        <v>2106</v>
      </c>
      <c r="F2121">
        <v>9</v>
      </c>
      <c r="G2121">
        <v>174</v>
      </c>
      <c r="H2121" t="str">
        <f>VLOOKUP(G2121,[1]OPERADORES!$A:$B,2,0)</f>
        <v>MIRIÃ LOBATO RODRIGUES</v>
      </c>
      <c r="I2121" t="s">
        <v>21</v>
      </c>
      <c r="J2121" t="s">
        <v>1788</v>
      </c>
      <c r="K2121" t="s">
        <v>2103</v>
      </c>
      <c r="L2121">
        <v>24248</v>
      </c>
      <c r="M2121" t="s">
        <v>107</v>
      </c>
      <c r="O2121" t="s">
        <v>11</v>
      </c>
      <c r="P2121">
        <v>5102</v>
      </c>
      <c r="Q2121">
        <v>5</v>
      </c>
      <c r="R2121">
        <v>8</v>
      </c>
      <c r="S2121">
        <v>40</v>
      </c>
      <c r="T2121">
        <v>32.049999999999997</v>
      </c>
      <c r="U2121">
        <v>19.88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2100</v>
      </c>
      <c r="C2122" t="s">
        <v>2105</v>
      </c>
      <c r="D2122" s="1">
        <v>46035</v>
      </c>
      <c r="E2122" t="s">
        <v>2106</v>
      </c>
      <c r="F2122">
        <v>9</v>
      </c>
      <c r="G2122">
        <v>174</v>
      </c>
      <c r="H2122" t="str">
        <f>VLOOKUP(G2122,[1]OPERADORES!$A:$B,2,0)</f>
        <v>MIRIÃ LOBATO RODRIGUES</v>
      </c>
      <c r="I2122" t="s">
        <v>21</v>
      </c>
      <c r="J2122" t="s">
        <v>1788</v>
      </c>
      <c r="K2122" t="s">
        <v>2103</v>
      </c>
      <c r="L2122">
        <v>24240</v>
      </c>
      <c r="M2122" t="s">
        <v>240</v>
      </c>
      <c r="O2122" t="s">
        <v>11</v>
      </c>
      <c r="P2122">
        <v>5102</v>
      </c>
      <c r="Q2122">
        <v>50</v>
      </c>
      <c r="R2122">
        <v>3.81</v>
      </c>
      <c r="S2122">
        <v>190.5</v>
      </c>
      <c r="T2122">
        <v>164</v>
      </c>
      <c r="U2122">
        <v>13.91</v>
      </c>
      <c r="V2122" t="str">
        <f>VLOOKUP(L2122,'[2]tabela de preços'!$A:$D,4,0)</f>
        <v>ADERE</v>
      </c>
      <c r="W2122" t="str">
        <f>VLOOKUP(L2122,'[2]tabela de preços'!$A:$F,6,0)</f>
        <v>FITA AUTOMOTIVA</v>
      </c>
      <c r="X2122" t="str">
        <f>VLOOKUP(L2122,'[2]tabela de preços'!$A:$G,7,0)</f>
        <v>AUTOMOTIVO</v>
      </c>
    </row>
    <row r="2123" spans="1:24" x14ac:dyDescent="0.3">
      <c r="A2123" t="s">
        <v>2100</v>
      </c>
      <c r="C2123" t="s">
        <v>2105</v>
      </c>
      <c r="D2123" s="1">
        <v>46035</v>
      </c>
      <c r="E2123" t="s">
        <v>2106</v>
      </c>
      <c r="F2123">
        <v>9</v>
      </c>
      <c r="G2123">
        <v>174</v>
      </c>
      <c r="H2123" t="str">
        <f>VLOOKUP(G2123,[1]OPERADORES!$A:$B,2,0)</f>
        <v>MIRIÃ LOBATO RODRIGUES</v>
      </c>
      <c r="I2123" t="s">
        <v>21</v>
      </c>
      <c r="J2123" t="s">
        <v>1788</v>
      </c>
      <c r="K2123" t="s">
        <v>2103</v>
      </c>
      <c r="L2123">
        <v>23602</v>
      </c>
      <c r="M2123" t="s">
        <v>215</v>
      </c>
      <c r="O2123" t="s">
        <v>11</v>
      </c>
      <c r="P2123">
        <v>5403</v>
      </c>
      <c r="Q2123">
        <v>5</v>
      </c>
      <c r="R2123">
        <v>35.89</v>
      </c>
      <c r="S2123">
        <v>179.45</v>
      </c>
      <c r="T2123">
        <v>146.25</v>
      </c>
      <c r="U2123">
        <v>18.5</v>
      </c>
      <c r="V2123" t="str">
        <f>VLOOKUP(L2123,'[2]tabela de preços'!$A:$D,4,0)</f>
        <v>SHERWIN WILLIAMS</v>
      </c>
      <c r="W2123" t="str">
        <f>VLOOKUP(L2123,'[2]tabela de preços'!$A:$F,6,0)</f>
        <v>VERNIZ AUTOMOTIVO</v>
      </c>
      <c r="X2123" t="str">
        <f>VLOOKUP(L2123,'[2]tabela de preços'!$A:$G,7,0)</f>
        <v>AUTOMOTIVO</v>
      </c>
    </row>
    <row r="2124" spans="1:24" x14ac:dyDescent="0.3">
      <c r="A2124" t="s">
        <v>2100</v>
      </c>
      <c r="C2124" t="s">
        <v>2105</v>
      </c>
      <c r="D2124" s="1">
        <v>46035</v>
      </c>
      <c r="E2124" t="s">
        <v>2106</v>
      </c>
      <c r="F2124">
        <v>9</v>
      </c>
      <c r="G2124">
        <v>174</v>
      </c>
      <c r="H2124" t="str">
        <f>VLOOKUP(G2124,[1]OPERADORES!$A:$B,2,0)</f>
        <v>MIRIÃ LOBATO RODRIGUES</v>
      </c>
      <c r="I2124" t="s">
        <v>21</v>
      </c>
      <c r="J2124" t="s">
        <v>1788</v>
      </c>
      <c r="K2124" t="s">
        <v>2103</v>
      </c>
      <c r="L2124">
        <v>24067</v>
      </c>
      <c r="M2124" t="s">
        <v>1978</v>
      </c>
      <c r="O2124" t="s">
        <v>11</v>
      </c>
      <c r="P2124">
        <v>5403</v>
      </c>
      <c r="Q2124">
        <v>5</v>
      </c>
      <c r="R2124">
        <v>69.25</v>
      </c>
      <c r="S2124">
        <v>346.25</v>
      </c>
      <c r="T2124">
        <v>262.8</v>
      </c>
      <c r="U2124">
        <v>24.1</v>
      </c>
      <c r="V2124" t="str">
        <f>VLOOKUP(L2124,'[2]tabela de preços'!$A:$D,4,0)</f>
        <v>SKY</v>
      </c>
      <c r="W2124" t="str">
        <f>VLOOKUP(L2124,'[2]tabela de preços'!$A:$F,6,0)</f>
        <v>VERNIZ AUTOMOTIVO</v>
      </c>
      <c r="X2124" t="str">
        <f>VLOOKUP(L2124,'[2]tabela de preços'!$A:$G,7,0)</f>
        <v>AUTOMOTIVO</v>
      </c>
    </row>
    <row r="2125" spans="1:24" x14ac:dyDescent="0.3">
      <c r="A2125" t="s">
        <v>2100</v>
      </c>
      <c r="C2125" t="s">
        <v>2105</v>
      </c>
      <c r="D2125" s="1">
        <v>46035</v>
      </c>
      <c r="E2125" t="s">
        <v>2106</v>
      </c>
      <c r="F2125">
        <v>9</v>
      </c>
      <c r="G2125">
        <v>174</v>
      </c>
      <c r="H2125" t="str">
        <f>VLOOKUP(G2125,[1]OPERADORES!$A:$B,2,0)</f>
        <v>MIRIÃ LOBATO RODRIGUES</v>
      </c>
      <c r="I2125" t="s">
        <v>21</v>
      </c>
      <c r="J2125" t="s">
        <v>1788</v>
      </c>
      <c r="K2125" t="s">
        <v>2103</v>
      </c>
      <c r="L2125">
        <v>20960</v>
      </c>
      <c r="M2125" t="s">
        <v>1734</v>
      </c>
      <c r="O2125" t="s">
        <v>11</v>
      </c>
      <c r="P2125">
        <v>5403</v>
      </c>
      <c r="Q2125">
        <v>1</v>
      </c>
      <c r="R2125">
        <v>79.56</v>
      </c>
      <c r="S2125">
        <v>79.56</v>
      </c>
      <c r="T2125">
        <v>60.39</v>
      </c>
      <c r="U2125">
        <v>24.1</v>
      </c>
      <c r="V2125" t="str">
        <f>VLOOKUP(L2125,'[2]tabela de preços'!$A:$D,4,0)</f>
        <v>SHERWIN WILLIAMS</v>
      </c>
      <c r="W2125" t="str">
        <f>VLOOKUP(L2125,'[2]tabela de preços'!$A:$F,6,0)</f>
        <v>VERNIZ AUTOMOTIVO</v>
      </c>
      <c r="X2125" t="str">
        <f>VLOOKUP(L2125,'[2]tabela de preços'!$A:$G,7,0)</f>
        <v>AUTOMOTIVO</v>
      </c>
    </row>
    <row r="2126" spans="1:24" x14ac:dyDescent="0.3">
      <c r="A2126" t="s">
        <v>2100</v>
      </c>
      <c r="C2126" t="s">
        <v>2105</v>
      </c>
      <c r="D2126" s="1">
        <v>46035</v>
      </c>
      <c r="E2126" t="s">
        <v>2106</v>
      </c>
      <c r="F2126">
        <v>9</v>
      </c>
      <c r="G2126">
        <v>174</v>
      </c>
      <c r="H2126" t="str">
        <f>VLOOKUP(G2126,[1]OPERADORES!$A:$B,2,0)</f>
        <v>MIRIÃ LOBATO RODRIGUES</v>
      </c>
      <c r="I2126" t="s">
        <v>21</v>
      </c>
      <c r="J2126" t="s">
        <v>1788</v>
      </c>
      <c r="K2126" t="s">
        <v>2103</v>
      </c>
      <c r="L2126">
        <v>85498</v>
      </c>
      <c r="M2126" t="s">
        <v>1474</v>
      </c>
      <c r="O2126" t="s">
        <v>411</v>
      </c>
      <c r="P2126">
        <v>5403</v>
      </c>
      <c r="Q2126">
        <v>2</v>
      </c>
      <c r="R2126">
        <v>42.12</v>
      </c>
      <c r="S2126">
        <v>84.24</v>
      </c>
      <c r="T2126">
        <v>60.06</v>
      </c>
      <c r="U2126">
        <v>28.7</v>
      </c>
      <c r="V2126" t="str">
        <f>VLOOKUP(L2126,'[2]tabela de preços'!$A:$D,4,0)</f>
        <v>SHERWIN WILLIAMS</v>
      </c>
      <c r="W2126" t="str">
        <f>VLOOKUP(L2126,'[2]tabela de preços'!$A:$F,6,0)</f>
        <v>TINTAS POLIÉSTER</v>
      </c>
      <c r="X2126" t="str">
        <f>VLOOKUP(L2126,'[2]tabela de preços'!$A:$G,7,0)</f>
        <v>AUTOMOTIVO</v>
      </c>
    </row>
    <row r="2127" spans="1:24" x14ac:dyDescent="0.3">
      <c r="A2127" t="s">
        <v>2100</v>
      </c>
      <c r="C2127" t="s">
        <v>2105</v>
      </c>
      <c r="D2127" s="1">
        <v>46035</v>
      </c>
      <c r="E2127" t="s">
        <v>2106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21</v>
      </c>
      <c r="J2127" t="s">
        <v>1788</v>
      </c>
      <c r="K2127" t="s">
        <v>2103</v>
      </c>
      <c r="L2127">
        <v>13</v>
      </c>
      <c r="M2127" t="s">
        <v>152</v>
      </c>
      <c r="O2127" t="s">
        <v>11</v>
      </c>
      <c r="P2127">
        <v>5102</v>
      </c>
      <c r="Q2127">
        <v>20</v>
      </c>
      <c r="R2127">
        <v>5.79</v>
      </c>
      <c r="S2127">
        <v>115.8</v>
      </c>
      <c r="T2127">
        <v>83.2</v>
      </c>
      <c r="U2127">
        <v>28.15</v>
      </c>
      <c r="V2127" t="str">
        <f>VLOOKUP(L2127,'[2]tabela de preços'!$A:$D,4,0)</f>
        <v>3M</v>
      </c>
      <c r="W2127" t="str">
        <f>VLOOKUP(L2127,'[2]tabela de preços'!$A:$F,6,0)</f>
        <v>LIXA DÁGUA</v>
      </c>
      <c r="X2127" t="str">
        <f>VLOOKUP(L2127,'[2]tabela de preços'!$A:$G,7,0)</f>
        <v>AUTOMOTIVO</v>
      </c>
    </row>
    <row r="2128" spans="1:24" x14ac:dyDescent="0.3">
      <c r="A2128" t="s">
        <v>2100</v>
      </c>
      <c r="C2128" t="s">
        <v>2105</v>
      </c>
      <c r="D2128" s="1">
        <v>46035</v>
      </c>
      <c r="E2128" t="s">
        <v>2106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21</v>
      </c>
      <c r="J2128" t="s">
        <v>1788</v>
      </c>
      <c r="K2128" t="s">
        <v>2103</v>
      </c>
      <c r="L2128">
        <v>10238</v>
      </c>
      <c r="M2128" t="s">
        <v>79</v>
      </c>
      <c r="O2128" t="s">
        <v>11</v>
      </c>
      <c r="P2128">
        <v>5102</v>
      </c>
      <c r="Q2128">
        <v>50</v>
      </c>
      <c r="R2128">
        <v>2.79</v>
      </c>
      <c r="S2128">
        <v>139.5</v>
      </c>
      <c r="T2128">
        <v>112</v>
      </c>
      <c r="U2128">
        <v>19.71</v>
      </c>
      <c r="V2128" t="str">
        <f>VLOOKUP(L2128,'[2]tabela de preços'!$A:$D,4,0)</f>
        <v>NORTON</v>
      </c>
      <c r="W2128" t="str">
        <f>VLOOKUP(L2128,'[2]tabela de preços'!$A:$F,6,0)</f>
        <v xml:space="preserve">DISCOS / LIXAS / ABRASIVOS </v>
      </c>
      <c r="X2128" t="str">
        <f>VLOOKUP(L2128,'[2]tabela de preços'!$A:$G,7,0)</f>
        <v>AUTOMOTIVO</v>
      </c>
    </row>
    <row r="2129" spans="1:24" x14ac:dyDescent="0.3">
      <c r="A2129" t="s">
        <v>2100</v>
      </c>
      <c r="C2129" t="s">
        <v>2105</v>
      </c>
      <c r="D2129" s="1">
        <v>46035</v>
      </c>
      <c r="E2129" t="s">
        <v>2106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21</v>
      </c>
      <c r="J2129" t="s">
        <v>1788</v>
      </c>
      <c r="K2129" t="s">
        <v>2103</v>
      </c>
      <c r="L2129">
        <v>10243</v>
      </c>
      <c r="M2129" t="s">
        <v>83</v>
      </c>
      <c r="O2129" t="s">
        <v>11</v>
      </c>
      <c r="P2129">
        <v>5102</v>
      </c>
      <c r="Q2129">
        <v>50</v>
      </c>
      <c r="R2129">
        <v>2.79</v>
      </c>
      <c r="S2129">
        <v>139.5</v>
      </c>
      <c r="T2129">
        <v>96.5</v>
      </c>
      <c r="U2129">
        <v>30.82</v>
      </c>
      <c r="V2129" t="str">
        <f>VLOOKUP(L2129,'[2]tabela de preços'!$A:$D,4,0)</f>
        <v>NORTON</v>
      </c>
      <c r="W2129" t="str">
        <f>VLOOKUP(L2129,'[2]tabela de preços'!$A:$F,6,0)</f>
        <v xml:space="preserve">DISCOS / LIXAS / ABRASIVOS </v>
      </c>
      <c r="X2129" t="str">
        <f>VLOOKUP(L2129,'[2]tabela de preços'!$A:$G,7,0)</f>
        <v>AUTOMOTIVO</v>
      </c>
    </row>
    <row r="2130" spans="1:24" x14ac:dyDescent="0.3">
      <c r="A2130" t="s">
        <v>2100</v>
      </c>
      <c r="C2130" t="s">
        <v>2105</v>
      </c>
      <c r="D2130" s="1">
        <v>46035</v>
      </c>
      <c r="E2130" t="s">
        <v>2106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21</v>
      </c>
      <c r="J2130" t="s">
        <v>1788</v>
      </c>
      <c r="K2130" t="s">
        <v>2103</v>
      </c>
      <c r="L2130">
        <v>10244</v>
      </c>
      <c r="M2130" t="s">
        <v>84</v>
      </c>
      <c r="O2130" t="s">
        <v>11</v>
      </c>
      <c r="P2130">
        <v>5102</v>
      </c>
      <c r="Q2130">
        <v>50</v>
      </c>
      <c r="R2130">
        <v>2.79</v>
      </c>
      <c r="S2130">
        <v>139.5</v>
      </c>
      <c r="T2130">
        <v>96.5</v>
      </c>
      <c r="U2130">
        <v>30.82</v>
      </c>
      <c r="V2130" t="str">
        <f>VLOOKUP(L2130,'[2]tabela de preços'!$A:$D,4,0)</f>
        <v>NORTON</v>
      </c>
      <c r="W2130" t="str">
        <f>VLOOKUP(L2130,'[2]tabela de preços'!$A:$F,6,0)</f>
        <v xml:space="preserve">DISCOS / LIXAS / ABRASIVOS </v>
      </c>
      <c r="X2130" t="str">
        <f>VLOOKUP(L2130,'[2]tabela de preços'!$A:$G,7,0)</f>
        <v>AUTOMOTIVO</v>
      </c>
    </row>
    <row r="2131" spans="1:24" x14ac:dyDescent="0.3">
      <c r="A2131" t="s">
        <v>2100</v>
      </c>
      <c r="C2131" t="s">
        <v>2105</v>
      </c>
      <c r="D2131" s="1">
        <v>46035</v>
      </c>
      <c r="E2131" t="s">
        <v>2106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21</v>
      </c>
      <c r="J2131" t="s">
        <v>1788</v>
      </c>
      <c r="K2131" t="s">
        <v>2103</v>
      </c>
      <c r="L2131">
        <v>10245</v>
      </c>
      <c r="M2131" t="s">
        <v>195</v>
      </c>
      <c r="O2131" t="s">
        <v>11</v>
      </c>
      <c r="P2131">
        <v>5102</v>
      </c>
      <c r="Q2131">
        <v>50</v>
      </c>
      <c r="R2131">
        <v>2.79</v>
      </c>
      <c r="S2131">
        <v>139.5</v>
      </c>
      <c r="T2131">
        <v>96.5</v>
      </c>
      <c r="U2131">
        <v>30.82</v>
      </c>
      <c r="V2131" t="str">
        <f>VLOOKUP(L2131,'[2]tabela de preços'!$A:$D,4,0)</f>
        <v>NORTON</v>
      </c>
      <c r="W2131" t="str">
        <f>VLOOKUP(L2131,'[2]tabela de preços'!$A:$F,6,0)</f>
        <v xml:space="preserve">DISCOS / LIXAS / ABRASIVOS </v>
      </c>
      <c r="X2131" t="str">
        <f>VLOOKUP(L2131,'[2]tabela de preços'!$A:$G,7,0)</f>
        <v>AUTOMOTIVO</v>
      </c>
    </row>
    <row r="2132" spans="1:24" x14ac:dyDescent="0.3">
      <c r="A2132" t="s">
        <v>2100</v>
      </c>
      <c r="C2132" t="s">
        <v>2105</v>
      </c>
      <c r="D2132" s="1">
        <v>46035</v>
      </c>
      <c r="E2132" t="s">
        <v>2106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21</v>
      </c>
      <c r="J2132" t="s">
        <v>1788</v>
      </c>
      <c r="K2132" t="s">
        <v>2103</v>
      </c>
      <c r="L2132">
        <v>10246</v>
      </c>
      <c r="M2132" t="s">
        <v>206</v>
      </c>
      <c r="O2132" t="s">
        <v>11</v>
      </c>
      <c r="P2132">
        <v>5102</v>
      </c>
      <c r="Q2132">
        <v>50</v>
      </c>
      <c r="R2132">
        <v>2.79</v>
      </c>
      <c r="S2132">
        <v>139.5</v>
      </c>
      <c r="T2132">
        <v>96.5</v>
      </c>
      <c r="U2132">
        <v>30.82</v>
      </c>
      <c r="V2132" t="str">
        <f>VLOOKUP(L2132,'[2]tabela de preços'!$A:$D,4,0)</f>
        <v>NORTON</v>
      </c>
      <c r="W2132" t="str">
        <f>VLOOKUP(L2132,'[2]tabela de preços'!$A:$F,6,0)</f>
        <v xml:space="preserve">DISCOS / LIXAS / ABRASIVOS </v>
      </c>
      <c r="X2132" t="str">
        <f>VLOOKUP(L2132,'[2]tabela de preços'!$A:$G,7,0)</f>
        <v>AUTOMOTIVO</v>
      </c>
    </row>
    <row r="2133" spans="1:24" x14ac:dyDescent="0.3">
      <c r="A2133" t="s">
        <v>2100</v>
      </c>
      <c r="C2133" t="s">
        <v>2105</v>
      </c>
      <c r="D2133" s="1">
        <v>46035</v>
      </c>
      <c r="E2133" t="s">
        <v>2106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21</v>
      </c>
      <c r="J2133" t="s">
        <v>1788</v>
      </c>
      <c r="K2133" t="s">
        <v>2103</v>
      </c>
      <c r="L2133">
        <v>20817</v>
      </c>
      <c r="M2133" t="s">
        <v>153</v>
      </c>
      <c r="O2133" t="s">
        <v>11</v>
      </c>
      <c r="P2133">
        <v>5102</v>
      </c>
      <c r="Q2133">
        <v>3</v>
      </c>
      <c r="R2133">
        <v>22.89</v>
      </c>
      <c r="S2133">
        <v>68.67</v>
      </c>
      <c r="T2133">
        <v>55.86</v>
      </c>
      <c r="U2133">
        <v>18.649999999999999</v>
      </c>
      <c r="V2133" t="str">
        <f>VLOOKUP(L2133,'[2]tabela de preços'!$A:$D,4,0)</f>
        <v>AUTO AMERICA</v>
      </c>
      <c r="W2133" t="str">
        <f>VLOOKUP(L2133,'[2]tabela de preços'!$A:$F,6,0)</f>
        <v>MASSA DE POLIR</v>
      </c>
      <c r="X2133" t="str">
        <f>VLOOKUP(L2133,'[2]tabela de preços'!$A:$G,7,0)</f>
        <v>AUTOMOTIVO</v>
      </c>
    </row>
    <row r="2134" spans="1:24" x14ac:dyDescent="0.3">
      <c r="A2134" t="s">
        <v>2100</v>
      </c>
      <c r="C2134" t="s">
        <v>2105</v>
      </c>
      <c r="D2134" s="1">
        <v>46035</v>
      </c>
      <c r="E2134" t="s">
        <v>2106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21</v>
      </c>
      <c r="J2134" t="s">
        <v>1788</v>
      </c>
      <c r="K2134" t="s">
        <v>2103</v>
      </c>
      <c r="L2134">
        <v>21077</v>
      </c>
      <c r="M2134" t="s">
        <v>207</v>
      </c>
      <c r="O2134" t="s">
        <v>11</v>
      </c>
      <c r="P2134">
        <v>5102</v>
      </c>
      <c r="Q2134">
        <v>4</v>
      </c>
      <c r="R2134">
        <v>44.68</v>
      </c>
      <c r="S2134">
        <v>178.72</v>
      </c>
      <c r="T2134">
        <v>135.68</v>
      </c>
      <c r="U2134">
        <v>24.08</v>
      </c>
      <c r="V2134" t="str">
        <f>VLOOKUP(L2134,'[2]tabela de preços'!$A:$D,4,0)</f>
        <v>SHERWIN WILLIAMS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2100</v>
      </c>
      <c r="C2135" t="s">
        <v>2105</v>
      </c>
      <c r="D2135" s="1">
        <v>46035</v>
      </c>
      <c r="E2135" t="s">
        <v>2106</v>
      </c>
      <c r="F2135">
        <v>9</v>
      </c>
      <c r="G2135">
        <v>174</v>
      </c>
      <c r="H2135" t="str">
        <f>VLOOKUP(G2135,[1]OPERADORES!$A:$B,2,0)</f>
        <v>MIRIÃ LOBATO RODRIGUES</v>
      </c>
      <c r="I2135" t="s">
        <v>21</v>
      </c>
      <c r="J2135" t="s">
        <v>1788</v>
      </c>
      <c r="K2135" t="s">
        <v>2103</v>
      </c>
      <c r="L2135">
        <v>87043</v>
      </c>
      <c r="M2135" t="s">
        <v>217</v>
      </c>
      <c r="O2135" t="s">
        <v>11</v>
      </c>
      <c r="P2135">
        <v>5102</v>
      </c>
      <c r="Q2135">
        <v>20</v>
      </c>
      <c r="R2135">
        <v>21.95</v>
      </c>
      <c r="S2135">
        <v>439</v>
      </c>
      <c r="T2135">
        <v>360.4</v>
      </c>
      <c r="U2135">
        <v>17.899999999999999</v>
      </c>
      <c r="V2135" t="str">
        <f>VLOOKUP(L2135,'[2]tabela de preços'!$A:$D,4,0)</f>
        <v>ROBERLO</v>
      </c>
      <c r="W2135" t="str">
        <f>VLOOKUP(L2135,'[2]tabela de preços'!$A:$F,6,0)</f>
        <v>MASSA POLIÉSTER</v>
      </c>
      <c r="X2135" t="str">
        <f>VLOOKUP(L2135,'[2]tabela de preços'!$A:$G,7,0)</f>
        <v>AUTOMOTIVO</v>
      </c>
    </row>
    <row r="2136" spans="1:24" x14ac:dyDescent="0.3">
      <c r="A2136" t="s">
        <v>2100</v>
      </c>
      <c r="C2136" t="s">
        <v>2105</v>
      </c>
      <c r="D2136" s="1">
        <v>46035</v>
      </c>
      <c r="E2136" t="s">
        <v>2106</v>
      </c>
      <c r="F2136">
        <v>9</v>
      </c>
      <c r="G2136">
        <v>174</v>
      </c>
      <c r="H2136" t="str">
        <f>VLOOKUP(G2136,[1]OPERADORES!$A:$B,2,0)</f>
        <v>MIRIÃ LOBATO RODRIGUES</v>
      </c>
      <c r="I2136" t="s">
        <v>21</v>
      </c>
      <c r="J2136" t="s">
        <v>1788</v>
      </c>
      <c r="K2136" t="s">
        <v>2103</v>
      </c>
      <c r="L2136">
        <v>24247</v>
      </c>
      <c r="M2136" t="s">
        <v>111</v>
      </c>
      <c r="O2136" t="s">
        <v>11</v>
      </c>
      <c r="P2136">
        <v>5403</v>
      </c>
      <c r="Q2136">
        <v>5</v>
      </c>
      <c r="R2136">
        <v>21</v>
      </c>
      <c r="S2136">
        <v>105</v>
      </c>
      <c r="T2136">
        <v>83</v>
      </c>
      <c r="U2136">
        <v>20.95</v>
      </c>
      <c r="V2136" t="str">
        <f>VLOOKUP(L2136,'[2]tabela de preços'!$A:$D,4,0)</f>
        <v>SHERWIN WILLIAMS</v>
      </c>
      <c r="W2136" t="str">
        <f>VLOOKUP(L2136,'[2]tabela de preços'!$A:$F,6,0)</f>
        <v>PRIMER AUTOMOTIVO</v>
      </c>
      <c r="X2136" t="str">
        <f>VLOOKUP(L2136,'[2]tabela de preços'!$A:$G,7,0)</f>
        <v>AUTOMOTIVO</v>
      </c>
    </row>
    <row r="2137" spans="1:24" x14ac:dyDescent="0.3">
      <c r="A2137" t="s">
        <v>2100</v>
      </c>
      <c r="C2137" t="s">
        <v>2105</v>
      </c>
      <c r="D2137" s="1">
        <v>46035</v>
      </c>
      <c r="E2137" t="s">
        <v>2106</v>
      </c>
      <c r="F2137">
        <v>9</v>
      </c>
      <c r="G2137">
        <v>174</v>
      </c>
      <c r="H2137" t="str">
        <f>VLOOKUP(G2137,[1]OPERADORES!$A:$B,2,0)</f>
        <v>MIRIÃ LOBATO RODRIGUES</v>
      </c>
      <c r="I2137" t="s">
        <v>21</v>
      </c>
      <c r="J2137" t="s">
        <v>1788</v>
      </c>
      <c r="K2137" t="s">
        <v>2103</v>
      </c>
      <c r="L2137">
        <v>10296</v>
      </c>
      <c r="M2137" t="s">
        <v>334</v>
      </c>
      <c r="O2137" t="s">
        <v>11</v>
      </c>
      <c r="P2137">
        <v>5102</v>
      </c>
      <c r="Q2137">
        <v>6</v>
      </c>
      <c r="R2137">
        <v>17.02</v>
      </c>
      <c r="S2137">
        <v>102.12</v>
      </c>
      <c r="T2137">
        <v>75.42</v>
      </c>
      <c r="U2137">
        <v>26.15</v>
      </c>
      <c r="V2137" t="str">
        <f>VLOOKUP(L2137,'[2]tabela de preços'!$A:$D,4,0)</f>
        <v>ANJO</v>
      </c>
      <c r="W2137" t="str">
        <f>VLOOKUP(L2137,'[2]tabela de preços'!$A:$F,6,0)</f>
        <v>DESENGRAXANTE</v>
      </c>
      <c r="X2137" t="str">
        <f>VLOOKUP(L2137,'[2]tabela de preços'!$A:$G,7,0)</f>
        <v>AUTOMOTIVO</v>
      </c>
    </row>
    <row r="2138" spans="1:24" x14ac:dyDescent="0.3">
      <c r="A2138" t="s">
        <v>2100</v>
      </c>
      <c r="C2138" t="s">
        <v>2105</v>
      </c>
      <c r="D2138" s="1">
        <v>46035</v>
      </c>
      <c r="E2138" t="s">
        <v>2106</v>
      </c>
      <c r="F2138">
        <v>9</v>
      </c>
      <c r="G2138">
        <v>174</v>
      </c>
      <c r="H2138" t="str">
        <f>VLOOKUP(G2138,[1]OPERADORES!$A:$B,2,0)</f>
        <v>MIRIÃ LOBATO RODRIGUES</v>
      </c>
      <c r="I2138" t="s">
        <v>21</v>
      </c>
      <c r="J2138" t="s">
        <v>1788</v>
      </c>
      <c r="K2138" t="s">
        <v>2103</v>
      </c>
      <c r="L2138">
        <v>10298</v>
      </c>
      <c r="M2138" t="s">
        <v>85</v>
      </c>
      <c r="O2138" t="s">
        <v>11</v>
      </c>
      <c r="P2138">
        <v>5102</v>
      </c>
      <c r="Q2138">
        <v>1</v>
      </c>
      <c r="R2138">
        <v>56.89</v>
      </c>
      <c r="S2138">
        <v>56.89</v>
      </c>
      <c r="T2138">
        <v>47.38</v>
      </c>
      <c r="U2138">
        <v>16.72</v>
      </c>
      <c r="V2138" t="str">
        <f>VLOOKUP(L2138,'[2]tabela de preços'!$A:$D,4,0)</f>
        <v>ANJO</v>
      </c>
      <c r="W2138" t="str">
        <f>VLOOKUP(L2138,'[2]tabela de preços'!$A:$F,6,0)</f>
        <v>THINNER DE LIMPEZA</v>
      </c>
      <c r="X2138" t="str">
        <f>VLOOKUP(L2138,'[2]tabela de preços'!$A:$G,7,0)</f>
        <v>THINNER</v>
      </c>
    </row>
    <row r="2139" spans="1:24" x14ac:dyDescent="0.3">
      <c r="A2139" t="s">
        <v>2100</v>
      </c>
      <c r="C2139" t="s">
        <v>2108</v>
      </c>
      <c r="D2139" s="1">
        <v>46049</v>
      </c>
      <c r="E2139" t="s">
        <v>2109</v>
      </c>
      <c r="F2139">
        <v>9</v>
      </c>
      <c r="G2139">
        <v>174</v>
      </c>
      <c r="H2139" t="str">
        <f>VLOOKUP(G2139,[1]OPERADORES!$A:$B,2,0)</f>
        <v>MIRIÃ LOBATO RODRIGUES</v>
      </c>
      <c r="I2139" t="s">
        <v>21</v>
      </c>
      <c r="J2139" t="s">
        <v>1788</v>
      </c>
      <c r="K2139" t="s">
        <v>2103</v>
      </c>
      <c r="L2139">
        <v>21860</v>
      </c>
      <c r="M2139" t="s">
        <v>2038</v>
      </c>
      <c r="O2139" t="s">
        <v>11</v>
      </c>
      <c r="P2139">
        <v>5403</v>
      </c>
      <c r="Q2139">
        <v>2</v>
      </c>
      <c r="R2139">
        <v>61.32</v>
      </c>
      <c r="S2139">
        <v>122.64</v>
      </c>
      <c r="T2139">
        <v>93.08</v>
      </c>
      <c r="U2139">
        <v>24.1</v>
      </c>
      <c r="V2139" t="str">
        <f>VLOOKUP(L2139,'[2]tabela de preços'!$A:$D,4,0)</f>
        <v>SIKKENS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2100</v>
      </c>
      <c r="C2140" t="s">
        <v>2108</v>
      </c>
      <c r="D2140" s="1">
        <v>46049</v>
      </c>
      <c r="E2140" t="s">
        <v>2109</v>
      </c>
      <c r="F2140">
        <v>9</v>
      </c>
      <c r="G2140">
        <v>174</v>
      </c>
      <c r="H2140" t="str">
        <f>VLOOKUP(G2140,[1]OPERADORES!$A:$B,2,0)</f>
        <v>MIRIÃ LOBATO RODRIGUES</v>
      </c>
      <c r="I2140" t="s">
        <v>21</v>
      </c>
      <c r="J2140" t="s">
        <v>1788</v>
      </c>
      <c r="K2140" t="s">
        <v>2103</v>
      </c>
      <c r="L2140">
        <v>20099</v>
      </c>
      <c r="M2140" t="s">
        <v>1308</v>
      </c>
      <c r="O2140" t="s">
        <v>11</v>
      </c>
      <c r="P2140">
        <v>5403</v>
      </c>
      <c r="Q2140">
        <v>3</v>
      </c>
      <c r="R2140">
        <v>15.9</v>
      </c>
      <c r="S2140">
        <v>47.7</v>
      </c>
      <c r="T2140">
        <v>36.21</v>
      </c>
      <c r="U2140">
        <v>24.09</v>
      </c>
      <c r="V2140" t="str">
        <f>VLOOKUP(L2140,'[2]tabela de preços'!$A:$D,4,0)</f>
        <v>MAXI RUBBER</v>
      </c>
      <c r="W2140" t="str">
        <f>VLOOKUP(L2140,'[2]tabela de preços'!$A:$F,6,0)</f>
        <v>BATIDA DE PEDRA</v>
      </c>
      <c r="X2140" t="str">
        <f>VLOOKUP(L2140,'[2]tabela de preços'!$A:$G,7,0)</f>
        <v>AUTOMOTIVO</v>
      </c>
    </row>
    <row r="2141" spans="1:24" x14ac:dyDescent="0.3">
      <c r="A2141" t="s">
        <v>2100</v>
      </c>
      <c r="C2141" t="s">
        <v>2108</v>
      </c>
      <c r="D2141" s="1">
        <v>46049</v>
      </c>
      <c r="E2141" t="s">
        <v>2109</v>
      </c>
      <c r="F2141">
        <v>9</v>
      </c>
      <c r="G2141">
        <v>174</v>
      </c>
      <c r="H2141" t="str">
        <f>VLOOKUP(G2141,[1]OPERADORES!$A:$B,2,0)</f>
        <v>MIRIÃ LOBATO RODRIGUES</v>
      </c>
      <c r="I2141" t="s">
        <v>21</v>
      </c>
      <c r="J2141" t="s">
        <v>1788</v>
      </c>
      <c r="K2141" t="s">
        <v>2103</v>
      </c>
      <c r="L2141">
        <v>23580</v>
      </c>
      <c r="M2141" t="s">
        <v>115</v>
      </c>
      <c r="O2141" t="s">
        <v>11</v>
      </c>
      <c r="P2141">
        <v>5102</v>
      </c>
      <c r="Q2141">
        <v>50</v>
      </c>
      <c r="R2141">
        <v>0.56000000000000005</v>
      </c>
      <c r="S2141">
        <v>28</v>
      </c>
      <c r="T2141">
        <v>18</v>
      </c>
      <c r="U2141">
        <v>35.71</v>
      </c>
      <c r="V2141" t="str">
        <f>VLOOKUP(L2141,'[2]tabela de preços'!$A:$D,4,0)</f>
        <v>RENOVA COADORES</v>
      </c>
      <c r="W2141" t="str">
        <f>VLOOKUP(L2141,'[2]tabela de preços'!$A:$F,6,0)</f>
        <v>COADORES</v>
      </c>
      <c r="X2141" t="str">
        <f>VLOOKUP(L2141,'[2]tabela de preços'!$A:$G,7,0)</f>
        <v>AUTOMOTIVO</v>
      </c>
    </row>
    <row r="2142" spans="1:24" x14ac:dyDescent="0.3">
      <c r="A2142" t="s">
        <v>2100</v>
      </c>
      <c r="C2142" t="s">
        <v>2108</v>
      </c>
      <c r="D2142" s="1">
        <v>46049</v>
      </c>
      <c r="E2142" t="s">
        <v>2109</v>
      </c>
      <c r="F2142">
        <v>9</v>
      </c>
      <c r="G2142">
        <v>174</v>
      </c>
      <c r="H2142" t="str">
        <f>VLOOKUP(G2142,[1]OPERADORES!$A:$B,2,0)</f>
        <v>MIRIÃ LOBATO RODRIGUES</v>
      </c>
      <c r="I2142" t="s">
        <v>21</v>
      </c>
      <c r="J2142" t="s">
        <v>1788</v>
      </c>
      <c r="K2142" t="s">
        <v>2103</v>
      </c>
      <c r="L2142">
        <v>84557</v>
      </c>
      <c r="M2142" t="s">
        <v>116</v>
      </c>
      <c r="O2142" t="s">
        <v>11</v>
      </c>
      <c r="P2142">
        <v>5102</v>
      </c>
      <c r="Q2142">
        <v>12</v>
      </c>
      <c r="R2142">
        <v>17.489999999999998</v>
      </c>
      <c r="S2142">
        <v>209.88</v>
      </c>
      <c r="T2142">
        <v>167.52</v>
      </c>
      <c r="U2142">
        <v>20.18</v>
      </c>
      <c r="V2142" t="str">
        <f>VLOOKUP(L2142,'[2]tabela de preços'!$A:$D,4,0)</f>
        <v>BRASILUX</v>
      </c>
      <c r="W2142" t="str">
        <f>VLOOKUP(L2142,'[2]tabela de preços'!$A:$F,6,0)</f>
        <v>DILUENTE</v>
      </c>
      <c r="X2142" t="str">
        <f>VLOOKUP(L2142,'[2]tabela de preços'!$A:$G,7,0)</f>
        <v>AUTOMOTIVO</v>
      </c>
    </row>
    <row r="2143" spans="1:24" x14ac:dyDescent="0.3">
      <c r="A2143" t="s">
        <v>2100</v>
      </c>
      <c r="C2143" t="s">
        <v>2108</v>
      </c>
      <c r="D2143" s="1">
        <v>46049</v>
      </c>
      <c r="E2143" t="s">
        <v>2109</v>
      </c>
      <c r="F2143">
        <v>9</v>
      </c>
      <c r="G2143">
        <v>174</v>
      </c>
      <c r="H2143" t="str">
        <f>VLOOKUP(G2143,[1]OPERADORES!$A:$B,2,0)</f>
        <v>MIRIÃ LOBATO RODRIGUES</v>
      </c>
      <c r="I2143" t="s">
        <v>21</v>
      </c>
      <c r="J2143" t="s">
        <v>1788</v>
      </c>
      <c r="K2143" t="s">
        <v>2103</v>
      </c>
      <c r="L2143">
        <v>10236</v>
      </c>
      <c r="M2143" t="s">
        <v>133</v>
      </c>
      <c r="O2143" t="s">
        <v>11</v>
      </c>
      <c r="P2143">
        <v>5102</v>
      </c>
      <c r="Q2143">
        <v>30</v>
      </c>
      <c r="R2143">
        <v>2.79</v>
      </c>
      <c r="S2143">
        <v>83.7</v>
      </c>
      <c r="T2143">
        <v>69.599999999999994</v>
      </c>
      <c r="U2143">
        <v>16.850000000000001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2100</v>
      </c>
      <c r="C2144" t="s">
        <v>2108</v>
      </c>
      <c r="D2144" s="1">
        <v>46049</v>
      </c>
      <c r="E2144" t="s">
        <v>2109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1788</v>
      </c>
      <c r="K2144" t="s">
        <v>2103</v>
      </c>
      <c r="L2144">
        <v>10226</v>
      </c>
      <c r="M2144" t="s">
        <v>145</v>
      </c>
      <c r="O2144" t="s">
        <v>11</v>
      </c>
      <c r="P2144">
        <v>5102</v>
      </c>
      <c r="Q2144">
        <v>30</v>
      </c>
      <c r="R2144">
        <v>2.79</v>
      </c>
      <c r="S2144">
        <v>83.7</v>
      </c>
      <c r="T2144">
        <v>69.599999999999994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2100</v>
      </c>
      <c r="C2145" t="s">
        <v>2108</v>
      </c>
      <c r="D2145" s="1">
        <v>46049</v>
      </c>
      <c r="E2145" t="s">
        <v>2109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1788</v>
      </c>
      <c r="K2145" t="s">
        <v>2103</v>
      </c>
      <c r="L2145">
        <v>10230</v>
      </c>
      <c r="M2145" t="s">
        <v>193</v>
      </c>
      <c r="O2145" t="s">
        <v>11</v>
      </c>
      <c r="P2145">
        <v>5102</v>
      </c>
      <c r="Q2145">
        <v>30</v>
      </c>
      <c r="R2145">
        <v>2.79</v>
      </c>
      <c r="S2145">
        <v>83.7</v>
      </c>
      <c r="T2145">
        <v>69.599999999999994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2100</v>
      </c>
      <c r="C2146" t="s">
        <v>2108</v>
      </c>
      <c r="D2146" s="1">
        <v>46049</v>
      </c>
      <c r="E2146" t="s">
        <v>2109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1788</v>
      </c>
      <c r="K2146" t="s">
        <v>2103</v>
      </c>
      <c r="L2146">
        <v>20983</v>
      </c>
      <c r="M2146" t="s">
        <v>2107</v>
      </c>
      <c r="O2146" t="s">
        <v>11</v>
      </c>
      <c r="P2146">
        <v>5102</v>
      </c>
      <c r="Q2146">
        <v>2</v>
      </c>
      <c r="R2146">
        <v>16.84</v>
      </c>
      <c r="S2146">
        <v>33.68</v>
      </c>
      <c r="T2146">
        <v>25.56</v>
      </c>
      <c r="U2146">
        <v>24.11</v>
      </c>
      <c r="V2146" t="str">
        <f>VLOOKUP(L2146,'[2]tabela de preços'!$A:$D,4,0)</f>
        <v>3M</v>
      </c>
      <c r="W2146" t="str">
        <f>VLOOKUP(L2146,'[2]tabela de preços'!$A:$F,6,0)</f>
        <v>DISCO TRIZACT</v>
      </c>
      <c r="X2146" t="str">
        <f>VLOOKUP(L2146,'[2]tabela de preços'!$A:$G,7,0)</f>
        <v>AUTOMOTIVO</v>
      </c>
    </row>
    <row r="2147" spans="1:24" x14ac:dyDescent="0.3">
      <c r="A2147" t="s">
        <v>2100</v>
      </c>
      <c r="C2147" t="s">
        <v>2108</v>
      </c>
      <c r="D2147" s="1">
        <v>46049</v>
      </c>
      <c r="E2147" t="s">
        <v>2109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1788</v>
      </c>
      <c r="K2147" t="s">
        <v>2103</v>
      </c>
      <c r="L2147">
        <v>20135</v>
      </c>
      <c r="M2147" t="s">
        <v>459</v>
      </c>
      <c r="O2147" t="s">
        <v>11</v>
      </c>
      <c r="P2147">
        <v>5102</v>
      </c>
      <c r="Q2147">
        <v>2</v>
      </c>
      <c r="R2147">
        <v>25.37</v>
      </c>
      <c r="S2147">
        <v>50.74</v>
      </c>
      <c r="T2147">
        <v>38.520000000000003</v>
      </c>
      <c r="U2147">
        <v>24.08</v>
      </c>
      <c r="V2147" t="str">
        <f>VLOOKUP(L2147,'[2]tabela de preços'!$A:$D,4,0)</f>
        <v>3M</v>
      </c>
      <c r="W2147" t="str">
        <f>VLOOKUP(L2147,'[2]tabela de preços'!$A:$F,6,0)</f>
        <v>DISCO TRIZACT</v>
      </c>
      <c r="X2147" t="str">
        <f>VLOOKUP(L2147,'[2]tabela de preços'!$A:$G,7,0)</f>
        <v>AUTOMOTIVO</v>
      </c>
    </row>
    <row r="2148" spans="1:24" x14ac:dyDescent="0.3">
      <c r="A2148" t="s">
        <v>2100</v>
      </c>
      <c r="C2148" t="s">
        <v>2108</v>
      </c>
      <c r="D2148" s="1">
        <v>46049</v>
      </c>
      <c r="E2148" t="s">
        <v>2109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1788</v>
      </c>
      <c r="K2148" t="s">
        <v>2103</v>
      </c>
      <c r="L2148">
        <v>24248</v>
      </c>
      <c r="M2148" t="s">
        <v>107</v>
      </c>
      <c r="O2148" t="s">
        <v>11</v>
      </c>
      <c r="P2148">
        <v>5102</v>
      </c>
      <c r="Q2148">
        <v>8</v>
      </c>
      <c r="R2148">
        <v>8</v>
      </c>
      <c r="S2148">
        <v>64</v>
      </c>
      <c r="T2148">
        <v>52</v>
      </c>
      <c r="U2148">
        <v>18.75</v>
      </c>
      <c r="V2148" t="str">
        <f>VLOOKUP(L2148,'[2]tabela de preços'!$A:$D,4,0)</f>
        <v>SHERWIN WILLIAMS</v>
      </c>
      <c r="W2148" t="str">
        <f>VLOOKUP(L2148,'[2]tabela de preços'!$A:$F,6,0)</f>
        <v>PRIMER AUTOMOTIVO</v>
      </c>
      <c r="X2148" t="str">
        <f>VLOOKUP(L2148,'[2]tabela de preços'!$A:$G,7,0)</f>
        <v>AUTOMOTIVO</v>
      </c>
    </row>
    <row r="2149" spans="1:24" x14ac:dyDescent="0.3">
      <c r="A2149" t="s">
        <v>2100</v>
      </c>
      <c r="C2149" t="s">
        <v>2108</v>
      </c>
      <c r="D2149" s="1">
        <v>46049</v>
      </c>
      <c r="E2149" t="s">
        <v>2109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1788</v>
      </c>
      <c r="K2149" t="s">
        <v>2103</v>
      </c>
      <c r="L2149">
        <v>23433</v>
      </c>
      <c r="M2149" t="s">
        <v>2029</v>
      </c>
      <c r="O2149" t="s">
        <v>11</v>
      </c>
      <c r="P2149">
        <v>5102</v>
      </c>
      <c r="Q2149">
        <v>1</v>
      </c>
      <c r="R2149">
        <v>153.11000000000001</v>
      </c>
      <c r="S2149">
        <v>153.11000000000001</v>
      </c>
      <c r="T2149">
        <v>116.21</v>
      </c>
      <c r="U2149">
        <v>24.1</v>
      </c>
      <c r="V2149" t="str">
        <f>VLOOKUP(L2149,'[2]tabela de preços'!$A:$D,4,0)</f>
        <v>3M</v>
      </c>
      <c r="W2149" t="str">
        <f>VLOOKUP(L2149,'[2]tabela de preços'!$A:$F,6,0)</f>
        <v xml:space="preserve">MASCARAMENTO </v>
      </c>
      <c r="X2149" t="str">
        <f>VLOOKUP(L2149,'[2]tabela de preços'!$A:$G,7,0)</f>
        <v>AUTOMOTIVO</v>
      </c>
    </row>
    <row r="2150" spans="1:24" x14ac:dyDescent="0.3">
      <c r="A2150" t="s">
        <v>2100</v>
      </c>
      <c r="C2150" t="s">
        <v>2108</v>
      </c>
      <c r="D2150" s="1">
        <v>46049</v>
      </c>
      <c r="E2150" t="s">
        <v>2109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1788</v>
      </c>
      <c r="K2150" t="s">
        <v>2103</v>
      </c>
      <c r="L2150">
        <v>24240</v>
      </c>
      <c r="M2150" t="s">
        <v>240</v>
      </c>
      <c r="O2150" t="s">
        <v>11</v>
      </c>
      <c r="P2150">
        <v>5102</v>
      </c>
      <c r="Q2150">
        <v>50</v>
      </c>
      <c r="R2150">
        <v>3.81</v>
      </c>
      <c r="S2150">
        <v>190.5</v>
      </c>
      <c r="T2150">
        <v>164</v>
      </c>
      <c r="U2150">
        <v>13.91</v>
      </c>
      <c r="V2150" t="str">
        <f>VLOOKUP(L2150,'[2]tabela de preços'!$A:$D,4,0)</f>
        <v>ADERE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2100</v>
      </c>
      <c r="C2151" t="s">
        <v>2108</v>
      </c>
      <c r="D2151" s="1">
        <v>46049</v>
      </c>
      <c r="E2151" t="s">
        <v>2109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1788</v>
      </c>
      <c r="K2151" t="s">
        <v>2103</v>
      </c>
      <c r="L2151">
        <v>84406</v>
      </c>
      <c r="M2151" t="s">
        <v>2110</v>
      </c>
      <c r="O2151" t="s">
        <v>11</v>
      </c>
      <c r="P2151">
        <v>5102</v>
      </c>
      <c r="Q2151">
        <v>4</v>
      </c>
      <c r="R2151">
        <v>32.159999999999997</v>
      </c>
      <c r="S2151">
        <v>128.63999999999999</v>
      </c>
      <c r="T2151">
        <v>97.64</v>
      </c>
      <c r="U2151">
        <v>24.1</v>
      </c>
      <c r="V2151" t="str">
        <f>VLOOKUP(L2151,'[2]tabela de preços'!$A:$D,4,0)</f>
        <v>3M</v>
      </c>
      <c r="W2151" t="str">
        <f>VLOOKUP(L2151,'[2]tabela de preços'!$A:$F,6,0)</f>
        <v>FITA DUPLA FACE</v>
      </c>
      <c r="X2151" t="str">
        <f>VLOOKUP(L2151,'[2]tabela de preços'!$A:$G,7,0)</f>
        <v>AUTOMOTIVO</v>
      </c>
    </row>
    <row r="2152" spans="1:24" x14ac:dyDescent="0.3">
      <c r="A2152" t="s">
        <v>2100</v>
      </c>
      <c r="C2152" t="s">
        <v>2108</v>
      </c>
      <c r="D2152" s="1">
        <v>46049</v>
      </c>
      <c r="E2152" t="s">
        <v>2109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1788</v>
      </c>
      <c r="K2152" t="s">
        <v>2103</v>
      </c>
      <c r="L2152">
        <v>21862</v>
      </c>
      <c r="M2152" t="s">
        <v>2040</v>
      </c>
      <c r="O2152" t="s">
        <v>11</v>
      </c>
      <c r="P2152">
        <v>5102</v>
      </c>
      <c r="Q2152">
        <v>2</v>
      </c>
      <c r="R2152">
        <v>28.62</v>
      </c>
      <c r="S2152">
        <v>57.24</v>
      </c>
      <c r="T2152">
        <v>45.24</v>
      </c>
      <c r="U2152">
        <v>20.96</v>
      </c>
      <c r="V2152" t="str">
        <f>VLOOKUP(L2152,'[2]tabela de preços'!$A:$D,4,0)</f>
        <v>SIKKENS</v>
      </c>
      <c r="W2152" t="str">
        <f>VLOOKUP(L2152,'[2]tabela de preços'!$A:$F,6,0)</f>
        <v>CATALISADORES INDIVIDUAS</v>
      </c>
      <c r="X2152" t="str">
        <f>VLOOKUP(L2152,'[2]tabela de preços'!$A:$G,7,0)</f>
        <v>AUTOMOTIVO</v>
      </c>
    </row>
    <row r="2153" spans="1:24" x14ac:dyDescent="0.3">
      <c r="A2153" t="s">
        <v>2100</v>
      </c>
      <c r="C2153" t="s">
        <v>2108</v>
      </c>
      <c r="D2153" s="1">
        <v>46049</v>
      </c>
      <c r="E2153" t="s">
        <v>2109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1788</v>
      </c>
      <c r="K2153" t="s">
        <v>2103</v>
      </c>
      <c r="L2153">
        <v>85703</v>
      </c>
      <c r="M2153" t="s">
        <v>682</v>
      </c>
      <c r="O2153" t="s">
        <v>11</v>
      </c>
      <c r="P2153">
        <v>5102</v>
      </c>
      <c r="Q2153">
        <v>1</v>
      </c>
      <c r="R2153">
        <v>14.25</v>
      </c>
      <c r="S2153">
        <v>14.25</v>
      </c>
      <c r="T2153">
        <v>10.81</v>
      </c>
      <c r="U2153">
        <v>24.14</v>
      </c>
      <c r="V2153" t="str">
        <f>VLOOKUP(L2153,'[2]tabela de preços'!$A:$D,4,0)</f>
        <v>NEW PAD</v>
      </c>
      <c r="W2153" t="str">
        <f>VLOOKUP(L2153,'[2]tabela de preços'!$A:$F,6,0)</f>
        <v>APLICADORES / ADAPTADORES / ENGATES / SUPORTES</v>
      </c>
      <c r="X2153" t="str">
        <f>VLOOKUP(L2153,'[2]tabela de preços'!$A:$G,7,0)</f>
        <v>AUTOMOTIVO</v>
      </c>
    </row>
    <row r="2154" spans="1:24" x14ac:dyDescent="0.3">
      <c r="A2154" t="s">
        <v>2100</v>
      </c>
      <c r="C2154" t="s">
        <v>2108</v>
      </c>
      <c r="D2154" s="1">
        <v>46049</v>
      </c>
      <c r="E2154" t="s">
        <v>2109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1788</v>
      </c>
      <c r="K2154" t="s">
        <v>2103</v>
      </c>
      <c r="L2154">
        <v>23602</v>
      </c>
      <c r="M2154" t="s">
        <v>215</v>
      </c>
      <c r="O2154" t="s">
        <v>11</v>
      </c>
      <c r="P2154">
        <v>5403</v>
      </c>
      <c r="Q2154">
        <v>12</v>
      </c>
      <c r="R2154">
        <v>35.89</v>
      </c>
      <c r="S2154">
        <v>430.68</v>
      </c>
      <c r="T2154">
        <v>351</v>
      </c>
      <c r="U2154">
        <v>18.5</v>
      </c>
      <c r="V2154" t="str">
        <f>VLOOKUP(L2154,'[2]tabela de preços'!$A:$D,4,0)</f>
        <v>SHERWIN WILLIAMS</v>
      </c>
      <c r="W2154" t="str">
        <f>VLOOKUP(L2154,'[2]tabela de preços'!$A:$F,6,0)</f>
        <v>VERNIZ AUTOMOTIVO</v>
      </c>
      <c r="X2154" t="str">
        <f>VLOOKUP(L2154,'[2]tabela de preços'!$A:$G,7,0)</f>
        <v>AUTOMOTIVO</v>
      </c>
    </row>
    <row r="2155" spans="1:24" x14ac:dyDescent="0.3">
      <c r="A2155" t="s">
        <v>2100</v>
      </c>
      <c r="C2155" t="s">
        <v>2108</v>
      </c>
      <c r="D2155" s="1">
        <v>46049</v>
      </c>
      <c r="E2155" t="s">
        <v>2109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1788</v>
      </c>
      <c r="K2155" t="s">
        <v>2103</v>
      </c>
      <c r="L2155">
        <v>24067</v>
      </c>
      <c r="M2155" t="s">
        <v>1978</v>
      </c>
      <c r="O2155" t="s">
        <v>11</v>
      </c>
      <c r="P2155">
        <v>5403</v>
      </c>
      <c r="Q2155">
        <v>5</v>
      </c>
      <c r="R2155">
        <v>69.25</v>
      </c>
      <c r="S2155">
        <v>346.25</v>
      </c>
      <c r="T2155">
        <v>262.8</v>
      </c>
      <c r="U2155">
        <v>24.1</v>
      </c>
      <c r="V2155" t="str">
        <f>VLOOKUP(L2155,'[2]tabela de preços'!$A:$D,4,0)</f>
        <v>SKY</v>
      </c>
      <c r="W2155" t="str">
        <f>VLOOKUP(L2155,'[2]tabela de preços'!$A:$F,6,0)</f>
        <v>VERNIZ AUTOMOTIVO</v>
      </c>
      <c r="X2155" t="str">
        <f>VLOOKUP(L2155,'[2]tabela de preços'!$A:$G,7,0)</f>
        <v>AUTOMOTIVO</v>
      </c>
    </row>
    <row r="2156" spans="1:24" x14ac:dyDescent="0.3">
      <c r="A2156" t="s">
        <v>2100</v>
      </c>
      <c r="C2156" t="s">
        <v>2108</v>
      </c>
      <c r="D2156" s="1">
        <v>46049</v>
      </c>
      <c r="E2156" t="s">
        <v>2109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1788</v>
      </c>
      <c r="K2156" t="s">
        <v>2103</v>
      </c>
      <c r="L2156">
        <v>10238</v>
      </c>
      <c r="M2156" t="s">
        <v>79</v>
      </c>
      <c r="O2156" t="s">
        <v>11</v>
      </c>
      <c r="P2156">
        <v>5102</v>
      </c>
      <c r="Q2156">
        <v>30</v>
      </c>
      <c r="R2156">
        <v>2.79</v>
      </c>
      <c r="S2156">
        <v>83.7</v>
      </c>
      <c r="T2156">
        <v>67.2</v>
      </c>
      <c r="U2156">
        <v>19.71</v>
      </c>
      <c r="V2156" t="str">
        <f>VLOOKUP(L2156,'[2]tabela de preços'!$A:$D,4,0)</f>
        <v>NORTON</v>
      </c>
      <c r="W2156" t="str">
        <f>VLOOKUP(L2156,'[2]tabela de preços'!$A:$F,6,0)</f>
        <v xml:space="preserve">DISCOS / LIXAS / ABRASIVOS </v>
      </c>
      <c r="X2156" t="str">
        <f>VLOOKUP(L2156,'[2]tabela de preços'!$A:$G,7,0)</f>
        <v>AUTOMOTIVO</v>
      </c>
    </row>
    <row r="2157" spans="1:24" x14ac:dyDescent="0.3">
      <c r="A2157" t="s">
        <v>2100</v>
      </c>
      <c r="C2157" t="s">
        <v>2108</v>
      </c>
      <c r="D2157" s="1">
        <v>46049</v>
      </c>
      <c r="E2157" t="s">
        <v>2109</v>
      </c>
      <c r="F2157">
        <v>9</v>
      </c>
      <c r="G2157">
        <v>174</v>
      </c>
      <c r="H2157" t="str">
        <f>VLOOKUP(G2157,[1]OPERADORES!$A:$B,2,0)</f>
        <v>MIRIÃ LOBATO RODRIGUES</v>
      </c>
      <c r="I2157" t="s">
        <v>21</v>
      </c>
      <c r="J2157" t="s">
        <v>1788</v>
      </c>
      <c r="K2157" t="s">
        <v>2103</v>
      </c>
      <c r="L2157">
        <v>23465</v>
      </c>
      <c r="M2157" t="s">
        <v>110</v>
      </c>
      <c r="O2157" t="s">
        <v>11</v>
      </c>
      <c r="P2157">
        <v>5102</v>
      </c>
      <c r="Q2157">
        <v>4</v>
      </c>
      <c r="R2157">
        <v>3.76</v>
      </c>
      <c r="S2157">
        <v>15.04</v>
      </c>
      <c r="T2157">
        <v>11.4</v>
      </c>
      <c r="U2157">
        <v>24.2</v>
      </c>
      <c r="V2157" t="str">
        <f>VLOOKUP(L2157,'[2]tabela de preços'!$A:$D,4,0)</f>
        <v>3M</v>
      </c>
      <c r="W2157" t="str">
        <f>VLOOKUP(L2157,'[2]tabela de preços'!$A:$F,6,0)</f>
        <v>EPI´S</v>
      </c>
      <c r="X2157" t="str">
        <f>VLOOKUP(L2157,'[2]tabela de preços'!$A:$G,7,0)</f>
        <v>AUTOMOTIVO</v>
      </c>
    </row>
    <row r="2158" spans="1:24" x14ac:dyDescent="0.3">
      <c r="A2158" t="s">
        <v>2100</v>
      </c>
      <c r="C2158" t="s">
        <v>2108</v>
      </c>
      <c r="D2158" s="1">
        <v>46049</v>
      </c>
      <c r="E2158" t="s">
        <v>2109</v>
      </c>
      <c r="F2158">
        <v>9</v>
      </c>
      <c r="G2158">
        <v>174</v>
      </c>
      <c r="H2158" t="str">
        <f>VLOOKUP(G2158,[1]OPERADORES!$A:$B,2,0)</f>
        <v>MIRIÃ LOBATO RODRIGUES</v>
      </c>
      <c r="I2158" t="s">
        <v>21</v>
      </c>
      <c r="J2158" t="s">
        <v>1788</v>
      </c>
      <c r="K2158" t="s">
        <v>2103</v>
      </c>
      <c r="L2158">
        <v>20817</v>
      </c>
      <c r="M2158" t="s">
        <v>153</v>
      </c>
      <c r="O2158" t="s">
        <v>11</v>
      </c>
      <c r="P2158">
        <v>5102</v>
      </c>
      <c r="Q2158">
        <v>3</v>
      </c>
      <c r="R2158">
        <v>22.89</v>
      </c>
      <c r="S2158">
        <v>68.67</v>
      </c>
      <c r="T2158">
        <v>55.86</v>
      </c>
      <c r="U2158">
        <v>18.649999999999999</v>
      </c>
      <c r="V2158" t="str">
        <f>VLOOKUP(L2158,'[2]tabela de preços'!$A:$D,4,0)</f>
        <v>AUTO AMERICA</v>
      </c>
      <c r="W2158" t="str">
        <f>VLOOKUP(L2158,'[2]tabela de preços'!$A:$F,6,0)</f>
        <v>MASSA DE POLIR</v>
      </c>
      <c r="X2158" t="str">
        <f>VLOOKUP(L2158,'[2]tabela de preços'!$A:$G,7,0)</f>
        <v>AUTOMOTIVO</v>
      </c>
    </row>
    <row r="2159" spans="1:24" x14ac:dyDescent="0.3">
      <c r="A2159" t="s">
        <v>2100</v>
      </c>
      <c r="C2159" t="s">
        <v>2108</v>
      </c>
      <c r="D2159" s="1">
        <v>46049</v>
      </c>
      <c r="E2159" t="s">
        <v>2109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1788</v>
      </c>
      <c r="K2159" t="s">
        <v>2103</v>
      </c>
      <c r="L2159">
        <v>21077</v>
      </c>
      <c r="M2159" t="s">
        <v>207</v>
      </c>
      <c r="O2159" t="s">
        <v>11</v>
      </c>
      <c r="P2159">
        <v>5102</v>
      </c>
      <c r="Q2159">
        <v>3</v>
      </c>
      <c r="R2159">
        <v>44.68</v>
      </c>
      <c r="S2159">
        <v>134.04</v>
      </c>
      <c r="T2159">
        <v>101.76</v>
      </c>
      <c r="U2159">
        <v>24.08</v>
      </c>
      <c r="V2159" t="str">
        <f>VLOOKUP(L2159,'[2]tabela de preços'!$A:$D,4,0)</f>
        <v>SHERWIN WILLIAMS</v>
      </c>
      <c r="W2159" t="str">
        <f>VLOOKUP(L2159,'[2]tabela de preços'!$A:$F,6,0)</f>
        <v>MASSA POLIÉSTER</v>
      </c>
      <c r="X2159" t="str">
        <f>VLOOKUP(L2159,'[2]tabela de preços'!$A:$G,7,0)</f>
        <v>AUTOMOTIVO</v>
      </c>
    </row>
    <row r="2160" spans="1:24" x14ac:dyDescent="0.3">
      <c r="A2160" t="s">
        <v>2100</v>
      </c>
      <c r="C2160" t="s">
        <v>2108</v>
      </c>
      <c r="D2160" s="1">
        <v>46049</v>
      </c>
      <c r="E2160" t="s">
        <v>2109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1788</v>
      </c>
      <c r="K2160" t="s">
        <v>2103</v>
      </c>
      <c r="L2160">
        <v>23253</v>
      </c>
      <c r="M2160" t="s">
        <v>2111</v>
      </c>
      <c r="O2160" t="s">
        <v>11</v>
      </c>
      <c r="P2160">
        <v>5102</v>
      </c>
      <c r="Q2160">
        <v>1</v>
      </c>
      <c r="R2160">
        <v>29.84</v>
      </c>
      <c r="S2160">
        <v>29.84</v>
      </c>
      <c r="T2160">
        <v>22.65</v>
      </c>
      <c r="U2160">
        <v>24.1</v>
      </c>
      <c r="V2160" t="str">
        <f>VLOOKUP(L2160,'[2]tabela de preços'!$A:$D,4,0)</f>
        <v>ANJO</v>
      </c>
      <c r="W2160" t="str">
        <f>VLOOKUP(L2160,'[2]tabela de preços'!$A:$F,6,0)</f>
        <v>MASSA POLIÉSTER</v>
      </c>
      <c r="X2160" t="str">
        <f>VLOOKUP(L2160,'[2]tabela de preços'!$A:$G,7,0)</f>
        <v>AUTOMOTIVO</v>
      </c>
    </row>
    <row r="2161" spans="1:24" x14ac:dyDescent="0.3">
      <c r="A2161" t="s">
        <v>2100</v>
      </c>
      <c r="C2161" t="s">
        <v>2108</v>
      </c>
      <c r="D2161" s="1">
        <v>46049</v>
      </c>
      <c r="E2161" t="s">
        <v>2109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1788</v>
      </c>
      <c r="K2161" t="s">
        <v>2103</v>
      </c>
      <c r="L2161">
        <v>87043</v>
      </c>
      <c r="M2161" t="s">
        <v>217</v>
      </c>
      <c r="O2161" t="s">
        <v>11</v>
      </c>
      <c r="P2161">
        <v>5102</v>
      </c>
      <c r="Q2161">
        <v>16</v>
      </c>
      <c r="R2161">
        <v>21.95</v>
      </c>
      <c r="S2161">
        <v>351.2</v>
      </c>
      <c r="T2161">
        <v>288.32</v>
      </c>
      <c r="U2161">
        <v>17.899999999999999</v>
      </c>
      <c r="V2161" t="str">
        <f>VLOOKUP(L2161,'[2]tabela de preços'!$A:$D,4,0)</f>
        <v>ROBERLO</v>
      </c>
      <c r="W2161" t="str">
        <f>VLOOKUP(L2161,'[2]tabela de preços'!$A:$F,6,0)</f>
        <v>MASSA POLIÉSTER</v>
      </c>
      <c r="X2161" t="str">
        <f>VLOOKUP(L2161,'[2]tabela de preços'!$A:$G,7,0)</f>
        <v>AUTOMOTIVO</v>
      </c>
    </row>
    <row r="2162" spans="1:24" x14ac:dyDescent="0.3">
      <c r="A2162" t="s">
        <v>2100</v>
      </c>
      <c r="C2162" t="s">
        <v>2108</v>
      </c>
      <c r="D2162" s="1">
        <v>46049</v>
      </c>
      <c r="E2162" t="s">
        <v>2109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1788</v>
      </c>
      <c r="K2162" t="s">
        <v>2103</v>
      </c>
      <c r="L2162">
        <v>20592</v>
      </c>
      <c r="M2162" t="s">
        <v>2112</v>
      </c>
      <c r="O2162" t="s">
        <v>11</v>
      </c>
      <c r="P2162">
        <v>5102</v>
      </c>
      <c r="Q2162">
        <v>10</v>
      </c>
      <c r="R2162">
        <v>6.43</v>
      </c>
      <c r="S2162">
        <v>64.3</v>
      </c>
      <c r="T2162">
        <v>48.8</v>
      </c>
      <c r="U2162">
        <v>24.11</v>
      </c>
      <c r="V2162" t="str">
        <f>VLOOKUP(L2162,'[2]tabela de preços'!$A:$D,4,0)</f>
        <v>.</v>
      </c>
      <c r="W2162" t="str">
        <f>VLOOKUP(L2162,'[2]tabela de preços'!$A:$F,6,0)</f>
        <v>FLANELAS / PANOS</v>
      </c>
      <c r="X2162" t="str">
        <f>VLOOKUP(L2162,'[2]tabela de preços'!$A:$G,7,0)</f>
        <v>AUTOMOTIVO</v>
      </c>
    </row>
    <row r="2163" spans="1:24" x14ac:dyDescent="0.3">
      <c r="A2163" t="s">
        <v>2100</v>
      </c>
      <c r="C2163" t="s">
        <v>2108</v>
      </c>
      <c r="D2163" s="1">
        <v>46049</v>
      </c>
      <c r="E2163" t="s">
        <v>2109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1788</v>
      </c>
      <c r="K2163" t="s">
        <v>2103</v>
      </c>
      <c r="L2163">
        <v>24247</v>
      </c>
      <c r="M2163" t="s">
        <v>160</v>
      </c>
      <c r="O2163" t="s">
        <v>11</v>
      </c>
      <c r="P2163">
        <v>5403</v>
      </c>
      <c r="Q2163">
        <v>8</v>
      </c>
      <c r="R2163">
        <v>21</v>
      </c>
      <c r="S2163">
        <v>168</v>
      </c>
      <c r="T2163">
        <v>134.96</v>
      </c>
      <c r="U2163">
        <v>19.670000000000002</v>
      </c>
      <c r="V2163" t="str">
        <f>VLOOKUP(L2163,'[2]tabela de preços'!$A:$D,4,0)</f>
        <v>SHERWIN WILLIAMS</v>
      </c>
      <c r="W2163" t="str">
        <f>VLOOKUP(L2163,'[2]tabela de preços'!$A:$F,6,0)</f>
        <v>PRIMER AUTOMOTIVO</v>
      </c>
      <c r="X2163" t="str">
        <f>VLOOKUP(L2163,'[2]tabela de preços'!$A:$G,7,0)</f>
        <v>AUTOMOTIVO</v>
      </c>
    </row>
    <row r="2164" spans="1:24" x14ac:dyDescent="0.3">
      <c r="A2164" t="s">
        <v>2100</v>
      </c>
      <c r="C2164" t="s">
        <v>2108</v>
      </c>
      <c r="D2164" s="1">
        <v>46049</v>
      </c>
      <c r="E2164" t="s">
        <v>2109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1788</v>
      </c>
      <c r="K2164" t="s">
        <v>2103</v>
      </c>
      <c r="L2164">
        <v>10296</v>
      </c>
      <c r="M2164" t="s">
        <v>334</v>
      </c>
      <c r="O2164" t="s">
        <v>11</v>
      </c>
      <c r="P2164">
        <v>5102</v>
      </c>
      <c r="Q2164">
        <v>3</v>
      </c>
      <c r="R2164">
        <v>17.02</v>
      </c>
      <c r="S2164">
        <v>51.06</v>
      </c>
      <c r="T2164">
        <v>37.71</v>
      </c>
      <c r="U2164">
        <v>26.15</v>
      </c>
      <c r="V2164" t="str">
        <f>VLOOKUP(L2164,'[2]tabela de preços'!$A:$D,4,0)</f>
        <v>ANJO</v>
      </c>
      <c r="W2164" t="str">
        <f>VLOOKUP(L2164,'[2]tabela de preços'!$A:$F,6,0)</f>
        <v>DESENGRAXANTE</v>
      </c>
      <c r="X2164" t="str">
        <f>VLOOKUP(L2164,'[2]tabela de preços'!$A:$G,7,0)</f>
        <v>AUTOMOTIVO</v>
      </c>
    </row>
    <row r="2165" spans="1:24" x14ac:dyDescent="0.3">
      <c r="A2165" t="s">
        <v>2100</v>
      </c>
      <c r="C2165" t="s">
        <v>2108</v>
      </c>
      <c r="D2165" s="1">
        <v>46049</v>
      </c>
      <c r="E2165" t="s">
        <v>2109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1788</v>
      </c>
      <c r="K2165" t="s">
        <v>2103</v>
      </c>
      <c r="L2165">
        <v>10298</v>
      </c>
      <c r="M2165" t="s">
        <v>85</v>
      </c>
      <c r="O2165" t="s">
        <v>11</v>
      </c>
      <c r="P2165">
        <v>5102</v>
      </c>
      <c r="Q2165">
        <v>1</v>
      </c>
      <c r="R2165">
        <v>56.89</v>
      </c>
      <c r="S2165">
        <v>56.89</v>
      </c>
      <c r="T2165">
        <v>47.38</v>
      </c>
      <c r="U2165">
        <v>16.72</v>
      </c>
      <c r="V2165" t="str">
        <f>VLOOKUP(L2165,'[2]tabela de preços'!$A:$D,4,0)</f>
        <v>ANJO</v>
      </c>
      <c r="W2165" t="str">
        <f>VLOOKUP(L2165,'[2]tabela de preços'!$A:$F,6,0)</f>
        <v>THINNER DE LIMPEZA</v>
      </c>
      <c r="X2165" t="str">
        <f>VLOOKUP(L2165,'[2]tabela de preços'!$A:$G,7,0)</f>
        <v>THINNER</v>
      </c>
    </row>
    <row r="2166" spans="1:24" x14ac:dyDescent="0.3">
      <c r="A2166" t="s">
        <v>2100</v>
      </c>
      <c r="C2166" t="s">
        <v>2108</v>
      </c>
      <c r="D2166" s="1">
        <v>46049</v>
      </c>
      <c r="E2166" t="s">
        <v>2109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1788</v>
      </c>
      <c r="K2166" t="s">
        <v>2103</v>
      </c>
      <c r="L2166">
        <v>10297</v>
      </c>
      <c r="M2166" t="s">
        <v>41</v>
      </c>
      <c r="O2166" t="s">
        <v>11</v>
      </c>
      <c r="P2166">
        <v>5102</v>
      </c>
      <c r="Q2166">
        <v>15</v>
      </c>
      <c r="R2166">
        <v>10.89</v>
      </c>
      <c r="S2166">
        <v>163.35</v>
      </c>
      <c r="T2166">
        <v>137.55000000000001</v>
      </c>
      <c r="U2166">
        <v>15.79</v>
      </c>
      <c r="V2166" t="str">
        <f>VLOOKUP(L2166,'[2]tabela de preços'!$A:$D,4,0)</f>
        <v>ANJO</v>
      </c>
      <c r="W2166" t="str">
        <f>VLOOKUP(L2166,'[2]tabela de preços'!$A:$F,6,0)</f>
        <v>THINNER DE LIMPEZA</v>
      </c>
      <c r="X2166" t="str">
        <f>VLOOKUP(L2166,'[2]tabela de preços'!$A:$G,7,0)</f>
        <v>THINNER</v>
      </c>
    </row>
    <row r="2167" spans="1:24" x14ac:dyDescent="0.3">
      <c r="A2167" t="s">
        <v>2100</v>
      </c>
      <c r="C2167" t="s">
        <v>2108</v>
      </c>
      <c r="D2167" s="1">
        <v>46049</v>
      </c>
      <c r="E2167" t="s">
        <v>2109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1788</v>
      </c>
      <c r="K2167" t="s">
        <v>2103</v>
      </c>
      <c r="L2167">
        <v>84560</v>
      </c>
      <c r="M2167" t="s">
        <v>118</v>
      </c>
      <c r="O2167" t="s">
        <v>11</v>
      </c>
      <c r="P2167">
        <v>5102</v>
      </c>
      <c r="Q2167">
        <v>2</v>
      </c>
      <c r="R2167">
        <v>47.89</v>
      </c>
      <c r="S2167">
        <v>95.78</v>
      </c>
      <c r="T2167">
        <v>78.319999999999993</v>
      </c>
      <c r="U2167">
        <v>18.23</v>
      </c>
      <c r="V2167" t="str">
        <f>VLOOKUP(L2167,'[2]tabela de preços'!$A:$D,4,0)</f>
        <v>BRASILUX</v>
      </c>
      <c r="W2167" t="str">
        <f>VLOOKUP(L2167,'[2]tabela de preços'!$A:$F,6,0)</f>
        <v>THINNER DE LIMPEZA</v>
      </c>
      <c r="X2167" t="str">
        <f>VLOOKUP(L2167,'[2]tabela de preços'!$A:$G,7,0)</f>
        <v>THINNER</v>
      </c>
    </row>
    <row r="2168" spans="1:24" x14ac:dyDescent="0.3">
      <c r="A2168" t="s">
        <v>2100</v>
      </c>
      <c r="C2168" t="s">
        <v>2108</v>
      </c>
      <c r="D2168" s="1">
        <v>46049</v>
      </c>
      <c r="E2168" t="s">
        <v>2109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1788</v>
      </c>
      <c r="K2168" t="s">
        <v>2103</v>
      </c>
      <c r="L2168">
        <v>85649</v>
      </c>
      <c r="M2168" t="s">
        <v>478</v>
      </c>
      <c r="O2168" t="s">
        <v>11</v>
      </c>
      <c r="P2168">
        <v>5403</v>
      </c>
      <c r="Q2168">
        <v>4</v>
      </c>
      <c r="R2168">
        <v>9.1199999999999992</v>
      </c>
      <c r="S2168">
        <v>36.479999999999997</v>
      </c>
      <c r="T2168">
        <v>27.68</v>
      </c>
      <c r="U2168">
        <v>24.12</v>
      </c>
      <c r="V2168" t="str">
        <f>VLOOKUP(L2168,'[2]tabela de preços'!$A:$D,4,0)</f>
        <v>UNIPEGA</v>
      </c>
      <c r="W2168" t="str">
        <f>VLOOKUP(L2168,'[2]tabela de preços'!$A:$F,6,0)</f>
        <v xml:space="preserve">SPRAYS </v>
      </c>
      <c r="X2168" t="str">
        <f>VLOOKUP(L2168,'[2]tabela de preços'!$A:$G,7,0)</f>
        <v>AUTOMOTIVO</v>
      </c>
    </row>
    <row r="2169" spans="1:24" x14ac:dyDescent="0.3">
      <c r="A2169" t="s">
        <v>2113</v>
      </c>
      <c r="C2169" t="s">
        <v>2114</v>
      </c>
      <c r="D2169" s="1">
        <v>46035</v>
      </c>
      <c r="E2169" t="s">
        <v>2115</v>
      </c>
      <c r="F2169">
        <v>9</v>
      </c>
      <c r="G2169">
        <v>236</v>
      </c>
      <c r="H2169" t="str">
        <f>VLOOKUP(G2169,[1]OPERADORES!$A:$B,2,0)</f>
        <v>DANIEL</v>
      </c>
      <c r="I2169" t="s">
        <v>21</v>
      </c>
      <c r="J2169" t="s">
        <v>211</v>
      </c>
      <c r="K2169" t="s">
        <v>2116</v>
      </c>
      <c r="L2169">
        <v>21757</v>
      </c>
      <c r="M2169" t="s">
        <v>2117</v>
      </c>
      <c r="O2169" t="s">
        <v>11</v>
      </c>
      <c r="P2169">
        <v>5403</v>
      </c>
      <c r="Q2169">
        <v>10</v>
      </c>
      <c r="R2169">
        <v>16.79</v>
      </c>
      <c r="S2169">
        <v>167.9</v>
      </c>
      <c r="T2169">
        <v>120.4</v>
      </c>
      <c r="U2169">
        <v>28.29</v>
      </c>
      <c r="V2169" t="str">
        <f>VLOOKUP(L2169,'[2]tabela de preços'!$A:$D,4,0)</f>
        <v>SHERWIN WILLIAMS</v>
      </c>
      <c r="W2169" t="str">
        <f>VLOOKUP(L2169,'[2]tabela de preços'!$A:$F,6,0)</f>
        <v xml:space="preserve">SPRAYS </v>
      </c>
      <c r="X2169" t="str">
        <f>VLOOKUP(L2169,'[2]tabela de preços'!$A:$G,7,0)</f>
        <v>AUTOMOTIVO</v>
      </c>
    </row>
    <row r="2170" spans="1:24" x14ac:dyDescent="0.3">
      <c r="A2170" t="s">
        <v>2113</v>
      </c>
      <c r="C2170" t="s">
        <v>2118</v>
      </c>
      <c r="D2170" s="1">
        <v>46035</v>
      </c>
      <c r="E2170" t="s">
        <v>2119</v>
      </c>
      <c r="F2170">
        <v>9</v>
      </c>
      <c r="G2170">
        <v>236</v>
      </c>
      <c r="H2170" t="str">
        <f>VLOOKUP(G2170,[1]OPERADORES!$A:$B,2,0)</f>
        <v>DANIEL</v>
      </c>
      <c r="I2170" t="s">
        <v>21</v>
      </c>
      <c r="J2170" t="s">
        <v>211</v>
      </c>
      <c r="K2170" t="s">
        <v>2116</v>
      </c>
      <c r="L2170">
        <v>10316</v>
      </c>
      <c r="M2170" t="s">
        <v>582</v>
      </c>
      <c r="O2170" t="s">
        <v>11</v>
      </c>
      <c r="P2170">
        <v>5102</v>
      </c>
      <c r="Q2170">
        <v>1</v>
      </c>
      <c r="R2170">
        <v>13.89</v>
      </c>
      <c r="S2170">
        <v>13.89</v>
      </c>
      <c r="T2170">
        <v>11.63</v>
      </c>
      <c r="U2170">
        <v>16.27</v>
      </c>
      <c r="V2170" t="str">
        <f>VLOOKUP(L2170,'[2]tabela de preços'!$A:$D,4,0)</f>
        <v>ANJO</v>
      </c>
      <c r="W2170" t="str">
        <f>VLOOKUP(L2170,'[2]tabela de preços'!$A:$F,6,0)</f>
        <v xml:space="preserve">COLA  PLÁSTICA </v>
      </c>
      <c r="X2170" t="str">
        <f>VLOOKUP(L2170,'[2]tabela de preços'!$A:$G,7,0)</f>
        <v>AUTOMOTIVO</v>
      </c>
    </row>
    <row r="2171" spans="1:24" x14ac:dyDescent="0.3">
      <c r="A2171" t="s">
        <v>2113</v>
      </c>
      <c r="C2171" t="s">
        <v>2118</v>
      </c>
      <c r="D2171" s="1">
        <v>46035</v>
      </c>
      <c r="E2171" t="s">
        <v>2119</v>
      </c>
      <c r="F2171">
        <v>9</v>
      </c>
      <c r="G2171">
        <v>236</v>
      </c>
      <c r="H2171" t="str">
        <f>VLOOKUP(G2171,[1]OPERADORES!$A:$B,2,0)</f>
        <v>DANIEL</v>
      </c>
      <c r="I2171" t="s">
        <v>21</v>
      </c>
      <c r="J2171" t="s">
        <v>211</v>
      </c>
      <c r="K2171" t="s">
        <v>2116</v>
      </c>
      <c r="L2171">
        <v>21757</v>
      </c>
      <c r="M2171" t="s">
        <v>2117</v>
      </c>
      <c r="O2171" t="s">
        <v>11</v>
      </c>
      <c r="P2171">
        <v>5403</v>
      </c>
      <c r="Q2171">
        <v>2</v>
      </c>
      <c r="R2171">
        <v>16.79</v>
      </c>
      <c r="S2171">
        <v>33.58</v>
      </c>
      <c r="T2171">
        <v>24.08</v>
      </c>
      <c r="U2171">
        <v>28.29</v>
      </c>
      <c r="V2171" t="str">
        <f>VLOOKUP(L2171,'[2]tabela de preços'!$A:$D,4,0)</f>
        <v>SHERWIN WILLIAMS</v>
      </c>
      <c r="W2171" t="str">
        <f>VLOOKUP(L2171,'[2]tabela de preços'!$A:$F,6,0)</f>
        <v xml:space="preserve">SPRAYS </v>
      </c>
      <c r="X2171" t="str">
        <f>VLOOKUP(L2171,'[2]tabela de preços'!$A:$G,7,0)</f>
        <v>AUTOMOTIVO</v>
      </c>
    </row>
    <row r="2172" spans="1:24" x14ac:dyDescent="0.3">
      <c r="A2172" t="s">
        <v>2120</v>
      </c>
      <c r="C2172" t="s">
        <v>2121</v>
      </c>
      <c r="D2172" s="1">
        <v>46050</v>
      </c>
      <c r="E2172" t="s">
        <v>2122</v>
      </c>
      <c r="F2172">
        <v>9</v>
      </c>
      <c r="G2172">
        <v>236</v>
      </c>
      <c r="H2172" t="str">
        <f>VLOOKUP(G2172,[1]OPERADORES!$A:$B,2,0)</f>
        <v>DANIEL</v>
      </c>
      <c r="I2172" t="s">
        <v>21</v>
      </c>
      <c r="J2172" t="s">
        <v>1018</v>
      </c>
      <c r="K2172" t="s">
        <v>2123</v>
      </c>
      <c r="L2172">
        <v>84114</v>
      </c>
      <c r="M2172" t="s">
        <v>292</v>
      </c>
      <c r="O2172" t="s">
        <v>11</v>
      </c>
      <c r="P2172">
        <v>5102</v>
      </c>
      <c r="Q2172">
        <v>12</v>
      </c>
      <c r="R2172">
        <v>163.04</v>
      </c>
      <c r="S2172" s="2">
        <v>1956.48</v>
      </c>
      <c r="T2172" s="2">
        <v>1402.56</v>
      </c>
      <c r="U2172">
        <v>28.31</v>
      </c>
      <c r="V2172" t="str">
        <f>VLOOKUP(L2172,'[2]tabela de preços'!$A:$D,4,0)</f>
        <v>BRASILUX</v>
      </c>
      <c r="W2172" t="str">
        <f>VLOOKUP(L2172,'[2]tabela de preços'!$A:$F,6,0)</f>
        <v>EPOXI</v>
      </c>
      <c r="X2172" t="str">
        <f>VLOOKUP(L2172,'[2]tabela de preços'!$A:$G,7,0)</f>
        <v>INDUSTRIAL</v>
      </c>
    </row>
    <row r="2173" spans="1:24" x14ac:dyDescent="0.3">
      <c r="A2173" t="s">
        <v>2124</v>
      </c>
      <c r="B2173" t="s">
        <v>2125</v>
      </c>
      <c r="C2173" t="s">
        <v>2126</v>
      </c>
      <c r="D2173" s="1">
        <v>46037</v>
      </c>
      <c r="E2173" t="s">
        <v>2127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2128</v>
      </c>
      <c r="K2173" t="s">
        <v>2129</v>
      </c>
      <c r="L2173">
        <v>85135</v>
      </c>
      <c r="M2173" t="s">
        <v>2130</v>
      </c>
      <c r="O2173" t="s">
        <v>11</v>
      </c>
      <c r="P2173">
        <v>5403</v>
      </c>
      <c r="Q2173">
        <v>1</v>
      </c>
      <c r="R2173">
        <v>178.1</v>
      </c>
      <c r="S2173">
        <v>178.1</v>
      </c>
      <c r="T2173">
        <v>107.94</v>
      </c>
      <c r="U2173">
        <v>39.39</v>
      </c>
      <c r="V2173" t="str">
        <f>VLOOKUP(L2173,'[2]tabela de preços'!$A:$D,4,0)</f>
        <v>BRASILUX</v>
      </c>
      <c r="W2173" t="str">
        <f>VLOOKUP(L2173,'[2]tabela de preços'!$A:$F,6,0)</f>
        <v>TINTA DE LABORATÓRIO</v>
      </c>
      <c r="X2173" t="str">
        <f>VLOOKUP(L2173,'[2]tabela de preços'!$A:$G,7,0)</f>
        <v>AUTOMOTIVO</v>
      </c>
    </row>
    <row r="2174" spans="1:24" x14ac:dyDescent="0.3">
      <c r="A2174" t="s">
        <v>2131</v>
      </c>
      <c r="C2174" t="s">
        <v>2132</v>
      </c>
      <c r="D2174" s="1">
        <v>46035</v>
      </c>
      <c r="E2174" t="s">
        <v>2133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1327</v>
      </c>
      <c r="J2174" t="s">
        <v>1328</v>
      </c>
      <c r="K2174" t="s">
        <v>2134</v>
      </c>
      <c r="L2174">
        <v>85362</v>
      </c>
      <c r="M2174" t="s">
        <v>2135</v>
      </c>
      <c r="O2174" t="s">
        <v>11</v>
      </c>
      <c r="P2174">
        <v>6102</v>
      </c>
      <c r="Q2174">
        <v>3</v>
      </c>
      <c r="R2174">
        <v>142.69999999999999</v>
      </c>
      <c r="S2174">
        <v>428.1</v>
      </c>
      <c r="T2174">
        <v>324.93</v>
      </c>
      <c r="U2174">
        <v>24.1</v>
      </c>
      <c r="V2174" t="str">
        <f>VLOOKUP(L2174,'[2]tabela de preços'!$A:$D,4,0)</f>
        <v>BRASILUX</v>
      </c>
      <c r="W2174" t="str">
        <f>VLOOKUP(L2174,'[2]tabela de preços'!$A:$F,6,0)</f>
        <v>PRETO FOSCO VINÍLICO</v>
      </c>
      <c r="X2174" t="str">
        <f>VLOOKUP(L2174,'[2]tabela de preços'!$A:$G,7,0)</f>
        <v>AUTOMOTIVO</v>
      </c>
    </row>
    <row r="2175" spans="1:24" x14ac:dyDescent="0.3">
      <c r="A2175" t="s">
        <v>2131</v>
      </c>
      <c r="C2175" t="s">
        <v>2132</v>
      </c>
      <c r="D2175" s="1">
        <v>46035</v>
      </c>
      <c r="E2175" t="s">
        <v>2133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1327</v>
      </c>
      <c r="J2175" t="s">
        <v>1328</v>
      </c>
      <c r="K2175" t="s">
        <v>2134</v>
      </c>
      <c r="L2175">
        <v>84025</v>
      </c>
      <c r="M2175" t="s">
        <v>1520</v>
      </c>
      <c r="O2175" t="s">
        <v>11</v>
      </c>
      <c r="P2175">
        <v>6102</v>
      </c>
      <c r="Q2175">
        <v>3</v>
      </c>
      <c r="R2175">
        <v>80.42</v>
      </c>
      <c r="S2175">
        <v>241.26</v>
      </c>
      <c r="T2175">
        <v>183.12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2131</v>
      </c>
      <c r="C2176" t="s">
        <v>2132</v>
      </c>
      <c r="D2176" s="1">
        <v>46035</v>
      </c>
      <c r="E2176" t="s">
        <v>2133</v>
      </c>
      <c r="F2176">
        <v>9</v>
      </c>
      <c r="G2176">
        <v>174</v>
      </c>
      <c r="H2176" t="str">
        <f>VLOOKUP(G2176,[1]OPERADORES!$A:$B,2,0)</f>
        <v>MIRIÃ LOBATO RODRIGUES</v>
      </c>
      <c r="I2176" t="s">
        <v>1327</v>
      </c>
      <c r="J2176" t="s">
        <v>1328</v>
      </c>
      <c r="K2176" t="s">
        <v>2134</v>
      </c>
      <c r="L2176">
        <v>85416</v>
      </c>
      <c r="M2176" t="s">
        <v>756</v>
      </c>
      <c r="O2176" t="s">
        <v>11</v>
      </c>
      <c r="P2176">
        <v>6102</v>
      </c>
      <c r="Q2176">
        <v>6</v>
      </c>
      <c r="R2176">
        <v>8.9</v>
      </c>
      <c r="S2176">
        <v>53.4</v>
      </c>
      <c r="T2176">
        <v>43.92</v>
      </c>
      <c r="U2176">
        <v>17.75</v>
      </c>
      <c r="V2176" t="str">
        <f>VLOOKUP(L2176,'[2]tabela de preços'!$A:$D,4,0)</f>
        <v>IBERÊ</v>
      </c>
      <c r="W2176" t="str">
        <f>VLOOKUP(L2176,'[2]tabela de preços'!$A:$F,6,0)</f>
        <v xml:space="preserve">COLA  PLÁSTICA </v>
      </c>
      <c r="X2176" t="str">
        <f>VLOOKUP(L2176,'[2]tabela de preços'!$A:$G,7,0)</f>
        <v>AUTOMOTIVO</v>
      </c>
    </row>
    <row r="2177" spans="1:24" x14ac:dyDescent="0.3">
      <c r="A2177" t="s">
        <v>2131</v>
      </c>
      <c r="C2177" t="s">
        <v>2132</v>
      </c>
      <c r="D2177" s="1">
        <v>46035</v>
      </c>
      <c r="E2177" t="s">
        <v>2133</v>
      </c>
      <c r="F2177">
        <v>9</v>
      </c>
      <c r="G2177">
        <v>174</v>
      </c>
      <c r="H2177" t="str">
        <f>VLOOKUP(G2177,[1]OPERADORES!$A:$B,2,0)</f>
        <v>MIRIÃ LOBATO RODRIGUES</v>
      </c>
      <c r="I2177" t="s">
        <v>1327</v>
      </c>
      <c r="J2177" t="s">
        <v>1328</v>
      </c>
      <c r="K2177" t="s">
        <v>2134</v>
      </c>
      <c r="L2177">
        <v>84560</v>
      </c>
      <c r="M2177" t="s">
        <v>118</v>
      </c>
      <c r="O2177" t="s">
        <v>11</v>
      </c>
      <c r="P2177">
        <v>6102</v>
      </c>
      <c r="Q2177">
        <v>12</v>
      </c>
      <c r="R2177">
        <v>47.89</v>
      </c>
      <c r="S2177">
        <v>574.67999999999995</v>
      </c>
      <c r="T2177">
        <v>469.92</v>
      </c>
      <c r="U2177">
        <v>18.23</v>
      </c>
      <c r="V2177" t="str">
        <f>VLOOKUP(L2177,'[2]tabela de preços'!$A:$D,4,0)</f>
        <v>BRASILUX</v>
      </c>
      <c r="W2177" t="str">
        <f>VLOOKUP(L2177,'[2]tabela de preços'!$A:$F,6,0)</f>
        <v>THINNER DE LIMPEZA</v>
      </c>
      <c r="X2177" t="str">
        <f>VLOOKUP(L2177,'[2]tabela de preços'!$A:$G,7,0)</f>
        <v>THINNER</v>
      </c>
    </row>
    <row r="2178" spans="1:24" x14ac:dyDescent="0.3">
      <c r="A2178" t="s">
        <v>2136</v>
      </c>
      <c r="C2178" t="s">
        <v>2137</v>
      </c>
      <c r="D2178" s="1">
        <v>46049</v>
      </c>
      <c r="E2178" t="s">
        <v>2138</v>
      </c>
      <c r="F2178">
        <v>9</v>
      </c>
      <c r="G2178">
        <v>145</v>
      </c>
      <c r="H2178" t="str">
        <f>VLOOKUP(G2178,[1]OPERADORES!$A:$B,2,0)</f>
        <v xml:space="preserve">FABRICIA </v>
      </c>
      <c r="I2178" t="s">
        <v>21</v>
      </c>
      <c r="J2178" t="s">
        <v>450</v>
      </c>
      <c r="K2178" t="s">
        <v>2139</v>
      </c>
      <c r="L2178">
        <v>10298</v>
      </c>
      <c r="M2178" t="s">
        <v>85</v>
      </c>
      <c r="O2178" t="s">
        <v>11</v>
      </c>
      <c r="P2178">
        <v>5102</v>
      </c>
      <c r="Q2178">
        <v>4</v>
      </c>
      <c r="R2178">
        <v>56.89</v>
      </c>
      <c r="S2178">
        <v>227.56</v>
      </c>
      <c r="T2178">
        <v>189.52</v>
      </c>
      <c r="U2178">
        <v>16.72</v>
      </c>
      <c r="V2178" t="str">
        <f>VLOOKUP(L2178,'[2]tabela de preços'!$A:$D,4,0)</f>
        <v>ANJO</v>
      </c>
      <c r="W2178" t="str">
        <f>VLOOKUP(L2178,'[2]tabela de preços'!$A:$F,6,0)</f>
        <v>THINNER DE LIMPEZA</v>
      </c>
      <c r="X2178" t="str">
        <f>VLOOKUP(L2178,'[2]tabela de preços'!$A:$G,7,0)</f>
        <v>THINNER</v>
      </c>
    </row>
    <row r="2179" spans="1:24" x14ac:dyDescent="0.3">
      <c r="A2179" t="s">
        <v>2140</v>
      </c>
      <c r="C2179" t="s">
        <v>2141</v>
      </c>
      <c r="D2179" s="1">
        <v>46048</v>
      </c>
      <c r="E2179" t="s">
        <v>2142</v>
      </c>
      <c r="F2179">
        <v>9</v>
      </c>
      <c r="G2179">
        <v>236</v>
      </c>
      <c r="H2179" t="str">
        <f>VLOOKUP(G2179,[1]OPERADORES!$A:$B,2,0)</f>
        <v>DANIEL</v>
      </c>
      <c r="I2179" t="s">
        <v>21</v>
      </c>
      <c r="J2179" t="s">
        <v>550</v>
      </c>
      <c r="K2179" t="s">
        <v>2143</v>
      </c>
      <c r="L2179">
        <v>86542</v>
      </c>
      <c r="M2179" t="s">
        <v>352</v>
      </c>
      <c r="O2179" t="s">
        <v>11</v>
      </c>
      <c r="P2179">
        <v>5102</v>
      </c>
      <c r="Q2179">
        <v>3</v>
      </c>
      <c r="R2179">
        <v>78.900000000000006</v>
      </c>
      <c r="S2179">
        <v>236.7</v>
      </c>
      <c r="T2179">
        <v>207.48</v>
      </c>
      <c r="U2179">
        <v>12.34</v>
      </c>
      <c r="V2179" t="str">
        <f>VLOOKUP(L2179,'[2]tabela de preços'!$A:$D,4,0)</f>
        <v>CORAL</v>
      </c>
      <c r="W2179" t="str">
        <f>VLOOKUP(L2179,'[2]tabela de preços'!$A:$F,6,0)</f>
        <v>MASSA CORRIDA / ACRÍLICA</v>
      </c>
      <c r="X2179" t="str">
        <f>VLOOKUP(L2179,'[2]tabela de preços'!$A:$G,7,0)</f>
        <v>IMOBILIÁRIO</v>
      </c>
    </row>
    <row r="2180" spans="1:24" x14ac:dyDescent="0.3">
      <c r="A2180" t="s">
        <v>2140</v>
      </c>
      <c r="C2180" t="s">
        <v>2144</v>
      </c>
      <c r="D2180" s="1">
        <v>46048</v>
      </c>
      <c r="E2180" t="s">
        <v>2145</v>
      </c>
      <c r="F2180">
        <v>9</v>
      </c>
      <c r="G2180">
        <v>236</v>
      </c>
      <c r="H2180" t="str">
        <f>VLOOKUP(G2180,[1]OPERADORES!$A:$B,2,0)</f>
        <v>DANIEL</v>
      </c>
      <c r="I2180" t="s">
        <v>21</v>
      </c>
      <c r="J2180" t="s">
        <v>550</v>
      </c>
      <c r="K2180" t="s">
        <v>2143</v>
      </c>
      <c r="L2180">
        <v>86943</v>
      </c>
      <c r="M2180" t="s">
        <v>1111</v>
      </c>
      <c r="O2180" t="s">
        <v>11</v>
      </c>
      <c r="P2180">
        <v>5403</v>
      </c>
      <c r="Q2180">
        <v>1</v>
      </c>
      <c r="R2180">
        <v>123.5</v>
      </c>
      <c r="S2180">
        <v>123.5</v>
      </c>
      <c r="T2180">
        <v>90.54</v>
      </c>
      <c r="U2180">
        <v>26.69</v>
      </c>
      <c r="V2180" t="str">
        <f>VLOOKUP(L2180,'[2]tabela de preços'!$A:$D,4,0)</f>
        <v>BRASILUX</v>
      </c>
      <c r="W2180" t="str">
        <f>VLOOKUP(L2180,'[2]tabela de preços'!$A:$F,6,0)</f>
        <v>IMPERMEABILIZANTES</v>
      </c>
      <c r="X2180" t="str">
        <f>VLOOKUP(L2180,'[2]tabela de preços'!$A:$G,7,0)</f>
        <v>IMOBILIÁRIO</v>
      </c>
    </row>
    <row r="2181" spans="1:24" x14ac:dyDescent="0.3">
      <c r="A2181" t="s">
        <v>2140</v>
      </c>
      <c r="C2181" t="s">
        <v>2144</v>
      </c>
      <c r="D2181" s="1">
        <v>46048</v>
      </c>
      <c r="E2181" t="s">
        <v>2146</v>
      </c>
      <c r="F2181">
        <v>9</v>
      </c>
      <c r="G2181">
        <v>236</v>
      </c>
      <c r="H2181" t="str">
        <f>VLOOKUP(G2181,[1]OPERADORES!$A:$B,2,0)</f>
        <v>DANIEL</v>
      </c>
      <c r="I2181" t="s">
        <v>21</v>
      </c>
      <c r="J2181" t="s">
        <v>550</v>
      </c>
      <c r="K2181" t="s">
        <v>2143</v>
      </c>
      <c r="L2181">
        <v>84020</v>
      </c>
      <c r="M2181" t="s">
        <v>518</v>
      </c>
      <c r="O2181" t="s">
        <v>11</v>
      </c>
      <c r="P2181">
        <v>5102</v>
      </c>
      <c r="Q2181">
        <v>10</v>
      </c>
      <c r="R2181">
        <v>1.07</v>
      </c>
      <c r="S2181">
        <v>10.7</v>
      </c>
      <c r="T2181">
        <v>6.9</v>
      </c>
      <c r="U2181">
        <v>35.51</v>
      </c>
      <c r="V2181" t="str">
        <f>VLOOKUP(L2181,'[2]tabela de preços'!$A:$D,4,0)</f>
        <v>3M</v>
      </c>
      <c r="W2181" t="str">
        <f>VLOOKUP(L2181,'[2]tabela de preços'!$A:$F,6,0)</f>
        <v>LIXA MASSA  /MADEIRA / PAREDE</v>
      </c>
      <c r="X2181" t="str">
        <f>VLOOKUP(L2181,'[2]tabela de preços'!$A:$G,7,0)</f>
        <v>IMOBILIÁRIO</v>
      </c>
    </row>
    <row r="2182" spans="1:24" x14ac:dyDescent="0.3">
      <c r="A2182" t="s">
        <v>2147</v>
      </c>
      <c r="C2182" t="s">
        <v>2148</v>
      </c>
      <c r="D2182" s="1">
        <v>46030</v>
      </c>
      <c r="E2182" t="s">
        <v>2149</v>
      </c>
      <c r="F2182">
        <v>9</v>
      </c>
      <c r="G2182">
        <v>230</v>
      </c>
      <c r="H2182" t="str">
        <f>VLOOKUP(G2182,[1]OPERADORES!$A:$B,2,0)</f>
        <v>SÔNIA</v>
      </c>
      <c r="I2182" t="s">
        <v>21</v>
      </c>
      <c r="J2182" t="s">
        <v>2150</v>
      </c>
      <c r="K2182" t="s">
        <v>2151</v>
      </c>
      <c r="L2182">
        <v>84351</v>
      </c>
      <c r="M2182" t="s">
        <v>2152</v>
      </c>
      <c r="O2182" t="s">
        <v>11</v>
      </c>
      <c r="P2182">
        <v>5403</v>
      </c>
      <c r="Q2182">
        <v>2</v>
      </c>
      <c r="R2182">
        <v>60.89</v>
      </c>
      <c r="S2182">
        <v>121.78</v>
      </c>
      <c r="T2182">
        <v>104</v>
      </c>
      <c r="U2182">
        <v>14.6</v>
      </c>
      <c r="V2182" t="str">
        <f>VLOOKUP(L2182,'[2]tabela de preços'!$A:$D,4,0)</f>
        <v>BRASILUX</v>
      </c>
      <c r="W2182" t="str">
        <f>VLOOKUP(L2182,'[2]tabela de preços'!$A:$F,6,0)</f>
        <v>ESMALTES</v>
      </c>
      <c r="X2182" t="str">
        <f>VLOOKUP(L2182,'[2]tabela de preços'!$A:$G,7,0)</f>
        <v>INDUSTRIAL</v>
      </c>
    </row>
    <row r="2183" spans="1:24" x14ac:dyDescent="0.3">
      <c r="A2183" t="s">
        <v>2147</v>
      </c>
      <c r="C2183" t="s">
        <v>2148</v>
      </c>
      <c r="D2183" s="1">
        <v>46030</v>
      </c>
      <c r="E2183" t="s">
        <v>2149</v>
      </c>
      <c r="F2183">
        <v>9</v>
      </c>
      <c r="G2183">
        <v>230</v>
      </c>
      <c r="H2183" t="str">
        <f>VLOOKUP(G2183,[1]OPERADORES!$A:$B,2,0)</f>
        <v>SÔNIA</v>
      </c>
      <c r="I2183" t="s">
        <v>21</v>
      </c>
      <c r="J2183" t="s">
        <v>2150</v>
      </c>
      <c r="K2183" t="s">
        <v>2151</v>
      </c>
      <c r="L2183">
        <v>84799</v>
      </c>
      <c r="M2183" t="s">
        <v>2153</v>
      </c>
      <c r="O2183" t="s">
        <v>11</v>
      </c>
      <c r="P2183">
        <v>5403</v>
      </c>
      <c r="Q2183">
        <v>2</v>
      </c>
      <c r="R2183">
        <v>288.35000000000002</v>
      </c>
      <c r="S2183">
        <v>576.70000000000005</v>
      </c>
      <c r="T2183">
        <v>437.72</v>
      </c>
      <c r="U2183">
        <v>24.1</v>
      </c>
      <c r="V2183" t="str">
        <f>VLOOKUP(L2183,'[2]tabela de preços'!$A:$D,4,0)</f>
        <v>BRASILUX</v>
      </c>
      <c r="W2183" t="str">
        <f>VLOOKUP(L2183,'[2]tabela de preços'!$A:$F,6,0)</f>
        <v>ESMALTES</v>
      </c>
      <c r="X2183" t="str">
        <f>VLOOKUP(L2183,'[2]tabela de preços'!$A:$G,7,0)</f>
        <v>INDUSTRIAL</v>
      </c>
    </row>
    <row r="2184" spans="1:24" x14ac:dyDescent="0.3">
      <c r="A2184" t="s">
        <v>2147</v>
      </c>
      <c r="C2184" t="s">
        <v>2148</v>
      </c>
      <c r="D2184" s="1">
        <v>46030</v>
      </c>
      <c r="E2184" t="s">
        <v>2149</v>
      </c>
      <c r="F2184">
        <v>9</v>
      </c>
      <c r="G2184">
        <v>230</v>
      </c>
      <c r="H2184" t="str">
        <f>VLOOKUP(G2184,[1]OPERADORES!$A:$B,2,0)</f>
        <v>SÔNIA</v>
      </c>
      <c r="I2184" t="s">
        <v>21</v>
      </c>
      <c r="J2184" t="s">
        <v>2150</v>
      </c>
      <c r="K2184" t="s">
        <v>2151</v>
      </c>
      <c r="L2184">
        <v>84499</v>
      </c>
      <c r="M2184" t="s">
        <v>534</v>
      </c>
      <c r="O2184" t="s">
        <v>11</v>
      </c>
      <c r="P2184">
        <v>5102</v>
      </c>
      <c r="Q2184">
        <v>1</v>
      </c>
      <c r="R2184">
        <v>176.61</v>
      </c>
      <c r="S2184">
        <v>176.61</v>
      </c>
      <c r="T2184">
        <v>134.05000000000001</v>
      </c>
      <c r="U2184">
        <v>24.1</v>
      </c>
      <c r="V2184" t="str">
        <f>VLOOKUP(L2184,'[2]tabela de preços'!$A:$D,4,0)</f>
        <v>BRASILUX</v>
      </c>
      <c r="W2184" t="str">
        <f>VLOOKUP(L2184,'[2]tabela de preços'!$A:$F,6,0)</f>
        <v>THINNER DE LIMPEZA</v>
      </c>
      <c r="X2184" t="str">
        <f>VLOOKUP(L2184,'[2]tabela de preços'!$A:$G,7,0)</f>
        <v>THINNER</v>
      </c>
    </row>
    <row r="2185" spans="1:24" x14ac:dyDescent="0.3">
      <c r="A2185" t="s">
        <v>2147</v>
      </c>
      <c r="C2185" t="s">
        <v>2148</v>
      </c>
      <c r="D2185" s="1">
        <v>46030</v>
      </c>
      <c r="E2185" t="s">
        <v>2149</v>
      </c>
      <c r="F2185">
        <v>9</v>
      </c>
      <c r="G2185">
        <v>230</v>
      </c>
      <c r="H2185" t="str">
        <f>VLOOKUP(G2185,[1]OPERADORES!$A:$B,2,0)</f>
        <v>SÔNIA</v>
      </c>
      <c r="I2185" t="s">
        <v>21</v>
      </c>
      <c r="J2185" t="s">
        <v>2150</v>
      </c>
      <c r="K2185" t="s">
        <v>2151</v>
      </c>
      <c r="L2185">
        <v>85326</v>
      </c>
      <c r="M2185" t="s">
        <v>1627</v>
      </c>
      <c r="O2185" t="s">
        <v>11</v>
      </c>
      <c r="P2185">
        <v>5102</v>
      </c>
      <c r="Q2185">
        <v>1</v>
      </c>
      <c r="R2185">
        <v>565.9</v>
      </c>
      <c r="S2185">
        <v>565.9</v>
      </c>
      <c r="T2185">
        <v>403.49</v>
      </c>
      <c r="U2185">
        <v>28.7</v>
      </c>
      <c r="V2185" t="str">
        <f>VLOOKUP(L2185,'[2]tabela de preços'!$A:$D,4,0)</f>
        <v>BRASILUX</v>
      </c>
      <c r="W2185" t="str">
        <f>VLOOKUP(L2185,'[2]tabela de preços'!$A:$F,6,0)</f>
        <v>TINTA EM PÓ</v>
      </c>
      <c r="X2185" t="str">
        <f>VLOOKUP(L2185,'[2]tabela de preços'!$A:$G,7,0)</f>
        <v>INDUSTRIAL</v>
      </c>
    </row>
    <row r="2186" spans="1:24" x14ac:dyDescent="0.3">
      <c r="A2186" t="s">
        <v>2147</v>
      </c>
      <c r="C2186" t="s">
        <v>2148</v>
      </c>
      <c r="D2186" s="1">
        <v>46030</v>
      </c>
      <c r="E2186" t="s">
        <v>2149</v>
      </c>
      <c r="F2186">
        <v>9</v>
      </c>
      <c r="G2186">
        <v>230</v>
      </c>
      <c r="H2186" t="str">
        <f>VLOOKUP(G2186,[1]OPERADORES!$A:$B,2,0)</f>
        <v>SÔNIA</v>
      </c>
      <c r="I2186" t="s">
        <v>21</v>
      </c>
      <c r="J2186" t="s">
        <v>2150</v>
      </c>
      <c r="K2186" t="s">
        <v>2151</v>
      </c>
      <c r="L2186">
        <v>85336</v>
      </c>
      <c r="M2186" t="s">
        <v>2154</v>
      </c>
      <c r="O2186" t="s">
        <v>11</v>
      </c>
      <c r="P2186">
        <v>5102</v>
      </c>
      <c r="Q2186">
        <v>1</v>
      </c>
      <c r="R2186">
        <v>513.32000000000005</v>
      </c>
      <c r="S2186">
        <v>513.32000000000005</v>
      </c>
      <c r="T2186">
        <v>366</v>
      </c>
      <c r="U2186">
        <v>28.7</v>
      </c>
      <c r="V2186" t="str">
        <f>VLOOKUP(L2186,'[2]tabela de preços'!$A:$D,4,0)</f>
        <v>BRASILUX</v>
      </c>
      <c r="W2186" t="str">
        <f>VLOOKUP(L2186,'[2]tabela de preços'!$A:$F,6,0)</f>
        <v>TINTA EM PÓ</v>
      </c>
      <c r="X2186" t="str">
        <f>VLOOKUP(L2186,'[2]tabela de preços'!$A:$G,7,0)</f>
        <v>INDUSTRIAL</v>
      </c>
    </row>
    <row r="2187" spans="1:24" x14ac:dyDescent="0.3">
      <c r="A2187" t="s">
        <v>2155</v>
      </c>
      <c r="C2187" t="s">
        <v>2156</v>
      </c>
      <c r="D2187" s="1">
        <v>46037</v>
      </c>
      <c r="E2187" t="s">
        <v>2157</v>
      </c>
      <c r="F2187">
        <v>9</v>
      </c>
      <c r="G2187">
        <v>174</v>
      </c>
      <c r="H2187" t="str">
        <f>VLOOKUP(G2187,[1]OPERADORES!$A:$B,2,0)</f>
        <v>MIRIÃ LOBATO RODRIGUES</v>
      </c>
      <c r="I2187" t="s">
        <v>21</v>
      </c>
      <c r="J2187" t="s">
        <v>66</v>
      </c>
      <c r="K2187" t="s">
        <v>2158</v>
      </c>
      <c r="L2187">
        <v>84174</v>
      </c>
      <c r="M2187" t="s">
        <v>1532</v>
      </c>
      <c r="O2187" t="s">
        <v>11</v>
      </c>
      <c r="P2187">
        <v>5403</v>
      </c>
      <c r="Q2187">
        <v>2</v>
      </c>
      <c r="R2187">
        <v>92.33</v>
      </c>
      <c r="S2187">
        <v>184.66</v>
      </c>
      <c r="T2187">
        <v>140.16</v>
      </c>
      <c r="U2187">
        <v>24.1</v>
      </c>
      <c r="V2187" t="str">
        <f>VLOOKUP(L2187,'[2]tabela de preços'!$A:$D,4,0)</f>
        <v>BRASILUX</v>
      </c>
      <c r="W2187" t="str">
        <f>VLOOKUP(L2187,'[2]tabela de preços'!$A:$F,6,0)</f>
        <v>ESMALTES</v>
      </c>
      <c r="X2187" t="str">
        <f>VLOOKUP(L2187,'[2]tabela de preços'!$A:$G,7,0)</f>
        <v>INDUSTRIAL</v>
      </c>
    </row>
    <row r="2188" spans="1:24" x14ac:dyDescent="0.3">
      <c r="A2188" t="s">
        <v>2155</v>
      </c>
      <c r="C2188" t="s">
        <v>2156</v>
      </c>
      <c r="D2188" s="1">
        <v>46037</v>
      </c>
      <c r="E2188" t="s">
        <v>2157</v>
      </c>
      <c r="F2188">
        <v>9</v>
      </c>
      <c r="G2188">
        <v>174</v>
      </c>
      <c r="H2188" t="str">
        <f>VLOOKUP(G2188,[1]OPERADORES!$A:$B,2,0)</f>
        <v>MIRIÃ LOBATO RODRIGUES</v>
      </c>
      <c r="I2188" t="s">
        <v>21</v>
      </c>
      <c r="J2188" t="s">
        <v>66</v>
      </c>
      <c r="K2188" t="s">
        <v>2158</v>
      </c>
      <c r="L2188">
        <v>84175</v>
      </c>
      <c r="M2188" t="s">
        <v>1429</v>
      </c>
      <c r="O2188" t="s">
        <v>11</v>
      </c>
      <c r="P2188">
        <v>5403</v>
      </c>
      <c r="Q2188">
        <v>2</v>
      </c>
      <c r="R2188">
        <v>91.77</v>
      </c>
      <c r="S2188">
        <v>183.54</v>
      </c>
      <c r="T2188">
        <v>139.32</v>
      </c>
      <c r="U2188">
        <v>24.09</v>
      </c>
      <c r="V2188" t="str">
        <f>VLOOKUP(L2188,'[2]tabela de preços'!$A:$D,4,0)</f>
        <v>BRASILUX</v>
      </c>
      <c r="W2188" t="str">
        <f>VLOOKUP(L2188,'[2]tabela de preços'!$A:$F,6,0)</f>
        <v>ESMALTES</v>
      </c>
      <c r="X2188" t="str">
        <f>VLOOKUP(L2188,'[2]tabela de preços'!$A:$G,7,0)</f>
        <v>INDUSTRIAL</v>
      </c>
    </row>
    <row r="2189" spans="1:24" x14ac:dyDescent="0.3">
      <c r="A2189" t="s">
        <v>2155</v>
      </c>
      <c r="C2189" t="s">
        <v>2156</v>
      </c>
      <c r="D2189" s="1">
        <v>46037</v>
      </c>
      <c r="E2189" t="s">
        <v>2157</v>
      </c>
      <c r="F2189">
        <v>9</v>
      </c>
      <c r="G2189">
        <v>174</v>
      </c>
      <c r="H2189" t="str">
        <f>VLOOKUP(G2189,[1]OPERADORES!$A:$B,2,0)</f>
        <v>MIRIÃ LOBATO RODRIGUES</v>
      </c>
      <c r="I2189" t="s">
        <v>21</v>
      </c>
      <c r="J2189" t="s">
        <v>66</v>
      </c>
      <c r="K2189" t="s">
        <v>2158</v>
      </c>
      <c r="L2189">
        <v>23287</v>
      </c>
      <c r="M2189" t="s">
        <v>273</v>
      </c>
      <c r="O2189" t="s">
        <v>11</v>
      </c>
      <c r="P2189">
        <v>5102</v>
      </c>
      <c r="Q2189">
        <v>2</v>
      </c>
      <c r="R2189">
        <v>39.979999999999997</v>
      </c>
      <c r="S2189">
        <v>79.959999999999994</v>
      </c>
      <c r="T2189">
        <v>60.7</v>
      </c>
      <c r="U2189">
        <v>24.09</v>
      </c>
      <c r="V2189" t="str">
        <f>VLOOKUP(L2189,'[2]tabela de preços'!$A:$D,4,0)</f>
        <v>AUTO AMERICA</v>
      </c>
      <c r="W2189" t="str">
        <f>VLOOKUP(L2189,'[2]tabela de preços'!$A:$F,6,0)</f>
        <v>CERA  / LIMPEZA /  POLIMENTO VEICULAR</v>
      </c>
      <c r="X2189" t="str">
        <f>VLOOKUP(L2189,'[2]tabela de preços'!$A:$G,7,0)</f>
        <v>AUTOMOTIVO</v>
      </c>
    </row>
    <row r="2190" spans="1:24" x14ac:dyDescent="0.3">
      <c r="A2190" t="s">
        <v>2155</v>
      </c>
      <c r="C2190" t="s">
        <v>2156</v>
      </c>
      <c r="D2190" s="1">
        <v>46037</v>
      </c>
      <c r="E2190" t="s">
        <v>2157</v>
      </c>
      <c r="F2190">
        <v>9</v>
      </c>
      <c r="G2190">
        <v>174</v>
      </c>
      <c r="H2190" t="str">
        <f>VLOOKUP(G2190,[1]OPERADORES!$A:$B,2,0)</f>
        <v>MIRIÃ LOBATO RODRIGUES</v>
      </c>
      <c r="I2190" t="s">
        <v>21</v>
      </c>
      <c r="J2190" t="s">
        <v>66</v>
      </c>
      <c r="K2190" t="s">
        <v>2158</v>
      </c>
      <c r="L2190">
        <v>84460</v>
      </c>
      <c r="M2190" t="s">
        <v>322</v>
      </c>
      <c r="O2190" t="s">
        <v>11</v>
      </c>
      <c r="P2190">
        <v>5102</v>
      </c>
      <c r="Q2190">
        <v>6</v>
      </c>
      <c r="R2190">
        <v>31.07</v>
      </c>
      <c r="S2190">
        <v>186.42</v>
      </c>
      <c r="T2190">
        <v>141.47999999999999</v>
      </c>
      <c r="U2190">
        <v>24.11</v>
      </c>
      <c r="V2190" t="str">
        <f>VLOOKUP(L2190,'[2]tabela de preços'!$A:$D,4,0)</f>
        <v>BRASILUX</v>
      </c>
      <c r="W2190" t="str">
        <f>VLOOKUP(L2190,'[2]tabela de preços'!$A:$F,6,0)</f>
        <v>VEDADORES / SELANTES</v>
      </c>
      <c r="X2190" t="str">
        <f>VLOOKUP(L2190,'[2]tabela de preços'!$A:$G,7,0)</f>
        <v>AUTOMOTIVO</v>
      </c>
    </row>
    <row r="2191" spans="1:24" x14ac:dyDescent="0.3">
      <c r="A2191" t="s">
        <v>2155</v>
      </c>
      <c r="C2191" t="s">
        <v>2159</v>
      </c>
      <c r="D2191" s="1">
        <v>46044</v>
      </c>
      <c r="E2191" t="s">
        <v>2160</v>
      </c>
      <c r="F2191">
        <v>9</v>
      </c>
      <c r="G2191">
        <v>174</v>
      </c>
      <c r="H2191" t="str">
        <f>VLOOKUP(G2191,[1]OPERADORES!$A:$B,2,0)</f>
        <v>MIRIÃ LOBATO RODRIGUES</v>
      </c>
      <c r="I2191" t="s">
        <v>21</v>
      </c>
      <c r="J2191" t="s">
        <v>66</v>
      </c>
      <c r="K2191" t="s">
        <v>2158</v>
      </c>
      <c r="L2191">
        <v>20960</v>
      </c>
      <c r="M2191" t="s">
        <v>1734</v>
      </c>
      <c r="O2191" t="s">
        <v>11</v>
      </c>
      <c r="P2191">
        <v>5403</v>
      </c>
      <c r="Q2191">
        <v>6</v>
      </c>
      <c r="R2191">
        <v>79.56</v>
      </c>
      <c r="S2191">
        <v>477.36</v>
      </c>
      <c r="T2191">
        <v>362.34</v>
      </c>
      <c r="U2191">
        <v>24.1</v>
      </c>
      <c r="V2191" t="str">
        <f>VLOOKUP(L2191,'[2]tabela de preços'!$A:$D,4,0)</f>
        <v>SHERWIN WILLIAMS</v>
      </c>
      <c r="W2191" t="str">
        <f>VLOOKUP(L2191,'[2]tabela de preços'!$A:$F,6,0)</f>
        <v>VERNIZ AUTOMOTIVO</v>
      </c>
      <c r="X2191" t="str">
        <f>VLOOKUP(L2191,'[2]tabela de preços'!$A:$G,7,0)</f>
        <v>AUTOMOTIVO</v>
      </c>
    </row>
    <row r="2192" spans="1:24" x14ac:dyDescent="0.3">
      <c r="A2192" t="s">
        <v>2155</v>
      </c>
      <c r="C2192" t="s">
        <v>2161</v>
      </c>
      <c r="D2192" s="1">
        <v>46050</v>
      </c>
      <c r="E2192" t="s">
        <v>2162</v>
      </c>
      <c r="F2192">
        <v>9</v>
      </c>
      <c r="G2192">
        <v>174</v>
      </c>
      <c r="H2192" t="str">
        <f>VLOOKUP(G2192,[1]OPERADORES!$A:$B,2,0)</f>
        <v>MIRIÃ LOBATO RODRIGUES</v>
      </c>
      <c r="I2192" t="s">
        <v>21</v>
      </c>
      <c r="J2192" t="s">
        <v>66</v>
      </c>
      <c r="K2192" t="s">
        <v>2158</v>
      </c>
      <c r="L2192">
        <v>21274</v>
      </c>
      <c r="M2192" t="s">
        <v>810</v>
      </c>
      <c r="O2192" t="s">
        <v>11</v>
      </c>
      <c r="P2192">
        <v>5102</v>
      </c>
      <c r="Q2192">
        <v>100</v>
      </c>
      <c r="R2192">
        <v>0.72</v>
      </c>
      <c r="S2192">
        <v>72</v>
      </c>
      <c r="T2192">
        <v>55</v>
      </c>
      <c r="U2192">
        <v>23.61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2155</v>
      </c>
      <c r="C2193" t="s">
        <v>2161</v>
      </c>
      <c r="D2193" s="1">
        <v>46050</v>
      </c>
      <c r="E2193" t="s">
        <v>2162</v>
      </c>
      <c r="F2193">
        <v>9</v>
      </c>
      <c r="G2193">
        <v>174</v>
      </c>
      <c r="H2193" t="str">
        <f>VLOOKUP(G2193,[1]OPERADORES!$A:$B,2,0)</f>
        <v>MIRIÃ LOBATO RODRIGUES</v>
      </c>
      <c r="I2193" t="s">
        <v>21</v>
      </c>
      <c r="J2193" t="s">
        <v>66</v>
      </c>
      <c r="K2193" t="s">
        <v>2158</v>
      </c>
      <c r="L2193">
        <v>85300</v>
      </c>
      <c r="M2193" t="s">
        <v>2163</v>
      </c>
      <c r="O2193" t="s">
        <v>11</v>
      </c>
      <c r="P2193">
        <v>5403</v>
      </c>
      <c r="Q2193">
        <v>3</v>
      </c>
      <c r="R2193">
        <v>97.95</v>
      </c>
      <c r="S2193">
        <v>293.85000000000002</v>
      </c>
      <c r="T2193">
        <v>223.02</v>
      </c>
      <c r="U2193">
        <v>24.1</v>
      </c>
      <c r="V2193" t="str">
        <f>VLOOKUP(L2193,'[2]tabela de preços'!$A:$D,4,0)</f>
        <v>BRASILUX</v>
      </c>
      <c r="W2193" t="str">
        <f>VLOOKUP(L2193,'[2]tabela de preços'!$A:$F,6,0)</f>
        <v>ESMALTES</v>
      </c>
      <c r="X2193" t="str">
        <f>VLOOKUP(L2193,'[2]tabela de preços'!$A:$G,7,0)</f>
        <v>INDUSTRIAL</v>
      </c>
    </row>
    <row r="2194" spans="1:24" x14ac:dyDescent="0.3">
      <c r="A2194" t="s">
        <v>2164</v>
      </c>
      <c r="C2194" t="s">
        <v>2165</v>
      </c>
      <c r="D2194" s="1">
        <v>46043</v>
      </c>
      <c r="E2194" t="s">
        <v>2166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2167</v>
      </c>
      <c r="K2194" t="s">
        <v>2168</v>
      </c>
      <c r="L2194">
        <v>85401</v>
      </c>
      <c r="M2194" t="s">
        <v>261</v>
      </c>
      <c r="O2194" t="s">
        <v>11</v>
      </c>
      <c r="P2194">
        <v>5102</v>
      </c>
      <c r="Q2194">
        <v>1</v>
      </c>
      <c r="R2194">
        <v>655.78</v>
      </c>
      <c r="S2194">
        <v>655.78</v>
      </c>
      <c r="T2194">
        <v>451.64</v>
      </c>
      <c r="U2194">
        <v>31.13</v>
      </c>
      <c r="V2194" t="str">
        <f>VLOOKUP(L2194,'[2]tabela de preços'!$A:$D,4,0)</f>
        <v>BRASILUX</v>
      </c>
      <c r="W2194" t="str">
        <f>VLOOKUP(L2194,'[2]tabela de preços'!$A:$F,6,0)</f>
        <v>TINTA EM PÓ</v>
      </c>
      <c r="X2194" t="str">
        <f>VLOOKUP(L2194,'[2]tabela de preços'!$A:$G,7,0)</f>
        <v>INDUSTRIAL</v>
      </c>
    </row>
    <row r="2195" spans="1:24" x14ac:dyDescent="0.3">
      <c r="A2195" t="s">
        <v>2164</v>
      </c>
      <c r="C2195" t="s">
        <v>2169</v>
      </c>
      <c r="D2195" s="1">
        <v>46049</v>
      </c>
      <c r="E2195" t="s">
        <v>2170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2167</v>
      </c>
      <c r="K2195" t="s">
        <v>2168</v>
      </c>
      <c r="L2195">
        <v>85328</v>
      </c>
      <c r="M2195" t="s">
        <v>605</v>
      </c>
      <c r="O2195" t="s">
        <v>11</v>
      </c>
      <c r="P2195">
        <v>5102</v>
      </c>
      <c r="Q2195">
        <v>1</v>
      </c>
      <c r="R2195">
        <v>579.12</v>
      </c>
      <c r="S2195">
        <v>579.12</v>
      </c>
      <c r="T2195">
        <v>403.43</v>
      </c>
      <c r="U2195">
        <v>30.34</v>
      </c>
      <c r="V2195" t="str">
        <f>VLOOKUP(L2195,'[2]tabela de preços'!$A:$D,4,0)</f>
        <v>BRASILUX</v>
      </c>
      <c r="W2195" t="str">
        <f>VLOOKUP(L2195,'[2]tabela de preços'!$A:$F,6,0)</f>
        <v>TINTA EM PÓ</v>
      </c>
      <c r="X2195" t="str">
        <f>VLOOKUP(L2195,'[2]tabela de preços'!$A:$G,7,0)</f>
        <v>INDUSTRIAL</v>
      </c>
    </row>
    <row r="2196" spans="1:24" x14ac:dyDescent="0.3">
      <c r="A2196" t="s">
        <v>2171</v>
      </c>
      <c r="C2196" t="s">
        <v>2172</v>
      </c>
      <c r="D2196" s="1">
        <v>46029</v>
      </c>
      <c r="E2196" t="s">
        <v>2173</v>
      </c>
      <c r="F2196">
        <v>9</v>
      </c>
      <c r="G2196">
        <v>230</v>
      </c>
      <c r="H2196" t="str">
        <f>VLOOKUP(G2196,[1]OPERADORES!$A:$B,2,0)</f>
        <v>SÔNIA</v>
      </c>
      <c r="I2196" t="s">
        <v>21</v>
      </c>
      <c r="J2196" t="s">
        <v>2174</v>
      </c>
      <c r="K2196" t="s">
        <v>2175</v>
      </c>
      <c r="L2196">
        <v>84564</v>
      </c>
      <c r="M2196" t="s">
        <v>2176</v>
      </c>
      <c r="O2196" t="s">
        <v>11</v>
      </c>
      <c r="P2196">
        <v>5403</v>
      </c>
      <c r="Q2196">
        <v>1</v>
      </c>
      <c r="R2196">
        <v>24.07</v>
      </c>
      <c r="S2196">
        <v>24.07</v>
      </c>
      <c r="T2196">
        <v>18.27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PRETO FOSCO VINÍLICO</v>
      </c>
      <c r="X2196" t="str">
        <f>VLOOKUP(L2196,'[2]tabela de preços'!$A:$G,7,0)</f>
        <v>AUTOMOTIVO</v>
      </c>
    </row>
    <row r="2197" spans="1:24" x14ac:dyDescent="0.3">
      <c r="A2197" t="s">
        <v>2171</v>
      </c>
      <c r="C2197" t="s">
        <v>2172</v>
      </c>
      <c r="D2197" s="1">
        <v>46029</v>
      </c>
      <c r="E2197" t="s">
        <v>2173</v>
      </c>
      <c r="F2197">
        <v>9</v>
      </c>
      <c r="G2197">
        <v>230</v>
      </c>
      <c r="H2197" t="str">
        <f>VLOOKUP(G2197,[1]OPERADORES!$A:$B,2,0)</f>
        <v>SÔNIA</v>
      </c>
      <c r="I2197" t="s">
        <v>21</v>
      </c>
      <c r="J2197" t="s">
        <v>2174</v>
      </c>
      <c r="K2197" t="s">
        <v>2175</v>
      </c>
      <c r="L2197">
        <v>84565</v>
      </c>
      <c r="M2197" t="s">
        <v>236</v>
      </c>
      <c r="O2197" t="s">
        <v>11</v>
      </c>
      <c r="P2197">
        <v>5102</v>
      </c>
      <c r="Q2197">
        <v>1</v>
      </c>
      <c r="R2197">
        <v>9.24</v>
      </c>
      <c r="S2197">
        <v>9.24</v>
      </c>
      <c r="T2197">
        <v>7.01</v>
      </c>
      <c r="U2197">
        <v>24.13</v>
      </c>
      <c r="V2197" t="str">
        <f>VLOOKUP(L2197,'[2]tabela de preços'!$A:$D,4,0)</f>
        <v>BRASILUX</v>
      </c>
      <c r="W2197" t="str">
        <f>VLOOKUP(L2197,'[2]tabela de preços'!$A:$F,6,0)</f>
        <v>PRETO FOSCO VINÍLICO</v>
      </c>
      <c r="X2197" t="str">
        <f>VLOOKUP(L2197,'[2]tabela de preços'!$A:$G,7,0)</f>
        <v>AUTOMOTIVO</v>
      </c>
    </row>
    <row r="2198" spans="1:24" x14ac:dyDescent="0.3">
      <c r="A2198" t="s">
        <v>2171</v>
      </c>
      <c r="C2198" t="s">
        <v>2172</v>
      </c>
      <c r="D2198" s="1">
        <v>46029</v>
      </c>
      <c r="E2198" t="s">
        <v>2173</v>
      </c>
      <c r="F2198">
        <v>9</v>
      </c>
      <c r="G2198">
        <v>230</v>
      </c>
      <c r="H2198" t="str">
        <f>VLOOKUP(G2198,[1]OPERADORES!$A:$B,2,0)</f>
        <v>SÔNIA</v>
      </c>
      <c r="I2198" t="s">
        <v>21</v>
      </c>
      <c r="J2198" t="s">
        <v>2174</v>
      </c>
      <c r="K2198" t="s">
        <v>2175</v>
      </c>
      <c r="L2198">
        <v>84565</v>
      </c>
      <c r="M2198" t="s">
        <v>236</v>
      </c>
      <c r="O2198" t="s">
        <v>11</v>
      </c>
      <c r="P2198">
        <v>5102</v>
      </c>
      <c r="Q2198">
        <v>1</v>
      </c>
      <c r="R2198">
        <v>9.24</v>
      </c>
      <c r="S2198">
        <v>9.24</v>
      </c>
      <c r="T2198">
        <v>7.01</v>
      </c>
      <c r="U2198">
        <v>24.13</v>
      </c>
      <c r="V2198" t="str">
        <f>VLOOKUP(L2198,'[2]tabela de preços'!$A:$D,4,0)</f>
        <v>BRASILUX</v>
      </c>
      <c r="W2198" t="str">
        <f>VLOOKUP(L2198,'[2]tabela de preços'!$A:$F,6,0)</f>
        <v>PRETO FOSCO VINÍLICO</v>
      </c>
      <c r="X2198" t="str">
        <f>VLOOKUP(L2198,'[2]tabela de preços'!$A:$G,7,0)</f>
        <v>AUTOMOTIVO</v>
      </c>
    </row>
    <row r="2199" spans="1:24" x14ac:dyDescent="0.3">
      <c r="A2199" t="s">
        <v>2171</v>
      </c>
      <c r="C2199" t="s">
        <v>2172</v>
      </c>
      <c r="D2199" s="1">
        <v>46029</v>
      </c>
      <c r="E2199" t="s">
        <v>2173</v>
      </c>
      <c r="F2199">
        <v>9</v>
      </c>
      <c r="G2199">
        <v>230</v>
      </c>
      <c r="H2199" t="str">
        <f>VLOOKUP(G2199,[1]OPERADORES!$A:$B,2,0)</f>
        <v>SÔNIA</v>
      </c>
      <c r="I2199" t="s">
        <v>21</v>
      </c>
      <c r="J2199" t="s">
        <v>2174</v>
      </c>
      <c r="K2199" t="s">
        <v>2175</v>
      </c>
      <c r="L2199">
        <v>10236</v>
      </c>
      <c r="M2199" t="s">
        <v>133</v>
      </c>
      <c r="O2199" t="s">
        <v>11</v>
      </c>
      <c r="P2199">
        <v>5102</v>
      </c>
      <c r="Q2199">
        <v>10</v>
      </c>
      <c r="R2199">
        <v>2.79</v>
      </c>
      <c r="S2199">
        <v>27.9</v>
      </c>
      <c r="T2199">
        <v>23.7</v>
      </c>
      <c r="U2199">
        <v>15.05</v>
      </c>
      <c r="V2199" t="str">
        <f>VLOOKUP(L2199,'[2]tabela de preços'!$A:$D,4,0)</f>
        <v>NORTON</v>
      </c>
      <c r="W2199" t="str">
        <f>VLOOKUP(L2199,'[2]tabela de preços'!$A:$F,6,0)</f>
        <v xml:space="preserve">DISCOS / LIXAS / ABRASIVOS </v>
      </c>
      <c r="X2199" t="str">
        <f>VLOOKUP(L2199,'[2]tabela de preços'!$A:$G,7,0)</f>
        <v>AUTOMOTIVO</v>
      </c>
    </row>
    <row r="2200" spans="1:24" x14ac:dyDescent="0.3">
      <c r="A2200" t="s">
        <v>2171</v>
      </c>
      <c r="C2200" t="s">
        <v>2172</v>
      </c>
      <c r="D2200" s="1">
        <v>46029</v>
      </c>
      <c r="E2200" t="s">
        <v>2173</v>
      </c>
      <c r="F2200">
        <v>9</v>
      </c>
      <c r="G2200">
        <v>230</v>
      </c>
      <c r="H2200" t="str">
        <f>VLOOKUP(G2200,[1]OPERADORES!$A:$B,2,0)</f>
        <v>SÔNIA</v>
      </c>
      <c r="I2200" t="s">
        <v>21</v>
      </c>
      <c r="J2200" t="s">
        <v>2174</v>
      </c>
      <c r="K2200" t="s">
        <v>2175</v>
      </c>
      <c r="L2200">
        <v>10232</v>
      </c>
      <c r="M2200" t="s">
        <v>134</v>
      </c>
      <c r="O2200" t="s">
        <v>11</v>
      </c>
      <c r="P2200">
        <v>5102</v>
      </c>
      <c r="Q2200">
        <v>10</v>
      </c>
      <c r="R2200">
        <v>2.79</v>
      </c>
      <c r="S2200">
        <v>27.9</v>
      </c>
      <c r="T2200">
        <v>22.9</v>
      </c>
      <c r="U2200">
        <v>17.920000000000002</v>
      </c>
      <c r="V2200" t="str">
        <f>VLOOKUP(L2200,'[2]tabela de preços'!$A:$D,4,0)</f>
        <v>NORTON</v>
      </c>
      <c r="W2200" t="str">
        <f>VLOOKUP(L2200,'[2]tabela de preços'!$A:$F,6,0)</f>
        <v xml:space="preserve">DISCOS / LIXAS / ABRASIVOS </v>
      </c>
      <c r="X2200" t="str">
        <f>VLOOKUP(L2200,'[2]tabela de preços'!$A:$G,7,0)</f>
        <v>AUTOMOTIVO</v>
      </c>
    </row>
    <row r="2201" spans="1:24" x14ac:dyDescent="0.3">
      <c r="A2201" t="s">
        <v>2171</v>
      </c>
      <c r="C2201" t="s">
        <v>2172</v>
      </c>
      <c r="D2201" s="1">
        <v>46029</v>
      </c>
      <c r="E2201" t="s">
        <v>2173</v>
      </c>
      <c r="F2201">
        <v>9</v>
      </c>
      <c r="G2201">
        <v>230</v>
      </c>
      <c r="H2201" t="str">
        <f>VLOOKUP(G2201,[1]OPERADORES!$A:$B,2,0)</f>
        <v>SÔNIA</v>
      </c>
      <c r="I2201" t="s">
        <v>21</v>
      </c>
      <c r="J2201" t="s">
        <v>2174</v>
      </c>
      <c r="K2201" t="s">
        <v>2175</v>
      </c>
      <c r="L2201">
        <v>10266</v>
      </c>
      <c r="M2201" t="s">
        <v>117</v>
      </c>
      <c r="O2201" t="s">
        <v>11</v>
      </c>
      <c r="P2201">
        <v>5102</v>
      </c>
      <c r="Q2201">
        <v>1</v>
      </c>
      <c r="R2201">
        <v>11.41</v>
      </c>
      <c r="S2201">
        <v>11.41</v>
      </c>
      <c r="T2201">
        <v>8.66</v>
      </c>
      <c r="U2201">
        <v>24.1</v>
      </c>
      <c r="V2201" t="str">
        <f>VLOOKUP(L2201,'[2]tabela de preços'!$A:$D,4,0)</f>
        <v>NORTON</v>
      </c>
      <c r="W2201" t="str">
        <f>VLOOKUP(L2201,'[2]tabela de preços'!$A:$F,6,0)</f>
        <v xml:space="preserve">DISCOS / LIXAS / ABRASIVOS 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2172</v>
      </c>
      <c r="D2202" s="1">
        <v>46029</v>
      </c>
      <c r="E2202" t="s">
        <v>2173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5</v>
      </c>
      <c r="R2202">
        <v>5.39</v>
      </c>
      <c r="S2202">
        <v>26.95</v>
      </c>
      <c r="T2202">
        <v>17.399999999999999</v>
      </c>
      <c r="U2202">
        <v>35.44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2172</v>
      </c>
      <c r="D2203" s="1">
        <v>46029</v>
      </c>
      <c r="E2203" t="s">
        <v>2173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22188</v>
      </c>
      <c r="M2203" t="s">
        <v>78</v>
      </c>
      <c r="O2203" t="s">
        <v>11</v>
      </c>
      <c r="P2203">
        <v>5102</v>
      </c>
      <c r="Q2203">
        <v>3</v>
      </c>
      <c r="R2203">
        <v>12.89</v>
      </c>
      <c r="S2203">
        <v>38.67</v>
      </c>
      <c r="T2203">
        <v>32.67</v>
      </c>
      <c r="U2203">
        <v>15.52</v>
      </c>
      <c r="V2203" t="str">
        <f>VLOOKUP(L2203,'[2]tabela de preços'!$A:$D,4,0)</f>
        <v>3M</v>
      </c>
      <c r="W2203" t="str">
        <f>VLOOKUP(L2203,'[2]tabela de preços'!$A:$F,6,0)</f>
        <v>FITA AUTOMOTIVA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2172</v>
      </c>
      <c r="D2204" s="1">
        <v>46029</v>
      </c>
      <c r="E2204" t="s">
        <v>2173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23653</v>
      </c>
      <c r="M2204" t="s">
        <v>644</v>
      </c>
      <c r="O2204" t="s">
        <v>11</v>
      </c>
      <c r="P2204">
        <v>5102</v>
      </c>
      <c r="Q2204">
        <v>1</v>
      </c>
      <c r="R2204">
        <v>67.150000000000006</v>
      </c>
      <c r="S2204">
        <v>67.150000000000006</v>
      </c>
      <c r="T2204">
        <v>50.97</v>
      </c>
      <c r="U2204">
        <v>24.1</v>
      </c>
      <c r="V2204" t="str">
        <f>VLOOKUP(L2204,'[2]tabela de preços'!$A:$D,4,0)</f>
        <v>SIKKENS</v>
      </c>
      <c r="W2204" t="str">
        <f>VLOOKUP(L2204,'[2]tabela de preços'!$A:$F,6,0)</f>
        <v>CATALISADORES INDIVIDUAS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2172</v>
      </c>
      <c r="D2205" s="1">
        <v>46029</v>
      </c>
      <c r="E2205" t="s">
        <v>2173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85703</v>
      </c>
      <c r="M2205" t="s">
        <v>682</v>
      </c>
      <c r="O2205" t="s">
        <v>11</v>
      </c>
      <c r="P2205">
        <v>5102</v>
      </c>
      <c r="Q2205">
        <v>1</v>
      </c>
      <c r="R2205">
        <v>14.25</v>
      </c>
      <c r="S2205">
        <v>14.25</v>
      </c>
      <c r="T2205">
        <v>10.81</v>
      </c>
      <c r="U2205">
        <v>24.14</v>
      </c>
      <c r="V2205" t="str">
        <f>VLOOKUP(L2205,'[2]tabela de preços'!$A:$D,4,0)</f>
        <v>NEW PAD</v>
      </c>
      <c r="W2205" t="str">
        <f>VLOOKUP(L2205,'[2]tabela de preços'!$A:$F,6,0)</f>
        <v>APLICADORES / ADAPTADORES / ENGATES / SUPORTES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2172</v>
      </c>
      <c r="D2206" s="1">
        <v>46029</v>
      </c>
      <c r="E2206" t="s">
        <v>2173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23063</v>
      </c>
      <c r="M2206" t="s">
        <v>786</v>
      </c>
      <c r="O2206" t="s">
        <v>11</v>
      </c>
      <c r="P2206">
        <v>5403</v>
      </c>
      <c r="Q2206">
        <v>1</v>
      </c>
      <c r="R2206">
        <v>39.67</v>
      </c>
      <c r="S2206">
        <v>39.67</v>
      </c>
      <c r="T2206">
        <v>30.11</v>
      </c>
      <c r="U2206">
        <v>24.1</v>
      </c>
      <c r="V2206" t="str">
        <f>VLOOKUP(L2206,'[2]tabela de preços'!$A:$D,4,0)</f>
        <v>WANDA</v>
      </c>
      <c r="W2206" t="str">
        <f>VLOOKUP(L2206,'[2]tabela de preços'!$A:$F,6,0)</f>
        <v>VERNIZ AUTOMOTIVO</v>
      </c>
      <c r="X2206" t="str">
        <f>VLOOKUP(L2206,'[2]tabela de preços'!$A:$G,7,0)</f>
        <v>AUTOMOTIVO</v>
      </c>
    </row>
    <row r="2207" spans="1:24" x14ac:dyDescent="0.3">
      <c r="A2207" t="s">
        <v>2171</v>
      </c>
      <c r="C2207" t="s">
        <v>2172</v>
      </c>
      <c r="D2207" s="1">
        <v>46029</v>
      </c>
      <c r="E2207" t="s">
        <v>2173</v>
      </c>
      <c r="F2207">
        <v>9</v>
      </c>
      <c r="G2207">
        <v>230</v>
      </c>
      <c r="H2207" t="str">
        <f>VLOOKUP(G2207,[1]OPERADORES!$A:$B,2,0)</f>
        <v>SÔNIA</v>
      </c>
      <c r="I2207" t="s">
        <v>21</v>
      </c>
      <c r="J2207" t="s">
        <v>2174</v>
      </c>
      <c r="K2207" t="s">
        <v>2175</v>
      </c>
      <c r="L2207">
        <v>85587</v>
      </c>
      <c r="M2207" t="s">
        <v>2177</v>
      </c>
      <c r="O2207" t="s">
        <v>11</v>
      </c>
      <c r="P2207">
        <v>5405</v>
      </c>
      <c r="Q2207">
        <v>1</v>
      </c>
      <c r="R2207">
        <v>48.01</v>
      </c>
      <c r="S2207">
        <v>48.01</v>
      </c>
      <c r="T2207">
        <v>34.229999999999997</v>
      </c>
      <c r="U2207">
        <v>28.7</v>
      </c>
      <c r="V2207" t="str">
        <f>VLOOKUP(L2207,'[2]tabela de preços'!$A:$D,4,0)</f>
        <v>SHERWIN WILLIAMS</v>
      </c>
      <c r="W2207" t="str">
        <f>VLOOKUP(L2207,'[2]tabela de preços'!$A:$F,6,0)</f>
        <v>TINTAS POLIÉSTER</v>
      </c>
      <c r="X2207" t="str">
        <f>VLOOKUP(L2207,'[2]tabela de preços'!$A:$G,7,0)</f>
        <v>AUTOMOTIVO</v>
      </c>
    </row>
    <row r="2208" spans="1:24" x14ac:dyDescent="0.3">
      <c r="A2208" t="s">
        <v>2171</v>
      </c>
      <c r="C2208" t="s">
        <v>2172</v>
      </c>
      <c r="D2208" s="1">
        <v>46029</v>
      </c>
      <c r="E2208" t="s">
        <v>2173</v>
      </c>
      <c r="F2208">
        <v>9</v>
      </c>
      <c r="G2208">
        <v>230</v>
      </c>
      <c r="H2208" t="str">
        <f>VLOOKUP(G2208,[1]OPERADORES!$A:$B,2,0)</f>
        <v>SÔNIA</v>
      </c>
      <c r="I2208" t="s">
        <v>21</v>
      </c>
      <c r="J2208" t="s">
        <v>2174</v>
      </c>
      <c r="K2208" t="s">
        <v>2175</v>
      </c>
      <c r="L2208">
        <v>20384</v>
      </c>
      <c r="M2208" t="s">
        <v>648</v>
      </c>
      <c r="O2208" t="s">
        <v>11</v>
      </c>
      <c r="P2208">
        <v>5403</v>
      </c>
      <c r="Q2208">
        <v>1</v>
      </c>
      <c r="R2208">
        <v>32.159999999999997</v>
      </c>
      <c r="S2208">
        <v>32.159999999999997</v>
      </c>
      <c r="T2208">
        <v>22.93</v>
      </c>
      <c r="U2208">
        <v>28.7</v>
      </c>
      <c r="V2208" t="str">
        <f>VLOOKUP(L2208,'[2]tabela de preços'!$A:$D,4,0)</f>
        <v>SHERWIN WILLIAMS</v>
      </c>
      <c r="W2208" t="str">
        <f>VLOOKUP(L2208,'[2]tabela de preços'!$A:$F,6,0)</f>
        <v>TINTAS PU</v>
      </c>
      <c r="X2208" t="str">
        <f>VLOOKUP(L2208,'[2]tabela de preços'!$A:$G,7,0)</f>
        <v>AUTOMOTIVO</v>
      </c>
    </row>
    <row r="2209" spans="1:24" x14ac:dyDescent="0.3">
      <c r="A2209" t="s">
        <v>2171</v>
      </c>
      <c r="C2209" t="s">
        <v>2172</v>
      </c>
      <c r="D2209" s="1">
        <v>46029</v>
      </c>
      <c r="E2209" t="s">
        <v>2173</v>
      </c>
      <c r="F2209">
        <v>9</v>
      </c>
      <c r="G2209">
        <v>230</v>
      </c>
      <c r="H2209" t="str">
        <f>VLOOKUP(G2209,[1]OPERADORES!$A:$B,2,0)</f>
        <v>SÔNIA</v>
      </c>
      <c r="I2209" t="s">
        <v>21</v>
      </c>
      <c r="J2209" t="s">
        <v>2174</v>
      </c>
      <c r="K2209" t="s">
        <v>2175</v>
      </c>
      <c r="L2209">
        <v>10238</v>
      </c>
      <c r="M2209" t="s">
        <v>79</v>
      </c>
      <c r="O2209" t="s">
        <v>11</v>
      </c>
      <c r="P2209">
        <v>5102</v>
      </c>
      <c r="Q2209">
        <v>10</v>
      </c>
      <c r="R2209">
        <v>2.79</v>
      </c>
      <c r="S2209">
        <v>27.9</v>
      </c>
      <c r="T2209">
        <v>22.7</v>
      </c>
      <c r="U2209">
        <v>18.64</v>
      </c>
      <c r="V2209" t="str">
        <f>VLOOKUP(L2209,'[2]tabela de preços'!$A:$D,4,0)</f>
        <v>NORTON</v>
      </c>
      <c r="W2209" t="str">
        <f>VLOOKUP(L2209,'[2]tabela de preços'!$A:$F,6,0)</f>
        <v xml:space="preserve">DISCOS / LIXAS / ABRASIVOS </v>
      </c>
      <c r="X2209" t="str">
        <f>VLOOKUP(L2209,'[2]tabela de preços'!$A:$G,7,0)</f>
        <v>AUTOMOTIVO</v>
      </c>
    </row>
    <row r="2210" spans="1:24" x14ac:dyDescent="0.3">
      <c r="A2210" t="s">
        <v>2171</v>
      </c>
      <c r="C2210" t="s">
        <v>2172</v>
      </c>
      <c r="D2210" s="1">
        <v>46029</v>
      </c>
      <c r="E2210" t="s">
        <v>2173</v>
      </c>
      <c r="F2210">
        <v>9</v>
      </c>
      <c r="G2210">
        <v>230</v>
      </c>
      <c r="H2210" t="str">
        <f>VLOOKUP(G2210,[1]OPERADORES!$A:$B,2,0)</f>
        <v>SÔNIA</v>
      </c>
      <c r="I2210" t="s">
        <v>21</v>
      </c>
      <c r="J2210" t="s">
        <v>2174</v>
      </c>
      <c r="K2210" t="s">
        <v>2175</v>
      </c>
      <c r="L2210">
        <v>10243</v>
      </c>
      <c r="M2210" t="s">
        <v>83</v>
      </c>
      <c r="O2210" t="s">
        <v>11</v>
      </c>
      <c r="P2210">
        <v>5102</v>
      </c>
      <c r="Q2210">
        <v>10</v>
      </c>
      <c r="R2210">
        <v>2.79</v>
      </c>
      <c r="S2210">
        <v>27.9</v>
      </c>
      <c r="T2210">
        <v>19.5</v>
      </c>
      <c r="U2210">
        <v>30.11</v>
      </c>
      <c r="V2210" t="str">
        <f>VLOOKUP(L2210,'[2]tabela de preços'!$A:$D,4,0)</f>
        <v>NORTON</v>
      </c>
      <c r="W2210" t="str">
        <f>VLOOKUP(L2210,'[2]tabela de preços'!$A:$F,6,0)</f>
        <v xml:space="preserve">DISCOS / LIXAS / ABRASIVOS </v>
      </c>
      <c r="X2210" t="str">
        <f>VLOOKUP(L2210,'[2]tabela de preços'!$A:$G,7,0)</f>
        <v>AUTOMOTIVO</v>
      </c>
    </row>
    <row r="2211" spans="1:24" x14ac:dyDescent="0.3">
      <c r="A2211" t="s">
        <v>2171</v>
      </c>
      <c r="C2211" t="s">
        <v>2172</v>
      </c>
      <c r="D2211" s="1">
        <v>46029</v>
      </c>
      <c r="E2211" t="s">
        <v>2173</v>
      </c>
      <c r="F2211">
        <v>9</v>
      </c>
      <c r="G2211">
        <v>230</v>
      </c>
      <c r="H2211" t="str">
        <f>VLOOKUP(G2211,[1]OPERADORES!$A:$B,2,0)</f>
        <v>SÔNIA</v>
      </c>
      <c r="I2211" t="s">
        <v>21</v>
      </c>
      <c r="J2211" t="s">
        <v>2174</v>
      </c>
      <c r="K2211" t="s">
        <v>2175</v>
      </c>
      <c r="L2211">
        <v>10244</v>
      </c>
      <c r="M2211" t="s">
        <v>84</v>
      </c>
      <c r="O2211" t="s">
        <v>11</v>
      </c>
      <c r="P2211">
        <v>5102</v>
      </c>
      <c r="Q2211">
        <v>10</v>
      </c>
      <c r="R2211">
        <v>2.79</v>
      </c>
      <c r="S2211">
        <v>27.9</v>
      </c>
      <c r="T2211">
        <v>19.7</v>
      </c>
      <c r="U2211">
        <v>29.39</v>
      </c>
      <c r="V2211" t="str">
        <f>VLOOKUP(L2211,'[2]tabela de preços'!$A:$D,4,0)</f>
        <v>NORTON</v>
      </c>
      <c r="W2211" t="str">
        <f>VLOOKUP(L2211,'[2]tabela de preços'!$A:$F,6,0)</f>
        <v xml:space="preserve">DISCOS / LIXAS / ABRASIVOS </v>
      </c>
      <c r="X2211" t="str">
        <f>VLOOKUP(L2211,'[2]tabela de preços'!$A:$G,7,0)</f>
        <v>AUTOMOTIVO</v>
      </c>
    </row>
    <row r="2212" spans="1:24" x14ac:dyDescent="0.3">
      <c r="A2212" t="s">
        <v>2171</v>
      </c>
      <c r="C2212" t="s">
        <v>2172</v>
      </c>
      <c r="D2212" s="1">
        <v>46029</v>
      </c>
      <c r="E2212" t="s">
        <v>2173</v>
      </c>
      <c r="F2212">
        <v>9</v>
      </c>
      <c r="G2212">
        <v>230</v>
      </c>
      <c r="H2212" t="str">
        <f>VLOOKUP(G2212,[1]OPERADORES!$A:$B,2,0)</f>
        <v>SÔNIA</v>
      </c>
      <c r="I2212" t="s">
        <v>21</v>
      </c>
      <c r="J2212" t="s">
        <v>2174</v>
      </c>
      <c r="K2212" t="s">
        <v>2175</v>
      </c>
      <c r="L2212">
        <v>10245</v>
      </c>
      <c r="M2212" t="s">
        <v>195</v>
      </c>
      <c r="O2212" t="s">
        <v>11</v>
      </c>
      <c r="P2212">
        <v>5102</v>
      </c>
      <c r="Q2212">
        <v>10</v>
      </c>
      <c r="R2212">
        <v>2.79</v>
      </c>
      <c r="S2212">
        <v>27.9</v>
      </c>
      <c r="T2212">
        <v>19.5</v>
      </c>
      <c r="U2212">
        <v>30.11</v>
      </c>
      <c r="V2212" t="str">
        <f>VLOOKUP(L2212,'[2]tabela de preços'!$A:$D,4,0)</f>
        <v>NORTON</v>
      </c>
      <c r="W2212" t="str">
        <f>VLOOKUP(L2212,'[2]tabela de preços'!$A:$F,6,0)</f>
        <v xml:space="preserve">DISCOS / LIXAS / ABRASIVOS </v>
      </c>
      <c r="X2212" t="str">
        <f>VLOOKUP(L2212,'[2]tabela de preços'!$A:$G,7,0)</f>
        <v>AUTOMOTIVO</v>
      </c>
    </row>
    <row r="2213" spans="1:24" x14ac:dyDescent="0.3">
      <c r="A2213" t="s">
        <v>2171</v>
      </c>
      <c r="C2213" t="s">
        <v>2172</v>
      </c>
      <c r="D2213" s="1">
        <v>46029</v>
      </c>
      <c r="E2213" t="s">
        <v>2173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2174</v>
      </c>
      <c r="K2213" t="s">
        <v>2175</v>
      </c>
      <c r="L2213">
        <v>10246</v>
      </c>
      <c r="M2213" t="s">
        <v>206</v>
      </c>
      <c r="O2213" t="s">
        <v>11</v>
      </c>
      <c r="P2213">
        <v>5102</v>
      </c>
      <c r="Q2213">
        <v>5</v>
      </c>
      <c r="R2213">
        <v>2.79</v>
      </c>
      <c r="S2213">
        <v>13.95</v>
      </c>
      <c r="T2213">
        <v>9.75</v>
      </c>
      <c r="U2213">
        <v>30.11</v>
      </c>
      <c r="V2213" t="str">
        <f>VLOOKUP(L2213,'[2]tabela de preços'!$A:$D,4,0)</f>
        <v>NORTON</v>
      </c>
      <c r="W2213" t="str">
        <f>VLOOKUP(L2213,'[2]tabela de preços'!$A:$F,6,0)</f>
        <v xml:space="preserve">DISCOS / LIXAS / ABRASIVOS </v>
      </c>
      <c r="X2213" t="str">
        <f>VLOOKUP(L2213,'[2]tabela de preços'!$A:$G,7,0)</f>
        <v>AUTOMOTIVO</v>
      </c>
    </row>
    <row r="2214" spans="1:24" x14ac:dyDescent="0.3">
      <c r="A2214" t="s">
        <v>2171</v>
      </c>
      <c r="C2214" t="s">
        <v>2172</v>
      </c>
      <c r="D2214" s="1">
        <v>46029</v>
      </c>
      <c r="E2214" t="s">
        <v>2173</v>
      </c>
      <c r="F2214">
        <v>9</v>
      </c>
      <c r="G2214">
        <v>230</v>
      </c>
      <c r="H2214" t="str">
        <f>VLOOKUP(G2214,[1]OPERADORES!$A:$B,2,0)</f>
        <v>SÔNIA</v>
      </c>
      <c r="I2214" t="s">
        <v>21</v>
      </c>
      <c r="J2214" t="s">
        <v>2174</v>
      </c>
      <c r="K2214" t="s">
        <v>2175</v>
      </c>
      <c r="L2214">
        <v>84658</v>
      </c>
      <c r="M2214" t="s">
        <v>100</v>
      </c>
      <c r="O2214" t="s">
        <v>11</v>
      </c>
      <c r="P2214">
        <v>5102</v>
      </c>
      <c r="Q2214">
        <v>4</v>
      </c>
      <c r="R2214">
        <v>40.840000000000003</v>
      </c>
      <c r="S2214">
        <v>163.36000000000001</v>
      </c>
      <c r="T2214">
        <v>124</v>
      </c>
      <c r="U2214">
        <v>24.09</v>
      </c>
      <c r="V2214" t="str">
        <f>VLOOKUP(L2214,'[2]tabela de preços'!$A:$D,4,0)</f>
        <v>ANJO</v>
      </c>
      <c r="W2214" t="str">
        <f>VLOOKUP(L2214,'[2]tabela de preços'!$A:$F,6,0)</f>
        <v>MASSA POLIÉSTER</v>
      </c>
      <c r="X2214" t="str">
        <f>VLOOKUP(L2214,'[2]tabela de preços'!$A:$G,7,0)</f>
        <v>AUTOMOTIVO</v>
      </c>
    </row>
    <row r="2215" spans="1:24" x14ac:dyDescent="0.3">
      <c r="A2215" t="s">
        <v>2171</v>
      </c>
      <c r="C2215" t="s">
        <v>2172</v>
      </c>
      <c r="D2215" s="1">
        <v>46029</v>
      </c>
      <c r="E2215" t="s">
        <v>2173</v>
      </c>
      <c r="F2215">
        <v>9</v>
      </c>
      <c r="G2215">
        <v>230</v>
      </c>
      <c r="H2215" t="str">
        <f>VLOOKUP(G2215,[1]OPERADORES!$A:$B,2,0)</f>
        <v>SÔNIA</v>
      </c>
      <c r="I2215" t="s">
        <v>21</v>
      </c>
      <c r="J2215" t="s">
        <v>2174</v>
      </c>
      <c r="K2215" t="s">
        <v>2175</v>
      </c>
      <c r="L2215">
        <v>23926</v>
      </c>
      <c r="M2215" t="s">
        <v>645</v>
      </c>
      <c r="O2215" t="s">
        <v>11</v>
      </c>
      <c r="P2215">
        <v>5403</v>
      </c>
      <c r="Q2215">
        <v>1</v>
      </c>
      <c r="R2215">
        <v>135.72</v>
      </c>
      <c r="S2215">
        <v>135.72</v>
      </c>
      <c r="T2215">
        <v>103.01</v>
      </c>
      <c r="U2215">
        <v>24.1</v>
      </c>
      <c r="V2215" t="str">
        <f>VLOOKUP(L2215,'[2]tabela de preços'!$A:$D,4,0)</f>
        <v>SIKKENS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2171</v>
      </c>
      <c r="C2216" t="s">
        <v>2172</v>
      </c>
      <c r="D2216" s="1">
        <v>46029</v>
      </c>
      <c r="E2216" t="s">
        <v>2173</v>
      </c>
      <c r="F2216">
        <v>9</v>
      </c>
      <c r="G2216">
        <v>230</v>
      </c>
      <c r="H2216" t="str">
        <f>VLOOKUP(G2216,[1]OPERADORES!$A:$B,2,0)</f>
        <v>SÔNIA</v>
      </c>
      <c r="I2216" t="s">
        <v>21</v>
      </c>
      <c r="J2216" t="s">
        <v>2174</v>
      </c>
      <c r="K2216" t="s">
        <v>2175</v>
      </c>
      <c r="L2216">
        <v>20212</v>
      </c>
      <c r="M2216" t="s">
        <v>198</v>
      </c>
      <c r="O2216" t="s">
        <v>11</v>
      </c>
      <c r="P2216">
        <v>5403</v>
      </c>
      <c r="Q2216">
        <v>1</v>
      </c>
      <c r="R2216">
        <v>26.95</v>
      </c>
      <c r="S2216">
        <v>26.95</v>
      </c>
      <c r="T2216">
        <v>20.46</v>
      </c>
      <c r="U2216">
        <v>24.08</v>
      </c>
      <c r="V2216" t="str">
        <f>VLOOKUP(L2216,'[2]tabela de preços'!$A:$D,4,0)</f>
        <v>MAXI RUBBER</v>
      </c>
      <c r="W2216" t="str">
        <f>VLOOKUP(L2216,'[2]tabela de preços'!$A:$F,6,0)</f>
        <v>SELADORA P/ PLASTICO</v>
      </c>
      <c r="X2216" t="str">
        <f>VLOOKUP(L2216,'[2]tabela de preços'!$A:$G,7,0)</f>
        <v>AUTOMOTIVO</v>
      </c>
    </row>
    <row r="2217" spans="1:24" x14ac:dyDescent="0.3">
      <c r="A2217" t="s">
        <v>2171</v>
      </c>
      <c r="C2217" t="s">
        <v>2172</v>
      </c>
      <c r="D2217" s="1">
        <v>46029</v>
      </c>
      <c r="E2217" t="s">
        <v>2173</v>
      </c>
      <c r="F2217">
        <v>9</v>
      </c>
      <c r="G2217">
        <v>230</v>
      </c>
      <c r="H2217" t="str">
        <f>VLOOKUP(G2217,[1]OPERADORES!$A:$B,2,0)</f>
        <v>SÔNIA</v>
      </c>
      <c r="I2217" t="s">
        <v>21</v>
      </c>
      <c r="J2217" t="s">
        <v>2174</v>
      </c>
      <c r="K2217" t="s">
        <v>2175</v>
      </c>
      <c r="L2217">
        <v>87046</v>
      </c>
      <c r="M2217" t="s">
        <v>2178</v>
      </c>
      <c r="O2217" t="s">
        <v>11</v>
      </c>
      <c r="P2217">
        <v>5102</v>
      </c>
      <c r="Q2217">
        <v>1</v>
      </c>
      <c r="R2217">
        <v>16.79</v>
      </c>
      <c r="S2217">
        <v>16.79</v>
      </c>
      <c r="T2217">
        <v>12.74</v>
      </c>
      <c r="U2217">
        <v>24.12</v>
      </c>
      <c r="V2217" t="str">
        <f>VLOOKUP(L2217,'[2]tabela de preços'!$A:$D,4,0)</f>
        <v>PURPLEX</v>
      </c>
      <c r="W2217" t="str">
        <f>VLOOKUP(L2217,'[2]tabela de preços'!$A:$F,6,0)</f>
        <v>APLICADORES / ADAPTADORES / ENGATES / SUPORTES</v>
      </c>
      <c r="X2217" t="str">
        <f>VLOOKUP(L2217,'[2]tabela de preços'!$A:$G,7,0)</f>
        <v>AUTOMOTIVO</v>
      </c>
    </row>
    <row r="2218" spans="1:24" x14ac:dyDescent="0.3">
      <c r="A2218" t="s">
        <v>2171</v>
      </c>
      <c r="C2218" t="s">
        <v>2172</v>
      </c>
      <c r="D2218" s="1">
        <v>46029</v>
      </c>
      <c r="E2218" t="s">
        <v>2173</v>
      </c>
      <c r="F2218">
        <v>9</v>
      </c>
      <c r="G2218">
        <v>230</v>
      </c>
      <c r="H2218" t="str">
        <f>VLOOKUP(G2218,[1]OPERADORES!$A:$B,2,0)</f>
        <v>SÔNIA</v>
      </c>
      <c r="I2218" t="s">
        <v>21</v>
      </c>
      <c r="J2218" t="s">
        <v>2174</v>
      </c>
      <c r="K2218" t="s">
        <v>2175</v>
      </c>
      <c r="L2218">
        <v>85363</v>
      </c>
      <c r="M2218" t="s">
        <v>2179</v>
      </c>
      <c r="O2218" t="s">
        <v>11</v>
      </c>
      <c r="P2218">
        <v>5102</v>
      </c>
      <c r="Q2218">
        <v>1</v>
      </c>
      <c r="R2218">
        <v>23.95</v>
      </c>
      <c r="S2218">
        <v>23.95</v>
      </c>
      <c r="T2218">
        <v>18.18</v>
      </c>
      <c r="U2218">
        <v>24.09</v>
      </c>
      <c r="V2218" t="str">
        <f>VLOOKUP(L2218,'[2]tabela de preços'!$A:$D,4,0)</f>
        <v>BRASILUX</v>
      </c>
      <c r="W2218" t="str">
        <f>VLOOKUP(L2218,'[2]tabela de preços'!$A:$F,6,0)</f>
        <v>PRETO FOSCO VINÍLICO</v>
      </c>
      <c r="X2218" t="str">
        <f>VLOOKUP(L2218,'[2]tabela de preços'!$A:$G,7,0)</f>
        <v>AUTOMOTIVO</v>
      </c>
    </row>
    <row r="2219" spans="1:24" x14ac:dyDescent="0.3">
      <c r="A2219" t="s">
        <v>2171</v>
      </c>
      <c r="C2219" t="s">
        <v>2180</v>
      </c>
      <c r="D2219" s="1">
        <v>46037</v>
      </c>
      <c r="E2219" t="s">
        <v>2181</v>
      </c>
      <c r="F2219">
        <v>9</v>
      </c>
      <c r="G2219">
        <v>230</v>
      </c>
      <c r="H2219" t="str">
        <f>VLOOKUP(G2219,[1]OPERADORES!$A:$B,2,0)</f>
        <v>SÔNIA</v>
      </c>
      <c r="I2219" t="s">
        <v>21</v>
      </c>
      <c r="J2219" t="s">
        <v>2174</v>
      </c>
      <c r="K2219" t="s">
        <v>2175</v>
      </c>
      <c r="L2219">
        <v>22173</v>
      </c>
      <c r="M2219" t="s">
        <v>194</v>
      </c>
      <c r="O2219" t="s">
        <v>11</v>
      </c>
      <c r="P2219">
        <v>5102</v>
      </c>
      <c r="Q2219">
        <v>10</v>
      </c>
      <c r="R2219">
        <v>4.58</v>
      </c>
      <c r="S2219">
        <v>45.8</v>
      </c>
      <c r="T2219">
        <v>34.799999999999997</v>
      </c>
      <c r="U2219">
        <v>24.02</v>
      </c>
      <c r="V2219" t="str">
        <f>VLOOKUP(L2219,'[2]tabela de preços'!$A:$D,4,0)</f>
        <v>3M</v>
      </c>
      <c r="W2219" t="str">
        <f>VLOOKUP(L2219,'[2]tabela de preços'!$A:$F,6,0)</f>
        <v>FITA AUTOMOTIVA</v>
      </c>
      <c r="X2219" t="str">
        <f>VLOOKUP(L2219,'[2]tabela de preços'!$A:$G,7,0)</f>
        <v>AUTOMOTIVO</v>
      </c>
    </row>
    <row r="2220" spans="1:24" x14ac:dyDescent="0.3">
      <c r="A2220" t="s">
        <v>2171</v>
      </c>
      <c r="C2220" t="s">
        <v>2180</v>
      </c>
      <c r="D2220" s="1">
        <v>46037</v>
      </c>
      <c r="E2220" t="s">
        <v>2181</v>
      </c>
      <c r="F2220">
        <v>9</v>
      </c>
      <c r="G2220">
        <v>230</v>
      </c>
      <c r="H2220" t="str">
        <f>VLOOKUP(G2220,[1]OPERADORES!$A:$B,2,0)</f>
        <v>SÔNIA</v>
      </c>
      <c r="I2220" t="s">
        <v>21</v>
      </c>
      <c r="J2220" t="s">
        <v>2174</v>
      </c>
      <c r="K2220" t="s">
        <v>2175</v>
      </c>
      <c r="L2220">
        <v>10242</v>
      </c>
      <c r="M2220" t="s">
        <v>82</v>
      </c>
      <c r="O2220" t="s">
        <v>11</v>
      </c>
      <c r="P2220">
        <v>5102</v>
      </c>
      <c r="Q2220">
        <v>10</v>
      </c>
      <c r="R2220">
        <v>2.79</v>
      </c>
      <c r="S2220">
        <v>27.9</v>
      </c>
      <c r="T2220">
        <v>22.4</v>
      </c>
      <c r="U2220">
        <v>19.71</v>
      </c>
      <c r="V2220" t="str">
        <f>VLOOKUP(L2220,'[2]tabela de preços'!$A:$D,4,0)</f>
        <v>NORTON</v>
      </c>
      <c r="W2220" t="str">
        <f>VLOOKUP(L2220,'[2]tabela de preços'!$A:$F,6,0)</f>
        <v xml:space="preserve">DISCOS / LIXAS / ABRASIVOS </v>
      </c>
      <c r="X2220" t="str">
        <f>VLOOKUP(L2220,'[2]tabela de preços'!$A:$G,7,0)</f>
        <v>AUTOMOTIVO</v>
      </c>
    </row>
    <row r="2221" spans="1:24" x14ac:dyDescent="0.3">
      <c r="A2221" t="s">
        <v>2171</v>
      </c>
      <c r="C2221" t="s">
        <v>2180</v>
      </c>
      <c r="D2221" s="1">
        <v>46037</v>
      </c>
      <c r="E2221" t="s">
        <v>2181</v>
      </c>
      <c r="F2221">
        <v>9</v>
      </c>
      <c r="G2221">
        <v>230</v>
      </c>
      <c r="H2221" t="str">
        <f>VLOOKUP(G2221,[1]OPERADORES!$A:$B,2,0)</f>
        <v>SÔNIA</v>
      </c>
      <c r="I2221" t="s">
        <v>21</v>
      </c>
      <c r="J2221" t="s">
        <v>2174</v>
      </c>
      <c r="K2221" t="s">
        <v>2175</v>
      </c>
      <c r="L2221">
        <v>10243</v>
      </c>
      <c r="M2221" t="s">
        <v>83</v>
      </c>
      <c r="O2221" t="s">
        <v>11</v>
      </c>
      <c r="P2221">
        <v>5102</v>
      </c>
      <c r="Q2221">
        <v>20</v>
      </c>
      <c r="R2221">
        <v>2.79</v>
      </c>
      <c r="S2221">
        <v>55.8</v>
      </c>
      <c r="T2221">
        <v>38.6</v>
      </c>
      <c r="U2221">
        <v>30.82</v>
      </c>
      <c r="V2221" t="str">
        <f>VLOOKUP(L2221,'[2]tabela de preços'!$A:$D,4,0)</f>
        <v>NORTON</v>
      </c>
      <c r="W2221" t="str">
        <f>VLOOKUP(L2221,'[2]tabela de preços'!$A:$F,6,0)</f>
        <v xml:space="preserve">DISCOS / LIXAS / ABRASIVOS </v>
      </c>
      <c r="X2221" t="str">
        <f>VLOOKUP(L2221,'[2]tabela de preços'!$A:$G,7,0)</f>
        <v>AUTOMOTIVO</v>
      </c>
    </row>
    <row r="2222" spans="1:24" x14ac:dyDescent="0.3">
      <c r="A2222" t="s">
        <v>2171</v>
      </c>
      <c r="C2222" t="s">
        <v>2180</v>
      </c>
      <c r="D2222" s="1">
        <v>46037</v>
      </c>
      <c r="E2222" t="s">
        <v>2181</v>
      </c>
      <c r="F2222">
        <v>9</v>
      </c>
      <c r="G2222">
        <v>230</v>
      </c>
      <c r="H2222" t="str">
        <f>VLOOKUP(G2222,[1]OPERADORES!$A:$B,2,0)</f>
        <v>SÔNIA</v>
      </c>
      <c r="I2222" t="s">
        <v>21</v>
      </c>
      <c r="J2222" t="s">
        <v>2174</v>
      </c>
      <c r="K2222" t="s">
        <v>2175</v>
      </c>
      <c r="L2222">
        <v>10244</v>
      </c>
      <c r="M2222" t="s">
        <v>84</v>
      </c>
      <c r="O2222" t="s">
        <v>11</v>
      </c>
      <c r="P2222">
        <v>5102</v>
      </c>
      <c r="Q2222">
        <v>4</v>
      </c>
      <c r="R2222">
        <v>2.79</v>
      </c>
      <c r="S2222">
        <v>11.16</v>
      </c>
      <c r="T2222">
        <v>7.72</v>
      </c>
      <c r="U2222">
        <v>30.82</v>
      </c>
      <c r="V2222" t="str">
        <f>VLOOKUP(L2222,'[2]tabela de preços'!$A:$D,4,0)</f>
        <v>NORTON</v>
      </c>
      <c r="W2222" t="str">
        <f>VLOOKUP(L2222,'[2]tabela de preços'!$A:$F,6,0)</f>
        <v xml:space="preserve">DISCOS / LIXAS / ABRASIVOS </v>
      </c>
      <c r="X2222" t="str">
        <f>VLOOKUP(L2222,'[2]tabela de preços'!$A:$G,7,0)</f>
        <v>AUTOMOTIVO</v>
      </c>
    </row>
    <row r="2223" spans="1:24" x14ac:dyDescent="0.3">
      <c r="A2223" t="s">
        <v>2171</v>
      </c>
      <c r="C2223" t="s">
        <v>2180</v>
      </c>
      <c r="D2223" s="1">
        <v>46037</v>
      </c>
      <c r="E2223" t="s">
        <v>2181</v>
      </c>
      <c r="F2223">
        <v>9</v>
      </c>
      <c r="G2223">
        <v>230</v>
      </c>
      <c r="H2223" t="str">
        <f>VLOOKUP(G2223,[1]OPERADORES!$A:$B,2,0)</f>
        <v>SÔNIA</v>
      </c>
      <c r="I2223" t="s">
        <v>21</v>
      </c>
      <c r="J2223" t="s">
        <v>2174</v>
      </c>
      <c r="K2223" t="s">
        <v>2175</v>
      </c>
      <c r="L2223">
        <v>84658</v>
      </c>
      <c r="M2223" t="s">
        <v>100</v>
      </c>
      <c r="O2223" t="s">
        <v>11</v>
      </c>
      <c r="P2223">
        <v>5102</v>
      </c>
      <c r="Q2223">
        <v>2</v>
      </c>
      <c r="R2223">
        <v>40.840000000000003</v>
      </c>
      <c r="S2223">
        <v>81.680000000000007</v>
      </c>
      <c r="T2223">
        <v>62</v>
      </c>
      <c r="U2223">
        <v>24.09</v>
      </c>
      <c r="V2223" t="str">
        <f>VLOOKUP(L2223,'[2]tabela de preços'!$A:$D,4,0)</f>
        <v>ANJO</v>
      </c>
      <c r="W2223" t="str">
        <f>VLOOKUP(L2223,'[2]tabela de preços'!$A:$F,6,0)</f>
        <v>MASSA POLIÉSTER</v>
      </c>
      <c r="X2223" t="str">
        <f>VLOOKUP(L2223,'[2]tabela de preços'!$A:$G,7,0)</f>
        <v>AUTOMOTIVO</v>
      </c>
    </row>
    <row r="2224" spans="1:24" x14ac:dyDescent="0.3">
      <c r="A2224" t="s">
        <v>2171</v>
      </c>
      <c r="C2224" t="s">
        <v>2182</v>
      </c>
      <c r="D2224" s="1">
        <v>46038</v>
      </c>
      <c r="E2224" t="s">
        <v>2183</v>
      </c>
      <c r="F2224">
        <v>9</v>
      </c>
      <c r="G2224">
        <v>230</v>
      </c>
      <c r="H2224" t="str">
        <f>VLOOKUP(G2224,[1]OPERADORES!$A:$B,2,0)</f>
        <v>SÔNIA</v>
      </c>
      <c r="I2224" t="s">
        <v>21</v>
      </c>
      <c r="J2224" t="s">
        <v>2174</v>
      </c>
      <c r="K2224" t="s">
        <v>2175</v>
      </c>
      <c r="L2224">
        <v>84564</v>
      </c>
      <c r="M2224" t="s">
        <v>2176</v>
      </c>
      <c r="O2224" t="s">
        <v>11</v>
      </c>
      <c r="P2224">
        <v>5403</v>
      </c>
      <c r="Q2224">
        <v>1</v>
      </c>
      <c r="R2224">
        <v>24.07</v>
      </c>
      <c r="S2224">
        <v>24.07</v>
      </c>
      <c r="T2224">
        <v>18.27</v>
      </c>
      <c r="U2224">
        <v>24.1</v>
      </c>
      <c r="V2224" t="str">
        <f>VLOOKUP(L2224,'[2]tabela de preços'!$A:$D,4,0)</f>
        <v>BRASILUX</v>
      </c>
      <c r="W2224" t="str">
        <f>VLOOKUP(L2224,'[2]tabela de preços'!$A:$F,6,0)</f>
        <v>PRETO FOSCO VINÍLICO</v>
      </c>
      <c r="X2224" t="str">
        <f>VLOOKUP(L2224,'[2]tabela de preços'!$A:$G,7,0)</f>
        <v>AUTOMOTIVO</v>
      </c>
    </row>
    <row r="2225" spans="1:24" x14ac:dyDescent="0.3">
      <c r="A2225" t="s">
        <v>2171</v>
      </c>
      <c r="C2225" t="s">
        <v>2182</v>
      </c>
      <c r="D2225" s="1">
        <v>46038</v>
      </c>
      <c r="E2225" t="s">
        <v>2183</v>
      </c>
      <c r="F2225">
        <v>9</v>
      </c>
      <c r="G2225">
        <v>230</v>
      </c>
      <c r="H2225" t="str">
        <f>VLOOKUP(G2225,[1]OPERADORES!$A:$B,2,0)</f>
        <v>SÔNIA</v>
      </c>
      <c r="I2225" t="s">
        <v>21</v>
      </c>
      <c r="J2225" t="s">
        <v>2174</v>
      </c>
      <c r="K2225" t="s">
        <v>2175</v>
      </c>
      <c r="L2225">
        <v>84565</v>
      </c>
      <c r="M2225" t="s">
        <v>236</v>
      </c>
      <c r="O2225" t="s">
        <v>11</v>
      </c>
      <c r="P2225">
        <v>5102</v>
      </c>
      <c r="Q2225">
        <v>1</v>
      </c>
      <c r="R2225">
        <v>9.24</v>
      </c>
      <c r="S2225">
        <v>9.24</v>
      </c>
      <c r="T2225">
        <v>7.01</v>
      </c>
      <c r="U2225">
        <v>24.13</v>
      </c>
      <c r="V2225" t="str">
        <f>VLOOKUP(L2225,'[2]tabela de preços'!$A:$D,4,0)</f>
        <v>BRASILUX</v>
      </c>
      <c r="W2225" t="str">
        <f>VLOOKUP(L2225,'[2]tabela de preços'!$A:$F,6,0)</f>
        <v>PRETO FOSCO VINÍLICO</v>
      </c>
      <c r="X2225" t="str">
        <f>VLOOKUP(L2225,'[2]tabela de preços'!$A:$G,7,0)</f>
        <v>AUTOMOTIVO</v>
      </c>
    </row>
    <row r="2226" spans="1:24" x14ac:dyDescent="0.3">
      <c r="A2226" t="s">
        <v>2171</v>
      </c>
      <c r="C2226" t="s">
        <v>2182</v>
      </c>
      <c r="D2226" s="1">
        <v>46038</v>
      </c>
      <c r="E2226" t="s">
        <v>2183</v>
      </c>
      <c r="F2226">
        <v>9</v>
      </c>
      <c r="G2226">
        <v>230</v>
      </c>
      <c r="H2226" t="str">
        <f>VLOOKUP(G2226,[1]OPERADORES!$A:$B,2,0)</f>
        <v>SÔNIA</v>
      </c>
      <c r="I2226" t="s">
        <v>21</v>
      </c>
      <c r="J2226" t="s">
        <v>2174</v>
      </c>
      <c r="K2226" t="s">
        <v>2175</v>
      </c>
      <c r="L2226">
        <v>10266</v>
      </c>
      <c r="M2226" t="s">
        <v>117</v>
      </c>
      <c r="O2226" t="s">
        <v>11</v>
      </c>
      <c r="P2226">
        <v>5102</v>
      </c>
      <c r="Q2226">
        <v>2</v>
      </c>
      <c r="R2226">
        <v>11.41</v>
      </c>
      <c r="S2226">
        <v>22.82</v>
      </c>
      <c r="T2226">
        <v>17.32</v>
      </c>
      <c r="U2226">
        <v>24.1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2171</v>
      </c>
      <c r="C2227" t="s">
        <v>2182</v>
      </c>
      <c r="D2227" s="1">
        <v>46038</v>
      </c>
      <c r="E2227" t="s">
        <v>2183</v>
      </c>
      <c r="F2227">
        <v>9</v>
      </c>
      <c r="G2227">
        <v>230</v>
      </c>
      <c r="H2227" t="str">
        <f>VLOOKUP(G2227,[1]OPERADORES!$A:$B,2,0)</f>
        <v>SÔNIA</v>
      </c>
      <c r="I2227" t="s">
        <v>21</v>
      </c>
      <c r="J2227" t="s">
        <v>2174</v>
      </c>
      <c r="K2227" t="s">
        <v>2175</v>
      </c>
      <c r="L2227">
        <v>84658</v>
      </c>
      <c r="M2227" t="s">
        <v>100</v>
      </c>
      <c r="O2227" t="s">
        <v>11</v>
      </c>
      <c r="P2227">
        <v>5102</v>
      </c>
      <c r="Q2227">
        <v>1</v>
      </c>
      <c r="R2227">
        <v>40.840000000000003</v>
      </c>
      <c r="S2227">
        <v>40.840000000000003</v>
      </c>
      <c r="T2227">
        <v>31</v>
      </c>
      <c r="U2227">
        <v>24.09</v>
      </c>
      <c r="V2227" t="str">
        <f>VLOOKUP(L2227,'[2]tabela de preços'!$A:$D,4,0)</f>
        <v>ANJO</v>
      </c>
      <c r="W2227" t="str">
        <f>VLOOKUP(L2227,'[2]tabela de preços'!$A:$F,6,0)</f>
        <v>MASSA POLIÉSTER</v>
      </c>
      <c r="X2227" t="str">
        <f>VLOOKUP(L2227,'[2]tabela de preços'!$A:$G,7,0)</f>
        <v>AUTOMOTIVO</v>
      </c>
    </row>
    <row r="2228" spans="1:24" x14ac:dyDescent="0.3">
      <c r="A2228" t="s">
        <v>2171</v>
      </c>
      <c r="C2228" t="s">
        <v>2182</v>
      </c>
      <c r="D2228" s="1">
        <v>46038</v>
      </c>
      <c r="E2228" t="s">
        <v>2183</v>
      </c>
      <c r="F2228">
        <v>9</v>
      </c>
      <c r="G2228">
        <v>230</v>
      </c>
      <c r="H2228" t="str">
        <f>VLOOKUP(G2228,[1]OPERADORES!$A:$B,2,0)</f>
        <v>SÔNIA</v>
      </c>
      <c r="I2228" t="s">
        <v>21</v>
      </c>
      <c r="J2228" t="s">
        <v>2174</v>
      </c>
      <c r="K2228" t="s">
        <v>2175</v>
      </c>
      <c r="L2228">
        <v>20592</v>
      </c>
      <c r="M2228" t="s">
        <v>2112</v>
      </c>
      <c r="O2228" t="s">
        <v>11</v>
      </c>
      <c r="P2228">
        <v>5102</v>
      </c>
      <c r="Q2228">
        <v>1</v>
      </c>
      <c r="R2228">
        <v>6.43</v>
      </c>
      <c r="S2228">
        <v>6.43</v>
      </c>
      <c r="T2228">
        <v>4.88</v>
      </c>
      <c r="U2228">
        <v>24.11</v>
      </c>
      <c r="V2228" t="str">
        <f>VLOOKUP(L2228,'[2]tabela de preços'!$A:$D,4,0)</f>
        <v>.</v>
      </c>
      <c r="W2228" t="str">
        <f>VLOOKUP(L2228,'[2]tabela de preços'!$A:$F,6,0)</f>
        <v>FLANELAS / PANOS</v>
      </c>
      <c r="X2228" t="str">
        <f>VLOOKUP(L2228,'[2]tabela de preços'!$A:$G,7,0)</f>
        <v>AUTOMOTIVO</v>
      </c>
    </row>
    <row r="2229" spans="1:24" x14ac:dyDescent="0.3">
      <c r="A2229" t="s">
        <v>2171</v>
      </c>
      <c r="C2229" t="s">
        <v>2182</v>
      </c>
      <c r="D2229" s="1">
        <v>46038</v>
      </c>
      <c r="E2229" t="s">
        <v>2183</v>
      </c>
      <c r="F2229">
        <v>9</v>
      </c>
      <c r="G2229">
        <v>230</v>
      </c>
      <c r="H2229" t="str">
        <f>VLOOKUP(G2229,[1]OPERADORES!$A:$B,2,0)</f>
        <v>SÔNIA</v>
      </c>
      <c r="I2229" t="s">
        <v>21</v>
      </c>
      <c r="J2229" t="s">
        <v>2174</v>
      </c>
      <c r="K2229" t="s">
        <v>2175</v>
      </c>
      <c r="L2229">
        <v>23926</v>
      </c>
      <c r="M2229" t="s">
        <v>645</v>
      </c>
      <c r="O2229" t="s">
        <v>11</v>
      </c>
      <c r="P2229">
        <v>5403</v>
      </c>
      <c r="Q2229">
        <v>1</v>
      </c>
      <c r="R2229">
        <v>153.22999999999999</v>
      </c>
      <c r="S2229">
        <v>153.22999999999999</v>
      </c>
      <c r="T2229">
        <v>103.01</v>
      </c>
      <c r="U2229">
        <v>32.770000000000003</v>
      </c>
      <c r="V2229" t="str">
        <f>VLOOKUP(L2229,'[2]tabela de preços'!$A:$D,4,0)</f>
        <v>SIKKENS</v>
      </c>
      <c r="W2229" t="str">
        <f>VLOOKUP(L2229,'[2]tabela de preços'!$A:$F,6,0)</f>
        <v>PRIMER AUTOMOTIVO</v>
      </c>
      <c r="X2229" t="str">
        <f>VLOOKUP(L2229,'[2]tabela de preços'!$A:$G,7,0)</f>
        <v>AUTOMOTIVO</v>
      </c>
    </row>
    <row r="2230" spans="1:24" x14ac:dyDescent="0.3">
      <c r="A2230" t="s">
        <v>2171</v>
      </c>
      <c r="C2230" t="s">
        <v>2182</v>
      </c>
      <c r="D2230" s="1">
        <v>46038</v>
      </c>
      <c r="E2230" t="s">
        <v>2183</v>
      </c>
      <c r="F2230">
        <v>9</v>
      </c>
      <c r="G2230">
        <v>230</v>
      </c>
      <c r="H2230" t="str">
        <f>VLOOKUP(G2230,[1]OPERADORES!$A:$B,2,0)</f>
        <v>SÔNIA</v>
      </c>
      <c r="I2230" t="s">
        <v>21</v>
      </c>
      <c r="J2230" t="s">
        <v>2174</v>
      </c>
      <c r="K2230" t="s">
        <v>2175</v>
      </c>
      <c r="L2230">
        <v>10296</v>
      </c>
      <c r="M2230" t="s">
        <v>334</v>
      </c>
      <c r="O2230" t="s">
        <v>11</v>
      </c>
      <c r="P2230">
        <v>5102</v>
      </c>
      <c r="Q2230">
        <v>1</v>
      </c>
      <c r="R2230">
        <v>17.02</v>
      </c>
      <c r="S2230">
        <v>17.02</v>
      </c>
      <c r="T2230">
        <v>12.57</v>
      </c>
      <c r="U2230">
        <v>26.15</v>
      </c>
      <c r="V2230" t="str">
        <f>VLOOKUP(L2230,'[2]tabela de preços'!$A:$D,4,0)</f>
        <v>ANJO</v>
      </c>
      <c r="W2230" t="str">
        <f>VLOOKUP(L2230,'[2]tabela de preços'!$A:$F,6,0)</f>
        <v>DESENGRAXANTE</v>
      </c>
      <c r="X2230" t="str">
        <f>VLOOKUP(L2230,'[2]tabela de preços'!$A:$G,7,0)</f>
        <v>AUTOMOTIVO</v>
      </c>
    </row>
    <row r="2231" spans="1:24" x14ac:dyDescent="0.3">
      <c r="A2231" t="s">
        <v>2171</v>
      </c>
      <c r="C2231" t="s">
        <v>2182</v>
      </c>
      <c r="D2231" s="1">
        <v>46038</v>
      </c>
      <c r="E2231" t="s">
        <v>2183</v>
      </c>
      <c r="F2231">
        <v>9</v>
      </c>
      <c r="G2231">
        <v>230</v>
      </c>
      <c r="H2231" t="str">
        <f>VLOOKUP(G2231,[1]OPERADORES!$A:$B,2,0)</f>
        <v>SÔNIA</v>
      </c>
      <c r="I2231" t="s">
        <v>21</v>
      </c>
      <c r="J2231" t="s">
        <v>2174</v>
      </c>
      <c r="K2231" t="s">
        <v>2175</v>
      </c>
      <c r="L2231">
        <v>20414</v>
      </c>
      <c r="M2231" t="s">
        <v>112</v>
      </c>
      <c r="O2231" t="s">
        <v>11</v>
      </c>
      <c r="P2231">
        <v>5102</v>
      </c>
      <c r="Q2231">
        <v>1</v>
      </c>
      <c r="R2231">
        <v>21.89</v>
      </c>
      <c r="S2231">
        <v>21.89</v>
      </c>
      <c r="T2231">
        <v>18</v>
      </c>
      <c r="U2231">
        <v>17.77</v>
      </c>
      <c r="V2231" t="str">
        <f>VLOOKUP(L2231,'[2]tabela de preços'!$A:$D,4,0)</f>
        <v>SHERWIN WILLIAMS</v>
      </c>
      <c r="W2231" t="str">
        <f>VLOOKUP(L2231,'[2]tabela de preços'!$A:$F,6,0)</f>
        <v>DILUENTE</v>
      </c>
      <c r="X2231" t="str">
        <f>VLOOKUP(L2231,'[2]tabela de preços'!$A:$G,7,0)</f>
        <v>AUTOMOTIVO</v>
      </c>
    </row>
    <row r="2232" spans="1:24" x14ac:dyDescent="0.3">
      <c r="A2232" t="s">
        <v>2171</v>
      </c>
      <c r="C2232" t="s">
        <v>2184</v>
      </c>
      <c r="D2232" s="1">
        <v>46038</v>
      </c>
      <c r="E2232" t="s">
        <v>2185</v>
      </c>
      <c r="F2232">
        <v>9</v>
      </c>
      <c r="G2232">
        <v>230</v>
      </c>
      <c r="H2232" t="str">
        <f>VLOOKUP(G2232,[1]OPERADORES!$A:$B,2,0)</f>
        <v>SÔNIA</v>
      </c>
      <c r="I2232" t="s">
        <v>21</v>
      </c>
      <c r="J2232" t="s">
        <v>2174</v>
      </c>
      <c r="K2232" t="s">
        <v>2175</v>
      </c>
      <c r="L2232">
        <v>10298</v>
      </c>
      <c r="M2232" t="s">
        <v>85</v>
      </c>
      <c r="O2232" t="s">
        <v>11</v>
      </c>
      <c r="P2232">
        <v>5102</v>
      </c>
      <c r="Q2232">
        <v>1</v>
      </c>
      <c r="R2232">
        <v>56.89</v>
      </c>
      <c r="S2232">
        <v>56.89</v>
      </c>
      <c r="T2232">
        <v>47.38</v>
      </c>
      <c r="U2232">
        <v>16.72</v>
      </c>
      <c r="V2232" t="str">
        <f>VLOOKUP(L2232,'[2]tabela de preços'!$A:$D,4,0)</f>
        <v>ANJO</v>
      </c>
      <c r="W2232" t="str">
        <f>VLOOKUP(L2232,'[2]tabela de preços'!$A:$F,6,0)</f>
        <v>THINNER DE LIMPEZA</v>
      </c>
      <c r="X2232" t="str">
        <f>VLOOKUP(L2232,'[2]tabela de preços'!$A:$G,7,0)</f>
        <v>THINNER</v>
      </c>
    </row>
    <row r="2233" spans="1:24" x14ac:dyDescent="0.3">
      <c r="A2233" t="s">
        <v>2171</v>
      </c>
      <c r="C2233" t="s">
        <v>2186</v>
      </c>
      <c r="D2233" s="1">
        <v>46042</v>
      </c>
      <c r="E2233" t="s">
        <v>2187</v>
      </c>
      <c r="F2233">
        <v>9</v>
      </c>
      <c r="G2233">
        <v>230</v>
      </c>
      <c r="H2233" t="str">
        <f>VLOOKUP(G2233,[1]OPERADORES!$A:$B,2,0)</f>
        <v>SÔNIA</v>
      </c>
      <c r="I2233" t="s">
        <v>21</v>
      </c>
      <c r="J2233" t="s">
        <v>2174</v>
      </c>
      <c r="K2233" t="s">
        <v>2175</v>
      </c>
      <c r="L2233">
        <v>9799</v>
      </c>
      <c r="M2233" t="s">
        <v>1636</v>
      </c>
      <c r="O2233" t="s">
        <v>11</v>
      </c>
      <c r="P2233">
        <v>5102</v>
      </c>
      <c r="Q2233">
        <v>1</v>
      </c>
      <c r="R2233">
        <v>34.729999999999997</v>
      </c>
      <c r="S2233">
        <v>34.729999999999997</v>
      </c>
      <c r="T2233">
        <v>26.36</v>
      </c>
      <c r="U2233">
        <v>24.1</v>
      </c>
      <c r="V2233" t="str">
        <f>VLOOKUP(L2233,'[2]tabela de preços'!$A:$D,4,0)</f>
        <v>WANDA</v>
      </c>
      <c r="W2233" t="str">
        <f>VLOOKUP(L2233,'[2]tabela de preços'!$A:$F,6,0)</f>
        <v>FERRUGEM</v>
      </c>
      <c r="X2233" t="str">
        <f>VLOOKUP(L2233,'[2]tabela de preços'!$A:$G,7,0)</f>
        <v>AUTOMOTIVO</v>
      </c>
    </row>
    <row r="2234" spans="1:24" x14ac:dyDescent="0.3">
      <c r="A2234" t="s">
        <v>2171</v>
      </c>
      <c r="C2234" t="s">
        <v>2186</v>
      </c>
      <c r="D2234" s="1">
        <v>46042</v>
      </c>
      <c r="E2234" t="s">
        <v>2187</v>
      </c>
      <c r="F2234">
        <v>9</v>
      </c>
      <c r="G2234">
        <v>230</v>
      </c>
      <c r="H2234" t="str">
        <f>VLOOKUP(G2234,[1]OPERADORES!$A:$B,2,0)</f>
        <v>SÔNIA</v>
      </c>
      <c r="I2234" t="s">
        <v>21</v>
      </c>
      <c r="J2234" t="s">
        <v>2174</v>
      </c>
      <c r="K2234" t="s">
        <v>2175</v>
      </c>
      <c r="L2234">
        <v>22173</v>
      </c>
      <c r="M2234" t="s">
        <v>194</v>
      </c>
      <c r="O2234" t="s">
        <v>11</v>
      </c>
      <c r="P2234">
        <v>5102</v>
      </c>
      <c r="Q2234">
        <v>5</v>
      </c>
      <c r="R2234">
        <v>4.58</v>
      </c>
      <c r="S2234">
        <v>22.9</v>
      </c>
      <c r="T2234">
        <v>17.399999999999999</v>
      </c>
      <c r="U2234">
        <v>24.02</v>
      </c>
      <c r="V2234" t="str">
        <f>VLOOKUP(L2234,'[2]tabela de preços'!$A:$D,4,0)</f>
        <v>3M</v>
      </c>
      <c r="W2234" t="str">
        <f>VLOOKUP(L2234,'[2]tabela de preços'!$A:$F,6,0)</f>
        <v>FITA AUTOMOTIVA</v>
      </c>
      <c r="X2234" t="str">
        <f>VLOOKUP(L2234,'[2]tabela de preços'!$A:$G,7,0)</f>
        <v>AUTOMOTIVO</v>
      </c>
    </row>
    <row r="2235" spans="1:24" x14ac:dyDescent="0.3">
      <c r="A2235" t="s">
        <v>2171</v>
      </c>
      <c r="C2235" t="s">
        <v>2186</v>
      </c>
      <c r="D2235" s="1">
        <v>46042</v>
      </c>
      <c r="E2235" t="s">
        <v>2187</v>
      </c>
      <c r="F2235">
        <v>9</v>
      </c>
      <c r="G2235">
        <v>230</v>
      </c>
      <c r="H2235" t="str">
        <f>VLOOKUP(G2235,[1]OPERADORES!$A:$B,2,0)</f>
        <v>SÔNIA</v>
      </c>
      <c r="I2235" t="s">
        <v>21</v>
      </c>
      <c r="J2235" t="s">
        <v>2174</v>
      </c>
      <c r="K2235" t="s">
        <v>2175</v>
      </c>
      <c r="L2235">
        <v>23383</v>
      </c>
      <c r="M2235" t="s">
        <v>419</v>
      </c>
      <c r="O2235" t="s">
        <v>11</v>
      </c>
      <c r="P2235">
        <v>5403</v>
      </c>
      <c r="Q2235">
        <v>1</v>
      </c>
      <c r="R2235">
        <v>51.6</v>
      </c>
      <c r="S2235">
        <v>51.6</v>
      </c>
      <c r="T2235">
        <v>39.159999999999997</v>
      </c>
      <c r="U2235">
        <v>24.11</v>
      </c>
      <c r="V2235" t="str">
        <f>VLOOKUP(L2235,'[2]tabela de preços'!$A:$D,4,0)</f>
        <v>WANDA</v>
      </c>
      <c r="W2235" t="str">
        <f>VLOOKUP(L2235,'[2]tabela de preços'!$A:$F,6,0)</f>
        <v>TINTAS PU</v>
      </c>
      <c r="X2235" t="str">
        <f>VLOOKUP(L2235,'[2]tabela de preços'!$A:$G,7,0)</f>
        <v>AUTOMOTIVO</v>
      </c>
    </row>
    <row r="2236" spans="1:24" x14ac:dyDescent="0.3">
      <c r="A2236" t="s">
        <v>2171</v>
      </c>
      <c r="C2236" t="s">
        <v>2186</v>
      </c>
      <c r="D2236" s="1">
        <v>46042</v>
      </c>
      <c r="E2236" t="s">
        <v>2187</v>
      </c>
      <c r="F2236">
        <v>9</v>
      </c>
      <c r="G2236">
        <v>230</v>
      </c>
      <c r="H2236" t="str">
        <f>VLOOKUP(G2236,[1]OPERADORES!$A:$B,2,0)</f>
        <v>SÔNIA</v>
      </c>
      <c r="I2236" t="s">
        <v>21</v>
      </c>
      <c r="J2236" t="s">
        <v>2174</v>
      </c>
      <c r="K2236" t="s">
        <v>2175</v>
      </c>
      <c r="L2236">
        <v>10243</v>
      </c>
      <c r="M2236" t="s">
        <v>83</v>
      </c>
      <c r="O2236" t="s">
        <v>11</v>
      </c>
      <c r="P2236">
        <v>5102</v>
      </c>
      <c r="Q2236">
        <v>5</v>
      </c>
      <c r="R2236">
        <v>2.79</v>
      </c>
      <c r="S2236">
        <v>13.95</v>
      </c>
      <c r="T2236">
        <v>9.65</v>
      </c>
      <c r="U2236">
        <v>30.82</v>
      </c>
      <c r="V2236" t="str">
        <f>VLOOKUP(L2236,'[2]tabela de preços'!$A:$D,4,0)</f>
        <v>NORTON</v>
      </c>
      <c r="W2236" t="str">
        <f>VLOOKUP(L2236,'[2]tabela de preços'!$A:$F,6,0)</f>
        <v xml:space="preserve">DISCOS / LIXAS / ABRASIVOS </v>
      </c>
      <c r="X2236" t="str">
        <f>VLOOKUP(L2236,'[2]tabela de preços'!$A:$G,7,0)</f>
        <v>AUTOMOTIVO</v>
      </c>
    </row>
    <row r="2237" spans="1:24" x14ac:dyDescent="0.3">
      <c r="A2237" t="s">
        <v>2171</v>
      </c>
      <c r="C2237" t="s">
        <v>2186</v>
      </c>
      <c r="D2237" s="1">
        <v>46042</v>
      </c>
      <c r="E2237" t="s">
        <v>2187</v>
      </c>
      <c r="F2237">
        <v>9</v>
      </c>
      <c r="G2237">
        <v>230</v>
      </c>
      <c r="H2237" t="str">
        <f>VLOOKUP(G2237,[1]OPERADORES!$A:$B,2,0)</f>
        <v>SÔNIA</v>
      </c>
      <c r="I2237" t="s">
        <v>21</v>
      </c>
      <c r="J2237" t="s">
        <v>2174</v>
      </c>
      <c r="K2237" t="s">
        <v>2175</v>
      </c>
      <c r="L2237">
        <v>10244</v>
      </c>
      <c r="M2237" t="s">
        <v>84</v>
      </c>
      <c r="O2237" t="s">
        <v>11</v>
      </c>
      <c r="P2237">
        <v>5102</v>
      </c>
      <c r="Q2237">
        <v>10</v>
      </c>
      <c r="R2237">
        <v>2.79</v>
      </c>
      <c r="S2237">
        <v>27.9</v>
      </c>
      <c r="T2237">
        <v>19.3</v>
      </c>
      <c r="U2237">
        <v>30.82</v>
      </c>
      <c r="V2237" t="str">
        <f>VLOOKUP(L2237,'[2]tabela de preços'!$A:$D,4,0)</f>
        <v>NORTON</v>
      </c>
      <c r="W2237" t="str">
        <f>VLOOKUP(L2237,'[2]tabela de preços'!$A:$F,6,0)</f>
        <v xml:space="preserve">DISCOS / LIXAS / ABRASIVOS </v>
      </c>
      <c r="X2237" t="str">
        <f>VLOOKUP(L2237,'[2]tabela de preços'!$A:$G,7,0)</f>
        <v>AUTOMOTIVO</v>
      </c>
    </row>
    <row r="2238" spans="1:24" x14ac:dyDescent="0.3">
      <c r="A2238" t="s">
        <v>2171</v>
      </c>
      <c r="C2238" t="s">
        <v>2186</v>
      </c>
      <c r="D2238" s="1">
        <v>46042</v>
      </c>
      <c r="E2238" t="s">
        <v>2187</v>
      </c>
      <c r="F2238">
        <v>9</v>
      </c>
      <c r="G2238">
        <v>230</v>
      </c>
      <c r="H2238" t="str">
        <f>VLOOKUP(G2238,[1]OPERADORES!$A:$B,2,0)</f>
        <v>SÔNIA</v>
      </c>
      <c r="I2238" t="s">
        <v>21</v>
      </c>
      <c r="J2238" t="s">
        <v>2174</v>
      </c>
      <c r="K2238" t="s">
        <v>2175</v>
      </c>
      <c r="L2238">
        <v>9767</v>
      </c>
      <c r="M2238" t="s">
        <v>2188</v>
      </c>
      <c r="O2238" t="s">
        <v>11</v>
      </c>
      <c r="P2238">
        <v>5403</v>
      </c>
      <c r="Q2238">
        <v>1</v>
      </c>
      <c r="R2238">
        <v>175.58</v>
      </c>
      <c r="S2238">
        <v>175.58</v>
      </c>
      <c r="T2238">
        <v>133.27000000000001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2171</v>
      </c>
      <c r="C2239" t="s">
        <v>2189</v>
      </c>
      <c r="D2239" s="1">
        <v>46042</v>
      </c>
      <c r="E2239" t="s">
        <v>2190</v>
      </c>
      <c r="F2239">
        <v>9</v>
      </c>
      <c r="G2239">
        <v>230</v>
      </c>
      <c r="H2239" t="str">
        <f>VLOOKUP(G2239,[1]OPERADORES!$A:$B,2,0)</f>
        <v>SÔNIA</v>
      </c>
      <c r="I2239" t="s">
        <v>21</v>
      </c>
      <c r="J2239" t="s">
        <v>2174</v>
      </c>
      <c r="K2239" t="s">
        <v>2175</v>
      </c>
      <c r="L2239">
        <v>23504</v>
      </c>
      <c r="M2239" t="s">
        <v>2191</v>
      </c>
      <c r="O2239" t="s">
        <v>11</v>
      </c>
      <c r="P2239">
        <v>5102</v>
      </c>
      <c r="Q2239">
        <v>1</v>
      </c>
      <c r="R2239">
        <v>5.91</v>
      </c>
      <c r="S2239">
        <v>5.91</v>
      </c>
      <c r="T2239">
        <v>3.81</v>
      </c>
      <c r="U2239">
        <v>35.53</v>
      </c>
      <c r="V2239" t="str">
        <f>VLOOKUP(L2239,'[2]tabela de preços'!$A:$D,4,0)</f>
        <v>3M</v>
      </c>
      <c r="W2239" t="str">
        <f>VLOOKUP(L2239,'[2]tabela de preços'!$A:$F,6,0)</f>
        <v>EPI´S</v>
      </c>
      <c r="X2239" t="str">
        <f>VLOOKUP(L2239,'[2]tabela de preços'!$A:$G,7,0)</f>
        <v>AUTOMOTIVO</v>
      </c>
    </row>
    <row r="2240" spans="1:24" x14ac:dyDescent="0.3">
      <c r="A2240" t="s">
        <v>2171</v>
      </c>
      <c r="C2240" t="s">
        <v>2192</v>
      </c>
      <c r="D2240" s="1">
        <v>46045</v>
      </c>
      <c r="E2240" t="s">
        <v>2193</v>
      </c>
      <c r="F2240">
        <v>9</v>
      </c>
      <c r="G2240">
        <v>230</v>
      </c>
      <c r="H2240" t="str">
        <f>VLOOKUP(G2240,[1]OPERADORES!$A:$B,2,0)</f>
        <v>SÔNIA</v>
      </c>
      <c r="I2240" t="s">
        <v>21</v>
      </c>
      <c r="J2240" t="s">
        <v>2174</v>
      </c>
      <c r="K2240" t="s">
        <v>2175</v>
      </c>
      <c r="L2240">
        <v>85199</v>
      </c>
      <c r="M2240" t="s">
        <v>2194</v>
      </c>
      <c r="O2240" t="s">
        <v>11</v>
      </c>
      <c r="P2240">
        <v>5102</v>
      </c>
      <c r="Q2240">
        <v>1</v>
      </c>
      <c r="R2240">
        <v>40.630000000000003</v>
      </c>
      <c r="S2240">
        <v>40.630000000000003</v>
      </c>
      <c r="T2240">
        <v>30.84</v>
      </c>
      <c r="U2240">
        <v>24.1</v>
      </c>
      <c r="V2240" t="str">
        <f>VLOOKUP(L2240,'[2]tabela de preços'!$A:$D,4,0)</f>
        <v>VONIXX</v>
      </c>
      <c r="W2240" t="str">
        <f>VLOOKUP(L2240,'[2]tabela de preços'!$A:$F,6,0)</f>
        <v>LINHA DE HIGENIZAÇÃO E ESTÉTICA  AUTOMOTIVA</v>
      </c>
      <c r="X2240" t="str">
        <f>VLOOKUP(L2240,'[2]tabela de preços'!$A:$G,7,0)</f>
        <v>AUTOMOTIVO</v>
      </c>
    </row>
    <row r="2241" spans="1:24" x14ac:dyDescent="0.3">
      <c r="A2241" t="s">
        <v>2171</v>
      </c>
      <c r="C2241" t="s">
        <v>2192</v>
      </c>
      <c r="D2241" s="1">
        <v>46045</v>
      </c>
      <c r="E2241" t="s">
        <v>2195</v>
      </c>
      <c r="F2241">
        <v>9</v>
      </c>
      <c r="G2241">
        <v>230</v>
      </c>
      <c r="H2241" t="str">
        <f>VLOOKUP(G2241,[1]OPERADORES!$A:$B,2,0)</f>
        <v>SÔNIA</v>
      </c>
      <c r="I2241" t="s">
        <v>21</v>
      </c>
      <c r="J2241" t="s">
        <v>2174</v>
      </c>
      <c r="K2241" t="s">
        <v>2175</v>
      </c>
      <c r="L2241">
        <v>85201</v>
      </c>
      <c r="M2241" t="s">
        <v>2196</v>
      </c>
      <c r="O2241" t="s">
        <v>11</v>
      </c>
      <c r="P2241">
        <v>5102</v>
      </c>
      <c r="Q2241">
        <v>1</v>
      </c>
      <c r="R2241">
        <v>30.87</v>
      </c>
      <c r="S2241">
        <v>30.87</v>
      </c>
      <c r="T2241">
        <v>23.43</v>
      </c>
      <c r="U2241">
        <v>24.1</v>
      </c>
      <c r="V2241" t="str">
        <f>VLOOKUP(L2241,'[2]tabela de preços'!$A:$D,4,0)</f>
        <v>VONIXX</v>
      </c>
      <c r="W2241" t="str">
        <f>VLOOKUP(L2241,'[2]tabela de preços'!$A:$F,6,0)</f>
        <v>LINHA DE HIGENIZAÇÃO E ESTÉTICA  AUTOMOTIVA</v>
      </c>
      <c r="X2241" t="str">
        <f>VLOOKUP(L2241,'[2]tabela de preços'!$A:$G,7,0)</f>
        <v>AUTOMOTIVO</v>
      </c>
    </row>
    <row r="2242" spans="1:24" x14ac:dyDescent="0.3">
      <c r="A2242" t="s">
        <v>2171</v>
      </c>
      <c r="C2242" t="s">
        <v>2192</v>
      </c>
      <c r="D2242" s="1">
        <v>46045</v>
      </c>
      <c r="E2242" t="s">
        <v>2197</v>
      </c>
      <c r="F2242">
        <v>9</v>
      </c>
      <c r="G2242">
        <v>230</v>
      </c>
      <c r="H2242" t="str">
        <f>VLOOKUP(G2242,[1]OPERADORES!$A:$B,2,0)</f>
        <v>SÔNIA</v>
      </c>
      <c r="I2242" t="s">
        <v>21</v>
      </c>
      <c r="J2242" t="s">
        <v>2174</v>
      </c>
      <c r="K2242" t="s">
        <v>2175</v>
      </c>
      <c r="L2242">
        <v>23580</v>
      </c>
      <c r="M2242" t="s">
        <v>115</v>
      </c>
      <c r="O2242" t="s">
        <v>11</v>
      </c>
      <c r="P2242">
        <v>5102</v>
      </c>
      <c r="Q2242">
        <v>10</v>
      </c>
      <c r="R2242">
        <v>0.56000000000000005</v>
      </c>
      <c r="S2242">
        <v>5.6</v>
      </c>
      <c r="T2242">
        <v>3.6</v>
      </c>
      <c r="U2242">
        <v>35.71</v>
      </c>
      <c r="V2242" t="str">
        <f>VLOOKUP(L2242,'[2]tabela de preços'!$A:$D,4,0)</f>
        <v>RENOVA COADORES</v>
      </c>
      <c r="W2242" t="str">
        <f>VLOOKUP(L2242,'[2]tabela de preços'!$A:$F,6,0)</f>
        <v>COADORES</v>
      </c>
      <c r="X2242" t="str">
        <f>VLOOKUP(L2242,'[2]tabela de preços'!$A:$G,7,0)</f>
        <v>AUTOMOTIVO</v>
      </c>
    </row>
    <row r="2243" spans="1:24" x14ac:dyDescent="0.3">
      <c r="A2243" t="s">
        <v>2171</v>
      </c>
      <c r="C2243" t="s">
        <v>2192</v>
      </c>
      <c r="D2243" s="1">
        <v>46045</v>
      </c>
      <c r="E2243" t="s">
        <v>2195</v>
      </c>
      <c r="F2243">
        <v>9</v>
      </c>
      <c r="G2243">
        <v>230</v>
      </c>
      <c r="H2243" t="str">
        <f>VLOOKUP(G2243,[1]OPERADORES!$A:$B,2,0)</f>
        <v>SÔNIA</v>
      </c>
      <c r="I2243" t="s">
        <v>21</v>
      </c>
      <c r="J2243" t="s">
        <v>2174</v>
      </c>
      <c r="K2243" t="s">
        <v>2175</v>
      </c>
      <c r="L2243">
        <v>22339</v>
      </c>
      <c r="M2243" t="s">
        <v>2198</v>
      </c>
      <c r="O2243" t="s">
        <v>11</v>
      </c>
      <c r="P2243">
        <v>5102</v>
      </c>
      <c r="Q2243">
        <v>2</v>
      </c>
      <c r="R2243">
        <v>7.75</v>
      </c>
      <c r="S2243">
        <v>15.5</v>
      </c>
      <c r="T2243">
        <v>11.78</v>
      </c>
      <c r="U2243">
        <v>24</v>
      </c>
      <c r="V2243" t="str">
        <f>VLOOKUP(L2243,'[2]tabela de preços'!$A:$D,4,0)</f>
        <v>WANDA</v>
      </c>
      <c r="W2243" t="str">
        <f>VLOOKUP(L2243,'[2]tabela de preços'!$A:$F,6,0)</f>
        <v>APLICADORES / ADAPTADORES / ENGATES / SUPORTES</v>
      </c>
      <c r="X2243" t="str">
        <f>VLOOKUP(L2243,'[2]tabela de preços'!$A:$G,7,0)</f>
        <v>AUTOMOTIVO</v>
      </c>
    </row>
    <row r="2244" spans="1:24" x14ac:dyDescent="0.3">
      <c r="A2244" t="s">
        <v>2171</v>
      </c>
      <c r="C2244" t="s">
        <v>2192</v>
      </c>
      <c r="D2244" s="1">
        <v>46045</v>
      </c>
      <c r="E2244" t="s">
        <v>2197</v>
      </c>
      <c r="F2244">
        <v>9</v>
      </c>
      <c r="G2244">
        <v>230</v>
      </c>
      <c r="H2244" t="str">
        <f>VLOOKUP(G2244,[1]OPERADORES!$A:$B,2,0)</f>
        <v>SÔNIA</v>
      </c>
      <c r="I2244" t="s">
        <v>21</v>
      </c>
      <c r="J2244" t="s">
        <v>2174</v>
      </c>
      <c r="K2244" t="s">
        <v>2175</v>
      </c>
      <c r="L2244">
        <v>10298</v>
      </c>
      <c r="M2244" t="s">
        <v>85</v>
      </c>
      <c r="O2244" t="s">
        <v>11</v>
      </c>
      <c r="P2244">
        <v>5102</v>
      </c>
      <c r="Q2244">
        <v>1</v>
      </c>
      <c r="R2244">
        <v>56.89</v>
      </c>
      <c r="S2244">
        <v>56.89</v>
      </c>
      <c r="T2244">
        <v>47.38</v>
      </c>
      <c r="U2244">
        <v>16.72</v>
      </c>
      <c r="V2244" t="str">
        <f>VLOOKUP(L2244,'[2]tabela de preços'!$A:$D,4,0)</f>
        <v>ANJO</v>
      </c>
      <c r="W2244" t="str">
        <f>VLOOKUP(L2244,'[2]tabela de preços'!$A:$F,6,0)</f>
        <v>THINNER DE LIMPEZA</v>
      </c>
      <c r="X2244" t="str">
        <f>VLOOKUP(L2244,'[2]tabela de preços'!$A:$G,7,0)</f>
        <v>THINNER</v>
      </c>
    </row>
    <row r="2245" spans="1:24" x14ac:dyDescent="0.3">
      <c r="A2245" t="s">
        <v>2171</v>
      </c>
      <c r="C2245" t="s">
        <v>2199</v>
      </c>
      <c r="D2245" s="1">
        <v>46045</v>
      </c>
      <c r="E2245" t="s">
        <v>2200</v>
      </c>
      <c r="F2245">
        <v>9</v>
      </c>
      <c r="G2245">
        <v>230</v>
      </c>
      <c r="H2245" t="str">
        <f>VLOOKUP(G2245,[1]OPERADORES!$A:$B,2,0)</f>
        <v>SÔNIA</v>
      </c>
      <c r="I2245" t="s">
        <v>21</v>
      </c>
      <c r="J2245" t="s">
        <v>2174</v>
      </c>
      <c r="K2245" t="s">
        <v>2175</v>
      </c>
      <c r="L2245">
        <v>84565</v>
      </c>
      <c r="M2245" t="s">
        <v>236</v>
      </c>
      <c r="O2245" t="s">
        <v>11</v>
      </c>
      <c r="P2245">
        <v>5102</v>
      </c>
      <c r="Q2245">
        <v>1</v>
      </c>
      <c r="R2245">
        <v>9.24</v>
      </c>
      <c r="S2245">
        <v>9.24</v>
      </c>
      <c r="T2245">
        <v>7.01</v>
      </c>
      <c r="U2245">
        <v>24.13</v>
      </c>
      <c r="V2245" t="str">
        <f>VLOOKUP(L2245,'[2]tabela de preços'!$A:$D,4,0)</f>
        <v>BRASILUX</v>
      </c>
      <c r="W2245" t="str">
        <f>VLOOKUP(L2245,'[2]tabela de preços'!$A:$F,6,0)</f>
        <v>PRETO FOSCO VINÍLICO</v>
      </c>
      <c r="X2245" t="str">
        <f>VLOOKUP(L2245,'[2]tabela de preços'!$A:$G,7,0)</f>
        <v>AUTOMOTIVO</v>
      </c>
    </row>
    <row r="2246" spans="1:24" x14ac:dyDescent="0.3">
      <c r="A2246" t="s">
        <v>2171</v>
      </c>
      <c r="C2246" t="s">
        <v>2199</v>
      </c>
      <c r="D2246" s="1">
        <v>46045</v>
      </c>
      <c r="E2246" t="s">
        <v>2200</v>
      </c>
      <c r="F2246">
        <v>9</v>
      </c>
      <c r="G2246">
        <v>230</v>
      </c>
      <c r="H2246" t="str">
        <f>VLOOKUP(G2246,[1]OPERADORES!$A:$B,2,0)</f>
        <v>SÔNIA</v>
      </c>
      <c r="I2246" t="s">
        <v>21</v>
      </c>
      <c r="J2246" t="s">
        <v>2174</v>
      </c>
      <c r="K2246" t="s">
        <v>2175</v>
      </c>
      <c r="L2246">
        <v>10226</v>
      </c>
      <c r="M2246" t="s">
        <v>145</v>
      </c>
      <c r="O2246" t="s">
        <v>11</v>
      </c>
      <c r="P2246">
        <v>5102</v>
      </c>
      <c r="Q2246">
        <v>5</v>
      </c>
      <c r="R2246">
        <v>2.79</v>
      </c>
      <c r="S2246">
        <v>13.95</v>
      </c>
      <c r="T2246">
        <v>11.6</v>
      </c>
      <c r="U2246">
        <v>16.850000000000001</v>
      </c>
      <c r="V2246" t="str">
        <f>VLOOKUP(L2246,'[2]tabela de preços'!$A:$D,4,0)</f>
        <v>NORTON</v>
      </c>
      <c r="W2246" t="str">
        <f>VLOOKUP(L2246,'[2]tabela de preços'!$A:$F,6,0)</f>
        <v xml:space="preserve">DISCOS / LIXAS / ABRASIVOS </v>
      </c>
      <c r="X2246" t="str">
        <f>VLOOKUP(L2246,'[2]tabela de preços'!$A:$G,7,0)</f>
        <v>AUTOMOTIVO</v>
      </c>
    </row>
    <row r="2247" spans="1:24" x14ac:dyDescent="0.3">
      <c r="A2247" t="s">
        <v>2171</v>
      </c>
      <c r="C2247" t="s">
        <v>2199</v>
      </c>
      <c r="D2247" s="1">
        <v>46045</v>
      </c>
      <c r="E2247" t="s">
        <v>2200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2174</v>
      </c>
      <c r="K2247" t="s">
        <v>2175</v>
      </c>
      <c r="L2247">
        <v>22188</v>
      </c>
      <c r="M2247" t="s">
        <v>78</v>
      </c>
      <c r="O2247" t="s">
        <v>11</v>
      </c>
      <c r="P2247">
        <v>5102</v>
      </c>
      <c r="Q2247">
        <v>5</v>
      </c>
      <c r="R2247">
        <v>16.88</v>
      </c>
      <c r="S2247">
        <v>84.4</v>
      </c>
      <c r="T2247">
        <v>54.45</v>
      </c>
      <c r="U2247">
        <v>35.49</v>
      </c>
      <c r="V2247" t="str">
        <f>VLOOKUP(L2247,'[2]tabela de preços'!$A:$D,4,0)</f>
        <v>3M</v>
      </c>
      <c r="W2247" t="str">
        <f>VLOOKUP(L2247,'[2]tabela de preços'!$A:$F,6,0)</f>
        <v>FITA AUTOMOTIVA</v>
      </c>
      <c r="X2247" t="str">
        <f>VLOOKUP(L2247,'[2]tabela de preços'!$A:$G,7,0)</f>
        <v>AUTOMOTIVO</v>
      </c>
    </row>
    <row r="2248" spans="1:24" x14ac:dyDescent="0.3">
      <c r="A2248" t="s">
        <v>2171</v>
      </c>
      <c r="C2248" t="s">
        <v>2199</v>
      </c>
      <c r="D2248" s="1">
        <v>46045</v>
      </c>
      <c r="E2248" t="s">
        <v>2200</v>
      </c>
      <c r="F2248">
        <v>9</v>
      </c>
      <c r="G2248">
        <v>230</v>
      </c>
      <c r="H2248" t="str">
        <f>VLOOKUP(G2248,[1]OPERADORES!$A:$B,2,0)</f>
        <v>SÔNIA</v>
      </c>
      <c r="I2248" t="s">
        <v>21</v>
      </c>
      <c r="J2248" t="s">
        <v>2174</v>
      </c>
      <c r="K2248" t="s">
        <v>2175</v>
      </c>
      <c r="L2248">
        <v>23383</v>
      </c>
      <c r="M2248" t="s">
        <v>419</v>
      </c>
      <c r="O2248" t="s">
        <v>11</v>
      </c>
      <c r="P2248">
        <v>5403</v>
      </c>
      <c r="Q2248">
        <v>2</v>
      </c>
      <c r="R2248">
        <v>51.6</v>
      </c>
      <c r="S2248">
        <v>103.2</v>
      </c>
      <c r="T2248">
        <v>78.319999999999993</v>
      </c>
      <c r="U2248">
        <v>24.11</v>
      </c>
      <c r="V2248" t="str">
        <f>VLOOKUP(L2248,'[2]tabela de preços'!$A:$D,4,0)</f>
        <v>WANDA</v>
      </c>
      <c r="W2248" t="str">
        <f>VLOOKUP(L2248,'[2]tabela de preços'!$A:$F,6,0)</f>
        <v>TINTAS PU</v>
      </c>
      <c r="X2248" t="str">
        <f>VLOOKUP(L2248,'[2]tabela de preços'!$A:$G,7,0)</f>
        <v>AUTOMOTIVO</v>
      </c>
    </row>
    <row r="2249" spans="1:24" x14ac:dyDescent="0.3">
      <c r="A2249" t="s">
        <v>2171</v>
      </c>
      <c r="C2249" t="s">
        <v>2199</v>
      </c>
      <c r="D2249" s="1">
        <v>46045</v>
      </c>
      <c r="E2249" t="s">
        <v>2200</v>
      </c>
      <c r="F2249">
        <v>9</v>
      </c>
      <c r="G2249">
        <v>230</v>
      </c>
      <c r="H2249" t="str">
        <f>VLOOKUP(G2249,[1]OPERADORES!$A:$B,2,0)</f>
        <v>SÔNIA</v>
      </c>
      <c r="I2249" t="s">
        <v>21</v>
      </c>
      <c r="J2249" t="s">
        <v>2174</v>
      </c>
      <c r="K2249" t="s">
        <v>2175</v>
      </c>
      <c r="L2249">
        <v>87109</v>
      </c>
      <c r="M2249" t="s">
        <v>2201</v>
      </c>
      <c r="O2249" t="s">
        <v>11</v>
      </c>
      <c r="P2249">
        <v>5102</v>
      </c>
      <c r="Q2249">
        <v>2</v>
      </c>
      <c r="R2249">
        <v>41.35</v>
      </c>
      <c r="S2249">
        <v>82.7</v>
      </c>
      <c r="T2249">
        <v>62.78</v>
      </c>
      <c r="U2249">
        <v>24.09</v>
      </c>
      <c r="V2249" t="str">
        <f>VLOOKUP(L2249,'[2]tabela de preços'!$A:$D,4,0)</f>
        <v>SHERWIN WILLIAMS</v>
      </c>
      <c r="W2249" t="str">
        <f>VLOOKUP(L2249,'[2]tabela de preços'!$A:$F,6,0)</f>
        <v>TINTAS PU</v>
      </c>
      <c r="X2249" t="str">
        <f>VLOOKUP(L2249,'[2]tabela de preços'!$A:$G,7,0)</f>
        <v>AUTOMOTIVO</v>
      </c>
    </row>
    <row r="2250" spans="1:24" x14ac:dyDescent="0.3">
      <c r="A2250" t="s">
        <v>2171</v>
      </c>
      <c r="C2250" t="s">
        <v>2199</v>
      </c>
      <c r="D2250" s="1">
        <v>46045</v>
      </c>
      <c r="E2250" t="s">
        <v>2200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2174</v>
      </c>
      <c r="K2250" t="s">
        <v>2175</v>
      </c>
      <c r="L2250">
        <v>10238</v>
      </c>
      <c r="M2250" t="s">
        <v>79</v>
      </c>
      <c r="O2250" t="s">
        <v>11</v>
      </c>
      <c r="P2250">
        <v>5102</v>
      </c>
      <c r="Q2250">
        <v>5</v>
      </c>
      <c r="R2250">
        <v>2.79</v>
      </c>
      <c r="S2250">
        <v>13.95</v>
      </c>
      <c r="T2250">
        <v>11.2</v>
      </c>
      <c r="U2250">
        <v>19.71</v>
      </c>
      <c r="V2250" t="str">
        <f>VLOOKUP(L2250,'[2]tabela de preços'!$A:$D,4,0)</f>
        <v>NORTON</v>
      </c>
      <c r="W2250" t="str">
        <f>VLOOKUP(L2250,'[2]tabela de preços'!$A:$F,6,0)</f>
        <v xml:space="preserve">DISCOS / LIXAS / ABRASIVOS </v>
      </c>
      <c r="X2250" t="str">
        <f>VLOOKUP(L2250,'[2]tabela de preços'!$A:$G,7,0)</f>
        <v>AUTOMOTIVO</v>
      </c>
    </row>
    <row r="2251" spans="1:24" x14ac:dyDescent="0.3">
      <c r="A2251" t="s">
        <v>2171</v>
      </c>
      <c r="C2251" t="s">
        <v>2199</v>
      </c>
      <c r="D2251" s="1">
        <v>46045</v>
      </c>
      <c r="E2251" t="s">
        <v>2200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2174</v>
      </c>
      <c r="K2251" t="s">
        <v>2175</v>
      </c>
      <c r="L2251">
        <v>10243</v>
      </c>
      <c r="M2251" t="s">
        <v>83</v>
      </c>
      <c r="O2251" t="s">
        <v>11</v>
      </c>
      <c r="P2251">
        <v>5102</v>
      </c>
      <c r="Q2251">
        <v>10</v>
      </c>
      <c r="R2251">
        <v>2.79</v>
      </c>
      <c r="S2251">
        <v>27.9</v>
      </c>
      <c r="T2251">
        <v>19.3</v>
      </c>
      <c r="U2251">
        <v>30.82</v>
      </c>
      <c r="V2251" t="str">
        <f>VLOOKUP(L2251,'[2]tabela de preços'!$A:$D,4,0)</f>
        <v>NORTON</v>
      </c>
      <c r="W2251" t="str">
        <f>VLOOKUP(L2251,'[2]tabela de preços'!$A:$F,6,0)</f>
        <v xml:space="preserve">DISCOS / LIXAS / ABRASIVOS </v>
      </c>
      <c r="X2251" t="str">
        <f>VLOOKUP(L2251,'[2]tabela de preços'!$A:$G,7,0)</f>
        <v>AUTOMOTIVO</v>
      </c>
    </row>
    <row r="2252" spans="1:24" x14ac:dyDescent="0.3">
      <c r="A2252" t="s">
        <v>2171</v>
      </c>
      <c r="C2252" t="s">
        <v>2199</v>
      </c>
      <c r="D2252" s="1">
        <v>46045</v>
      </c>
      <c r="E2252" t="s">
        <v>2200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2174</v>
      </c>
      <c r="K2252" t="s">
        <v>2175</v>
      </c>
      <c r="L2252">
        <v>10244</v>
      </c>
      <c r="M2252" t="s">
        <v>84</v>
      </c>
      <c r="O2252" t="s">
        <v>11</v>
      </c>
      <c r="P2252">
        <v>5102</v>
      </c>
      <c r="Q2252">
        <v>10</v>
      </c>
      <c r="R2252">
        <v>2.79</v>
      </c>
      <c r="S2252">
        <v>27.9</v>
      </c>
      <c r="T2252">
        <v>19.3</v>
      </c>
      <c r="U2252">
        <v>30.82</v>
      </c>
      <c r="V2252" t="str">
        <f>VLOOKUP(L2252,'[2]tabela de preços'!$A:$D,4,0)</f>
        <v>NORTON</v>
      </c>
      <c r="W2252" t="str">
        <f>VLOOKUP(L2252,'[2]tabela de preços'!$A:$F,6,0)</f>
        <v xml:space="preserve">DISCOS / LIXAS / ABRASIVOS </v>
      </c>
      <c r="X2252" t="str">
        <f>VLOOKUP(L2252,'[2]tabela de preços'!$A:$G,7,0)</f>
        <v>AUTOMOTIVO</v>
      </c>
    </row>
    <row r="2253" spans="1:24" x14ac:dyDescent="0.3">
      <c r="A2253" t="s">
        <v>2171</v>
      </c>
      <c r="C2253" t="s">
        <v>2199</v>
      </c>
      <c r="D2253" s="1">
        <v>46045</v>
      </c>
      <c r="E2253" t="s">
        <v>2200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2174</v>
      </c>
      <c r="K2253" t="s">
        <v>2175</v>
      </c>
      <c r="L2253">
        <v>10245</v>
      </c>
      <c r="M2253" t="s">
        <v>195</v>
      </c>
      <c r="O2253" t="s">
        <v>11</v>
      </c>
      <c r="P2253">
        <v>5102</v>
      </c>
      <c r="Q2253">
        <v>5</v>
      </c>
      <c r="R2253">
        <v>2.79</v>
      </c>
      <c r="S2253">
        <v>13.95</v>
      </c>
      <c r="T2253">
        <v>9.65</v>
      </c>
      <c r="U2253">
        <v>30.82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2171</v>
      </c>
      <c r="C2254" t="s">
        <v>2199</v>
      </c>
      <c r="D2254" s="1">
        <v>46045</v>
      </c>
      <c r="E2254" t="s">
        <v>2200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2174</v>
      </c>
      <c r="K2254" t="s">
        <v>2175</v>
      </c>
      <c r="L2254">
        <v>23465</v>
      </c>
      <c r="M2254" t="s">
        <v>110</v>
      </c>
      <c r="O2254" t="s">
        <v>11</v>
      </c>
      <c r="P2254">
        <v>5102</v>
      </c>
      <c r="Q2254">
        <v>3</v>
      </c>
      <c r="R2254">
        <v>3.76</v>
      </c>
      <c r="S2254">
        <v>11.28</v>
      </c>
      <c r="T2254">
        <v>8.5500000000000007</v>
      </c>
      <c r="U2254">
        <v>24.2</v>
      </c>
      <c r="V2254" t="str">
        <f>VLOOKUP(L2254,'[2]tabela de preços'!$A:$D,4,0)</f>
        <v>3M</v>
      </c>
      <c r="W2254" t="str">
        <f>VLOOKUP(L2254,'[2]tabela de preços'!$A:$F,6,0)</f>
        <v>EPI´S</v>
      </c>
      <c r="X2254" t="str">
        <f>VLOOKUP(L2254,'[2]tabela de preços'!$A:$G,7,0)</f>
        <v>AUTOMOTIVO</v>
      </c>
    </row>
    <row r="2255" spans="1:24" x14ac:dyDescent="0.3">
      <c r="A2255" t="s">
        <v>2171</v>
      </c>
      <c r="C2255" t="s">
        <v>2199</v>
      </c>
      <c r="D2255" s="1">
        <v>46045</v>
      </c>
      <c r="E2255" t="s">
        <v>2200</v>
      </c>
      <c r="F2255">
        <v>9</v>
      </c>
      <c r="G2255">
        <v>230</v>
      </c>
      <c r="H2255" t="str">
        <f>VLOOKUP(G2255,[1]OPERADORES!$A:$B,2,0)</f>
        <v>SÔNIA</v>
      </c>
      <c r="I2255" t="s">
        <v>21</v>
      </c>
      <c r="J2255" t="s">
        <v>2174</v>
      </c>
      <c r="K2255" t="s">
        <v>2175</v>
      </c>
      <c r="L2255">
        <v>84658</v>
      </c>
      <c r="M2255" t="s">
        <v>100</v>
      </c>
      <c r="O2255" t="s">
        <v>11</v>
      </c>
      <c r="P2255">
        <v>5102</v>
      </c>
      <c r="Q2255">
        <v>1</v>
      </c>
      <c r="R2255">
        <v>40.840000000000003</v>
      </c>
      <c r="S2255">
        <v>40.840000000000003</v>
      </c>
      <c r="T2255">
        <v>31</v>
      </c>
      <c r="U2255">
        <v>24.09</v>
      </c>
      <c r="V2255" t="str">
        <f>VLOOKUP(L2255,'[2]tabela de preços'!$A:$D,4,0)</f>
        <v>ANJO</v>
      </c>
      <c r="W2255" t="str">
        <f>VLOOKUP(L2255,'[2]tabela de preços'!$A:$F,6,0)</f>
        <v>MASSA POLIÉSTER</v>
      </c>
      <c r="X2255" t="str">
        <f>VLOOKUP(L2255,'[2]tabela de preços'!$A:$G,7,0)</f>
        <v>AUTOMOTIVO</v>
      </c>
    </row>
    <row r="2256" spans="1:24" x14ac:dyDescent="0.3">
      <c r="A2256" t="s">
        <v>2171</v>
      </c>
      <c r="C2256" t="s">
        <v>2199</v>
      </c>
      <c r="D2256" s="1">
        <v>46045</v>
      </c>
      <c r="E2256" t="s">
        <v>2200</v>
      </c>
      <c r="F2256">
        <v>9</v>
      </c>
      <c r="G2256">
        <v>230</v>
      </c>
      <c r="H2256" t="str">
        <f>VLOOKUP(G2256,[1]OPERADORES!$A:$B,2,0)</f>
        <v>SÔNIA</v>
      </c>
      <c r="I2256" t="s">
        <v>21</v>
      </c>
      <c r="J2256" t="s">
        <v>2174</v>
      </c>
      <c r="K2256" t="s">
        <v>2175</v>
      </c>
      <c r="L2256">
        <v>10296</v>
      </c>
      <c r="M2256" t="s">
        <v>334</v>
      </c>
      <c r="O2256" t="s">
        <v>11</v>
      </c>
      <c r="P2256">
        <v>5102</v>
      </c>
      <c r="Q2256">
        <v>1</v>
      </c>
      <c r="R2256">
        <v>17.02</v>
      </c>
      <c r="S2256">
        <v>17.02</v>
      </c>
      <c r="T2256">
        <v>12.57</v>
      </c>
      <c r="U2256">
        <v>26.15</v>
      </c>
      <c r="V2256" t="str">
        <f>VLOOKUP(L2256,'[2]tabela de preços'!$A:$D,4,0)</f>
        <v>ANJO</v>
      </c>
      <c r="W2256" t="str">
        <f>VLOOKUP(L2256,'[2]tabela de preços'!$A:$F,6,0)</f>
        <v>DESENGRAXANTE</v>
      </c>
      <c r="X2256" t="str">
        <f>VLOOKUP(L2256,'[2]tabela de preços'!$A:$G,7,0)</f>
        <v>AUTOMOTIVO</v>
      </c>
    </row>
    <row r="2257" spans="1:24" x14ac:dyDescent="0.3">
      <c r="A2257" t="s">
        <v>2171</v>
      </c>
      <c r="C2257" t="s">
        <v>2199</v>
      </c>
      <c r="D2257" s="1">
        <v>46045</v>
      </c>
      <c r="E2257" t="s">
        <v>2200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2174</v>
      </c>
      <c r="K2257" t="s">
        <v>2175</v>
      </c>
      <c r="L2257">
        <v>85363</v>
      </c>
      <c r="M2257" t="s">
        <v>237</v>
      </c>
      <c r="O2257" t="s">
        <v>11</v>
      </c>
      <c r="P2257">
        <v>5102</v>
      </c>
      <c r="Q2257">
        <v>1</v>
      </c>
      <c r="R2257">
        <v>23.95</v>
      </c>
      <c r="S2257">
        <v>23.95</v>
      </c>
      <c r="T2257">
        <v>18.18</v>
      </c>
      <c r="U2257">
        <v>24.09</v>
      </c>
      <c r="V2257" t="str">
        <f>VLOOKUP(L2257,'[2]tabela de preços'!$A:$D,4,0)</f>
        <v>BRASILUX</v>
      </c>
      <c r="W2257" t="str">
        <f>VLOOKUP(L2257,'[2]tabela de preços'!$A:$F,6,0)</f>
        <v>PRETO FOSCO VINÍLICO</v>
      </c>
      <c r="X2257" t="str">
        <f>VLOOKUP(L2257,'[2]tabela de preços'!$A:$G,7,0)</f>
        <v>AUTOMOTIVO</v>
      </c>
    </row>
    <row r="2258" spans="1:24" x14ac:dyDescent="0.3">
      <c r="A2258" t="s">
        <v>2171</v>
      </c>
      <c r="C2258" t="s">
        <v>2202</v>
      </c>
      <c r="D2258" s="1">
        <v>46049</v>
      </c>
      <c r="E2258" t="s">
        <v>2203</v>
      </c>
      <c r="F2258">
        <v>9</v>
      </c>
      <c r="G2258">
        <v>230</v>
      </c>
      <c r="H2258" t="str">
        <f>VLOOKUP(G2258,[1]OPERADORES!$A:$B,2,0)</f>
        <v>SÔNIA</v>
      </c>
      <c r="I2258" t="s">
        <v>21</v>
      </c>
      <c r="J2258" t="s">
        <v>2174</v>
      </c>
      <c r="K2258" t="s">
        <v>2175</v>
      </c>
      <c r="L2258">
        <v>9773</v>
      </c>
      <c r="M2258" t="s">
        <v>703</v>
      </c>
      <c r="O2258" t="s">
        <v>11</v>
      </c>
      <c r="P2258">
        <v>5102</v>
      </c>
      <c r="Q2258">
        <v>1</v>
      </c>
      <c r="R2258">
        <v>95.77</v>
      </c>
      <c r="S2258">
        <v>95.77</v>
      </c>
      <c r="T2258">
        <v>72.69</v>
      </c>
      <c r="U2258">
        <v>24.1</v>
      </c>
      <c r="V2258" t="str">
        <f>VLOOKUP(L2258,'[2]tabela de preços'!$A:$D,4,0)</f>
        <v>SIKKENS</v>
      </c>
      <c r="W2258" t="str">
        <f>VLOOKUP(L2258,'[2]tabela de preços'!$A:$F,6,0)</f>
        <v>CATALISADORES INDIVIDUAS</v>
      </c>
      <c r="X2258" t="str">
        <f>VLOOKUP(L2258,'[2]tabela de preços'!$A:$G,7,0)</f>
        <v>AUTOMOTIVO</v>
      </c>
    </row>
    <row r="2259" spans="1:24" x14ac:dyDescent="0.3">
      <c r="A2259" t="s">
        <v>2171</v>
      </c>
      <c r="C2259" t="s">
        <v>2202</v>
      </c>
      <c r="D2259" s="1">
        <v>46049</v>
      </c>
      <c r="E2259" t="s">
        <v>2203</v>
      </c>
      <c r="F2259">
        <v>9</v>
      </c>
      <c r="G2259">
        <v>230</v>
      </c>
      <c r="H2259" t="str">
        <f>VLOOKUP(G2259,[1]OPERADORES!$A:$B,2,0)</f>
        <v>SÔNIA</v>
      </c>
      <c r="I2259" t="s">
        <v>21</v>
      </c>
      <c r="J2259" t="s">
        <v>2174</v>
      </c>
      <c r="K2259" t="s">
        <v>2175</v>
      </c>
      <c r="L2259">
        <v>21033</v>
      </c>
      <c r="M2259" t="s">
        <v>109</v>
      </c>
      <c r="O2259" t="s">
        <v>11</v>
      </c>
      <c r="P2259">
        <v>5102</v>
      </c>
      <c r="Q2259">
        <v>5</v>
      </c>
      <c r="R2259">
        <v>27.77</v>
      </c>
      <c r="S2259">
        <v>138.85</v>
      </c>
      <c r="T2259">
        <v>105.4</v>
      </c>
      <c r="U2259">
        <v>24.09</v>
      </c>
      <c r="V2259" t="str">
        <f>VLOOKUP(L2259,'[2]tabela de preços'!$A:$D,4,0)</f>
        <v>SHERWIN WILLIAMS</v>
      </c>
      <c r="W2259" t="str">
        <f>VLOOKUP(L2259,'[2]tabela de preços'!$A:$F,6,0)</f>
        <v>TINTAS PU</v>
      </c>
      <c r="X2259" t="str">
        <f>VLOOKUP(L2259,'[2]tabela de preços'!$A:$G,7,0)</f>
        <v>AUTOMOTIVO</v>
      </c>
    </row>
    <row r="2260" spans="1:24" x14ac:dyDescent="0.3">
      <c r="A2260" t="s">
        <v>2171</v>
      </c>
      <c r="C2260" t="s">
        <v>2202</v>
      </c>
      <c r="D2260" s="1">
        <v>46049</v>
      </c>
      <c r="E2260" t="s">
        <v>2203</v>
      </c>
      <c r="F2260">
        <v>9</v>
      </c>
      <c r="G2260">
        <v>230</v>
      </c>
      <c r="H2260" t="str">
        <f>VLOOKUP(G2260,[1]OPERADORES!$A:$B,2,0)</f>
        <v>SÔNIA</v>
      </c>
      <c r="I2260" t="s">
        <v>21</v>
      </c>
      <c r="J2260" t="s">
        <v>2174</v>
      </c>
      <c r="K2260" t="s">
        <v>2175</v>
      </c>
      <c r="L2260">
        <v>9767</v>
      </c>
      <c r="M2260" t="s">
        <v>2188</v>
      </c>
      <c r="O2260" t="s">
        <v>11</v>
      </c>
      <c r="P2260">
        <v>5403</v>
      </c>
      <c r="Q2260">
        <v>1</v>
      </c>
      <c r="R2260">
        <v>175.58</v>
      </c>
      <c r="S2260">
        <v>175.58</v>
      </c>
      <c r="T2260">
        <v>133.27000000000001</v>
      </c>
      <c r="U2260">
        <v>24.1</v>
      </c>
      <c r="V2260" t="str">
        <f>VLOOKUP(L2260,'[2]tabela de preços'!$A:$D,4,0)</f>
        <v>SIKKENS</v>
      </c>
      <c r="W2260" t="str">
        <f>VLOOKUP(L2260,'[2]tabela de preços'!$A:$F,6,0)</f>
        <v>PRIMER AUTOMOTIVO</v>
      </c>
      <c r="X2260" t="str">
        <f>VLOOKUP(L2260,'[2]tabela de preços'!$A:$G,7,0)</f>
        <v>AUTOMOTIVO</v>
      </c>
    </row>
    <row r="2261" spans="1:24" x14ac:dyDescent="0.3">
      <c r="A2261" t="s">
        <v>2171</v>
      </c>
      <c r="C2261" t="s">
        <v>2204</v>
      </c>
      <c r="D2261" s="1">
        <v>46051</v>
      </c>
      <c r="E2261" t="s">
        <v>2205</v>
      </c>
      <c r="F2261">
        <v>9</v>
      </c>
      <c r="G2261">
        <v>230</v>
      </c>
      <c r="H2261" t="str">
        <f>VLOOKUP(G2261,[1]OPERADORES!$A:$B,2,0)</f>
        <v>SÔNIA</v>
      </c>
      <c r="I2261" t="s">
        <v>21</v>
      </c>
      <c r="J2261" t="s">
        <v>2174</v>
      </c>
      <c r="K2261" t="s">
        <v>2175</v>
      </c>
      <c r="L2261">
        <v>21274</v>
      </c>
      <c r="M2261" t="s">
        <v>810</v>
      </c>
      <c r="O2261" t="s">
        <v>11</v>
      </c>
      <c r="P2261">
        <v>5102</v>
      </c>
      <c r="Q2261">
        <v>10</v>
      </c>
      <c r="R2261">
        <v>0.85</v>
      </c>
      <c r="S2261">
        <v>8.5</v>
      </c>
      <c r="T2261">
        <v>5.5</v>
      </c>
      <c r="U2261">
        <v>35.29</v>
      </c>
      <c r="V2261" t="str">
        <f>VLOOKUP(L2261,'[2]tabela de preços'!$A:$D,4,0)</f>
        <v>SHERWIN WILLIAMS</v>
      </c>
      <c r="W2261" t="str">
        <f>VLOOKUP(L2261,'[2]tabela de preços'!$A:$F,6,0)</f>
        <v>COADORES</v>
      </c>
      <c r="X2261" t="str">
        <f>VLOOKUP(L2261,'[2]tabela de preços'!$A:$G,7,0)</f>
        <v>AUTOMOTIVO</v>
      </c>
    </row>
    <row r="2262" spans="1:24" x14ac:dyDescent="0.3">
      <c r="A2262" t="s">
        <v>2171</v>
      </c>
      <c r="C2262" t="s">
        <v>2204</v>
      </c>
      <c r="D2262" s="1">
        <v>46051</v>
      </c>
      <c r="E2262" t="s">
        <v>2205</v>
      </c>
      <c r="F2262">
        <v>9</v>
      </c>
      <c r="G2262">
        <v>230</v>
      </c>
      <c r="H2262" t="str">
        <f>VLOOKUP(G2262,[1]OPERADORES!$A:$B,2,0)</f>
        <v>SÔNIA</v>
      </c>
      <c r="I2262" t="s">
        <v>21</v>
      </c>
      <c r="J2262" t="s">
        <v>2174</v>
      </c>
      <c r="K2262" t="s">
        <v>2175</v>
      </c>
      <c r="L2262">
        <v>23110</v>
      </c>
      <c r="M2262" t="s">
        <v>409</v>
      </c>
      <c r="O2262" t="s">
        <v>11</v>
      </c>
      <c r="P2262">
        <v>5102</v>
      </c>
      <c r="Q2262">
        <v>7</v>
      </c>
      <c r="R2262">
        <v>2.35</v>
      </c>
      <c r="S2262">
        <v>16.45</v>
      </c>
      <c r="T2262">
        <v>12.95</v>
      </c>
      <c r="U2262">
        <v>21.28</v>
      </c>
      <c r="V2262" t="str">
        <f>VLOOKUP(L2262,'[2]tabela de preços'!$A:$D,4,0)</f>
        <v>3M</v>
      </c>
      <c r="W2262" t="str">
        <f>VLOOKUP(L2262,'[2]tabela de preços'!$A:$F,6,0)</f>
        <v xml:space="preserve">DISCOS / LIXAS / ABRASIVOS </v>
      </c>
      <c r="X2262" t="str">
        <f>VLOOKUP(L2262,'[2]tabela de preços'!$A:$G,7,0)</f>
        <v>AUTOMOTIVO</v>
      </c>
    </row>
    <row r="2263" spans="1:24" x14ac:dyDescent="0.3">
      <c r="A2263" t="s">
        <v>2171</v>
      </c>
      <c r="C2263" t="s">
        <v>2204</v>
      </c>
      <c r="D2263" s="1">
        <v>46051</v>
      </c>
      <c r="E2263" t="s">
        <v>2205</v>
      </c>
      <c r="F2263">
        <v>9</v>
      </c>
      <c r="G2263">
        <v>230</v>
      </c>
      <c r="H2263" t="str">
        <f>VLOOKUP(G2263,[1]OPERADORES!$A:$B,2,0)</f>
        <v>SÔNIA</v>
      </c>
      <c r="I2263" t="s">
        <v>21</v>
      </c>
      <c r="J2263" t="s">
        <v>2174</v>
      </c>
      <c r="K2263" t="s">
        <v>2175</v>
      </c>
      <c r="L2263">
        <v>23105</v>
      </c>
      <c r="M2263" t="s">
        <v>402</v>
      </c>
      <c r="O2263" t="s">
        <v>11</v>
      </c>
      <c r="P2263">
        <v>5102</v>
      </c>
      <c r="Q2263">
        <v>3</v>
      </c>
      <c r="R2263">
        <v>2.35</v>
      </c>
      <c r="S2263">
        <v>7.05</v>
      </c>
      <c r="T2263">
        <v>5.76</v>
      </c>
      <c r="U2263">
        <v>18.3</v>
      </c>
      <c r="V2263" t="str">
        <f>VLOOKUP(L2263,'[2]tabela de preços'!$A:$D,4,0)</f>
        <v>3M</v>
      </c>
      <c r="W2263" t="str">
        <f>VLOOKUP(L2263,'[2]tabela de preços'!$A:$F,6,0)</f>
        <v xml:space="preserve">DISCOS / LIXAS / ABRASIVOS </v>
      </c>
      <c r="X2263" t="str">
        <f>VLOOKUP(L2263,'[2]tabela de preços'!$A:$G,7,0)</f>
        <v>AUTOMOTIVO</v>
      </c>
    </row>
    <row r="2264" spans="1:24" x14ac:dyDescent="0.3">
      <c r="A2264" t="s">
        <v>2171</v>
      </c>
      <c r="C2264" t="s">
        <v>2204</v>
      </c>
      <c r="D2264" s="1">
        <v>46051</v>
      </c>
      <c r="E2264" t="s">
        <v>2205</v>
      </c>
      <c r="F2264">
        <v>9</v>
      </c>
      <c r="G2264">
        <v>230</v>
      </c>
      <c r="H2264" t="str">
        <f>VLOOKUP(G2264,[1]OPERADORES!$A:$B,2,0)</f>
        <v>SÔNIA</v>
      </c>
      <c r="I2264" t="s">
        <v>21</v>
      </c>
      <c r="J2264" t="s">
        <v>2174</v>
      </c>
      <c r="K2264" t="s">
        <v>2175</v>
      </c>
      <c r="L2264">
        <v>23106</v>
      </c>
      <c r="M2264" t="s">
        <v>403</v>
      </c>
      <c r="O2264" t="s">
        <v>11</v>
      </c>
      <c r="P2264">
        <v>5102</v>
      </c>
      <c r="Q2264">
        <v>7</v>
      </c>
      <c r="R2264">
        <v>2.35</v>
      </c>
      <c r="S2264">
        <v>16.45</v>
      </c>
      <c r="T2264">
        <v>13.44</v>
      </c>
      <c r="U2264">
        <v>18.3</v>
      </c>
      <c r="V2264" t="str">
        <f>VLOOKUP(L2264,'[2]tabela de preços'!$A:$D,4,0)</f>
        <v>3M</v>
      </c>
      <c r="W2264" t="str">
        <f>VLOOKUP(L2264,'[2]tabela de preços'!$A:$F,6,0)</f>
        <v xml:space="preserve">DISCOS / LIXAS / ABRASIVOS </v>
      </c>
      <c r="X2264" t="str">
        <f>VLOOKUP(L2264,'[2]tabela de preços'!$A:$G,7,0)</f>
        <v>AUTOMOTIVO</v>
      </c>
    </row>
    <row r="2265" spans="1:24" x14ac:dyDescent="0.3">
      <c r="A2265" t="s">
        <v>2171</v>
      </c>
      <c r="C2265" t="s">
        <v>2204</v>
      </c>
      <c r="D2265" s="1">
        <v>46051</v>
      </c>
      <c r="E2265" t="s">
        <v>2205</v>
      </c>
      <c r="F2265">
        <v>9</v>
      </c>
      <c r="G2265">
        <v>230</v>
      </c>
      <c r="H2265" t="str">
        <f>VLOOKUP(G2265,[1]OPERADORES!$A:$B,2,0)</f>
        <v>SÔNIA</v>
      </c>
      <c r="I2265" t="s">
        <v>21</v>
      </c>
      <c r="J2265" t="s">
        <v>2174</v>
      </c>
      <c r="K2265" t="s">
        <v>2175</v>
      </c>
      <c r="L2265">
        <v>23107</v>
      </c>
      <c r="M2265" t="s">
        <v>247</v>
      </c>
      <c r="O2265" t="s">
        <v>11</v>
      </c>
      <c r="P2265">
        <v>5102</v>
      </c>
      <c r="Q2265">
        <v>7</v>
      </c>
      <c r="R2265">
        <v>2.35</v>
      </c>
      <c r="S2265">
        <v>16.45</v>
      </c>
      <c r="T2265">
        <v>12.95</v>
      </c>
      <c r="U2265">
        <v>21.28</v>
      </c>
      <c r="V2265" t="str">
        <f>VLOOKUP(L2265,'[2]tabela de preços'!$A:$D,4,0)</f>
        <v>3M</v>
      </c>
      <c r="W2265" t="str">
        <f>VLOOKUP(L2265,'[2]tabela de preços'!$A:$F,6,0)</f>
        <v xml:space="preserve">DISCOS / LIXAS / ABRASIVOS </v>
      </c>
      <c r="X2265" t="str">
        <f>VLOOKUP(L2265,'[2]tabela de preços'!$A:$G,7,0)</f>
        <v>AUTOMOTIVO</v>
      </c>
    </row>
    <row r="2266" spans="1:24" x14ac:dyDescent="0.3">
      <c r="A2266" t="s">
        <v>2171</v>
      </c>
      <c r="C2266" t="s">
        <v>2204</v>
      </c>
      <c r="D2266" s="1">
        <v>46051</v>
      </c>
      <c r="E2266" t="s">
        <v>2205</v>
      </c>
      <c r="F2266">
        <v>9</v>
      </c>
      <c r="G2266">
        <v>230</v>
      </c>
      <c r="H2266" t="str">
        <f>VLOOKUP(G2266,[1]OPERADORES!$A:$B,2,0)</f>
        <v>SÔNIA</v>
      </c>
      <c r="I2266" t="s">
        <v>21</v>
      </c>
      <c r="J2266" t="s">
        <v>2174</v>
      </c>
      <c r="K2266" t="s">
        <v>2175</v>
      </c>
      <c r="L2266">
        <v>23108</v>
      </c>
      <c r="M2266" t="s">
        <v>248</v>
      </c>
      <c r="O2266" t="s">
        <v>11</v>
      </c>
      <c r="P2266">
        <v>5102</v>
      </c>
      <c r="Q2266">
        <v>5</v>
      </c>
      <c r="R2266">
        <v>2.35</v>
      </c>
      <c r="S2266">
        <v>11.75</v>
      </c>
      <c r="T2266">
        <v>9.25</v>
      </c>
      <c r="U2266">
        <v>21.28</v>
      </c>
      <c r="V2266" t="str">
        <f>VLOOKUP(L2266,'[2]tabela de preços'!$A:$D,4,0)</f>
        <v>3M</v>
      </c>
      <c r="W2266" t="str">
        <f>VLOOKUP(L2266,'[2]tabela de preços'!$A:$F,6,0)</f>
        <v xml:space="preserve">DISCOS / LIXAS / ABRASIVOS </v>
      </c>
      <c r="X2266" t="str">
        <f>VLOOKUP(L2266,'[2]tabela de preços'!$A:$G,7,0)</f>
        <v>AUTOMOTIVO</v>
      </c>
    </row>
    <row r="2267" spans="1:24" x14ac:dyDescent="0.3">
      <c r="A2267" t="s">
        <v>2171</v>
      </c>
      <c r="C2267" t="s">
        <v>2204</v>
      </c>
      <c r="D2267" s="1">
        <v>46051</v>
      </c>
      <c r="E2267" t="s">
        <v>2205</v>
      </c>
      <c r="F2267">
        <v>9</v>
      </c>
      <c r="G2267">
        <v>230</v>
      </c>
      <c r="H2267" t="str">
        <f>VLOOKUP(G2267,[1]OPERADORES!$A:$B,2,0)</f>
        <v>SÔNIA</v>
      </c>
      <c r="I2267" t="s">
        <v>21</v>
      </c>
      <c r="J2267" t="s">
        <v>2174</v>
      </c>
      <c r="K2267" t="s">
        <v>2175</v>
      </c>
      <c r="L2267">
        <v>23109</v>
      </c>
      <c r="M2267" t="s">
        <v>418</v>
      </c>
      <c r="O2267" t="s">
        <v>11</v>
      </c>
      <c r="P2267">
        <v>5102</v>
      </c>
      <c r="Q2267">
        <v>10</v>
      </c>
      <c r="R2267">
        <v>2.35</v>
      </c>
      <c r="S2267">
        <v>23.5</v>
      </c>
      <c r="T2267">
        <v>18.5</v>
      </c>
      <c r="U2267">
        <v>21.28</v>
      </c>
      <c r="V2267" t="str">
        <f>VLOOKUP(L2267,'[2]tabela de preços'!$A:$D,4,0)</f>
        <v>3M</v>
      </c>
      <c r="W2267" t="str">
        <f>VLOOKUP(L2267,'[2]tabela de preços'!$A:$F,6,0)</f>
        <v xml:space="preserve">DISCOS / LIXAS / ABRASIVOS </v>
      </c>
      <c r="X2267" t="str">
        <f>VLOOKUP(L2267,'[2]tabela de preços'!$A:$G,7,0)</f>
        <v>AUTOMOTIVO</v>
      </c>
    </row>
    <row r="2268" spans="1:24" x14ac:dyDescent="0.3">
      <c r="A2268" t="s">
        <v>2171</v>
      </c>
      <c r="C2268" t="s">
        <v>2204</v>
      </c>
      <c r="D2268" s="1">
        <v>46051</v>
      </c>
      <c r="E2268" t="s">
        <v>2205</v>
      </c>
      <c r="F2268">
        <v>9</v>
      </c>
      <c r="G2268">
        <v>230</v>
      </c>
      <c r="H2268" t="str">
        <f>VLOOKUP(G2268,[1]OPERADORES!$A:$B,2,0)</f>
        <v>SÔNIA</v>
      </c>
      <c r="I2268" t="s">
        <v>21</v>
      </c>
      <c r="J2268" t="s">
        <v>2174</v>
      </c>
      <c r="K2268" t="s">
        <v>2175</v>
      </c>
      <c r="L2268">
        <v>86995</v>
      </c>
      <c r="M2268" t="s">
        <v>37</v>
      </c>
      <c r="O2268" t="s">
        <v>11</v>
      </c>
      <c r="P2268">
        <v>5102</v>
      </c>
      <c r="Q2268">
        <v>1</v>
      </c>
      <c r="R2268">
        <v>7.29</v>
      </c>
      <c r="S2268">
        <v>7.29</v>
      </c>
      <c r="T2268">
        <v>5.83</v>
      </c>
      <c r="U2268">
        <v>20.03</v>
      </c>
      <c r="V2268" t="str">
        <f>VLOOKUP(L2268,'[2]tabela de preços'!$A:$D,4,0)</f>
        <v>AUTOAMERICA</v>
      </c>
      <c r="W2268" t="str">
        <f>VLOOKUP(L2268,'[2]tabela de preços'!$A:$F,6,0)</f>
        <v>FLANELAS / PANOS</v>
      </c>
      <c r="X2268" t="str">
        <f>VLOOKUP(L2268,'[2]tabela de preços'!$A:$G,7,0)</f>
        <v>AUTOMOTIVO</v>
      </c>
    </row>
    <row r="2269" spans="1:24" x14ac:dyDescent="0.3">
      <c r="A2269" t="s">
        <v>2171</v>
      </c>
      <c r="C2269" t="s">
        <v>2204</v>
      </c>
      <c r="D2269" s="1">
        <v>46051</v>
      </c>
      <c r="E2269" t="s">
        <v>2205</v>
      </c>
      <c r="F2269">
        <v>9</v>
      </c>
      <c r="G2269">
        <v>230</v>
      </c>
      <c r="H2269" t="str">
        <f>VLOOKUP(G2269,[1]OPERADORES!$A:$B,2,0)</f>
        <v>SÔNIA</v>
      </c>
      <c r="I2269" t="s">
        <v>21</v>
      </c>
      <c r="J2269" t="s">
        <v>2174</v>
      </c>
      <c r="K2269" t="s">
        <v>2175</v>
      </c>
      <c r="L2269">
        <v>10238</v>
      </c>
      <c r="M2269" t="s">
        <v>79</v>
      </c>
      <c r="O2269" t="s">
        <v>11</v>
      </c>
      <c r="P2269">
        <v>5102</v>
      </c>
      <c r="Q2269">
        <v>5</v>
      </c>
      <c r="R2269">
        <v>2.79</v>
      </c>
      <c r="S2269">
        <v>13.95</v>
      </c>
      <c r="T2269">
        <v>11.2</v>
      </c>
      <c r="U2269">
        <v>19.71</v>
      </c>
      <c r="V2269" t="str">
        <f>VLOOKUP(L2269,'[2]tabela de preços'!$A:$D,4,0)</f>
        <v>NORTON</v>
      </c>
      <c r="W2269" t="str">
        <f>VLOOKUP(L2269,'[2]tabela de preços'!$A:$F,6,0)</f>
        <v xml:space="preserve">DISCOS / LIXAS / ABRASIVOS </v>
      </c>
      <c r="X2269" t="str">
        <f>VLOOKUP(L2269,'[2]tabela de preços'!$A:$G,7,0)</f>
        <v>AUTOMOTIVO</v>
      </c>
    </row>
    <row r="2270" spans="1:24" x14ac:dyDescent="0.3">
      <c r="A2270" t="s">
        <v>2171</v>
      </c>
      <c r="C2270" t="s">
        <v>2204</v>
      </c>
      <c r="D2270" s="1">
        <v>46051</v>
      </c>
      <c r="E2270" t="s">
        <v>2205</v>
      </c>
      <c r="F2270">
        <v>9</v>
      </c>
      <c r="G2270">
        <v>230</v>
      </c>
      <c r="H2270" t="str">
        <f>VLOOKUP(G2270,[1]OPERADORES!$A:$B,2,0)</f>
        <v>SÔNIA</v>
      </c>
      <c r="I2270" t="s">
        <v>21</v>
      </c>
      <c r="J2270" t="s">
        <v>2174</v>
      </c>
      <c r="K2270" t="s">
        <v>2175</v>
      </c>
      <c r="L2270">
        <v>10240</v>
      </c>
      <c r="M2270" t="s">
        <v>81</v>
      </c>
      <c r="O2270" t="s">
        <v>11</v>
      </c>
      <c r="P2270">
        <v>5102</v>
      </c>
      <c r="Q2270">
        <v>10</v>
      </c>
      <c r="R2270">
        <v>2.79</v>
      </c>
      <c r="S2270">
        <v>27.9</v>
      </c>
      <c r="T2270">
        <v>22.4</v>
      </c>
      <c r="U2270">
        <v>19.71</v>
      </c>
      <c r="V2270" t="str">
        <f>VLOOKUP(L2270,'[2]tabela de preços'!$A:$D,4,0)</f>
        <v>NORTON</v>
      </c>
      <c r="W2270" t="str">
        <f>VLOOKUP(L2270,'[2]tabela de preços'!$A:$F,6,0)</f>
        <v xml:space="preserve">DISCOS / LIXAS / ABRASIVOS </v>
      </c>
      <c r="X2270" t="str">
        <f>VLOOKUP(L2270,'[2]tabela de preços'!$A:$G,7,0)</f>
        <v>AUTOMOTIVO</v>
      </c>
    </row>
    <row r="2271" spans="1:24" x14ac:dyDescent="0.3">
      <c r="A2271" t="s">
        <v>2171</v>
      </c>
      <c r="C2271" t="s">
        <v>2204</v>
      </c>
      <c r="D2271" s="1">
        <v>46051</v>
      </c>
      <c r="E2271" t="s">
        <v>2205</v>
      </c>
      <c r="F2271">
        <v>9</v>
      </c>
      <c r="G2271">
        <v>230</v>
      </c>
      <c r="H2271" t="str">
        <f>VLOOKUP(G2271,[1]OPERADORES!$A:$B,2,0)</f>
        <v>SÔNIA</v>
      </c>
      <c r="I2271" t="s">
        <v>21</v>
      </c>
      <c r="J2271" t="s">
        <v>2174</v>
      </c>
      <c r="K2271" t="s">
        <v>2175</v>
      </c>
      <c r="L2271">
        <v>10242</v>
      </c>
      <c r="M2271" t="s">
        <v>82</v>
      </c>
      <c r="O2271" t="s">
        <v>11</v>
      </c>
      <c r="P2271">
        <v>5102</v>
      </c>
      <c r="Q2271">
        <v>5</v>
      </c>
      <c r="R2271">
        <v>2.79</v>
      </c>
      <c r="S2271">
        <v>13.95</v>
      </c>
      <c r="T2271">
        <v>11.2</v>
      </c>
      <c r="U2271">
        <v>19.71</v>
      </c>
      <c r="V2271" t="str">
        <f>VLOOKUP(L2271,'[2]tabela de preços'!$A:$D,4,0)</f>
        <v>NORTON</v>
      </c>
      <c r="W2271" t="str">
        <f>VLOOKUP(L2271,'[2]tabela de preços'!$A:$F,6,0)</f>
        <v xml:space="preserve">DISCOS / LIXAS / ABRASIVOS </v>
      </c>
      <c r="X2271" t="str">
        <f>VLOOKUP(L2271,'[2]tabela de preços'!$A:$G,7,0)</f>
        <v>AUTOMOTIVO</v>
      </c>
    </row>
    <row r="2272" spans="1:24" x14ac:dyDescent="0.3">
      <c r="A2272" t="s">
        <v>2171</v>
      </c>
      <c r="C2272" t="s">
        <v>2204</v>
      </c>
      <c r="D2272" s="1">
        <v>46051</v>
      </c>
      <c r="E2272" t="s">
        <v>2205</v>
      </c>
      <c r="F2272">
        <v>9</v>
      </c>
      <c r="G2272">
        <v>230</v>
      </c>
      <c r="H2272" t="str">
        <f>VLOOKUP(G2272,[1]OPERADORES!$A:$B,2,0)</f>
        <v>SÔNIA</v>
      </c>
      <c r="I2272" t="s">
        <v>21</v>
      </c>
      <c r="J2272" t="s">
        <v>2174</v>
      </c>
      <c r="K2272" t="s">
        <v>2175</v>
      </c>
      <c r="L2272">
        <v>10243</v>
      </c>
      <c r="M2272" t="s">
        <v>83</v>
      </c>
      <c r="O2272" t="s">
        <v>11</v>
      </c>
      <c r="P2272">
        <v>5102</v>
      </c>
      <c r="Q2272">
        <v>10</v>
      </c>
      <c r="R2272">
        <v>2.79</v>
      </c>
      <c r="S2272">
        <v>27.9</v>
      </c>
      <c r="T2272">
        <v>19.3</v>
      </c>
      <c r="U2272">
        <v>30.82</v>
      </c>
      <c r="V2272" t="str">
        <f>VLOOKUP(L2272,'[2]tabela de preços'!$A:$D,4,0)</f>
        <v>NORTON</v>
      </c>
      <c r="W2272" t="str">
        <f>VLOOKUP(L2272,'[2]tabela de preços'!$A:$F,6,0)</f>
        <v xml:space="preserve">DISCOS / LIXAS / ABRASIVOS </v>
      </c>
      <c r="X2272" t="str">
        <f>VLOOKUP(L2272,'[2]tabela de preços'!$A:$G,7,0)</f>
        <v>AUTOMOTIVO</v>
      </c>
    </row>
    <row r="2273" spans="1:24" x14ac:dyDescent="0.3">
      <c r="A2273" t="s">
        <v>2171</v>
      </c>
      <c r="C2273" t="s">
        <v>2204</v>
      </c>
      <c r="D2273" s="1">
        <v>46051</v>
      </c>
      <c r="E2273" t="s">
        <v>2205</v>
      </c>
      <c r="F2273">
        <v>9</v>
      </c>
      <c r="G2273">
        <v>230</v>
      </c>
      <c r="H2273" t="str">
        <f>VLOOKUP(G2273,[1]OPERADORES!$A:$B,2,0)</f>
        <v>SÔNIA</v>
      </c>
      <c r="I2273" t="s">
        <v>21</v>
      </c>
      <c r="J2273" t="s">
        <v>2174</v>
      </c>
      <c r="K2273" t="s">
        <v>2175</v>
      </c>
      <c r="L2273">
        <v>10245</v>
      </c>
      <c r="M2273" t="s">
        <v>195</v>
      </c>
      <c r="O2273" t="s">
        <v>11</v>
      </c>
      <c r="P2273">
        <v>5102</v>
      </c>
      <c r="Q2273">
        <v>2</v>
      </c>
      <c r="R2273">
        <v>2.79</v>
      </c>
      <c r="S2273">
        <v>5.58</v>
      </c>
      <c r="T2273">
        <v>3.86</v>
      </c>
      <c r="U2273">
        <v>30.82</v>
      </c>
      <c r="V2273" t="str">
        <f>VLOOKUP(L2273,'[2]tabela de preços'!$A:$D,4,0)</f>
        <v>NORTON</v>
      </c>
      <c r="W2273" t="str">
        <f>VLOOKUP(L2273,'[2]tabela de preços'!$A:$F,6,0)</f>
        <v xml:space="preserve">DISCOS / LIXAS / ABRASIVOS </v>
      </c>
      <c r="X2273" t="str">
        <f>VLOOKUP(L2273,'[2]tabela de preços'!$A:$G,7,0)</f>
        <v>AUTOMOTIVO</v>
      </c>
    </row>
    <row r="2274" spans="1:24" x14ac:dyDescent="0.3">
      <c r="A2274" t="s">
        <v>2171</v>
      </c>
      <c r="C2274" t="s">
        <v>2204</v>
      </c>
      <c r="D2274" s="1">
        <v>46051</v>
      </c>
      <c r="E2274" t="s">
        <v>2205</v>
      </c>
      <c r="F2274">
        <v>9</v>
      </c>
      <c r="G2274">
        <v>230</v>
      </c>
      <c r="H2274" t="str">
        <f>VLOOKUP(G2274,[1]OPERADORES!$A:$B,2,0)</f>
        <v>SÔNIA</v>
      </c>
      <c r="I2274" t="s">
        <v>21</v>
      </c>
      <c r="J2274" t="s">
        <v>2174</v>
      </c>
      <c r="K2274" t="s">
        <v>2175</v>
      </c>
      <c r="L2274">
        <v>84658</v>
      </c>
      <c r="M2274" t="s">
        <v>100</v>
      </c>
      <c r="O2274" t="s">
        <v>11</v>
      </c>
      <c r="P2274">
        <v>5102</v>
      </c>
      <c r="Q2274">
        <v>2</v>
      </c>
      <c r="R2274">
        <v>40.840000000000003</v>
      </c>
      <c r="S2274">
        <v>81.680000000000007</v>
      </c>
      <c r="T2274">
        <v>62</v>
      </c>
      <c r="U2274">
        <v>24.09</v>
      </c>
      <c r="V2274" t="str">
        <f>VLOOKUP(L2274,'[2]tabela de preços'!$A:$D,4,0)</f>
        <v>ANJO</v>
      </c>
      <c r="W2274" t="str">
        <f>VLOOKUP(L2274,'[2]tabela de preços'!$A:$F,6,0)</f>
        <v>MASSA POLIÉSTER</v>
      </c>
      <c r="X2274" t="str">
        <f>VLOOKUP(L2274,'[2]tabela de preços'!$A:$G,7,0)</f>
        <v>AUTOMOTIVO</v>
      </c>
    </row>
    <row r="2275" spans="1:24" x14ac:dyDescent="0.3">
      <c r="A2275" t="s">
        <v>2171</v>
      </c>
      <c r="C2275" t="s">
        <v>2204</v>
      </c>
      <c r="D2275" s="1">
        <v>46051</v>
      </c>
      <c r="E2275" t="s">
        <v>2205</v>
      </c>
      <c r="F2275">
        <v>9</v>
      </c>
      <c r="G2275">
        <v>230</v>
      </c>
      <c r="H2275" t="str">
        <f>VLOOKUP(G2275,[1]OPERADORES!$A:$B,2,0)</f>
        <v>SÔNIA</v>
      </c>
      <c r="I2275" t="s">
        <v>21</v>
      </c>
      <c r="J2275" t="s">
        <v>2174</v>
      </c>
      <c r="K2275" t="s">
        <v>2175</v>
      </c>
      <c r="L2275">
        <v>10296</v>
      </c>
      <c r="M2275" t="s">
        <v>334</v>
      </c>
      <c r="O2275" t="s">
        <v>11</v>
      </c>
      <c r="P2275">
        <v>5102</v>
      </c>
      <c r="Q2275">
        <v>1</v>
      </c>
      <c r="R2275">
        <v>17.02</v>
      </c>
      <c r="S2275">
        <v>17.02</v>
      </c>
      <c r="T2275">
        <v>12.57</v>
      </c>
      <c r="U2275">
        <v>26.15</v>
      </c>
      <c r="V2275" t="str">
        <f>VLOOKUP(L2275,'[2]tabela de preços'!$A:$D,4,0)</f>
        <v>ANJO</v>
      </c>
      <c r="W2275" t="str">
        <f>VLOOKUP(L2275,'[2]tabela de preços'!$A:$F,6,0)</f>
        <v>DESENGRAXANTE</v>
      </c>
      <c r="X2275" t="str">
        <f>VLOOKUP(L2275,'[2]tabela de preços'!$A:$G,7,0)</f>
        <v>AUTOMOTIVO</v>
      </c>
    </row>
    <row r="2276" spans="1:24" x14ac:dyDescent="0.3">
      <c r="A2276" t="s">
        <v>2206</v>
      </c>
      <c r="C2276" t="s">
        <v>2207</v>
      </c>
      <c r="D2276" s="1">
        <v>46024</v>
      </c>
      <c r="E2276" t="s">
        <v>2208</v>
      </c>
      <c r="F2276">
        <v>9</v>
      </c>
      <c r="G2276">
        <v>145</v>
      </c>
      <c r="H2276" t="str">
        <f>VLOOKUP(G2276,[1]OPERADORES!$A:$B,2,0)</f>
        <v xml:space="preserve">FABRICIA </v>
      </c>
      <c r="I2276" t="s">
        <v>2209</v>
      </c>
      <c r="J2276" t="s">
        <v>2210</v>
      </c>
      <c r="K2276" t="s">
        <v>2211</v>
      </c>
      <c r="L2276">
        <v>84201</v>
      </c>
      <c r="M2276" t="s">
        <v>1005</v>
      </c>
      <c r="O2276" t="s">
        <v>11</v>
      </c>
      <c r="P2276">
        <v>6403</v>
      </c>
      <c r="Q2276">
        <v>5</v>
      </c>
      <c r="R2276">
        <v>80.14</v>
      </c>
      <c r="S2276">
        <v>400.7</v>
      </c>
      <c r="T2276">
        <v>329.1</v>
      </c>
      <c r="U2276">
        <v>17.87</v>
      </c>
      <c r="V2276" t="str">
        <f>VLOOKUP(L2276,'[2]tabela de preços'!$A:$D,4,0)</f>
        <v>BRASILUX</v>
      </c>
      <c r="W2276" t="str">
        <f>VLOOKUP(L2276,'[2]tabela de preços'!$A:$F,6,0)</f>
        <v>SELADOR ACRÍLICO</v>
      </c>
      <c r="X2276" t="str">
        <f>VLOOKUP(L2276,'[2]tabela de preços'!$A:$G,7,0)</f>
        <v>IMOBILIÁRIO</v>
      </c>
    </row>
    <row r="2277" spans="1:24" x14ac:dyDescent="0.3">
      <c r="A2277" t="s">
        <v>2206</v>
      </c>
      <c r="C2277" t="s">
        <v>2207</v>
      </c>
      <c r="D2277" s="1">
        <v>46024</v>
      </c>
      <c r="E2277" t="s">
        <v>2208</v>
      </c>
      <c r="F2277">
        <v>9</v>
      </c>
      <c r="G2277">
        <v>145</v>
      </c>
      <c r="H2277" t="str">
        <f>VLOOKUP(G2277,[1]OPERADORES!$A:$B,2,0)</f>
        <v xml:space="preserve">FABRICIA </v>
      </c>
      <c r="I2277" t="s">
        <v>2209</v>
      </c>
      <c r="J2277" t="s">
        <v>2210</v>
      </c>
      <c r="K2277" t="s">
        <v>2211</v>
      </c>
      <c r="L2277">
        <v>21254</v>
      </c>
      <c r="M2277" t="s">
        <v>2212</v>
      </c>
      <c r="O2277" t="s">
        <v>11</v>
      </c>
      <c r="P2277">
        <v>6403</v>
      </c>
      <c r="Q2277">
        <v>1</v>
      </c>
      <c r="R2277">
        <v>200.74</v>
      </c>
      <c r="S2277">
        <v>200.74</v>
      </c>
      <c r="T2277">
        <v>198.93</v>
      </c>
      <c r="U2277">
        <v>0.9</v>
      </c>
      <c r="V2277" t="str">
        <f>VLOOKUP(L2277,'[2]tabela de preços'!$A:$D,4,0)</f>
        <v>WANDA</v>
      </c>
      <c r="W2277" t="str">
        <f>VLOOKUP(L2277,'[2]tabela de preços'!$A:$F,6,0)</f>
        <v>BASES POLIÉSTER</v>
      </c>
      <c r="X2277" t="str">
        <f>VLOOKUP(L2277,'[2]tabela de preços'!$A:$G,7,0)</f>
        <v>AUTOMOTIVO</v>
      </c>
    </row>
    <row r="2278" spans="1:24" x14ac:dyDescent="0.3">
      <c r="A2278" t="s">
        <v>2213</v>
      </c>
      <c r="C2278" t="s">
        <v>2214</v>
      </c>
      <c r="D2278" s="1">
        <v>46043</v>
      </c>
      <c r="E2278" t="s">
        <v>2215</v>
      </c>
      <c r="F2278">
        <v>9</v>
      </c>
      <c r="G2278">
        <v>236</v>
      </c>
      <c r="H2278" t="str">
        <f>VLOOKUP(G2278,[1]OPERADORES!$A:$B,2,0)</f>
        <v>DANIEL</v>
      </c>
      <c r="I2278" t="s">
        <v>21</v>
      </c>
      <c r="J2278" t="s">
        <v>1816</v>
      </c>
      <c r="K2278" t="s">
        <v>2216</v>
      </c>
      <c r="L2278">
        <v>5</v>
      </c>
      <c r="M2278" t="s">
        <v>147</v>
      </c>
      <c r="O2278" t="s">
        <v>11</v>
      </c>
      <c r="P2278">
        <v>5102</v>
      </c>
      <c r="Q2278">
        <v>5</v>
      </c>
      <c r="R2278">
        <v>6.06</v>
      </c>
      <c r="S2278">
        <v>30.3</v>
      </c>
      <c r="T2278">
        <v>19.55</v>
      </c>
      <c r="U2278">
        <v>35.479999999999997</v>
      </c>
      <c r="V2278" t="str">
        <f>VLOOKUP(L2278,'[2]tabela de preços'!$A:$D,4,0)</f>
        <v>BRILHO ESTOPA</v>
      </c>
      <c r="W2278" t="str">
        <f>VLOOKUP(L2278,'[2]tabela de preços'!$A:$F,6,0)</f>
        <v>ESTOPAS</v>
      </c>
      <c r="X2278" t="str">
        <f>VLOOKUP(L2278,'[2]tabela de preços'!$A:$G,7,0)</f>
        <v>AUTOMOTIVO</v>
      </c>
    </row>
    <row r="2279" spans="1:24" x14ac:dyDescent="0.3">
      <c r="A2279" t="s">
        <v>2213</v>
      </c>
      <c r="C2279" t="s">
        <v>2214</v>
      </c>
      <c r="D2279" s="1">
        <v>46043</v>
      </c>
      <c r="E2279" t="s">
        <v>2215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1816</v>
      </c>
      <c r="K2279" t="s">
        <v>2216</v>
      </c>
      <c r="L2279">
        <v>24241</v>
      </c>
      <c r="M2279" t="s">
        <v>233</v>
      </c>
      <c r="O2279" t="s">
        <v>11</v>
      </c>
      <c r="P2279">
        <v>5102</v>
      </c>
      <c r="Q2279">
        <v>15</v>
      </c>
      <c r="R2279">
        <v>12.2</v>
      </c>
      <c r="S2279">
        <v>183</v>
      </c>
      <c r="T2279">
        <v>138.9</v>
      </c>
      <c r="U2279">
        <v>24.1</v>
      </c>
      <c r="V2279" t="str">
        <f>VLOOKUP(L2279,'[2]tabela de preços'!$A:$D,4,0)</f>
        <v>ADERE</v>
      </c>
      <c r="W2279" t="str">
        <f>VLOOKUP(L2279,'[2]tabela de preços'!$A:$F,6,0)</f>
        <v>FITA AUTOMOTIVA</v>
      </c>
      <c r="X2279" t="str">
        <f>VLOOKUP(L2279,'[2]tabela de preços'!$A:$G,7,0)</f>
        <v>AUTOMOTIVO</v>
      </c>
    </row>
    <row r="2280" spans="1:24" x14ac:dyDescent="0.3">
      <c r="A2280" t="s">
        <v>2213</v>
      </c>
      <c r="C2280" t="s">
        <v>2214</v>
      </c>
      <c r="D2280" s="1">
        <v>46043</v>
      </c>
      <c r="E2280" t="s">
        <v>2215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1816</v>
      </c>
      <c r="K2280" t="s">
        <v>2216</v>
      </c>
      <c r="L2280">
        <v>10298</v>
      </c>
      <c r="M2280" t="s">
        <v>85</v>
      </c>
      <c r="O2280" t="s">
        <v>11</v>
      </c>
      <c r="P2280">
        <v>5102</v>
      </c>
      <c r="Q2280">
        <v>1</v>
      </c>
      <c r="R2280">
        <v>56.89</v>
      </c>
      <c r="S2280">
        <v>56.89</v>
      </c>
      <c r="T2280">
        <v>47.38</v>
      </c>
      <c r="U2280">
        <v>16.72</v>
      </c>
      <c r="V2280" t="str">
        <f>VLOOKUP(L2280,'[2]tabela de preços'!$A:$D,4,0)</f>
        <v>ANJO</v>
      </c>
      <c r="W2280" t="str">
        <f>VLOOKUP(L2280,'[2]tabela de preços'!$A:$F,6,0)</f>
        <v>THINNER DE LIMPEZA</v>
      </c>
      <c r="X2280" t="str">
        <f>VLOOKUP(L2280,'[2]tabela de preços'!$A:$G,7,0)</f>
        <v>THINNER</v>
      </c>
    </row>
    <row r="2281" spans="1:24" x14ac:dyDescent="0.3">
      <c r="A2281" t="s">
        <v>2213</v>
      </c>
      <c r="C2281" t="s">
        <v>2217</v>
      </c>
      <c r="D2281" s="1">
        <v>46044</v>
      </c>
      <c r="E2281" t="s">
        <v>2218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1816</v>
      </c>
      <c r="K2281" t="s">
        <v>2216</v>
      </c>
      <c r="L2281">
        <v>84250</v>
      </c>
      <c r="M2281" t="s">
        <v>922</v>
      </c>
      <c r="O2281" t="s">
        <v>11</v>
      </c>
      <c r="P2281">
        <v>5403</v>
      </c>
      <c r="Q2281">
        <v>1</v>
      </c>
      <c r="R2281">
        <v>112.9</v>
      </c>
      <c r="S2281">
        <v>112.9</v>
      </c>
      <c r="T2281">
        <v>94.66</v>
      </c>
      <c r="U2281">
        <v>16.16</v>
      </c>
      <c r="V2281" t="str">
        <f>VLOOKUP(L2281,'[2]tabela de preços'!$A:$D,4,0)</f>
        <v>BRASILUX</v>
      </c>
      <c r="W2281" t="str">
        <f>VLOOKUP(L2281,'[2]tabela de preços'!$A:$F,6,0)</f>
        <v>TINTA PAREDE</v>
      </c>
      <c r="X2281" t="str">
        <f>VLOOKUP(L2281,'[2]tabela de preços'!$A:$G,7,0)</f>
        <v>IMOBILIÁRIO</v>
      </c>
    </row>
    <row r="2282" spans="1:24" x14ac:dyDescent="0.3">
      <c r="A2282" t="s">
        <v>2213</v>
      </c>
      <c r="C2282" t="s">
        <v>2217</v>
      </c>
      <c r="D2282" s="1">
        <v>46044</v>
      </c>
      <c r="E2282" t="s">
        <v>2218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1816</v>
      </c>
      <c r="K2282" t="s">
        <v>2216</v>
      </c>
      <c r="L2282">
        <v>84928</v>
      </c>
      <c r="M2282" t="s">
        <v>36</v>
      </c>
      <c r="O2282" t="s">
        <v>11</v>
      </c>
      <c r="P2282">
        <v>5102</v>
      </c>
      <c r="Q2282">
        <v>10</v>
      </c>
      <c r="R2282">
        <v>9.39</v>
      </c>
      <c r="S2282">
        <v>93.9</v>
      </c>
      <c r="T2282">
        <v>71.3</v>
      </c>
      <c r="U2282">
        <v>24.07</v>
      </c>
      <c r="V2282" t="str">
        <f>VLOOKUP(L2282,'[2]tabela de preços'!$A:$D,4,0)</f>
        <v>ADERE</v>
      </c>
      <c r="W2282" t="str">
        <f>VLOOKUP(L2282,'[2]tabela de preços'!$A:$F,6,0)</f>
        <v xml:space="preserve">FITA DE USO GERAL </v>
      </c>
      <c r="X2282" t="str">
        <f>VLOOKUP(L2282,'[2]tabela de preços'!$A:$G,7,0)</f>
        <v>IMOBILIÁRIO</v>
      </c>
    </row>
    <row r="2283" spans="1:24" x14ac:dyDescent="0.3">
      <c r="A2283" t="s">
        <v>2213</v>
      </c>
      <c r="C2283" t="s">
        <v>2217</v>
      </c>
      <c r="D2283" s="1">
        <v>46044</v>
      </c>
      <c r="E2283" t="s">
        <v>2218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1816</v>
      </c>
      <c r="K2283" t="s">
        <v>2216</v>
      </c>
      <c r="L2283">
        <v>23878</v>
      </c>
      <c r="M2283" t="s">
        <v>851</v>
      </c>
      <c r="O2283" t="s">
        <v>11</v>
      </c>
      <c r="P2283">
        <v>5102</v>
      </c>
      <c r="Q2283">
        <v>2</v>
      </c>
      <c r="R2283">
        <v>8.6999999999999993</v>
      </c>
      <c r="S2283">
        <v>17.399999999999999</v>
      </c>
      <c r="T2283">
        <v>12.76</v>
      </c>
      <c r="U2283">
        <v>26.67</v>
      </c>
      <c r="V2283" t="str">
        <f>VLOOKUP(L2283,'[2]tabela de preços'!$A:$D,4,0)</f>
        <v>ATLAS</v>
      </c>
      <c r="W2283" t="str">
        <f>VLOOKUP(L2283,'[2]tabela de preços'!$A:$F,6,0)</f>
        <v>ROLOS / TRINCHAS / PINCÉIS / ESPÁTULAS</v>
      </c>
      <c r="X2283" t="str">
        <f>VLOOKUP(L2283,'[2]tabela de preços'!$A:$G,7,0)</f>
        <v>IMOBILIÁRIO</v>
      </c>
    </row>
    <row r="2284" spans="1:24" x14ac:dyDescent="0.3">
      <c r="A2284" t="s">
        <v>2213</v>
      </c>
      <c r="C2284" t="s">
        <v>2217</v>
      </c>
      <c r="D2284" s="1">
        <v>46044</v>
      </c>
      <c r="E2284" t="s">
        <v>2218</v>
      </c>
      <c r="F2284">
        <v>9</v>
      </c>
      <c r="G2284">
        <v>236</v>
      </c>
      <c r="H2284" t="str">
        <f>VLOOKUP(G2284,[1]OPERADORES!$A:$B,2,0)</f>
        <v>DANIEL</v>
      </c>
      <c r="I2284" t="s">
        <v>21</v>
      </c>
      <c r="J2284" t="s">
        <v>1816</v>
      </c>
      <c r="K2284" t="s">
        <v>2216</v>
      </c>
      <c r="L2284">
        <v>85778</v>
      </c>
      <c r="M2284" t="s">
        <v>2219</v>
      </c>
      <c r="O2284" t="s">
        <v>11</v>
      </c>
      <c r="P2284">
        <v>5403</v>
      </c>
      <c r="Q2284">
        <v>1</v>
      </c>
      <c r="R2284">
        <v>451.08</v>
      </c>
      <c r="S2284">
        <v>451.08</v>
      </c>
      <c r="T2284">
        <v>273.38</v>
      </c>
      <c r="U2284">
        <v>39.39</v>
      </c>
      <c r="V2284" t="str">
        <f>VLOOKUP(L2284,'[2]tabela de preços'!$A:$D,4,0)</f>
        <v>CORAL</v>
      </c>
      <c r="W2284" t="str">
        <f>VLOOKUP(L2284,'[2]tabela de preços'!$A:$F,6,0)</f>
        <v>BASES IMOBILIÁRIAS</v>
      </c>
      <c r="X2284" t="str">
        <f>VLOOKUP(L2284,'[2]tabela de preços'!$A:$G,7,0)</f>
        <v>IMOBILIÁRIO</v>
      </c>
    </row>
    <row r="2285" spans="1:24" x14ac:dyDescent="0.3">
      <c r="A2285" t="s">
        <v>2213</v>
      </c>
      <c r="C2285" t="s">
        <v>2217</v>
      </c>
      <c r="D2285" s="1">
        <v>46044</v>
      </c>
      <c r="E2285" t="s">
        <v>2218</v>
      </c>
      <c r="F2285">
        <v>9</v>
      </c>
      <c r="G2285">
        <v>236</v>
      </c>
      <c r="H2285" t="str">
        <f>VLOOKUP(G2285,[1]OPERADORES!$A:$B,2,0)</f>
        <v>DANIEL</v>
      </c>
      <c r="I2285" t="s">
        <v>21</v>
      </c>
      <c r="J2285" t="s">
        <v>1816</v>
      </c>
      <c r="K2285" t="s">
        <v>2216</v>
      </c>
      <c r="L2285">
        <v>85140</v>
      </c>
      <c r="M2285" t="s">
        <v>625</v>
      </c>
      <c r="O2285" t="s">
        <v>46</v>
      </c>
      <c r="P2285">
        <v>5405</v>
      </c>
      <c r="Q2285">
        <v>1</v>
      </c>
      <c r="R2285">
        <v>213.83</v>
      </c>
      <c r="S2285">
        <v>213.83</v>
      </c>
      <c r="T2285">
        <v>156.77000000000001</v>
      </c>
      <c r="U2285">
        <v>26.68</v>
      </c>
      <c r="V2285" t="str">
        <f>VLOOKUP(L2285,'[2]tabela de preços'!$A:$D,4,0)</f>
        <v>MULTILONA</v>
      </c>
      <c r="W2285" t="str">
        <f>VLOOKUP(L2285,'[2]tabela de preços'!$A:$F,6,0)</f>
        <v>LONAS</v>
      </c>
      <c r="X2285" t="str">
        <f>VLOOKUP(L2285,'[2]tabela de preços'!$A:$G,7,0)</f>
        <v>IMOBILIÁRIO</v>
      </c>
    </row>
    <row r="2286" spans="1:24" x14ac:dyDescent="0.3">
      <c r="A2286" t="s">
        <v>2213</v>
      </c>
      <c r="C2286" t="s">
        <v>2217</v>
      </c>
      <c r="D2286" s="1">
        <v>46044</v>
      </c>
      <c r="E2286" t="s">
        <v>2218</v>
      </c>
      <c r="F2286">
        <v>9</v>
      </c>
      <c r="G2286">
        <v>236</v>
      </c>
      <c r="H2286" t="str">
        <f>VLOOKUP(G2286,[1]OPERADORES!$A:$B,2,0)</f>
        <v>DANIEL</v>
      </c>
      <c r="I2286" t="s">
        <v>21</v>
      </c>
      <c r="J2286" t="s">
        <v>1816</v>
      </c>
      <c r="K2286" t="s">
        <v>2216</v>
      </c>
      <c r="L2286">
        <v>84420</v>
      </c>
      <c r="M2286" t="s">
        <v>353</v>
      </c>
      <c r="O2286" t="s">
        <v>11</v>
      </c>
      <c r="P2286">
        <v>5102</v>
      </c>
      <c r="Q2286">
        <v>2</v>
      </c>
      <c r="R2286">
        <v>21.06</v>
      </c>
      <c r="S2286">
        <v>42.12</v>
      </c>
      <c r="T2286">
        <v>30.88</v>
      </c>
      <c r="U2286">
        <v>26.69</v>
      </c>
      <c r="V2286" t="str">
        <f>VLOOKUP(L2286,'[2]tabela de preços'!$A:$D,4,0)</f>
        <v>ATLAS</v>
      </c>
      <c r="W2286" t="str">
        <f>VLOOKUP(L2286,'[2]tabela de preços'!$A:$F,6,0)</f>
        <v>ROLOS / TRINCHAS / PINCÉIS / ESPÁTULAS</v>
      </c>
      <c r="X2286" t="str">
        <f>VLOOKUP(L2286,'[2]tabela de preços'!$A:$G,7,0)</f>
        <v>IMOBILIÁRIO</v>
      </c>
    </row>
    <row r="2287" spans="1:24" x14ac:dyDescent="0.3">
      <c r="A2287" t="s">
        <v>2213</v>
      </c>
      <c r="C2287" t="s">
        <v>2217</v>
      </c>
      <c r="D2287" s="1">
        <v>46044</v>
      </c>
      <c r="E2287" t="s">
        <v>2218</v>
      </c>
      <c r="F2287">
        <v>9</v>
      </c>
      <c r="G2287">
        <v>236</v>
      </c>
      <c r="H2287" t="str">
        <f>VLOOKUP(G2287,[1]OPERADORES!$A:$B,2,0)</f>
        <v>DANIEL</v>
      </c>
      <c r="I2287" t="s">
        <v>21</v>
      </c>
      <c r="J2287" t="s">
        <v>1816</v>
      </c>
      <c r="K2287" t="s">
        <v>2216</v>
      </c>
      <c r="L2287">
        <v>85038</v>
      </c>
      <c r="M2287" t="s">
        <v>2220</v>
      </c>
      <c r="O2287" t="s">
        <v>11</v>
      </c>
      <c r="P2287">
        <v>5102</v>
      </c>
      <c r="Q2287">
        <v>3</v>
      </c>
      <c r="R2287">
        <v>7.97</v>
      </c>
      <c r="S2287">
        <v>23.91</v>
      </c>
      <c r="T2287">
        <v>18.149999999999999</v>
      </c>
      <c r="U2287">
        <v>24.09</v>
      </c>
      <c r="V2287" t="str">
        <f>VLOOKUP(L2287,'[2]tabela de preços'!$A:$D,4,0)</f>
        <v>ATLAS</v>
      </c>
      <c r="W2287" t="str">
        <f>VLOOKUP(L2287,'[2]tabela de preços'!$A:$F,6,0)</f>
        <v>ROLOS / TRINCHAS / PINCÉIS / ESPÁTULAS</v>
      </c>
      <c r="X2287" t="str">
        <f>VLOOKUP(L2287,'[2]tabela de preços'!$A:$G,7,0)</f>
        <v>IMOBILIÁRIO</v>
      </c>
    </row>
    <row r="2288" spans="1:24" x14ac:dyDescent="0.3">
      <c r="A2288" t="s">
        <v>2213</v>
      </c>
      <c r="C2288" t="s">
        <v>2414</v>
      </c>
      <c r="D2288" s="1">
        <v>46052</v>
      </c>
      <c r="E2288" t="s">
        <v>2415</v>
      </c>
      <c r="F2288">
        <v>9</v>
      </c>
      <c r="G2288">
        <v>236</v>
      </c>
      <c r="H2288" t="str">
        <f>VLOOKUP(G2288,[1]OPERADORES!$A:$B,2,0)</f>
        <v>DANIEL</v>
      </c>
      <c r="I2288" t="s">
        <v>21</v>
      </c>
      <c r="J2288" t="s">
        <v>1816</v>
      </c>
      <c r="K2288" t="s">
        <v>2216</v>
      </c>
      <c r="L2288">
        <v>84383</v>
      </c>
      <c r="M2288" t="s">
        <v>836</v>
      </c>
      <c r="O2288" t="s">
        <v>11</v>
      </c>
      <c r="P2288">
        <v>5403</v>
      </c>
      <c r="Q2288">
        <v>10</v>
      </c>
      <c r="R2288">
        <v>159.9</v>
      </c>
      <c r="S2288" s="2">
        <v>1599</v>
      </c>
      <c r="T2288" s="2">
        <v>1376.1</v>
      </c>
      <c r="U2288">
        <v>13.94</v>
      </c>
      <c r="V2288" t="str">
        <f>VLOOKUP(L2288,'[2]tabela de preços'!$A:$D,4,0)</f>
        <v>BRASILUX</v>
      </c>
      <c r="W2288" t="str">
        <f>VLOOKUP(L2288,'[2]tabela de preços'!$A:$F,6,0)</f>
        <v>TINTA PARA PISO</v>
      </c>
      <c r="X2288" t="str">
        <f>VLOOKUP(L2288,'[2]tabela de preços'!$A:$G,7,0)</f>
        <v>IMOBILIÁRIO</v>
      </c>
    </row>
    <row r="2289" spans="1:24" x14ac:dyDescent="0.3">
      <c r="A2289" t="s">
        <v>2213</v>
      </c>
      <c r="C2289" t="s">
        <v>2414</v>
      </c>
      <c r="D2289" s="1">
        <v>46052</v>
      </c>
      <c r="E2289" t="s">
        <v>2415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1816</v>
      </c>
      <c r="K2289" t="s">
        <v>2216</v>
      </c>
      <c r="L2289">
        <v>23878</v>
      </c>
      <c r="M2289" t="s">
        <v>851</v>
      </c>
      <c r="O2289" t="s">
        <v>11</v>
      </c>
      <c r="P2289">
        <v>5102</v>
      </c>
      <c r="Q2289">
        <v>5</v>
      </c>
      <c r="R2289">
        <v>8.15</v>
      </c>
      <c r="S2289">
        <v>40.75</v>
      </c>
      <c r="T2289">
        <v>29.2</v>
      </c>
      <c r="U2289">
        <v>28.34</v>
      </c>
      <c r="V2289" t="str">
        <f>VLOOKUP(L2289,'[2]tabela de preços'!$A:$D,4,0)</f>
        <v>ATLAS</v>
      </c>
      <c r="W2289" t="str">
        <f>VLOOKUP(L2289,'[2]tabela de preços'!$A:$F,6,0)</f>
        <v>ROLOS / TRINCHAS / PINCÉIS / ESPÁTULAS</v>
      </c>
      <c r="X2289" t="str">
        <f>VLOOKUP(L2289,'[2]tabela de preços'!$A:$G,7,0)</f>
        <v>IMOBILIÁRIO</v>
      </c>
    </row>
    <row r="2290" spans="1:24" x14ac:dyDescent="0.3">
      <c r="A2290" t="s">
        <v>2213</v>
      </c>
      <c r="C2290" t="s">
        <v>2414</v>
      </c>
      <c r="D2290" s="1">
        <v>46052</v>
      </c>
      <c r="E2290" t="s">
        <v>2415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1816</v>
      </c>
      <c r="K2290" t="s">
        <v>2216</v>
      </c>
      <c r="L2290">
        <v>84110</v>
      </c>
      <c r="M2290" t="s">
        <v>2416</v>
      </c>
      <c r="O2290" t="s">
        <v>11</v>
      </c>
      <c r="P2290">
        <v>5403</v>
      </c>
      <c r="Q2290">
        <v>11</v>
      </c>
      <c r="R2290">
        <v>153.99</v>
      </c>
      <c r="S2290" s="2">
        <v>1693.89</v>
      </c>
      <c r="T2290" s="2">
        <v>1285.68</v>
      </c>
      <c r="U2290">
        <v>24.1</v>
      </c>
      <c r="V2290" t="str">
        <f>VLOOKUP(L2290,'[2]tabela de preços'!$A:$D,4,0)</f>
        <v>BRASILUX</v>
      </c>
      <c r="W2290" t="str">
        <f>VLOOKUP(L2290,'[2]tabela de preços'!$A:$F,6,0)</f>
        <v>EPOXI</v>
      </c>
      <c r="X2290" t="str">
        <f>VLOOKUP(L2290,'[2]tabela de preços'!$A:$G,7,0)</f>
        <v>INDUSTRIAL</v>
      </c>
    </row>
    <row r="2291" spans="1:24" x14ac:dyDescent="0.3">
      <c r="A2291" t="s">
        <v>2213</v>
      </c>
      <c r="C2291" t="s">
        <v>2414</v>
      </c>
      <c r="D2291" s="1">
        <v>46052</v>
      </c>
      <c r="E2291" t="s">
        <v>2415</v>
      </c>
      <c r="F2291">
        <v>9</v>
      </c>
      <c r="G2291">
        <v>236</v>
      </c>
      <c r="H2291" t="str">
        <f>VLOOKUP(G2291,[1]OPERADORES!$A:$B,2,0)</f>
        <v>DANIEL</v>
      </c>
      <c r="I2291" t="s">
        <v>21</v>
      </c>
      <c r="J2291" t="s">
        <v>1816</v>
      </c>
      <c r="K2291" t="s">
        <v>2216</v>
      </c>
      <c r="L2291">
        <v>84114</v>
      </c>
      <c r="M2291" t="s">
        <v>292</v>
      </c>
      <c r="O2291" t="s">
        <v>11</v>
      </c>
      <c r="P2291">
        <v>5403</v>
      </c>
      <c r="Q2291">
        <v>22</v>
      </c>
      <c r="R2291">
        <v>153.99</v>
      </c>
      <c r="S2291" s="2">
        <v>3387.78</v>
      </c>
      <c r="T2291" s="2">
        <v>2571.36</v>
      </c>
      <c r="U2291">
        <v>24.1</v>
      </c>
      <c r="V2291" t="str">
        <f>VLOOKUP(L2291,'[2]tabela de preços'!$A:$D,4,0)</f>
        <v>BRASILUX</v>
      </c>
      <c r="W2291" t="str">
        <f>VLOOKUP(L2291,'[2]tabela de preços'!$A:$F,6,0)</f>
        <v>EPOXI</v>
      </c>
      <c r="X2291" t="str">
        <f>VLOOKUP(L2291,'[2]tabela de preços'!$A:$G,7,0)</f>
        <v>INDUSTRIAL</v>
      </c>
    </row>
    <row r="2292" spans="1:24" x14ac:dyDescent="0.3">
      <c r="A2292" t="s">
        <v>2213</v>
      </c>
      <c r="C2292" t="s">
        <v>2414</v>
      </c>
      <c r="D2292" s="1">
        <v>46052</v>
      </c>
      <c r="E2292" t="s">
        <v>2415</v>
      </c>
      <c r="F2292">
        <v>9</v>
      </c>
      <c r="G2292">
        <v>236</v>
      </c>
      <c r="H2292" t="str">
        <f>VLOOKUP(G2292,[1]OPERADORES!$A:$B,2,0)</f>
        <v>DANIEL</v>
      </c>
      <c r="I2292" t="s">
        <v>21</v>
      </c>
      <c r="J2292" t="s">
        <v>1816</v>
      </c>
      <c r="K2292" t="s">
        <v>2216</v>
      </c>
      <c r="L2292">
        <v>84785</v>
      </c>
      <c r="M2292" t="s">
        <v>944</v>
      </c>
      <c r="O2292" t="s">
        <v>11</v>
      </c>
      <c r="P2292">
        <v>5403</v>
      </c>
      <c r="Q2292">
        <v>40</v>
      </c>
      <c r="R2292">
        <v>173</v>
      </c>
      <c r="S2292" s="2">
        <v>6920</v>
      </c>
      <c r="T2292" s="2">
        <v>5228.8</v>
      </c>
      <c r="U2292">
        <v>24.44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2213</v>
      </c>
      <c r="C2293" t="s">
        <v>2414</v>
      </c>
      <c r="D2293" s="1">
        <v>46052</v>
      </c>
      <c r="E2293" t="s">
        <v>2415</v>
      </c>
      <c r="F2293">
        <v>9</v>
      </c>
      <c r="G2293">
        <v>236</v>
      </c>
      <c r="H2293" t="str">
        <f>VLOOKUP(G2293,[1]OPERADORES!$A:$B,2,0)</f>
        <v>DANIEL</v>
      </c>
      <c r="I2293" t="s">
        <v>21</v>
      </c>
      <c r="J2293" t="s">
        <v>1816</v>
      </c>
      <c r="K2293" t="s">
        <v>2216</v>
      </c>
      <c r="L2293">
        <v>84116</v>
      </c>
      <c r="M2293" t="s">
        <v>2417</v>
      </c>
      <c r="O2293" t="s">
        <v>11</v>
      </c>
      <c r="P2293">
        <v>5403</v>
      </c>
      <c r="Q2293">
        <v>24</v>
      </c>
      <c r="R2293">
        <v>153.99</v>
      </c>
      <c r="S2293" s="2">
        <v>3695.76</v>
      </c>
      <c r="T2293" s="2">
        <v>2805.12</v>
      </c>
      <c r="U2293">
        <v>24.1</v>
      </c>
      <c r="V2293" t="str">
        <f>VLOOKUP(L2293,'[2]tabela de preços'!$A:$D,4,0)</f>
        <v>BRASILUX</v>
      </c>
      <c r="W2293" t="str">
        <f>VLOOKUP(L2293,'[2]tabela de preços'!$A:$F,6,0)</f>
        <v>EPOXI</v>
      </c>
      <c r="X2293" t="str">
        <f>VLOOKUP(L2293,'[2]tabela de preços'!$A:$G,7,0)</f>
        <v>INDUSTRIAL</v>
      </c>
    </row>
    <row r="2294" spans="1:24" x14ac:dyDescent="0.3">
      <c r="A2294" t="s">
        <v>2213</v>
      </c>
      <c r="C2294" t="s">
        <v>2414</v>
      </c>
      <c r="D2294" s="1">
        <v>46052</v>
      </c>
      <c r="E2294" t="s">
        <v>2415</v>
      </c>
      <c r="F2294">
        <v>9</v>
      </c>
      <c r="G2294">
        <v>236</v>
      </c>
      <c r="H2294" t="str">
        <f>VLOOKUP(G2294,[1]OPERADORES!$A:$B,2,0)</f>
        <v>DANIEL</v>
      </c>
      <c r="I2294" t="s">
        <v>21</v>
      </c>
      <c r="J2294" t="s">
        <v>1816</v>
      </c>
      <c r="K2294" t="s">
        <v>2216</v>
      </c>
      <c r="L2294">
        <v>85227</v>
      </c>
      <c r="M2294" t="s">
        <v>1042</v>
      </c>
      <c r="O2294" t="s">
        <v>11</v>
      </c>
      <c r="P2294">
        <v>5102</v>
      </c>
      <c r="Q2294">
        <v>5</v>
      </c>
      <c r="R2294">
        <v>11.12</v>
      </c>
      <c r="S2294">
        <v>55.6</v>
      </c>
      <c r="T2294">
        <v>23</v>
      </c>
      <c r="U2294">
        <v>58.63</v>
      </c>
      <c r="V2294" t="str">
        <f>VLOOKUP(L2294,'[2]tabela de preços'!$A:$D,4,0)</f>
        <v>ATLAS</v>
      </c>
      <c r="W2294" t="str">
        <f>VLOOKUP(L2294,'[2]tabela de preços'!$A:$F,6,0)</f>
        <v>ROLOS / TRINCHAS / PINCÉIS / ESPÁTULAS</v>
      </c>
      <c r="X2294" t="str">
        <f>VLOOKUP(L2294,'[2]tabela de preços'!$A:$G,7,0)</f>
        <v>IMOBILIÁRIO</v>
      </c>
    </row>
    <row r="2295" spans="1:24" x14ac:dyDescent="0.3">
      <c r="A2295" t="s">
        <v>2213</v>
      </c>
      <c r="C2295" t="s">
        <v>2414</v>
      </c>
      <c r="D2295" s="1">
        <v>46052</v>
      </c>
      <c r="E2295" t="s">
        <v>2415</v>
      </c>
      <c r="F2295">
        <v>9</v>
      </c>
      <c r="G2295">
        <v>236</v>
      </c>
      <c r="H2295" t="str">
        <f>VLOOKUP(G2295,[1]OPERADORES!$A:$B,2,0)</f>
        <v>DANIEL</v>
      </c>
      <c r="I2295" t="s">
        <v>21</v>
      </c>
      <c r="J2295" t="s">
        <v>1816</v>
      </c>
      <c r="K2295" t="s">
        <v>2216</v>
      </c>
      <c r="L2295">
        <v>84420</v>
      </c>
      <c r="M2295" t="s">
        <v>353</v>
      </c>
      <c r="O2295" t="s">
        <v>11</v>
      </c>
      <c r="P2295">
        <v>5102</v>
      </c>
      <c r="Q2295">
        <v>5</v>
      </c>
      <c r="R2295">
        <v>21.54</v>
      </c>
      <c r="S2295">
        <v>107.7</v>
      </c>
      <c r="T2295">
        <v>77.2</v>
      </c>
      <c r="U2295">
        <v>28.32</v>
      </c>
      <c r="V2295" t="str">
        <f>VLOOKUP(L2295,'[2]tabela de preços'!$A:$D,4,0)</f>
        <v>ATLAS</v>
      </c>
      <c r="W2295" t="str">
        <f>VLOOKUP(L2295,'[2]tabela de preços'!$A:$F,6,0)</f>
        <v>ROLOS / TRINCHAS / PINCÉIS / ESPÁTULAS</v>
      </c>
      <c r="X2295" t="str">
        <f>VLOOKUP(L2295,'[2]tabela de preços'!$A:$G,7,0)</f>
        <v>IMOBILIÁRIO</v>
      </c>
    </row>
    <row r="2296" spans="1:24" x14ac:dyDescent="0.3">
      <c r="A2296" t="s">
        <v>2221</v>
      </c>
      <c r="B2296" t="s">
        <v>2222</v>
      </c>
      <c r="C2296" t="s">
        <v>2223</v>
      </c>
      <c r="D2296" s="1">
        <v>46027</v>
      </c>
      <c r="E2296" t="s">
        <v>2224</v>
      </c>
      <c r="F2296">
        <v>9</v>
      </c>
      <c r="G2296">
        <v>236</v>
      </c>
      <c r="H2296" t="str">
        <f>VLOOKUP(G2296,[1]OPERADORES!$A:$B,2,0)</f>
        <v>DANIEL</v>
      </c>
      <c r="I2296" t="s">
        <v>21</v>
      </c>
      <c r="J2296" t="s">
        <v>2225</v>
      </c>
      <c r="K2296" t="s">
        <v>2226</v>
      </c>
      <c r="L2296">
        <v>85666</v>
      </c>
      <c r="M2296" t="s">
        <v>341</v>
      </c>
      <c r="O2296" t="s">
        <v>11</v>
      </c>
      <c r="P2296">
        <v>5403</v>
      </c>
      <c r="Q2296">
        <v>20</v>
      </c>
      <c r="R2296">
        <v>13.89</v>
      </c>
      <c r="S2296">
        <v>277.8</v>
      </c>
      <c r="T2296">
        <v>239.8</v>
      </c>
      <c r="U2296">
        <v>13.68</v>
      </c>
      <c r="V2296" t="str">
        <f>VLOOKUP(L2296,'[2]tabela de preços'!$A:$D,4,0)</f>
        <v>UNIPEGA</v>
      </c>
      <c r="W2296" t="str">
        <f>VLOOKUP(L2296,'[2]tabela de preços'!$A:$F,6,0)</f>
        <v xml:space="preserve">SPRAYS </v>
      </c>
      <c r="X2296" t="str">
        <f>VLOOKUP(L2296,'[2]tabela de preços'!$A:$G,7,0)</f>
        <v>AUTOMOTIVO</v>
      </c>
    </row>
    <row r="2297" spans="1:24" x14ac:dyDescent="0.3">
      <c r="A2297" t="s">
        <v>2221</v>
      </c>
      <c r="B2297" t="s">
        <v>2222</v>
      </c>
      <c r="C2297" t="s">
        <v>2223</v>
      </c>
      <c r="D2297" s="1">
        <v>46027</v>
      </c>
      <c r="E2297" t="s">
        <v>2224</v>
      </c>
      <c r="F2297">
        <v>9</v>
      </c>
      <c r="G2297">
        <v>236</v>
      </c>
      <c r="H2297" t="str">
        <f>VLOOKUP(G2297,[1]OPERADORES!$A:$B,2,0)</f>
        <v>DANIEL</v>
      </c>
      <c r="I2297" t="s">
        <v>21</v>
      </c>
      <c r="J2297" t="s">
        <v>2225</v>
      </c>
      <c r="K2297" t="s">
        <v>2226</v>
      </c>
      <c r="L2297">
        <v>85661</v>
      </c>
      <c r="M2297" t="s">
        <v>342</v>
      </c>
      <c r="O2297" t="s">
        <v>11</v>
      </c>
      <c r="P2297">
        <v>5403</v>
      </c>
      <c r="Q2297">
        <v>10</v>
      </c>
      <c r="R2297">
        <v>13.89</v>
      </c>
      <c r="S2297">
        <v>138.9</v>
      </c>
      <c r="T2297">
        <v>110</v>
      </c>
      <c r="U2297">
        <v>20.81</v>
      </c>
      <c r="V2297" t="str">
        <f>VLOOKUP(L2297,'[2]tabela de preços'!$A:$D,4,0)</f>
        <v>UNIPEGA</v>
      </c>
      <c r="W2297" t="str">
        <f>VLOOKUP(L2297,'[2]tabela de preços'!$A:$F,6,0)</f>
        <v xml:space="preserve">SPRAYS </v>
      </c>
      <c r="X2297" t="str">
        <f>VLOOKUP(L2297,'[2]tabela de preços'!$A:$G,7,0)</f>
        <v>AUTOMOTIVO</v>
      </c>
    </row>
    <row r="2298" spans="1:24" x14ac:dyDescent="0.3">
      <c r="A2298" t="s">
        <v>2221</v>
      </c>
      <c r="B2298" t="s">
        <v>2222</v>
      </c>
      <c r="C2298" t="s">
        <v>2227</v>
      </c>
      <c r="D2298" s="1">
        <v>46030</v>
      </c>
      <c r="F2298">
        <v>9</v>
      </c>
      <c r="G2298">
        <v>236</v>
      </c>
      <c r="H2298" t="str">
        <f>VLOOKUP(G2298,[1]OPERADORES!$A:$B,2,0)</f>
        <v>DANIEL</v>
      </c>
      <c r="I2298" t="s">
        <v>21</v>
      </c>
      <c r="J2298" t="s">
        <v>2225</v>
      </c>
      <c r="K2298" t="s">
        <v>2226</v>
      </c>
      <c r="L2298">
        <v>85666</v>
      </c>
      <c r="M2298" t="s">
        <v>341</v>
      </c>
      <c r="N2298" t="s">
        <v>2228</v>
      </c>
      <c r="O2298" t="s">
        <v>11</v>
      </c>
      <c r="P2298">
        <v>1411</v>
      </c>
      <c r="Q2298">
        <v>-20</v>
      </c>
      <c r="R2298">
        <v>13.89</v>
      </c>
      <c r="S2298">
        <v>-277.8</v>
      </c>
      <c r="T2298">
        <v>-239.8</v>
      </c>
      <c r="U2298">
        <v>13.68</v>
      </c>
      <c r="V2298" t="str">
        <f>VLOOKUP(L2298,'[2]tabela de preços'!$A:$D,4,0)</f>
        <v>UNIPEGA</v>
      </c>
      <c r="W2298" t="str">
        <f>VLOOKUP(L2298,'[2]tabela de preços'!$A:$F,6,0)</f>
        <v xml:space="preserve">SPRAYS </v>
      </c>
      <c r="X2298" t="str">
        <f>VLOOKUP(L2298,'[2]tabela de preços'!$A:$G,7,0)</f>
        <v>AUTOMOTIVO</v>
      </c>
    </row>
    <row r="2299" spans="1:24" x14ac:dyDescent="0.3">
      <c r="A2299" t="s">
        <v>2221</v>
      </c>
      <c r="B2299" t="s">
        <v>2222</v>
      </c>
      <c r="C2299" t="s">
        <v>2227</v>
      </c>
      <c r="D2299" s="1">
        <v>46030</v>
      </c>
      <c r="F2299">
        <v>9</v>
      </c>
      <c r="G2299">
        <v>236</v>
      </c>
      <c r="H2299" t="str">
        <f>VLOOKUP(G2299,[1]OPERADORES!$A:$B,2,0)</f>
        <v>DANIEL</v>
      </c>
      <c r="I2299" t="s">
        <v>21</v>
      </c>
      <c r="J2299" t="s">
        <v>2225</v>
      </c>
      <c r="K2299" t="s">
        <v>2226</v>
      </c>
      <c r="L2299">
        <v>85661</v>
      </c>
      <c r="M2299" t="s">
        <v>342</v>
      </c>
      <c r="N2299" t="s">
        <v>2228</v>
      </c>
      <c r="O2299" t="s">
        <v>11</v>
      </c>
      <c r="P2299">
        <v>1411</v>
      </c>
      <c r="Q2299">
        <v>-10</v>
      </c>
      <c r="R2299">
        <v>13.89</v>
      </c>
      <c r="S2299">
        <v>-138.9</v>
      </c>
      <c r="T2299">
        <v>-110</v>
      </c>
      <c r="U2299">
        <v>20.81</v>
      </c>
      <c r="V2299" t="str">
        <f>VLOOKUP(L2299,'[2]tabela de preços'!$A:$D,4,0)</f>
        <v>UNIPEGA</v>
      </c>
      <c r="W2299" t="str">
        <f>VLOOKUP(L2299,'[2]tabela de preços'!$A:$F,6,0)</f>
        <v xml:space="preserve">SPRAYS </v>
      </c>
      <c r="X2299" t="str">
        <f>VLOOKUP(L2299,'[2]tabela de preços'!$A:$G,7,0)</f>
        <v>AUTOMOTIVO</v>
      </c>
    </row>
    <row r="2300" spans="1:24" x14ac:dyDescent="0.3">
      <c r="A2300" t="s">
        <v>2221</v>
      </c>
      <c r="B2300" t="s">
        <v>2222</v>
      </c>
      <c r="C2300" t="s">
        <v>2229</v>
      </c>
      <c r="D2300" s="1">
        <v>46037</v>
      </c>
      <c r="F2300">
        <v>9</v>
      </c>
      <c r="G2300">
        <v>145</v>
      </c>
      <c r="H2300" t="str">
        <f>VLOOKUP(G2300,[1]OPERADORES!$A:$B,2,0)</f>
        <v xml:space="preserve">FABRICIA </v>
      </c>
      <c r="I2300" t="s">
        <v>21</v>
      </c>
      <c r="J2300" t="s">
        <v>2225</v>
      </c>
      <c r="K2300" t="s">
        <v>2226</v>
      </c>
      <c r="L2300">
        <v>85283</v>
      </c>
      <c r="M2300" t="s">
        <v>345</v>
      </c>
      <c r="N2300" t="s">
        <v>2230</v>
      </c>
      <c r="O2300" t="s">
        <v>11</v>
      </c>
      <c r="P2300">
        <v>1411</v>
      </c>
      <c r="Q2300">
        <v>-8</v>
      </c>
      <c r="R2300">
        <v>172.93</v>
      </c>
      <c r="S2300" s="2">
        <v>-1383.44</v>
      </c>
      <c r="T2300" s="2">
        <v>-1050.08</v>
      </c>
      <c r="U2300">
        <v>24.1</v>
      </c>
      <c r="V2300" t="str">
        <f>VLOOKUP(L2300,'[2]tabela de preços'!$A:$D,4,0)</f>
        <v>BRASILUX</v>
      </c>
      <c r="W2300" t="str">
        <f>VLOOKUP(L2300,'[2]tabela de preços'!$A:$F,6,0)</f>
        <v>TINTA PARA PISO</v>
      </c>
      <c r="X2300" t="str">
        <f>VLOOKUP(L2300,'[2]tabela de preços'!$A:$G,7,0)</f>
        <v>IMOBILIÁRIO</v>
      </c>
    </row>
    <row r="2301" spans="1:24" x14ac:dyDescent="0.3">
      <c r="A2301" t="s">
        <v>2221</v>
      </c>
      <c r="B2301" t="s">
        <v>2222</v>
      </c>
      <c r="C2301" t="s">
        <v>2229</v>
      </c>
      <c r="D2301" s="1">
        <v>46037</v>
      </c>
      <c r="F2301">
        <v>9</v>
      </c>
      <c r="G2301">
        <v>145</v>
      </c>
      <c r="H2301" t="str">
        <f>VLOOKUP(G2301,[1]OPERADORES!$A:$B,2,0)</f>
        <v xml:space="preserve">FABRICIA </v>
      </c>
      <c r="I2301" t="s">
        <v>21</v>
      </c>
      <c r="J2301" t="s">
        <v>2225</v>
      </c>
      <c r="K2301" t="s">
        <v>2226</v>
      </c>
      <c r="L2301">
        <v>86939</v>
      </c>
      <c r="M2301" t="s">
        <v>346</v>
      </c>
      <c r="N2301" t="s">
        <v>2230</v>
      </c>
      <c r="O2301" t="s">
        <v>11</v>
      </c>
      <c r="P2301">
        <v>1202</v>
      </c>
      <c r="Q2301">
        <v>-2</v>
      </c>
      <c r="R2301">
        <v>52.92</v>
      </c>
      <c r="S2301">
        <v>-105.84</v>
      </c>
      <c r="T2301">
        <v>-80.34</v>
      </c>
      <c r="U2301">
        <v>24.09</v>
      </c>
      <c r="V2301" t="str">
        <f>VLOOKUP(L2301,'[2]tabela de preços'!$A:$D,4,0)</f>
        <v>ATLAS</v>
      </c>
      <c r="W2301" t="str">
        <f>VLOOKUP(L2301,'[2]tabela de preços'!$A:$F,6,0)</f>
        <v>ROLOS / TRINCHAS / PINCÉIS / ESPÁTULAS</v>
      </c>
      <c r="X2301" t="str">
        <f>VLOOKUP(L2301,'[2]tabela de preços'!$A:$G,7,0)</f>
        <v>IMOBILIÁRIO</v>
      </c>
    </row>
    <row r="2302" spans="1:24" x14ac:dyDescent="0.3">
      <c r="A2302" t="s">
        <v>2231</v>
      </c>
      <c r="C2302" t="s">
        <v>2232</v>
      </c>
      <c r="D2302" s="1">
        <v>46051</v>
      </c>
      <c r="E2302" t="s">
        <v>2233</v>
      </c>
      <c r="F2302">
        <v>9</v>
      </c>
      <c r="G2302">
        <v>236</v>
      </c>
      <c r="H2302" t="str">
        <f>VLOOKUP(G2302,[1]OPERADORES!$A:$B,2,0)</f>
        <v>DANIEL</v>
      </c>
      <c r="I2302" t="s">
        <v>21</v>
      </c>
      <c r="J2302" t="s">
        <v>494</v>
      </c>
      <c r="K2302" t="s">
        <v>2234</v>
      </c>
      <c r="L2302">
        <v>85287</v>
      </c>
      <c r="M2302" t="s">
        <v>2235</v>
      </c>
      <c r="O2302" t="s">
        <v>11</v>
      </c>
      <c r="P2302">
        <v>5403</v>
      </c>
      <c r="Q2302">
        <v>2</v>
      </c>
      <c r="R2302">
        <v>97.95</v>
      </c>
      <c r="S2302">
        <v>195.9</v>
      </c>
      <c r="T2302">
        <v>148.68</v>
      </c>
      <c r="U2302">
        <v>24.1</v>
      </c>
      <c r="V2302" t="str">
        <f>VLOOKUP(L2302,'[2]tabela de preços'!$A:$D,4,0)</f>
        <v>BRASILUX</v>
      </c>
      <c r="W2302" t="str">
        <f>VLOOKUP(L2302,'[2]tabela de preços'!$A:$F,6,0)</f>
        <v>ESMALTES</v>
      </c>
      <c r="X2302" t="str">
        <f>VLOOKUP(L2302,'[2]tabela de preços'!$A:$G,7,0)</f>
        <v>INDUSTRIAL</v>
      </c>
    </row>
    <row r="2303" spans="1:24" x14ac:dyDescent="0.3">
      <c r="A2303" t="s">
        <v>2236</v>
      </c>
      <c r="B2303" t="s">
        <v>2237</v>
      </c>
      <c r="C2303" t="s">
        <v>2238</v>
      </c>
      <c r="D2303" s="1">
        <v>46038</v>
      </c>
      <c r="E2303" t="s">
        <v>2239</v>
      </c>
      <c r="F2303">
        <v>9</v>
      </c>
      <c r="G2303">
        <v>236</v>
      </c>
      <c r="H2303" t="str">
        <f>VLOOKUP(G2303,[1]OPERADORES!$A:$B,2,0)</f>
        <v>DANIEL</v>
      </c>
      <c r="I2303" t="s">
        <v>21</v>
      </c>
      <c r="J2303" t="s">
        <v>2240</v>
      </c>
      <c r="K2303" t="s">
        <v>2241</v>
      </c>
      <c r="L2303">
        <v>21437</v>
      </c>
      <c r="M2303" t="s">
        <v>1832</v>
      </c>
      <c r="O2303" t="s">
        <v>11</v>
      </c>
      <c r="P2303">
        <v>5102</v>
      </c>
      <c r="Q2303">
        <v>3</v>
      </c>
      <c r="R2303">
        <v>8.41</v>
      </c>
      <c r="S2303">
        <v>25.23</v>
      </c>
      <c r="T2303">
        <v>19.14</v>
      </c>
      <c r="U2303">
        <v>24.14</v>
      </c>
      <c r="V2303" t="str">
        <f>VLOOKUP(L2303,'[2]tabela de preços'!$A:$D,4,0)</f>
        <v>ROBERLO</v>
      </c>
      <c r="W2303" t="str">
        <f>VLOOKUP(L2303,'[2]tabela de preços'!$A:$F,6,0)</f>
        <v>PRIMER AUTOMOTIVO</v>
      </c>
      <c r="X2303" t="str">
        <f>VLOOKUP(L2303,'[2]tabela de preços'!$A:$G,7,0)</f>
        <v>AUTOMOTIVO</v>
      </c>
    </row>
    <row r="2304" spans="1:24" x14ac:dyDescent="0.3">
      <c r="A2304" t="s">
        <v>2236</v>
      </c>
      <c r="B2304" t="s">
        <v>2237</v>
      </c>
      <c r="C2304" t="s">
        <v>2238</v>
      </c>
      <c r="D2304" s="1">
        <v>46038</v>
      </c>
      <c r="E2304" t="s">
        <v>2239</v>
      </c>
      <c r="F2304">
        <v>9</v>
      </c>
      <c r="G2304">
        <v>236</v>
      </c>
      <c r="H2304" t="str">
        <f>VLOOKUP(G2304,[1]OPERADORES!$A:$B,2,0)</f>
        <v>DANIEL</v>
      </c>
      <c r="I2304" t="s">
        <v>21</v>
      </c>
      <c r="J2304" t="s">
        <v>2240</v>
      </c>
      <c r="K2304" t="s">
        <v>2241</v>
      </c>
      <c r="L2304">
        <v>86995</v>
      </c>
      <c r="M2304" t="s">
        <v>37</v>
      </c>
      <c r="O2304" t="s">
        <v>11</v>
      </c>
      <c r="P2304">
        <v>5102</v>
      </c>
      <c r="Q2304">
        <v>5</v>
      </c>
      <c r="R2304">
        <v>7.29</v>
      </c>
      <c r="S2304">
        <v>36.450000000000003</v>
      </c>
      <c r="T2304">
        <v>29.15</v>
      </c>
      <c r="U2304">
        <v>20.03</v>
      </c>
      <c r="V2304" t="str">
        <f>VLOOKUP(L2304,'[2]tabela de preços'!$A:$D,4,0)</f>
        <v>AUTOAMERICA</v>
      </c>
      <c r="W2304" t="str">
        <f>VLOOKUP(L2304,'[2]tabela de preços'!$A:$F,6,0)</f>
        <v>FLANELAS / PANOS</v>
      </c>
      <c r="X2304" t="str">
        <f>VLOOKUP(L2304,'[2]tabela de preços'!$A:$G,7,0)</f>
        <v>AUTOMOTIVO</v>
      </c>
    </row>
    <row r="2305" spans="1:24" x14ac:dyDescent="0.3">
      <c r="A2305" t="s">
        <v>2236</v>
      </c>
      <c r="B2305" t="s">
        <v>2237</v>
      </c>
      <c r="C2305" t="s">
        <v>2238</v>
      </c>
      <c r="D2305" s="1">
        <v>46038</v>
      </c>
      <c r="E2305" t="s">
        <v>2239</v>
      </c>
      <c r="F2305">
        <v>9</v>
      </c>
      <c r="G2305">
        <v>236</v>
      </c>
      <c r="H2305" t="str">
        <f>VLOOKUP(G2305,[1]OPERADORES!$A:$B,2,0)</f>
        <v>DANIEL</v>
      </c>
      <c r="I2305" t="s">
        <v>21</v>
      </c>
      <c r="J2305" t="s">
        <v>2240</v>
      </c>
      <c r="K2305" t="s">
        <v>2241</v>
      </c>
      <c r="L2305">
        <v>21125</v>
      </c>
      <c r="M2305" t="s">
        <v>2242</v>
      </c>
      <c r="O2305" t="s">
        <v>11</v>
      </c>
      <c r="P2305">
        <v>5102</v>
      </c>
      <c r="Q2305">
        <v>1</v>
      </c>
      <c r="R2305">
        <v>47.86</v>
      </c>
      <c r="S2305">
        <v>47.86</v>
      </c>
      <c r="T2305">
        <v>36.32</v>
      </c>
      <c r="U2305">
        <v>24.11</v>
      </c>
      <c r="V2305" t="str">
        <f>VLOOKUP(L2305,'[2]tabela de preços'!$A:$D,4,0)</f>
        <v>PURPLEX</v>
      </c>
      <c r="W2305" t="str">
        <f>VLOOKUP(L2305,'[2]tabela de preços'!$A:$F,6,0)</f>
        <v>TACO LIXADOR</v>
      </c>
      <c r="X2305" t="str">
        <f>VLOOKUP(L2305,'[2]tabela de preços'!$A:$G,7,0)</f>
        <v>AUTOMOTIVO</v>
      </c>
    </row>
    <row r="2306" spans="1:24" x14ac:dyDescent="0.3">
      <c r="A2306" t="s">
        <v>2236</v>
      </c>
      <c r="B2306" t="s">
        <v>2237</v>
      </c>
      <c r="C2306" t="s">
        <v>2238</v>
      </c>
      <c r="D2306" s="1">
        <v>46038</v>
      </c>
      <c r="E2306" t="s">
        <v>2239</v>
      </c>
      <c r="F2306">
        <v>9</v>
      </c>
      <c r="G2306">
        <v>236</v>
      </c>
      <c r="H2306" t="str">
        <f>VLOOKUP(G2306,[1]OPERADORES!$A:$B,2,0)</f>
        <v>DANIEL</v>
      </c>
      <c r="I2306" t="s">
        <v>21</v>
      </c>
      <c r="J2306" t="s">
        <v>2240</v>
      </c>
      <c r="K2306" t="s">
        <v>2241</v>
      </c>
      <c r="L2306">
        <v>21436</v>
      </c>
      <c r="M2306" t="s">
        <v>1833</v>
      </c>
      <c r="O2306" t="s">
        <v>11</v>
      </c>
      <c r="P2306">
        <v>5102</v>
      </c>
      <c r="Q2306">
        <v>3</v>
      </c>
      <c r="R2306">
        <v>34.659999999999997</v>
      </c>
      <c r="S2306">
        <v>103.98</v>
      </c>
      <c r="T2306">
        <v>78.930000000000007</v>
      </c>
      <c r="U2306">
        <v>24.09</v>
      </c>
      <c r="V2306" t="str">
        <f>VLOOKUP(L2306,'[2]tabela de preços'!$A:$D,4,0)</f>
        <v>ROBERLO</v>
      </c>
      <c r="W2306" t="str">
        <f>VLOOKUP(L2306,'[2]tabela de preços'!$A:$F,6,0)</f>
        <v>PRIMER AUTOMOTIVO</v>
      </c>
      <c r="X2306" t="str">
        <f>VLOOKUP(L2306,'[2]tabela de preços'!$A:$G,7,0)</f>
        <v>AUTOMOTIVO</v>
      </c>
    </row>
    <row r="2307" spans="1:24" x14ac:dyDescent="0.3">
      <c r="A2307" t="s">
        <v>2236</v>
      </c>
      <c r="B2307" t="s">
        <v>2237</v>
      </c>
      <c r="C2307" t="s">
        <v>2238</v>
      </c>
      <c r="D2307" s="1">
        <v>46038</v>
      </c>
      <c r="E2307" t="s">
        <v>2239</v>
      </c>
      <c r="F2307">
        <v>9</v>
      </c>
      <c r="G2307">
        <v>236</v>
      </c>
      <c r="H2307" t="str">
        <f>VLOOKUP(G2307,[1]OPERADORES!$A:$B,2,0)</f>
        <v>DANIEL</v>
      </c>
      <c r="I2307" t="s">
        <v>21</v>
      </c>
      <c r="J2307" t="s">
        <v>2240</v>
      </c>
      <c r="K2307" t="s">
        <v>2241</v>
      </c>
      <c r="L2307">
        <v>10298</v>
      </c>
      <c r="M2307" t="s">
        <v>85</v>
      </c>
      <c r="O2307" t="s">
        <v>11</v>
      </c>
      <c r="P2307">
        <v>5102</v>
      </c>
      <c r="Q2307">
        <v>4</v>
      </c>
      <c r="R2307">
        <v>56.89</v>
      </c>
      <c r="S2307">
        <v>227.56</v>
      </c>
      <c r="T2307">
        <v>189.52</v>
      </c>
      <c r="U2307">
        <v>16.72</v>
      </c>
      <c r="V2307" t="str">
        <f>VLOOKUP(L2307,'[2]tabela de preços'!$A:$D,4,0)</f>
        <v>ANJO</v>
      </c>
      <c r="W2307" t="str">
        <f>VLOOKUP(L2307,'[2]tabela de preços'!$A:$F,6,0)</f>
        <v>THINNER DE LIMPEZA</v>
      </c>
      <c r="X2307" t="str">
        <f>VLOOKUP(L2307,'[2]tabela de preços'!$A:$G,7,0)</f>
        <v>THINNER</v>
      </c>
    </row>
    <row r="2308" spans="1:24" x14ac:dyDescent="0.3">
      <c r="A2308" t="s">
        <v>2236</v>
      </c>
      <c r="B2308" t="s">
        <v>2237</v>
      </c>
      <c r="C2308" t="s">
        <v>2238</v>
      </c>
      <c r="D2308" s="1">
        <v>46038</v>
      </c>
      <c r="E2308" t="s">
        <v>2239</v>
      </c>
      <c r="F2308">
        <v>9</v>
      </c>
      <c r="G2308">
        <v>236</v>
      </c>
      <c r="H2308" t="str">
        <f>VLOOKUP(G2308,[1]OPERADORES!$A:$B,2,0)</f>
        <v>DANIEL</v>
      </c>
      <c r="I2308" t="s">
        <v>21</v>
      </c>
      <c r="J2308" t="s">
        <v>2240</v>
      </c>
      <c r="K2308" t="s">
        <v>2241</v>
      </c>
      <c r="L2308">
        <v>20414</v>
      </c>
      <c r="M2308" t="s">
        <v>112</v>
      </c>
      <c r="O2308" t="s">
        <v>11</v>
      </c>
      <c r="P2308">
        <v>5102</v>
      </c>
      <c r="Q2308">
        <v>6</v>
      </c>
      <c r="R2308">
        <v>21.89</v>
      </c>
      <c r="S2308">
        <v>131.34</v>
      </c>
      <c r="T2308">
        <v>108</v>
      </c>
      <c r="U2308">
        <v>17.77</v>
      </c>
      <c r="V2308" t="str">
        <f>VLOOKUP(L2308,'[2]tabela de preços'!$A:$D,4,0)</f>
        <v>SHERWIN WILLIAMS</v>
      </c>
      <c r="W2308" t="str">
        <f>VLOOKUP(L2308,'[2]tabela de preços'!$A:$F,6,0)</f>
        <v>DILUENTE</v>
      </c>
      <c r="X2308" t="str">
        <f>VLOOKUP(L2308,'[2]tabela de preços'!$A:$G,7,0)</f>
        <v>AUTOMOTIVO</v>
      </c>
    </row>
    <row r="2309" spans="1:24" x14ac:dyDescent="0.3">
      <c r="A2309" t="s">
        <v>2236</v>
      </c>
      <c r="B2309" t="s">
        <v>2237</v>
      </c>
      <c r="C2309" t="s">
        <v>2243</v>
      </c>
      <c r="D2309" s="1">
        <v>46045</v>
      </c>
      <c r="E2309" t="s">
        <v>2244</v>
      </c>
      <c r="F2309">
        <v>9</v>
      </c>
      <c r="G2309">
        <v>236</v>
      </c>
      <c r="H2309" t="str">
        <f>VLOOKUP(G2309,[1]OPERADORES!$A:$B,2,0)</f>
        <v>DANIEL</v>
      </c>
      <c r="I2309" t="s">
        <v>21</v>
      </c>
      <c r="J2309" t="s">
        <v>2240</v>
      </c>
      <c r="K2309" t="s">
        <v>2241</v>
      </c>
      <c r="L2309">
        <v>21860</v>
      </c>
      <c r="M2309" t="s">
        <v>2038</v>
      </c>
      <c r="O2309" t="s">
        <v>11</v>
      </c>
      <c r="P2309">
        <v>5403</v>
      </c>
      <c r="Q2309">
        <v>3</v>
      </c>
      <c r="R2309">
        <v>63.48</v>
      </c>
      <c r="S2309">
        <v>190.44</v>
      </c>
      <c r="T2309">
        <v>139.62</v>
      </c>
      <c r="U2309">
        <v>26.69</v>
      </c>
      <c r="V2309" t="str">
        <f>VLOOKUP(L2309,'[2]tabela de preços'!$A:$D,4,0)</f>
        <v>SIKKENS</v>
      </c>
      <c r="W2309" t="str">
        <f>VLOOKUP(L2309,'[2]tabela de preços'!$A:$F,6,0)</f>
        <v>VERNIZ AUTOMOTIVO</v>
      </c>
      <c r="X2309" t="str">
        <f>VLOOKUP(L2309,'[2]tabela de preços'!$A:$G,7,0)</f>
        <v>AUTOMOTIVO</v>
      </c>
    </row>
    <row r="2310" spans="1:24" x14ac:dyDescent="0.3">
      <c r="A2310" t="s">
        <v>2236</v>
      </c>
      <c r="B2310" t="s">
        <v>2237</v>
      </c>
      <c r="C2310" t="s">
        <v>2243</v>
      </c>
      <c r="D2310" s="1">
        <v>46045</v>
      </c>
      <c r="E2310" t="s">
        <v>2244</v>
      </c>
      <c r="F2310">
        <v>9</v>
      </c>
      <c r="G2310">
        <v>236</v>
      </c>
      <c r="H2310" t="str">
        <f>VLOOKUP(G2310,[1]OPERADORES!$A:$B,2,0)</f>
        <v>DANIEL</v>
      </c>
      <c r="I2310" t="s">
        <v>21</v>
      </c>
      <c r="J2310" t="s">
        <v>2240</v>
      </c>
      <c r="K2310" t="s">
        <v>2241</v>
      </c>
      <c r="L2310">
        <v>21859</v>
      </c>
      <c r="M2310" t="s">
        <v>2245</v>
      </c>
      <c r="O2310" t="s">
        <v>11</v>
      </c>
      <c r="P2310">
        <v>5102</v>
      </c>
      <c r="Q2310">
        <v>1</v>
      </c>
      <c r="R2310">
        <v>26.23</v>
      </c>
      <c r="S2310">
        <v>26.23</v>
      </c>
      <c r="T2310">
        <v>19.23</v>
      </c>
      <c r="U2310">
        <v>26.69</v>
      </c>
      <c r="V2310" t="str">
        <f>VLOOKUP(L2310,'[2]tabela de preços'!$A:$D,4,0)</f>
        <v>SIKKENS</v>
      </c>
      <c r="W2310" t="str">
        <f>VLOOKUP(L2310,'[2]tabela de preços'!$A:$F,6,0)</f>
        <v>CATALISADORES INDIVIDUAS</v>
      </c>
      <c r="X2310" t="str">
        <f>VLOOKUP(L2310,'[2]tabela de preços'!$A:$G,7,0)</f>
        <v>AUTOMOTIVO</v>
      </c>
    </row>
    <row r="2311" spans="1:24" x14ac:dyDescent="0.3">
      <c r="A2311" t="s">
        <v>2236</v>
      </c>
      <c r="B2311" t="s">
        <v>2237</v>
      </c>
      <c r="C2311" t="s">
        <v>2243</v>
      </c>
      <c r="D2311" s="1">
        <v>46045</v>
      </c>
      <c r="E2311" t="s">
        <v>2244</v>
      </c>
      <c r="F2311">
        <v>9</v>
      </c>
      <c r="G2311">
        <v>236</v>
      </c>
      <c r="H2311" t="str">
        <f>VLOOKUP(G2311,[1]OPERADORES!$A:$B,2,0)</f>
        <v>DANIEL</v>
      </c>
      <c r="I2311" t="s">
        <v>21</v>
      </c>
      <c r="J2311" t="s">
        <v>2240</v>
      </c>
      <c r="K2311" t="s">
        <v>2241</v>
      </c>
      <c r="L2311">
        <v>21862</v>
      </c>
      <c r="M2311" t="s">
        <v>2040</v>
      </c>
      <c r="O2311" t="s">
        <v>11</v>
      </c>
      <c r="P2311">
        <v>5102</v>
      </c>
      <c r="Q2311">
        <v>3</v>
      </c>
      <c r="R2311">
        <v>29.63</v>
      </c>
      <c r="S2311">
        <v>88.89</v>
      </c>
      <c r="T2311">
        <v>65.16</v>
      </c>
      <c r="U2311">
        <v>26.7</v>
      </c>
      <c r="V2311" t="str">
        <f>VLOOKUP(L2311,'[2]tabela de preços'!$A:$D,4,0)</f>
        <v>SIKKENS</v>
      </c>
      <c r="W2311" t="str">
        <f>VLOOKUP(L2311,'[2]tabela de preços'!$A:$F,6,0)</f>
        <v>CATALISADORES INDIVIDUAS</v>
      </c>
      <c r="X2311" t="str">
        <f>VLOOKUP(L2311,'[2]tabela de preços'!$A:$G,7,0)</f>
        <v>AUTOMOTIVO</v>
      </c>
    </row>
    <row r="2312" spans="1:24" x14ac:dyDescent="0.3">
      <c r="A2312" t="s">
        <v>2236</v>
      </c>
      <c r="B2312" t="s">
        <v>2237</v>
      </c>
      <c r="C2312" t="s">
        <v>2243</v>
      </c>
      <c r="D2312" s="1">
        <v>46045</v>
      </c>
      <c r="E2312" t="s">
        <v>2244</v>
      </c>
      <c r="F2312">
        <v>9</v>
      </c>
      <c r="G2312">
        <v>236</v>
      </c>
      <c r="H2312" t="str">
        <f>VLOOKUP(G2312,[1]OPERADORES!$A:$B,2,0)</f>
        <v>DANIEL</v>
      </c>
      <c r="I2312" t="s">
        <v>21</v>
      </c>
      <c r="J2312" t="s">
        <v>2240</v>
      </c>
      <c r="K2312" t="s">
        <v>2241</v>
      </c>
      <c r="L2312">
        <v>10242</v>
      </c>
      <c r="M2312" t="s">
        <v>82</v>
      </c>
      <c r="O2312" t="s">
        <v>11</v>
      </c>
      <c r="P2312">
        <v>5102</v>
      </c>
      <c r="Q2312">
        <v>10</v>
      </c>
      <c r="R2312">
        <v>2.79</v>
      </c>
      <c r="S2312">
        <v>27.9</v>
      </c>
      <c r="T2312">
        <v>22.4</v>
      </c>
      <c r="U2312">
        <v>19.71</v>
      </c>
      <c r="V2312" t="str">
        <f>VLOOKUP(L2312,'[2]tabela de preços'!$A:$D,4,0)</f>
        <v>NORTON</v>
      </c>
      <c r="W2312" t="str">
        <f>VLOOKUP(L2312,'[2]tabela de preços'!$A:$F,6,0)</f>
        <v xml:space="preserve">DISCOS / LIXAS / ABRASIVOS </v>
      </c>
      <c r="X2312" t="str">
        <f>VLOOKUP(L2312,'[2]tabela de preços'!$A:$G,7,0)</f>
        <v>AUTOMOTIVO</v>
      </c>
    </row>
    <row r="2313" spans="1:24" x14ac:dyDescent="0.3">
      <c r="A2313" t="s">
        <v>2236</v>
      </c>
      <c r="B2313" t="s">
        <v>2237</v>
      </c>
      <c r="C2313" t="s">
        <v>2243</v>
      </c>
      <c r="D2313" s="1">
        <v>46045</v>
      </c>
      <c r="E2313" t="s">
        <v>2244</v>
      </c>
      <c r="F2313">
        <v>9</v>
      </c>
      <c r="G2313">
        <v>236</v>
      </c>
      <c r="H2313" t="str">
        <f>VLOOKUP(G2313,[1]OPERADORES!$A:$B,2,0)</f>
        <v>DANIEL</v>
      </c>
      <c r="I2313" t="s">
        <v>21</v>
      </c>
      <c r="J2313" t="s">
        <v>2240</v>
      </c>
      <c r="K2313" t="s">
        <v>2241</v>
      </c>
      <c r="L2313">
        <v>10243</v>
      </c>
      <c r="M2313" t="s">
        <v>83</v>
      </c>
      <c r="O2313" t="s">
        <v>11</v>
      </c>
      <c r="P2313">
        <v>5102</v>
      </c>
      <c r="Q2313">
        <v>30</v>
      </c>
      <c r="R2313">
        <v>2.79</v>
      </c>
      <c r="S2313">
        <v>83.7</v>
      </c>
      <c r="T2313">
        <v>57.9</v>
      </c>
      <c r="U2313">
        <v>30.82</v>
      </c>
      <c r="V2313" t="str">
        <f>VLOOKUP(L2313,'[2]tabela de preços'!$A:$D,4,0)</f>
        <v>NORTON</v>
      </c>
      <c r="W2313" t="str">
        <f>VLOOKUP(L2313,'[2]tabela de preços'!$A:$F,6,0)</f>
        <v xml:space="preserve">DISCOS / LIXAS / ABRASIVOS </v>
      </c>
      <c r="X2313" t="str">
        <f>VLOOKUP(L2313,'[2]tabela de preços'!$A:$G,7,0)</f>
        <v>AUTOMOTIVO</v>
      </c>
    </row>
    <row r="2314" spans="1:24" x14ac:dyDescent="0.3">
      <c r="A2314" t="s">
        <v>2236</v>
      </c>
      <c r="B2314" t="s">
        <v>2237</v>
      </c>
      <c r="C2314" t="s">
        <v>2243</v>
      </c>
      <c r="D2314" s="1">
        <v>46045</v>
      </c>
      <c r="E2314" t="s">
        <v>2244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2240</v>
      </c>
      <c r="K2314" t="s">
        <v>2241</v>
      </c>
      <c r="L2314">
        <v>21861</v>
      </c>
      <c r="M2314" t="s">
        <v>2246</v>
      </c>
      <c r="O2314" t="s">
        <v>11</v>
      </c>
      <c r="P2314">
        <v>5403</v>
      </c>
      <c r="Q2314">
        <v>1</v>
      </c>
      <c r="R2314">
        <v>59.22</v>
      </c>
      <c r="S2314">
        <v>59.22</v>
      </c>
      <c r="T2314">
        <v>43.41</v>
      </c>
      <c r="U2314">
        <v>26.7</v>
      </c>
      <c r="V2314" t="str">
        <f>VLOOKUP(L2314,'[2]tabela de preços'!$A:$D,4,0)</f>
        <v>SIKKENS</v>
      </c>
      <c r="W2314" t="str">
        <f>VLOOKUP(L2314,'[2]tabela de preços'!$A:$F,6,0)</f>
        <v>PRIMER AUTOMOTIVO</v>
      </c>
      <c r="X2314" t="str">
        <f>VLOOKUP(L2314,'[2]tabela de preços'!$A:$G,7,0)</f>
        <v>AUTOMOTIVO</v>
      </c>
    </row>
    <row r="2315" spans="1:24" x14ac:dyDescent="0.3">
      <c r="A2315" t="s">
        <v>2236</v>
      </c>
      <c r="B2315" t="s">
        <v>2237</v>
      </c>
      <c r="C2315" t="s">
        <v>2247</v>
      </c>
      <c r="D2315" s="1">
        <v>46048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2240</v>
      </c>
      <c r="K2315" t="s">
        <v>2241</v>
      </c>
      <c r="L2315">
        <v>10242</v>
      </c>
      <c r="M2315" t="s">
        <v>82</v>
      </c>
      <c r="N2315" t="s">
        <v>2248</v>
      </c>
      <c r="O2315" t="s">
        <v>11</v>
      </c>
      <c r="P2315">
        <v>1202</v>
      </c>
      <c r="Q2315">
        <v>-10</v>
      </c>
      <c r="R2315">
        <v>2.79</v>
      </c>
      <c r="S2315">
        <v>-27.9</v>
      </c>
      <c r="T2315">
        <v>-22.4</v>
      </c>
      <c r="U2315">
        <v>19.71</v>
      </c>
      <c r="V2315" t="str">
        <f>VLOOKUP(L2315,'[2]tabela de preços'!$A:$D,4,0)</f>
        <v>NORTON</v>
      </c>
      <c r="W2315" t="str">
        <f>VLOOKUP(L2315,'[2]tabela de preços'!$A:$F,6,0)</f>
        <v xml:space="preserve">DISCOS / LIXAS / ABRASIVOS </v>
      </c>
      <c r="X2315" t="str">
        <f>VLOOKUP(L2315,'[2]tabela de preços'!$A:$G,7,0)</f>
        <v>AUTOMOTIVO</v>
      </c>
    </row>
    <row r="2316" spans="1:24" x14ac:dyDescent="0.3">
      <c r="A2316" t="s">
        <v>2236</v>
      </c>
      <c r="B2316" t="s">
        <v>2237</v>
      </c>
      <c r="C2316" t="s">
        <v>2247</v>
      </c>
      <c r="D2316" s="1">
        <v>46048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2240</v>
      </c>
      <c r="K2316" t="s">
        <v>2241</v>
      </c>
      <c r="L2316">
        <v>10243</v>
      </c>
      <c r="M2316" t="s">
        <v>83</v>
      </c>
      <c r="N2316" t="s">
        <v>2248</v>
      </c>
      <c r="O2316" t="s">
        <v>11</v>
      </c>
      <c r="P2316">
        <v>1202</v>
      </c>
      <c r="Q2316">
        <v>-30</v>
      </c>
      <c r="R2316">
        <v>2.79</v>
      </c>
      <c r="S2316">
        <v>-83.7</v>
      </c>
      <c r="T2316">
        <v>-57.9</v>
      </c>
      <c r="U2316">
        <v>30.82</v>
      </c>
      <c r="V2316" t="str">
        <f>VLOOKUP(L2316,'[2]tabela de preços'!$A:$D,4,0)</f>
        <v>NORTON</v>
      </c>
      <c r="W2316" t="str">
        <f>VLOOKUP(L2316,'[2]tabela de preços'!$A:$F,6,0)</f>
        <v xml:space="preserve">DISCOS / LIXAS / ABRASIVOS </v>
      </c>
      <c r="X2316" t="str">
        <f>VLOOKUP(L2316,'[2]tabela de preços'!$A:$G,7,0)</f>
        <v>AUTOMOTIVO</v>
      </c>
    </row>
    <row r="2317" spans="1:24" x14ac:dyDescent="0.3">
      <c r="A2317" t="s">
        <v>2236</v>
      </c>
      <c r="B2317" t="s">
        <v>2237</v>
      </c>
      <c r="C2317" t="s">
        <v>2249</v>
      </c>
      <c r="D2317" s="1">
        <v>46048</v>
      </c>
      <c r="E2317" t="s">
        <v>2250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2240</v>
      </c>
      <c r="K2317" t="s">
        <v>2241</v>
      </c>
      <c r="L2317">
        <v>10230</v>
      </c>
      <c r="M2317" t="s">
        <v>193</v>
      </c>
      <c r="O2317" t="s">
        <v>11</v>
      </c>
      <c r="P2317">
        <v>5102</v>
      </c>
      <c r="Q2317">
        <v>10</v>
      </c>
      <c r="R2317">
        <v>2.79</v>
      </c>
      <c r="S2317">
        <v>27.9</v>
      </c>
      <c r="T2317">
        <v>23.2</v>
      </c>
      <c r="U2317">
        <v>16.850000000000001</v>
      </c>
      <c r="V2317" t="str">
        <f>VLOOKUP(L2317,'[2]tabela de preços'!$A:$D,4,0)</f>
        <v>NORTON</v>
      </c>
      <c r="W2317" t="str">
        <f>VLOOKUP(L2317,'[2]tabela de preços'!$A:$F,6,0)</f>
        <v xml:space="preserve">DISCOS / LIXAS / ABRASIVOS </v>
      </c>
      <c r="X2317" t="str">
        <f>VLOOKUP(L2317,'[2]tabela de preços'!$A:$G,7,0)</f>
        <v>AUTOMOTIVO</v>
      </c>
    </row>
    <row r="2318" spans="1:24" x14ac:dyDescent="0.3">
      <c r="A2318" t="s">
        <v>2236</v>
      </c>
      <c r="B2318" t="s">
        <v>2237</v>
      </c>
      <c r="C2318" t="s">
        <v>2249</v>
      </c>
      <c r="D2318" s="1">
        <v>46048</v>
      </c>
      <c r="E2318" t="s">
        <v>2250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2240</v>
      </c>
      <c r="K2318" t="s">
        <v>2241</v>
      </c>
      <c r="L2318">
        <v>10232</v>
      </c>
      <c r="M2318" t="s">
        <v>134</v>
      </c>
      <c r="O2318" t="s">
        <v>11</v>
      </c>
      <c r="P2318">
        <v>5102</v>
      </c>
      <c r="Q2318">
        <v>30</v>
      </c>
      <c r="R2318">
        <v>2.79</v>
      </c>
      <c r="S2318">
        <v>83.7</v>
      </c>
      <c r="T2318">
        <v>67.5</v>
      </c>
      <c r="U2318">
        <v>19.350000000000001</v>
      </c>
      <c r="V2318" t="str">
        <f>VLOOKUP(L2318,'[2]tabela de preços'!$A:$D,4,0)</f>
        <v>NORTON</v>
      </c>
      <c r="W2318" t="str">
        <f>VLOOKUP(L2318,'[2]tabela de preços'!$A:$F,6,0)</f>
        <v xml:space="preserve">DISCOS / LIXAS / ABRASIVOS </v>
      </c>
      <c r="X2318" t="str">
        <f>VLOOKUP(L2318,'[2]tabela de preços'!$A:$G,7,0)</f>
        <v>AUTOMOTIVO</v>
      </c>
    </row>
    <row r="2319" spans="1:24" x14ac:dyDescent="0.3">
      <c r="A2319" t="s">
        <v>2251</v>
      </c>
      <c r="C2319" t="s">
        <v>2252</v>
      </c>
      <c r="D2319" s="1">
        <v>46045</v>
      </c>
      <c r="E2319" t="s">
        <v>2253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282</v>
      </c>
      <c r="J2319" t="s">
        <v>1294</v>
      </c>
      <c r="K2319" t="s">
        <v>2254</v>
      </c>
      <c r="L2319">
        <v>84026</v>
      </c>
      <c r="M2319" t="s">
        <v>816</v>
      </c>
      <c r="O2319" t="s">
        <v>11</v>
      </c>
      <c r="P2319">
        <v>6102</v>
      </c>
      <c r="Q2319">
        <v>15</v>
      </c>
      <c r="R2319">
        <v>9.15</v>
      </c>
      <c r="S2319">
        <v>137.24</v>
      </c>
      <c r="T2319">
        <v>104.25</v>
      </c>
      <c r="U2319">
        <v>24.04</v>
      </c>
      <c r="V2319" t="str">
        <f>VLOOKUP(L2319,'[2]tabela de preços'!$A:$D,4,0)</f>
        <v>BRASILUX</v>
      </c>
      <c r="W2319" t="str">
        <f>VLOOKUP(L2319,'[2]tabela de preços'!$A:$F,6,0)</f>
        <v>CATALISADORES INDIVIDUAIS</v>
      </c>
      <c r="X2319" t="str">
        <f>VLOOKUP(L2319,'[2]tabela de preços'!$A:$G,7,0)</f>
        <v>IMOBILIÁRIO</v>
      </c>
    </row>
    <row r="2320" spans="1:24" x14ac:dyDescent="0.3">
      <c r="A2320" t="s">
        <v>2251</v>
      </c>
      <c r="C2320" t="s">
        <v>2252</v>
      </c>
      <c r="D2320" s="1">
        <v>46045</v>
      </c>
      <c r="E2320" t="s">
        <v>2253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282</v>
      </c>
      <c r="J2320" t="s">
        <v>1294</v>
      </c>
      <c r="K2320" t="s">
        <v>2254</v>
      </c>
      <c r="L2320">
        <v>84176</v>
      </c>
      <c r="M2320" t="s">
        <v>1550</v>
      </c>
      <c r="O2320" t="s">
        <v>11</v>
      </c>
      <c r="P2320">
        <v>6403</v>
      </c>
      <c r="Q2320">
        <v>2</v>
      </c>
      <c r="R2320">
        <v>97.75</v>
      </c>
      <c r="S2320">
        <v>195.51</v>
      </c>
      <c r="T2320">
        <v>140.16</v>
      </c>
      <c r="U2320">
        <v>28.31</v>
      </c>
      <c r="V2320" t="str">
        <f>VLOOKUP(L2320,'[2]tabela de preços'!$A:$D,4,0)</f>
        <v>BRASILUX</v>
      </c>
      <c r="W2320" t="str">
        <f>VLOOKUP(L2320,'[2]tabela de preços'!$A:$F,6,0)</f>
        <v>ESMALTES</v>
      </c>
      <c r="X2320" t="str">
        <f>VLOOKUP(L2320,'[2]tabela de preços'!$A:$G,7,0)</f>
        <v>INDUSTRIAL</v>
      </c>
    </row>
    <row r="2321" spans="1:24" x14ac:dyDescent="0.3">
      <c r="A2321" t="s">
        <v>2251</v>
      </c>
      <c r="C2321" t="s">
        <v>2252</v>
      </c>
      <c r="D2321" s="1">
        <v>46045</v>
      </c>
      <c r="E2321" t="s">
        <v>2253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282</v>
      </c>
      <c r="J2321" t="s">
        <v>1294</v>
      </c>
      <c r="K2321" t="s">
        <v>2254</v>
      </c>
      <c r="L2321">
        <v>84178</v>
      </c>
      <c r="M2321" t="s">
        <v>2255</v>
      </c>
      <c r="O2321" t="s">
        <v>11</v>
      </c>
      <c r="P2321">
        <v>6403</v>
      </c>
      <c r="Q2321">
        <v>8</v>
      </c>
      <c r="R2321">
        <v>25.63</v>
      </c>
      <c r="S2321">
        <v>205.03</v>
      </c>
      <c r="T2321">
        <v>150.32</v>
      </c>
      <c r="U2321">
        <v>26.68</v>
      </c>
      <c r="V2321" t="str">
        <f>VLOOKUP(L2321,'[2]tabela de preços'!$A:$D,4,0)</f>
        <v>BRASILUX</v>
      </c>
      <c r="W2321" t="str">
        <f>VLOOKUP(L2321,'[2]tabela de preços'!$A:$F,6,0)</f>
        <v>ESMALTES</v>
      </c>
      <c r="X2321" t="str">
        <f>VLOOKUP(L2321,'[2]tabela de preços'!$A:$G,7,0)</f>
        <v>INDUSTRIAL</v>
      </c>
    </row>
    <row r="2322" spans="1:24" x14ac:dyDescent="0.3">
      <c r="A2322" t="s">
        <v>2251</v>
      </c>
      <c r="C2322" t="s">
        <v>2252</v>
      </c>
      <c r="D2322" s="1">
        <v>46045</v>
      </c>
      <c r="E2322" t="s">
        <v>2253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282</v>
      </c>
      <c r="J2322" t="s">
        <v>1294</v>
      </c>
      <c r="K2322" t="s">
        <v>2254</v>
      </c>
      <c r="L2322">
        <v>85164</v>
      </c>
      <c r="M2322" t="s">
        <v>278</v>
      </c>
      <c r="O2322" t="s">
        <v>11</v>
      </c>
      <c r="P2322">
        <v>6102</v>
      </c>
      <c r="Q2322">
        <v>12</v>
      </c>
      <c r="R2322">
        <v>13.29</v>
      </c>
      <c r="S2322">
        <v>159.47</v>
      </c>
      <c r="T2322">
        <v>121.08</v>
      </c>
      <c r="U2322">
        <v>24.07</v>
      </c>
      <c r="V2322" t="str">
        <f>VLOOKUP(L2322,'[2]tabela de preços'!$A:$D,4,0)</f>
        <v>BRASILUX</v>
      </c>
      <c r="W2322" t="str">
        <f>VLOOKUP(L2322,'[2]tabela de preços'!$A:$F,6,0)</f>
        <v>QUEROSENE</v>
      </c>
      <c r="X2322" t="str">
        <f>VLOOKUP(L2322,'[2]tabela de preços'!$A:$G,7,0)</f>
        <v>AUTOMOTIVO</v>
      </c>
    </row>
    <row r="2323" spans="1:24" x14ac:dyDescent="0.3">
      <c r="A2323" t="s">
        <v>2251</v>
      </c>
      <c r="C2323" t="s">
        <v>2252</v>
      </c>
      <c r="D2323" s="1">
        <v>46045</v>
      </c>
      <c r="E2323" t="s">
        <v>2253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282</v>
      </c>
      <c r="J2323" t="s">
        <v>1294</v>
      </c>
      <c r="K2323" t="s">
        <v>2254</v>
      </c>
      <c r="L2323">
        <v>21968</v>
      </c>
      <c r="M2323" t="s">
        <v>2256</v>
      </c>
      <c r="O2323" t="s">
        <v>11</v>
      </c>
      <c r="P2323">
        <v>6403</v>
      </c>
      <c r="Q2323">
        <v>6</v>
      </c>
      <c r="R2323">
        <v>16.29</v>
      </c>
      <c r="S2323">
        <v>97.73</v>
      </c>
      <c r="T2323">
        <v>74.16</v>
      </c>
      <c r="U2323">
        <v>24.12</v>
      </c>
      <c r="V2323" t="str">
        <f>VLOOKUP(L2323,'[2]tabela de preços'!$A:$D,4,0)</f>
        <v>SHERWIN WILLIAMS</v>
      </c>
      <c r="W2323" t="str">
        <f>VLOOKUP(L2323,'[2]tabela de preços'!$A:$F,6,0)</f>
        <v xml:space="preserve">SPRAYS </v>
      </c>
      <c r="X2323" t="str">
        <f>VLOOKUP(L2323,'[2]tabela de preços'!$A:$G,7,0)</f>
        <v>AUTOMOTIVO</v>
      </c>
    </row>
    <row r="2324" spans="1:24" x14ac:dyDescent="0.3">
      <c r="A2324" t="s">
        <v>2251</v>
      </c>
      <c r="C2324" t="s">
        <v>2252</v>
      </c>
      <c r="D2324" s="1">
        <v>46045</v>
      </c>
      <c r="E2324" t="s">
        <v>2253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282</v>
      </c>
      <c r="J2324" t="s">
        <v>1294</v>
      </c>
      <c r="K2324" t="s">
        <v>2254</v>
      </c>
      <c r="L2324">
        <v>21755</v>
      </c>
      <c r="M2324" t="s">
        <v>2257</v>
      </c>
      <c r="O2324" t="s">
        <v>11</v>
      </c>
      <c r="P2324">
        <v>6403</v>
      </c>
      <c r="Q2324">
        <v>6</v>
      </c>
      <c r="R2324">
        <v>16.07</v>
      </c>
      <c r="S2324">
        <v>96.41</v>
      </c>
      <c r="T2324">
        <v>73.14</v>
      </c>
      <c r="U2324">
        <v>24.14</v>
      </c>
      <c r="V2324" t="str">
        <f>VLOOKUP(L2324,'[2]tabela de preços'!$A:$D,4,0)</f>
        <v>SHERWIN WILLIAMS</v>
      </c>
      <c r="W2324" t="str">
        <f>VLOOKUP(L2324,'[2]tabela de preços'!$A:$F,6,0)</f>
        <v xml:space="preserve">SPRAYS </v>
      </c>
      <c r="X2324" t="str">
        <f>VLOOKUP(L2324,'[2]tabela de preços'!$A:$G,7,0)</f>
        <v>AUTOMOTIVO</v>
      </c>
    </row>
    <row r="2325" spans="1:24" x14ac:dyDescent="0.3">
      <c r="A2325" t="s">
        <v>2251</v>
      </c>
      <c r="C2325" t="s">
        <v>2252</v>
      </c>
      <c r="D2325" s="1">
        <v>46045</v>
      </c>
      <c r="E2325" t="s">
        <v>2253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282</v>
      </c>
      <c r="J2325" t="s">
        <v>1294</v>
      </c>
      <c r="K2325" t="s">
        <v>2254</v>
      </c>
      <c r="L2325">
        <v>21758</v>
      </c>
      <c r="M2325" t="s">
        <v>2258</v>
      </c>
      <c r="O2325" t="s">
        <v>11</v>
      </c>
      <c r="P2325">
        <v>6403</v>
      </c>
      <c r="Q2325">
        <v>3</v>
      </c>
      <c r="R2325">
        <v>16.64</v>
      </c>
      <c r="S2325">
        <v>49.92</v>
      </c>
      <c r="T2325">
        <v>37.89</v>
      </c>
      <c r="U2325">
        <v>24.1</v>
      </c>
      <c r="V2325" t="str">
        <f>VLOOKUP(L2325,'[2]tabela de preços'!$A:$D,4,0)</f>
        <v>SHERWIN WILLIAMS</v>
      </c>
      <c r="W2325" t="str">
        <f>VLOOKUP(L2325,'[2]tabela de preços'!$A:$F,6,0)</f>
        <v xml:space="preserve">SPRAYS </v>
      </c>
      <c r="X2325" t="str">
        <f>VLOOKUP(L2325,'[2]tabela de preços'!$A:$G,7,0)</f>
        <v>AUTOMOTIVO</v>
      </c>
    </row>
    <row r="2326" spans="1:24" x14ac:dyDescent="0.3">
      <c r="A2326" t="s">
        <v>2251</v>
      </c>
      <c r="C2326" t="s">
        <v>2252</v>
      </c>
      <c r="D2326" s="1">
        <v>46045</v>
      </c>
      <c r="E2326" t="s">
        <v>2253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282</v>
      </c>
      <c r="J2326" t="s">
        <v>1294</v>
      </c>
      <c r="K2326" t="s">
        <v>2254</v>
      </c>
      <c r="L2326">
        <v>10297</v>
      </c>
      <c r="M2326" t="s">
        <v>41</v>
      </c>
      <c r="O2326" t="s">
        <v>11</v>
      </c>
      <c r="P2326">
        <v>6102</v>
      </c>
      <c r="Q2326">
        <v>12</v>
      </c>
      <c r="R2326">
        <v>10.89</v>
      </c>
      <c r="S2326">
        <v>130.68</v>
      </c>
      <c r="T2326">
        <v>110.04</v>
      </c>
      <c r="U2326">
        <v>15.79</v>
      </c>
      <c r="V2326" t="str">
        <f>VLOOKUP(L2326,'[2]tabela de preços'!$A:$D,4,0)</f>
        <v>ANJO</v>
      </c>
      <c r="W2326" t="str">
        <f>VLOOKUP(L2326,'[2]tabela de preços'!$A:$F,6,0)</f>
        <v>THINNER DE LIMPEZA</v>
      </c>
      <c r="X2326" t="str">
        <f>VLOOKUP(L2326,'[2]tabela de preços'!$A:$G,7,0)</f>
        <v>THINNER</v>
      </c>
    </row>
    <row r="2327" spans="1:24" x14ac:dyDescent="0.3">
      <c r="A2327" t="s">
        <v>2259</v>
      </c>
      <c r="B2327" t="s">
        <v>2260</v>
      </c>
      <c r="C2327" t="s">
        <v>2261</v>
      </c>
      <c r="D2327" s="1">
        <v>46030</v>
      </c>
      <c r="E2327" t="s">
        <v>2262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762</v>
      </c>
      <c r="K2327" t="s">
        <v>2263</v>
      </c>
      <c r="L2327">
        <v>22233</v>
      </c>
      <c r="M2327" t="s">
        <v>184</v>
      </c>
      <c r="O2327" t="s">
        <v>11</v>
      </c>
      <c r="P2327">
        <v>5102</v>
      </c>
      <c r="Q2327">
        <v>3</v>
      </c>
      <c r="R2327">
        <v>31.94</v>
      </c>
      <c r="S2327">
        <v>95.82</v>
      </c>
      <c r="T2327">
        <v>68.7</v>
      </c>
      <c r="U2327">
        <v>28.3</v>
      </c>
      <c r="V2327" t="str">
        <f>VLOOKUP(L2327,'[2]tabela de preços'!$A:$D,4,0)</f>
        <v>3M</v>
      </c>
      <c r="W2327" t="str">
        <f>VLOOKUP(L2327,'[2]tabela de preços'!$A:$F,6,0)</f>
        <v>FITA DUPLA FACE</v>
      </c>
      <c r="X2327" t="str">
        <f>VLOOKUP(L2327,'[2]tabela de preços'!$A:$G,7,0)</f>
        <v>AUTOMOTIVO</v>
      </c>
    </row>
    <row r="2328" spans="1:24" x14ac:dyDescent="0.3">
      <c r="A2328" t="s">
        <v>2259</v>
      </c>
      <c r="B2328" t="s">
        <v>2260</v>
      </c>
      <c r="C2328" t="s">
        <v>2261</v>
      </c>
      <c r="D2328" s="1">
        <v>46030</v>
      </c>
      <c r="E2328" t="s">
        <v>2262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762</v>
      </c>
      <c r="K2328" t="s">
        <v>2263</v>
      </c>
      <c r="L2328">
        <v>85616</v>
      </c>
      <c r="M2328" t="s">
        <v>471</v>
      </c>
      <c r="O2328" t="s">
        <v>11</v>
      </c>
      <c r="P2328">
        <v>5102</v>
      </c>
      <c r="Q2328">
        <v>12</v>
      </c>
      <c r="R2328">
        <v>2.64</v>
      </c>
      <c r="S2328">
        <v>31.68</v>
      </c>
      <c r="T2328">
        <v>27.36</v>
      </c>
      <c r="U2328">
        <v>13.64</v>
      </c>
      <c r="V2328" t="str">
        <f>VLOOKUP(L2328,'[2]tabela de preços'!$A:$D,4,0)</f>
        <v>ADERE</v>
      </c>
      <c r="W2328" t="str">
        <f>VLOOKUP(L2328,'[2]tabela de preços'!$A:$F,6,0)</f>
        <v xml:space="preserve">FITA DE USO GERAL </v>
      </c>
      <c r="X2328" t="str">
        <f>VLOOKUP(L2328,'[2]tabela de preços'!$A:$G,7,0)</f>
        <v>IMOBILIÁRIO</v>
      </c>
    </row>
    <row r="2329" spans="1:24" x14ac:dyDescent="0.3">
      <c r="A2329" t="s">
        <v>2259</v>
      </c>
      <c r="B2329" t="s">
        <v>2260</v>
      </c>
      <c r="C2329" t="s">
        <v>2264</v>
      </c>
      <c r="D2329" s="1">
        <v>46034</v>
      </c>
      <c r="E2329" t="s">
        <v>2265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762</v>
      </c>
      <c r="K2329" t="s">
        <v>2263</v>
      </c>
      <c r="L2329">
        <v>85679</v>
      </c>
      <c r="M2329" t="s">
        <v>2266</v>
      </c>
      <c r="O2329" t="s">
        <v>11</v>
      </c>
      <c r="P2329">
        <v>5102</v>
      </c>
      <c r="Q2329">
        <v>20</v>
      </c>
      <c r="R2329">
        <v>2.27</v>
      </c>
      <c r="S2329">
        <v>45.4</v>
      </c>
      <c r="T2329">
        <v>35.200000000000003</v>
      </c>
      <c r="U2329">
        <v>22.47</v>
      </c>
      <c r="V2329" t="str">
        <f>VLOOKUP(L2329,'[2]tabela de preços'!$A:$D,4,0)</f>
        <v>UNIPEGA</v>
      </c>
      <c r="W2329" t="str">
        <f>VLOOKUP(L2329,'[2]tabela de preços'!$A:$F,6,0)</f>
        <v>FITA ISOLANTE</v>
      </c>
      <c r="X2329" t="str">
        <f>VLOOKUP(L2329,'[2]tabela de preços'!$A:$G,7,0)</f>
        <v>IMOBILIÁRIO</v>
      </c>
    </row>
    <row r="2330" spans="1:24" x14ac:dyDescent="0.3">
      <c r="A2330" t="s">
        <v>2259</v>
      </c>
      <c r="B2330" t="s">
        <v>2260</v>
      </c>
      <c r="C2330" t="s">
        <v>2267</v>
      </c>
      <c r="D2330" s="1">
        <v>46036</v>
      </c>
      <c r="E2330" t="s">
        <v>2268</v>
      </c>
      <c r="F2330">
        <v>9</v>
      </c>
      <c r="G2330">
        <v>174</v>
      </c>
      <c r="H2330" t="str">
        <f>VLOOKUP(G2330,[1]OPERADORES!$A:$B,2,0)</f>
        <v>MIRIÃ LOBATO RODRIGUES</v>
      </c>
      <c r="I2330" t="s">
        <v>21</v>
      </c>
      <c r="J2330" t="s">
        <v>762</v>
      </c>
      <c r="K2330" t="s">
        <v>2263</v>
      </c>
      <c r="L2330">
        <v>84399</v>
      </c>
      <c r="M2330" t="s">
        <v>2269</v>
      </c>
      <c r="O2330" t="s">
        <v>11</v>
      </c>
      <c r="P2330">
        <v>5102</v>
      </c>
      <c r="Q2330">
        <v>2</v>
      </c>
      <c r="R2330">
        <v>59.91</v>
      </c>
      <c r="S2330">
        <v>119.82</v>
      </c>
      <c r="T2330">
        <v>87.84</v>
      </c>
      <c r="U2330">
        <v>26.69</v>
      </c>
      <c r="V2330" t="str">
        <f>VLOOKUP(L2330,'[2]tabela de preços'!$A:$D,4,0)</f>
        <v>VONIXX</v>
      </c>
      <c r="W2330" t="str">
        <f>VLOOKUP(L2330,'[2]tabela de preços'!$A:$F,6,0)</f>
        <v>LINHA DE HIGENIZAÇÃO E ESTÉTICA  AUTOMOTIVA</v>
      </c>
      <c r="X2330" t="str">
        <f>VLOOKUP(L2330,'[2]tabela de preços'!$A:$G,7,0)</f>
        <v>AUTOMOTIVO</v>
      </c>
    </row>
    <row r="2331" spans="1:24" x14ac:dyDescent="0.3">
      <c r="A2331" t="s">
        <v>2259</v>
      </c>
      <c r="B2331" t="s">
        <v>2260</v>
      </c>
      <c r="C2331" t="s">
        <v>2270</v>
      </c>
      <c r="D2331" s="1">
        <v>46041</v>
      </c>
      <c r="E2331" t="s">
        <v>2271</v>
      </c>
      <c r="F2331">
        <v>9</v>
      </c>
      <c r="G2331">
        <v>174</v>
      </c>
      <c r="H2331" t="str">
        <f>VLOOKUP(G2331,[1]OPERADORES!$A:$B,2,0)</f>
        <v>MIRIÃ LOBATO RODRIGUES</v>
      </c>
      <c r="I2331" t="s">
        <v>21</v>
      </c>
      <c r="J2331" t="s">
        <v>762</v>
      </c>
      <c r="K2331" t="s">
        <v>2263</v>
      </c>
      <c r="L2331">
        <v>20135</v>
      </c>
      <c r="M2331" t="s">
        <v>459</v>
      </c>
      <c r="O2331" t="s">
        <v>11</v>
      </c>
      <c r="P2331">
        <v>5102</v>
      </c>
      <c r="Q2331">
        <v>2</v>
      </c>
      <c r="R2331">
        <v>26.87</v>
      </c>
      <c r="S2331">
        <v>53.74</v>
      </c>
      <c r="T2331">
        <v>38.520000000000003</v>
      </c>
      <c r="U2331">
        <v>28.32</v>
      </c>
      <c r="V2331" t="str">
        <f>VLOOKUP(L2331,'[2]tabela de preços'!$A:$D,4,0)</f>
        <v>3M</v>
      </c>
      <c r="W2331" t="str">
        <f>VLOOKUP(L2331,'[2]tabela de preços'!$A:$F,6,0)</f>
        <v>DISCO TRIZACT</v>
      </c>
      <c r="X2331" t="str">
        <f>VLOOKUP(L2331,'[2]tabela de preços'!$A:$G,7,0)</f>
        <v>AUTOMOTIVO</v>
      </c>
    </row>
    <row r="2332" spans="1:24" x14ac:dyDescent="0.3">
      <c r="A2332" t="s">
        <v>2259</v>
      </c>
      <c r="B2332" t="s">
        <v>2260</v>
      </c>
      <c r="C2332" t="s">
        <v>2272</v>
      </c>
      <c r="D2332" s="1">
        <v>46051</v>
      </c>
      <c r="E2332" t="s">
        <v>2273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762</v>
      </c>
      <c r="K2332" t="s">
        <v>2263</v>
      </c>
      <c r="L2332">
        <v>85679</v>
      </c>
      <c r="M2332" t="s">
        <v>2266</v>
      </c>
      <c r="O2332" t="s">
        <v>11</v>
      </c>
      <c r="P2332">
        <v>5102</v>
      </c>
      <c r="Q2332">
        <v>20</v>
      </c>
      <c r="R2332">
        <v>2.27</v>
      </c>
      <c r="S2332">
        <v>45.4</v>
      </c>
      <c r="T2332">
        <v>35.200000000000003</v>
      </c>
      <c r="U2332">
        <v>22.47</v>
      </c>
      <c r="V2332" t="str">
        <f>VLOOKUP(L2332,'[2]tabela de preços'!$A:$D,4,0)</f>
        <v>UNIPEGA</v>
      </c>
      <c r="W2332" t="str">
        <f>VLOOKUP(L2332,'[2]tabela de preços'!$A:$F,6,0)</f>
        <v>FITA ISOLANTE</v>
      </c>
      <c r="X2332" t="str">
        <f>VLOOKUP(L2332,'[2]tabela de preços'!$A:$G,7,0)</f>
        <v>IMOBILIÁRIO</v>
      </c>
    </row>
    <row r="2333" spans="1:24" x14ac:dyDescent="0.3">
      <c r="A2333" t="s">
        <v>2274</v>
      </c>
      <c r="C2333" t="s">
        <v>2275</v>
      </c>
      <c r="D2333" s="1">
        <v>46028</v>
      </c>
      <c r="E2333" t="s">
        <v>2276</v>
      </c>
      <c r="F2333">
        <v>9</v>
      </c>
      <c r="G2333">
        <v>236</v>
      </c>
      <c r="H2333" t="str">
        <f>VLOOKUP(G2333,[1]OPERADORES!$A:$B,2,0)</f>
        <v>DANIEL</v>
      </c>
      <c r="I2333" t="s">
        <v>21</v>
      </c>
      <c r="J2333" t="s">
        <v>750</v>
      </c>
      <c r="K2333" t="s">
        <v>2277</v>
      </c>
      <c r="L2333">
        <v>23076</v>
      </c>
      <c r="M2333" t="s">
        <v>97</v>
      </c>
      <c r="O2333" t="s">
        <v>11</v>
      </c>
      <c r="P2333">
        <v>6403</v>
      </c>
      <c r="Q2333">
        <v>60</v>
      </c>
      <c r="R2333">
        <v>36.26</v>
      </c>
      <c r="S2333" s="2">
        <v>2175.6</v>
      </c>
      <c r="T2333" s="2">
        <v>1591.8</v>
      </c>
      <c r="U2333">
        <v>26.83</v>
      </c>
      <c r="V2333" t="str">
        <f>VLOOKUP(L2333,'[2]tabela de preços'!$A:$D,4,0)</f>
        <v>WANDA</v>
      </c>
      <c r="W2333" t="str">
        <f>VLOOKUP(L2333,'[2]tabela de preços'!$A:$F,6,0)</f>
        <v>PRIMER AUTOMOTIVO</v>
      </c>
      <c r="X2333" t="str">
        <f>VLOOKUP(L2333,'[2]tabela de preços'!$A:$G,7,0)</f>
        <v>AUTOMOTIVO</v>
      </c>
    </row>
    <row r="2334" spans="1:24" x14ac:dyDescent="0.3">
      <c r="A2334" t="s">
        <v>2274</v>
      </c>
      <c r="C2334" t="s">
        <v>2275</v>
      </c>
      <c r="D2334" s="1">
        <v>46028</v>
      </c>
      <c r="E2334" t="s">
        <v>2276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750</v>
      </c>
      <c r="K2334" t="s">
        <v>2277</v>
      </c>
      <c r="L2334">
        <v>13</v>
      </c>
      <c r="M2334" t="s">
        <v>152</v>
      </c>
      <c r="O2334" t="s">
        <v>11</v>
      </c>
      <c r="P2334">
        <v>6102</v>
      </c>
      <c r="Q2334">
        <v>50</v>
      </c>
      <c r="R2334">
        <v>5.65</v>
      </c>
      <c r="S2334">
        <v>282.5</v>
      </c>
      <c r="T2334">
        <v>208</v>
      </c>
      <c r="U2334">
        <v>26.37</v>
      </c>
      <c r="V2334" t="str">
        <f>VLOOKUP(L2334,'[2]tabela de preços'!$A:$D,4,0)</f>
        <v>3M</v>
      </c>
      <c r="W2334" t="str">
        <f>VLOOKUP(L2334,'[2]tabela de preços'!$A:$F,6,0)</f>
        <v>LIXA DÁGUA</v>
      </c>
      <c r="X2334" t="str">
        <f>VLOOKUP(L2334,'[2]tabela de preços'!$A:$G,7,0)</f>
        <v>AUTOMOTIVO</v>
      </c>
    </row>
    <row r="2335" spans="1:24" x14ac:dyDescent="0.3">
      <c r="A2335" t="s">
        <v>2274</v>
      </c>
      <c r="C2335" t="s">
        <v>2275</v>
      </c>
      <c r="D2335" s="1">
        <v>46028</v>
      </c>
      <c r="E2335" t="s">
        <v>2276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750</v>
      </c>
      <c r="K2335" t="s">
        <v>2277</v>
      </c>
      <c r="L2335">
        <v>16</v>
      </c>
      <c r="M2335" t="s">
        <v>122</v>
      </c>
      <c r="O2335" t="s">
        <v>11</v>
      </c>
      <c r="P2335">
        <v>6102</v>
      </c>
      <c r="Q2335">
        <v>50</v>
      </c>
      <c r="R2335">
        <v>2.9</v>
      </c>
      <c r="S2335">
        <v>145</v>
      </c>
      <c r="T2335">
        <v>110</v>
      </c>
      <c r="U2335">
        <v>24.14</v>
      </c>
      <c r="V2335" t="str">
        <f>VLOOKUP(L2335,'[2]tabela de preços'!$A:$D,4,0)</f>
        <v>3M</v>
      </c>
      <c r="W2335" t="str">
        <f>VLOOKUP(L2335,'[2]tabela de preços'!$A:$F,6,0)</f>
        <v>LIXA DÁGUA</v>
      </c>
      <c r="X2335" t="str">
        <f>VLOOKUP(L2335,'[2]tabela de preços'!$A:$G,7,0)</f>
        <v>AUTOMOTIVO</v>
      </c>
    </row>
    <row r="2336" spans="1:24" x14ac:dyDescent="0.3">
      <c r="A2336" t="s">
        <v>2274</v>
      </c>
      <c r="C2336" t="s">
        <v>2275</v>
      </c>
      <c r="D2336" s="1">
        <v>46028</v>
      </c>
      <c r="E2336" t="s">
        <v>2276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750</v>
      </c>
      <c r="K2336" t="s">
        <v>2277</v>
      </c>
      <c r="L2336">
        <v>10123</v>
      </c>
      <c r="M2336" t="s">
        <v>2278</v>
      </c>
      <c r="O2336" t="s">
        <v>11</v>
      </c>
      <c r="P2336">
        <v>6403</v>
      </c>
      <c r="Q2336">
        <v>4</v>
      </c>
      <c r="R2336">
        <v>44.66</v>
      </c>
      <c r="S2336">
        <v>178.64</v>
      </c>
      <c r="T2336">
        <v>135.6</v>
      </c>
      <c r="U2336">
        <v>24.09</v>
      </c>
      <c r="V2336" t="str">
        <f>VLOOKUP(L2336,'[2]tabela de preços'!$A:$D,4,0)</f>
        <v>AUTOCOLOR</v>
      </c>
      <c r="W2336" t="str">
        <f>VLOOKUP(L2336,'[2]tabela de preços'!$A:$F,6,0)</f>
        <v>PRIMER AUTOMOTIVO</v>
      </c>
      <c r="X2336" t="str">
        <f>VLOOKUP(L2336,'[2]tabela de preços'!$A:$G,7,0)</f>
        <v>AUTOMOTIVO</v>
      </c>
    </row>
    <row r="2337" spans="1:24" x14ac:dyDescent="0.3">
      <c r="A2337" t="s">
        <v>2274</v>
      </c>
      <c r="C2337" t="s">
        <v>2275</v>
      </c>
      <c r="D2337" s="1">
        <v>46028</v>
      </c>
      <c r="E2337" t="s">
        <v>2276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750</v>
      </c>
      <c r="K2337" t="s">
        <v>2277</v>
      </c>
      <c r="L2337">
        <v>21321</v>
      </c>
      <c r="M2337" t="s">
        <v>272</v>
      </c>
      <c r="O2337" t="s">
        <v>11</v>
      </c>
      <c r="P2337">
        <v>6102</v>
      </c>
      <c r="Q2337">
        <v>5</v>
      </c>
      <c r="R2337">
        <v>18.899999999999999</v>
      </c>
      <c r="S2337">
        <v>94.5</v>
      </c>
      <c r="T2337">
        <v>76.8</v>
      </c>
      <c r="U2337">
        <v>18.73</v>
      </c>
      <c r="V2337" t="str">
        <f>VLOOKUP(L2337,'[2]tabela de preços'!$A:$D,4,0)</f>
        <v>AUTO AMERICA</v>
      </c>
      <c r="W2337" t="str">
        <f>VLOOKUP(L2337,'[2]tabela de preços'!$A:$F,6,0)</f>
        <v>CERA  / LIMPEZA /  POLIMENTO VEICULAR</v>
      </c>
      <c r="X2337" t="str">
        <f>VLOOKUP(L2337,'[2]tabela de preços'!$A:$G,7,0)</f>
        <v>AUTOMOTIVO</v>
      </c>
    </row>
    <row r="2338" spans="1:24" x14ac:dyDescent="0.3">
      <c r="A2338" t="s">
        <v>2274</v>
      </c>
      <c r="C2338" t="s">
        <v>2275</v>
      </c>
      <c r="D2338" s="1">
        <v>46028</v>
      </c>
      <c r="E2338" t="s">
        <v>2276</v>
      </c>
      <c r="F2338">
        <v>9</v>
      </c>
      <c r="G2338">
        <v>236</v>
      </c>
      <c r="H2338" t="str">
        <f>VLOOKUP(G2338,[1]OPERADORES!$A:$B,2,0)</f>
        <v>DANIEL</v>
      </c>
      <c r="I2338" t="s">
        <v>21</v>
      </c>
      <c r="J2338" t="s">
        <v>750</v>
      </c>
      <c r="K2338" t="s">
        <v>2277</v>
      </c>
      <c r="L2338">
        <v>23287</v>
      </c>
      <c r="M2338" t="s">
        <v>273</v>
      </c>
      <c r="O2338" t="s">
        <v>11</v>
      </c>
      <c r="P2338">
        <v>6102</v>
      </c>
      <c r="Q2338">
        <v>3</v>
      </c>
      <c r="R2338">
        <v>37.9</v>
      </c>
      <c r="S2338">
        <v>113.7</v>
      </c>
      <c r="T2338">
        <v>91.05</v>
      </c>
      <c r="U2338">
        <v>19.920000000000002</v>
      </c>
      <c r="V2338" t="str">
        <f>VLOOKUP(L2338,'[2]tabela de preços'!$A:$D,4,0)</f>
        <v>AUTO AMERICA</v>
      </c>
      <c r="W2338" t="str">
        <f>VLOOKUP(L2338,'[2]tabela de preços'!$A:$F,6,0)</f>
        <v>CERA  / LIMPEZA /  POLIMENTO VEICULAR</v>
      </c>
      <c r="X2338" t="str">
        <f>VLOOKUP(L2338,'[2]tabela de preços'!$A:$G,7,0)</f>
        <v>AUTOMOTIVO</v>
      </c>
    </row>
    <row r="2339" spans="1:24" x14ac:dyDescent="0.3">
      <c r="A2339" t="s">
        <v>2274</v>
      </c>
      <c r="C2339" t="s">
        <v>2279</v>
      </c>
      <c r="D2339" s="1">
        <v>46028</v>
      </c>
      <c r="E2339" t="s">
        <v>2280</v>
      </c>
      <c r="F2339">
        <v>9</v>
      </c>
      <c r="G2339">
        <v>236</v>
      </c>
      <c r="H2339" t="str">
        <f>VLOOKUP(G2339,[1]OPERADORES!$A:$B,2,0)</f>
        <v>DANIEL</v>
      </c>
      <c r="I2339" t="s">
        <v>21</v>
      </c>
      <c r="J2339" t="s">
        <v>750</v>
      </c>
      <c r="K2339" t="s">
        <v>2277</v>
      </c>
      <c r="L2339">
        <v>85168</v>
      </c>
      <c r="M2339" t="s">
        <v>2281</v>
      </c>
      <c r="O2339" t="s">
        <v>11</v>
      </c>
      <c r="P2339">
        <v>6403</v>
      </c>
      <c r="Q2339">
        <v>1</v>
      </c>
      <c r="R2339">
        <v>248.46</v>
      </c>
      <c r="S2339">
        <v>248.46</v>
      </c>
      <c r="T2339">
        <v>177.16</v>
      </c>
      <c r="U2339">
        <v>28.7</v>
      </c>
      <c r="V2339" t="str">
        <f>VLOOKUP(L2339,'[2]tabela de preços'!$A:$D,4,0)</f>
        <v>BRASILUX</v>
      </c>
      <c r="W2339" t="str">
        <f>VLOOKUP(L2339,'[2]tabela de preços'!$A:$F,6,0)</f>
        <v>TINTA PAREDE</v>
      </c>
      <c r="X2339" t="str">
        <f>VLOOKUP(L2339,'[2]tabela de preços'!$A:$G,7,0)</f>
        <v>IMOBILIÁRIO</v>
      </c>
    </row>
    <row r="2340" spans="1:24" x14ac:dyDescent="0.3">
      <c r="A2340" t="s">
        <v>2274</v>
      </c>
      <c r="C2340" t="s">
        <v>2279</v>
      </c>
      <c r="D2340" s="1">
        <v>46028</v>
      </c>
      <c r="E2340" t="s">
        <v>2280</v>
      </c>
      <c r="F2340">
        <v>9</v>
      </c>
      <c r="G2340">
        <v>236</v>
      </c>
      <c r="H2340" t="str">
        <f>VLOOKUP(G2340,[1]OPERADORES!$A:$B,2,0)</f>
        <v>DANIEL</v>
      </c>
      <c r="I2340" t="s">
        <v>21</v>
      </c>
      <c r="J2340" t="s">
        <v>750</v>
      </c>
      <c r="K2340" t="s">
        <v>2277</v>
      </c>
      <c r="L2340">
        <v>84356</v>
      </c>
      <c r="M2340" t="s">
        <v>560</v>
      </c>
      <c r="O2340" t="s">
        <v>11</v>
      </c>
      <c r="P2340">
        <v>6403</v>
      </c>
      <c r="Q2340">
        <v>4</v>
      </c>
      <c r="R2340">
        <v>20.91</v>
      </c>
      <c r="S2340">
        <v>83.64</v>
      </c>
      <c r="T2340">
        <v>59.64</v>
      </c>
      <c r="U2340">
        <v>28.69</v>
      </c>
      <c r="V2340" t="str">
        <f>VLOOKUP(L2340,'[2]tabela de preços'!$A:$D,4,0)</f>
        <v>BRASILUX</v>
      </c>
      <c r="W2340" t="str">
        <f>VLOOKUP(L2340,'[2]tabela de preços'!$A:$F,6,0)</f>
        <v>ESMALTES</v>
      </c>
      <c r="X2340" t="str">
        <f>VLOOKUP(L2340,'[2]tabela de preços'!$A:$G,7,0)</f>
        <v>INDUSTRIAL</v>
      </c>
    </row>
    <row r="2341" spans="1:24" x14ac:dyDescent="0.3">
      <c r="A2341" t="s">
        <v>2274</v>
      </c>
      <c r="C2341" t="s">
        <v>2279</v>
      </c>
      <c r="D2341" s="1">
        <v>46028</v>
      </c>
      <c r="E2341" t="s">
        <v>2280</v>
      </c>
      <c r="F2341">
        <v>9</v>
      </c>
      <c r="G2341">
        <v>236</v>
      </c>
      <c r="H2341" t="str">
        <f>VLOOKUP(G2341,[1]OPERADORES!$A:$B,2,0)</f>
        <v>DANIEL</v>
      </c>
      <c r="I2341" t="s">
        <v>21</v>
      </c>
      <c r="J2341" t="s">
        <v>750</v>
      </c>
      <c r="K2341" t="s">
        <v>2277</v>
      </c>
      <c r="L2341">
        <v>84350</v>
      </c>
      <c r="M2341" t="s">
        <v>2282</v>
      </c>
      <c r="O2341" t="s">
        <v>11</v>
      </c>
      <c r="P2341">
        <v>6403</v>
      </c>
      <c r="Q2341">
        <v>4</v>
      </c>
      <c r="R2341">
        <v>26.84</v>
      </c>
      <c r="S2341">
        <v>107.36</v>
      </c>
      <c r="T2341">
        <v>76.56</v>
      </c>
      <c r="U2341">
        <v>28.69</v>
      </c>
      <c r="V2341" t="str">
        <f>VLOOKUP(L2341,'[2]tabela de preços'!$A:$D,4,0)</f>
        <v>BRASILUX</v>
      </c>
      <c r="W2341" t="str">
        <f>VLOOKUP(L2341,'[2]tabela de preços'!$A:$F,6,0)</f>
        <v>ESMALTES</v>
      </c>
      <c r="X2341" t="str">
        <f>VLOOKUP(L2341,'[2]tabela de preços'!$A:$G,7,0)</f>
        <v>INDUSTRIAL</v>
      </c>
    </row>
    <row r="2342" spans="1:24" x14ac:dyDescent="0.3">
      <c r="A2342" t="s">
        <v>2274</v>
      </c>
      <c r="C2342" t="s">
        <v>2279</v>
      </c>
      <c r="D2342" s="1">
        <v>46028</v>
      </c>
      <c r="E2342" t="s">
        <v>2280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750</v>
      </c>
      <c r="K2342" t="s">
        <v>2277</v>
      </c>
      <c r="L2342">
        <v>84357</v>
      </c>
      <c r="M2342" t="s">
        <v>580</v>
      </c>
      <c r="O2342" t="s">
        <v>11</v>
      </c>
      <c r="P2342">
        <v>6403</v>
      </c>
      <c r="Q2342">
        <v>4</v>
      </c>
      <c r="R2342">
        <v>23.09</v>
      </c>
      <c r="S2342">
        <v>92.36</v>
      </c>
      <c r="T2342">
        <v>65.88</v>
      </c>
      <c r="U2342">
        <v>28.67</v>
      </c>
      <c r="V2342" t="str">
        <f>VLOOKUP(L2342,'[2]tabela de preços'!$A:$D,4,0)</f>
        <v>BRASILUX</v>
      </c>
      <c r="W2342" t="str">
        <f>VLOOKUP(L2342,'[2]tabela de preços'!$A:$F,6,0)</f>
        <v>ESMALTES</v>
      </c>
      <c r="X2342" t="str">
        <f>VLOOKUP(L2342,'[2]tabela de preços'!$A:$G,7,0)</f>
        <v>INDUSTRIAL</v>
      </c>
    </row>
    <row r="2343" spans="1:24" x14ac:dyDescent="0.3">
      <c r="A2343" t="s">
        <v>2274</v>
      </c>
      <c r="C2343" t="s">
        <v>2279</v>
      </c>
      <c r="D2343" s="1">
        <v>46028</v>
      </c>
      <c r="E2343" t="s">
        <v>2280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750</v>
      </c>
      <c r="K2343" t="s">
        <v>2277</v>
      </c>
      <c r="L2343">
        <v>84359</v>
      </c>
      <c r="M2343" t="s">
        <v>2283</v>
      </c>
      <c r="O2343" t="s">
        <v>11</v>
      </c>
      <c r="P2343">
        <v>6403</v>
      </c>
      <c r="Q2343">
        <v>2</v>
      </c>
      <c r="R2343">
        <v>19.3</v>
      </c>
      <c r="S2343">
        <v>38.6</v>
      </c>
      <c r="T2343">
        <v>27.52</v>
      </c>
      <c r="U2343">
        <v>28.7</v>
      </c>
      <c r="V2343" t="str">
        <f>VLOOKUP(L2343,'[2]tabela de preços'!$A:$D,4,0)</f>
        <v>BRASILUX</v>
      </c>
      <c r="W2343" t="str">
        <f>VLOOKUP(L2343,'[2]tabela de preços'!$A:$F,6,0)</f>
        <v>ESMALTES</v>
      </c>
      <c r="X2343" t="str">
        <f>VLOOKUP(L2343,'[2]tabela de preços'!$A:$G,7,0)</f>
        <v>INDUSTRIAL</v>
      </c>
    </row>
    <row r="2344" spans="1:24" x14ac:dyDescent="0.3">
      <c r="A2344" t="s">
        <v>2274</v>
      </c>
      <c r="C2344" t="s">
        <v>2279</v>
      </c>
      <c r="D2344" s="1">
        <v>46028</v>
      </c>
      <c r="E2344" t="s">
        <v>2280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750</v>
      </c>
      <c r="K2344" t="s">
        <v>2277</v>
      </c>
      <c r="L2344">
        <v>84122</v>
      </c>
      <c r="M2344" t="s">
        <v>287</v>
      </c>
      <c r="O2344" t="s">
        <v>11</v>
      </c>
      <c r="P2344">
        <v>6403</v>
      </c>
      <c r="Q2344">
        <v>2</v>
      </c>
      <c r="R2344">
        <v>19.57</v>
      </c>
      <c r="S2344">
        <v>39.14</v>
      </c>
      <c r="T2344">
        <v>27.9</v>
      </c>
      <c r="U2344">
        <v>28.72</v>
      </c>
      <c r="V2344" t="str">
        <f>VLOOKUP(L2344,'[2]tabela de preços'!$A:$D,4,0)</f>
        <v>BRASILUX</v>
      </c>
      <c r="W2344" t="str">
        <f>VLOOKUP(L2344,'[2]tabela de preços'!$A:$F,6,0)</f>
        <v>ESMALTES</v>
      </c>
      <c r="X2344" t="str">
        <f>VLOOKUP(L2344,'[2]tabela de preços'!$A:$G,7,0)</f>
        <v>INDUSTRIAL</v>
      </c>
    </row>
    <row r="2345" spans="1:24" x14ac:dyDescent="0.3">
      <c r="A2345" t="s">
        <v>2274</v>
      </c>
      <c r="C2345" t="s">
        <v>2279</v>
      </c>
      <c r="D2345" s="1">
        <v>46028</v>
      </c>
      <c r="E2345" t="s">
        <v>2280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750</v>
      </c>
      <c r="K2345" t="s">
        <v>2277</v>
      </c>
      <c r="L2345">
        <v>84123</v>
      </c>
      <c r="M2345" t="s">
        <v>296</v>
      </c>
      <c r="O2345" t="s">
        <v>11</v>
      </c>
      <c r="P2345">
        <v>6403</v>
      </c>
      <c r="Q2345">
        <v>6</v>
      </c>
      <c r="R2345">
        <v>20.34</v>
      </c>
      <c r="S2345">
        <v>122.04</v>
      </c>
      <c r="T2345">
        <v>87</v>
      </c>
      <c r="U2345">
        <v>28.71</v>
      </c>
      <c r="V2345" t="str">
        <f>VLOOKUP(L2345,'[2]tabela de preços'!$A:$D,4,0)</f>
        <v>BRASILUX</v>
      </c>
      <c r="W2345" t="str">
        <f>VLOOKUP(L2345,'[2]tabela de preços'!$A:$F,6,0)</f>
        <v>ESMALTES</v>
      </c>
      <c r="X2345" t="str">
        <f>VLOOKUP(L2345,'[2]tabela de preços'!$A:$G,7,0)</f>
        <v>INDUSTRIAL</v>
      </c>
    </row>
    <row r="2346" spans="1:24" x14ac:dyDescent="0.3">
      <c r="A2346" t="s">
        <v>2274</v>
      </c>
      <c r="C2346" t="s">
        <v>2279</v>
      </c>
      <c r="D2346" s="1">
        <v>46028</v>
      </c>
      <c r="E2346" t="s">
        <v>2280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750</v>
      </c>
      <c r="K2346" t="s">
        <v>2277</v>
      </c>
      <c r="L2346">
        <v>84124</v>
      </c>
      <c r="M2346" t="s">
        <v>288</v>
      </c>
      <c r="O2346" t="s">
        <v>11</v>
      </c>
      <c r="P2346">
        <v>6403</v>
      </c>
      <c r="Q2346">
        <v>2</v>
      </c>
      <c r="R2346">
        <v>18.75</v>
      </c>
      <c r="S2346">
        <v>37.5</v>
      </c>
      <c r="T2346">
        <v>26.74</v>
      </c>
      <c r="U2346">
        <v>28.69</v>
      </c>
      <c r="V2346" t="str">
        <f>VLOOKUP(L2346,'[2]tabela de preços'!$A:$D,4,0)</f>
        <v>BRASILUX</v>
      </c>
      <c r="W2346" t="str">
        <f>VLOOKUP(L2346,'[2]tabela de preços'!$A:$F,6,0)</f>
        <v>ESMALTES</v>
      </c>
      <c r="X2346" t="str">
        <f>VLOOKUP(L2346,'[2]tabela de preços'!$A:$G,7,0)</f>
        <v>INDUSTRIAL</v>
      </c>
    </row>
    <row r="2347" spans="1:24" x14ac:dyDescent="0.3">
      <c r="A2347" t="s">
        <v>2274</v>
      </c>
      <c r="C2347" t="s">
        <v>2279</v>
      </c>
      <c r="D2347" s="1">
        <v>46028</v>
      </c>
      <c r="E2347" t="s">
        <v>2280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750</v>
      </c>
      <c r="K2347" t="s">
        <v>2277</v>
      </c>
      <c r="L2347">
        <v>84128</v>
      </c>
      <c r="M2347" t="s">
        <v>1710</v>
      </c>
      <c r="O2347" t="s">
        <v>11</v>
      </c>
      <c r="P2347">
        <v>6403</v>
      </c>
      <c r="Q2347">
        <v>4</v>
      </c>
      <c r="R2347">
        <v>22.21</v>
      </c>
      <c r="S2347">
        <v>88.84</v>
      </c>
      <c r="T2347">
        <v>63.36</v>
      </c>
      <c r="U2347">
        <v>28.68</v>
      </c>
      <c r="V2347" t="str">
        <f>VLOOKUP(L2347,'[2]tabela de preços'!$A:$D,4,0)</f>
        <v>BRASILUX</v>
      </c>
      <c r="W2347" t="str">
        <f>VLOOKUP(L2347,'[2]tabela de preços'!$A:$F,6,0)</f>
        <v>ESMALTES</v>
      </c>
      <c r="X2347" t="str">
        <f>VLOOKUP(L2347,'[2]tabela de preços'!$A:$G,7,0)</f>
        <v>INDUSTRIAL</v>
      </c>
    </row>
    <row r="2348" spans="1:24" x14ac:dyDescent="0.3">
      <c r="A2348" t="s">
        <v>2274</v>
      </c>
      <c r="C2348" t="s">
        <v>2279</v>
      </c>
      <c r="D2348" s="1">
        <v>46028</v>
      </c>
      <c r="E2348" t="s">
        <v>2280</v>
      </c>
      <c r="F2348">
        <v>9</v>
      </c>
      <c r="G2348">
        <v>236</v>
      </c>
      <c r="H2348" t="str">
        <f>VLOOKUP(G2348,[1]OPERADORES!$A:$B,2,0)</f>
        <v>DANIEL</v>
      </c>
      <c r="I2348" t="s">
        <v>21</v>
      </c>
      <c r="J2348" t="s">
        <v>750</v>
      </c>
      <c r="K2348" t="s">
        <v>2277</v>
      </c>
      <c r="L2348">
        <v>85599</v>
      </c>
      <c r="M2348" t="s">
        <v>38</v>
      </c>
      <c r="O2348" t="s">
        <v>11</v>
      </c>
      <c r="P2348">
        <v>6102</v>
      </c>
      <c r="Q2348">
        <v>40</v>
      </c>
      <c r="R2348">
        <v>2.58</v>
      </c>
      <c r="S2348">
        <v>103.2</v>
      </c>
      <c r="T2348">
        <v>78.400000000000006</v>
      </c>
      <c r="U2348">
        <v>24.03</v>
      </c>
      <c r="V2348" t="str">
        <f>VLOOKUP(L2348,'[2]tabela de preços'!$A:$D,4,0)</f>
        <v>REJUMASSA</v>
      </c>
      <c r="W2348" t="str">
        <f>VLOOKUP(L2348,'[2]tabela de preços'!$A:$F,6,0)</f>
        <v>GESSO</v>
      </c>
      <c r="X2348" t="str">
        <f>VLOOKUP(L2348,'[2]tabela de preços'!$A:$G,7,0)</f>
        <v>IMOBILIÁRIO</v>
      </c>
    </row>
    <row r="2349" spans="1:24" x14ac:dyDescent="0.3">
      <c r="A2349" t="s">
        <v>2274</v>
      </c>
      <c r="C2349" t="s">
        <v>2279</v>
      </c>
      <c r="D2349" s="1">
        <v>46028</v>
      </c>
      <c r="E2349" t="s">
        <v>2280</v>
      </c>
      <c r="F2349">
        <v>9</v>
      </c>
      <c r="G2349">
        <v>236</v>
      </c>
      <c r="H2349" t="str">
        <f>VLOOKUP(G2349,[1]OPERADORES!$A:$B,2,0)</f>
        <v>DANIEL</v>
      </c>
      <c r="I2349" t="s">
        <v>21</v>
      </c>
      <c r="J2349" t="s">
        <v>750</v>
      </c>
      <c r="K2349" t="s">
        <v>2277</v>
      </c>
      <c r="L2349">
        <v>84460</v>
      </c>
      <c r="M2349" t="s">
        <v>322</v>
      </c>
      <c r="O2349" t="s">
        <v>11</v>
      </c>
      <c r="P2349">
        <v>6102</v>
      </c>
      <c r="Q2349">
        <v>6</v>
      </c>
      <c r="R2349">
        <v>31.07</v>
      </c>
      <c r="S2349">
        <v>186.42</v>
      </c>
      <c r="T2349">
        <v>141.47999999999999</v>
      </c>
      <c r="U2349">
        <v>24.11</v>
      </c>
      <c r="V2349" t="str">
        <f>VLOOKUP(L2349,'[2]tabela de preços'!$A:$D,4,0)</f>
        <v>BRASILUX</v>
      </c>
      <c r="W2349" t="str">
        <f>VLOOKUP(L2349,'[2]tabela de preços'!$A:$F,6,0)</f>
        <v>VEDADORES / SELANTES</v>
      </c>
      <c r="X2349" t="str">
        <f>VLOOKUP(L2349,'[2]tabela de preços'!$A:$G,7,0)</f>
        <v>AUTOMOTIVO</v>
      </c>
    </row>
    <row r="2350" spans="1:24" x14ac:dyDescent="0.3">
      <c r="A2350" t="s">
        <v>2274</v>
      </c>
      <c r="C2350" t="s">
        <v>2284</v>
      </c>
      <c r="D2350" s="1">
        <v>46041</v>
      </c>
      <c r="E2350" t="s">
        <v>2285</v>
      </c>
      <c r="F2350">
        <v>9</v>
      </c>
      <c r="G2350">
        <v>236</v>
      </c>
      <c r="H2350" t="str">
        <f>VLOOKUP(G2350,[1]OPERADORES!$A:$B,2,0)</f>
        <v>DANIEL</v>
      </c>
      <c r="I2350" t="s">
        <v>21</v>
      </c>
      <c r="J2350" t="s">
        <v>750</v>
      </c>
      <c r="K2350" t="s">
        <v>2277</v>
      </c>
      <c r="L2350">
        <v>85616</v>
      </c>
      <c r="M2350" t="s">
        <v>471</v>
      </c>
      <c r="O2350" t="s">
        <v>11</v>
      </c>
      <c r="P2350">
        <v>5102</v>
      </c>
      <c r="Q2350">
        <v>432</v>
      </c>
      <c r="R2350">
        <v>2.79</v>
      </c>
      <c r="S2350" s="2">
        <v>1205.28</v>
      </c>
      <c r="T2350">
        <v>984.96</v>
      </c>
      <c r="U2350">
        <v>18.28</v>
      </c>
      <c r="V2350" t="str">
        <f>VLOOKUP(L2350,'[2]tabela de preços'!$A:$D,4,0)</f>
        <v>ADERE</v>
      </c>
      <c r="W2350" t="str">
        <f>VLOOKUP(L2350,'[2]tabela de preços'!$A:$F,6,0)</f>
        <v xml:space="preserve">FITA DE USO GERAL </v>
      </c>
      <c r="X2350" t="str">
        <f>VLOOKUP(L2350,'[2]tabela de preços'!$A:$G,7,0)</f>
        <v>IMOBILIÁRIO</v>
      </c>
    </row>
    <row r="2351" spans="1:24" x14ac:dyDescent="0.3">
      <c r="A2351" t="s">
        <v>2274</v>
      </c>
      <c r="C2351" t="s">
        <v>2286</v>
      </c>
      <c r="D2351" s="1">
        <v>46042</v>
      </c>
      <c r="E2351" t="s">
        <v>2287</v>
      </c>
      <c r="F2351">
        <v>9</v>
      </c>
      <c r="G2351">
        <v>236</v>
      </c>
      <c r="H2351" t="str">
        <f>VLOOKUP(G2351,[1]OPERADORES!$A:$B,2,0)</f>
        <v>DANIEL</v>
      </c>
      <c r="I2351" t="s">
        <v>21</v>
      </c>
      <c r="J2351" t="s">
        <v>750</v>
      </c>
      <c r="K2351" t="s">
        <v>2277</v>
      </c>
      <c r="L2351">
        <v>85691</v>
      </c>
      <c r="M2351" t="s">
        <v>1231</v>
      </c>
      <c r="O2351" t="s">
        <v>11</v>
      </c>
      <c r="P2351">
        <v>5102</v>
      </c>
      <c r="Q2351">
        <v>2</v>
      </c>
      <c r="R2351">
        <v>14.81</v>
      </c>
      <c r="S2351">
        <v>29.62</v>
      </c>
      <c r="T2351">
        <v>22.48</v>
      </c>
      <c r="U2351">
        <v>24.11</v>
      </c>
      <c r="V2351" t="str">
        <f>VLOOKUP(L2351,'[2]tabela de preços'!$A:$D,4,0)</f>
        <v>UNIPEGA</v>
      </c>
      <c r="W2351" t="str">
        <f>VLOOKUP(L2351,'[2]tabela de preços'!$A:$F,6,0)</f>
        <v>COLA INST./ ADESIVOS COLANTES</v>
      </c>
      <c r="X2351" t="str">
        <f>VLOOKUP(L2351,'[2]tabela de preços'!$A:$G,7,0)</f>
        <v>AUTOMOTIVO</v>
      </c>
    </row>
    <row r="2352" spans="1:24" x14ac:dyDescent="0.3">
      <c r="A2352" t="s">
        <v>2274</v>
      </c>
      <c r="C2352" t="s">
        <v>2286</v>
      </c>
      <c r="D2352" s="1">
        <v>46042</v>
      </c>
      <c r="E2352" t="s">
        <v>2287</v>
      </c>
      <c r="F2352">
        <v>9</v>
      </c>
      <c r="G2352">
        <v>236</v>
      </c>
      <c r="H2352" t="str">
        <f>VLOOKUP(G2352,[1]OPERADORES!$A:$B,2,0)</f>
        <v>DANIEL</v>
      </c>
      <c r="I2352" t="s">
        <v>21</v>
      </c>
      <c r="J2352" t="s">
        <v>750</v>
      </c>
      <c r="K2352" t="s">
        <v>2277</v>
      </c>
      <c r="L2352">
        <v>86995</v>
      </c>
      <c r="M2352" t="s">
        <v>37</v>
      </c>
      <c r="O2352" t="s">
        <v>11</v>
      </c>
      <c r="P2352">
        <v>5102</v>
      </c>
      <c r="Q2352">
        <v>10</v>
      </c>
      <c r="R2352">
        <v>7.29</v>
      </c>
      <c r="S2352">
        <v>72.900000000000006</v>
      </c>
      <c r="T2352">
        <v>58.3</v>
      </c>
      <c r="U2352">
        <v>20.03</v>
      </c>
      <c r="V2352" t="str">
        <f>VLOOKUP(L2352,'[2]tabela de preços'!$A:$D,4,0)</f>
        <v>AUTOAMERICA</v>
      </c>
      <c r="W2352" t="str">
        <f>VLOOKUP(L2352,'[2]tabela de preços'!$A:$F,6,0)</f>
        <v>FLANELAS / PANOS</v>
      </c>
      <c r="X2352" t="str">
        <f>VLOOKUP(L2352,'[2]tabela de preços'!$A:$G,7,0)</f>
        <v>AUTOMOTIVO</v>
      </c>
    </row>
    <row r="2353" spans="1:24" x14ac:dyDescent="0.3">
      <c r="A2353" t="s">
        <v>2274</v>
      </c>
      <c r="C2353" t="s">
        <v>2286</v>
      </c>
      <c r="D2353" s="1">
        <v>46042</v>
      </c>
      <c r="E2353" t="s">
        <v>2287</v>
      </c>
      <c r="F2353">
        <v>9</v>
      </c>
      <c r="G2353">
        <v>236</v>
      </c>
      <c r="H2353" t="str">
        <f>VLOOKUP(G2353,[1]OPERADORES!$A:$B,2,0)</f>
        <v>DANIEL</v>
      </c>
      <c r="I2353" t="s">
        <v>21</v>
      </c>
      <c r="J2353" t="s">
        <v>750</v>
      </c>
      <c r="K2353" t="s">
        <v>2277</v>
      </c>
      <c r="L2353">
        <v>13</v>
      </c>
      <c r="M2353" t="s">
        <v>152</v>
      </c>
      <c r="O2353" t="s">
        <v>11</v>
      </c>
      <c r="P2353">
        <v>5102</v>
      </c>
      <c r="Q2353">
        <v>50</v>
      </c>
      <c r="R2353">
        <v>5.79</v>
      </c>
      <c r="S2353">
        <v>289.5</v>
      </c>
      <c r="T2353">
        <v>208</v>
      </c>
      <c r="U2353">
        <v>28.15</v>
      </c>
      <c r="V2353" t="str">
        <f>VLOOKUP(L2353,'[2]tabela de preços'!$A:$D,4,0)</f>
        <v>3M</v>
      </c>
      <c r="W2353" t="str">
        <f>VLOOKUP(L2353,'[2]tabela de preços'!$A:$F,6,0)</f>
        <v>LIXA DÁGUA</v>
      </c>
      <c r="X2353" t="str">
        <f>VLOOKUP(L2353,'[2]tabela de preços'!$A:$G,7,0)</f>
        <v>AUTOMOTIVO</v>
      </c>
    </row>
    <row r="2354" spans="1:24" x14ac:dyDescent="0.3">
      <c r="A2354" t="s">
        <v>2274</v>
      </c>
      <c r="C2354" t="s">
        <v>2286</v>
      </c>
      <c r="D2354" s="1">
        <v>46042</v>
      </c>
      <c r="E2354" t="s">
        <v>2287</v>
      </c>
      <c r="F2354">
        <v>9</v>
      </c>
      <c r="G2354">
        <v>236</v>
      </c>
      <c r="H2354" t="str">
        <f>VLOOKUP(G2354,[1]OPERADORES!$A:$B,2,0)</f>
        <v>DANIEL</v>
      </c>
      <c r="I2354" t="s">
        <v>21</v>
      </c>
      <c r="J2354" t="s">
        <v>750</v>
      </c>
      <c r="K2354" t="s">
        <v>2277</v>
      </c>
      <c r="L2354">
        <v>10155</v>
      </c>
      <c r="M2354" t="s">
        <v>2288</v>
      </c>
      <c r="O2354" t="s">
        <v>11</v>
      </c>
      <c r="P2354">
        <v>5102</v>
      </c>
      <c r="Q2354">
        <v>2</v>
      </c>
      <c r="R2354">
        <v>33.11</v>
      </c>
      <c r="S2354">
        <v>66.22</v>
      </c>
      <c r="T2354">
        <v>50.26</v>
      </c>
      <c r="U2354">
        <v>24.1</v>
      </c>
      <c r="V2354" t="str">
        <f>VLOOKUP(L2354,'[2]tabela de preços'!$A:$D,4,0)</f>
        <v>AUTOCOLOR</v>
      </c>
      <c r="W2354" t="str">
        <f>VLOOKUP(L2354,'[2]tabela de preços'!$A:$F,6,0)</f>
        <v>MASSA DE POLIR</v>
      </c>
      <c r="X2354" t="str">
        <f>VLOOKUP(L2354,'[2]tabela de preços'!$A:$G,7,0)</f>
        <v>AUTOMOTIVO</v>
      </c>
    </row>
    <row r="2355" spans="1:24" x14ac:dyDescent="0.3">
      <c r="A2355" t="s">
        <v>2274</v>
      </c>
      <c r="C2355" t="s">
        <v>2286</v>
      </c>
      <c r="D2355" s="1">
        <v>46042</v>
      </c>
      <c r="E2355" t="s">
        <v>2287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750</v>
      </c>
      <c r="K2355" t="s">
        <v>2277</v>
      </c>
      <c r="L2355">
        <v>10123</v>
      </c>
      <c r="M2355" t="s">
        <v>2278</v>
      </c>
      <c r="O2355" t="s">
        <v>11</v>
      </c>
      <c r="P2355">
        <v>5403</v>
      </c>
      <c r="Q2355">
        <v>2</v>
      </c>
      <c r="R2355">
        <v>44.66</v>
      </c>
      <c r="S2355">
        <v>89.32</v>
      </c>
      <c r="T2355">
        <v>67.8</v>
      </c>
      <c r="U2355">
        <v>24.09</v>
      </c>
      <c r="V2355" t="str">
        <f>VLOOKUP(L2355,'[2]tabela de preços'!$A:$D,4,0)</f>
        <v>AUTOCOLOR</v>
      </c>
      <c r="W2355" t="str">
        <f>VLOOKUP(L2355,'[2]tabela de preços'!$A:$F,6,0)</f>
        <v>PRIMER AUTOMOTIVO</v>
      </c>
      <c r="X2355" t="str">
        <f>VLOOKUP(L2355,'[2]tabela de preços'!$A:$G,7,0)</f>
        <v>AUTOMOTIVO</v>
      </c>
    </row>
    <row r="2356" spans="1:24" x14ac:dyDescent="0.3">
      <c r="A2356" t="s">
        <v>2274</v>
      </c>
      <c r="C2356" t="s">
        <v>2286</v>
      </c>
      <c r="D2356" s="1">
        <v>46042</v>
      </c>
      <c r="E2356" t="s">
        <v>2287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750</v>
      </c>
      <c r="K2356" t="s">
        <v>2277</v>
      </c>
      <c r="L2356">
        <v>10298</v>
      </c>
      <c r="M2356" t="s">
        <v>85</v>
      </c>
      <c r="O2356" t="s">
        <v>11</v>
      </c>
      <c r="P2356">
        <v>5102</v>
      </c>
      <c r="Q2356">
        <v>20</v>
      </c>
      <c r="R2356">
        <v>54.9</v>
      </c>
      <c r="S2356" s="2">
        <v>1098</v>
      </c>
      <c r="T2356">
        <v>947.6</v>
      </c>
      <c r="U2356">
        <v>13.7</v>
      </c>
      <c r="V2356" t="str">
        <f>VLOOKUP(L2356,'[2]tabela de preços'!$A:$D,4,0)</f>
        <v>ANJO</v>
      </c>
      <c r="W2356" t="str">
        <f>VLOOKUP(L2356,'[2]tabela de preços'!$A:$F,6,0)</f>
        <v>THINNER DE LIMPEZA</v>
      </c>
      <c r="X2356" t="str">
        <f>VLOOKUP(L2356,'[2]tabela de preços'!$A:$G,7,0)</f>
        <v>THINNER</v>
      </c>
    </row>
    <row r="2357" spans="1:24" x14ac:dyDescent="0.3">
      <c r="A2357" t="s">
        <v>2289</v>
      </c>
      <c r="C2357" t="s">
        <v>2290</v>
      </c>
      <c r="D2357" s="1">
        <v>46028</v>
      </c>
      <c r="E2357" t="s">
        <v>2291</v>
      </c>
      <c r="F2357">
        <v>9</v>
      </c>
      <c r="G2357">
        <v>231</v>
      </c>
      <c r="H2357" t="str">
        <f>VLOOKUP(G2357,[1]OPERADORES!$A:$B,2,0)</f>
        <v>EDIJANE</v>
      </c>
      <c r="I2357" t="s">
        <v>21</v>
      </c>
      <c r="J2357" t="s">
        <v>66</v>
      </c>
      <c r="K2357" t="s">
        <v>2292</v>
      </c>
      <c r="L2357">
        <v>23602</v>
      </c>
      <c r="M2357" t="s">
        <v>215</v>
      </c>
      <c r="O2357" t="s">
        <v>11</v>
      </c>
      <c r="P2357">
        <v>5403</v>
      </c>
      <c r="Q2357">
        <v>6</v>
      </c>
      <c r="R2357">
        <v>35.89</v>
      </c>
      <c r="S2357">
        <v>215.34</v>
      </c>
      <c r="T2357">
        <v>175.5</v>
      </c>
      <c r="U2357">
        <v>18.5</v>
      </c>
      <c r="V2357" t="str">
        <f>VLOOKUP(L2357,'[2]tabela de preços'!$A:$D,4,0)</f>
        <v>SHERWIN WILLIAMS</v>
      </c>
      <c r="W2357" t="str">
        <f>VLOOKUP(L2357,'[2]tabela de preços'!$A:$F,6,0)</f>
        <v>VERNIZ AUTOMOTIVO</v>
      </c>
      <c r="X2357" t="str">
        <f>VLOOKUP(L2357,'[2]tabela de preços'!$A:$G,7,0)</f>
        <v>AUTOMOTIVO</v>
      </c>
    </row>
    <row r="2358" spans="1:24" x14ac:dyDescent="0.3">
      <c r="A2358" t="s">
        <v>2289</v>
      </c>
      <c r="C2358" t="s">
        <v>2290</v>
      </c>
      <c r="D2358" s="1">
        <v>46028</v>
      </c>
      <c r="E2358" t="s">
        <v>2291</v>
      </c>
      <c r="F2358">
        <v>9</v>
      </c>
      <c r="G2358">
        <v>231</v>
      </c>
      <c r="H2358" t="str">
        <f>VLOOKUP(G2358,[1]OPERADORES!$A:$B,2,0)</f>
        <v>EDIJANE</v>
      </c>
      <c r="I2358" t="s">
        <v>21</v>
      </c>
      <c r="J2358" t="s">
        <v>66</v>
      </c>
      <c r="K2358" t="s">
        <v>2292</v>
      </c>
      <c r="L2358">
        <v>15</v>
      </c>
      <c r="M2358" t="s">
        <v>205</v>
      </c>
      <c r="O2358" t="s">
        <v>11</v>
      </c>
      <c r="P2358">
        <v>5102</v>
      </c>
      <c r="Q2358">
        <v>50</v>
      </c>
      <c r="R2358">
        <v>5.65</v>
      </c>
      <c r="S2358">
        <v>282.5</v>
      </c>
      <c r="T2358">
        <v>208</v>
      </c>
      <c r="U2358">
        <v>26.37</v>
      </c>
      <c r="V2358" t="str">
        <f>VLOOKUP(L2358,'[2]tabela de preços'!$A:$D,4,0)</f>
        <v>3M</v>
      </c>
      <c r="W2358" t="str">
        <f>VLOOKUP(L2358,'[2]tabela de preços'!$A:$F,6,0)</f>
        <v>LIXA DÁGUA</v>
      </c>
      <c r="X2358" t="str">
        <f>VLOOKUP(L2358,'[2]tabela de preços'!$A:$G,7,0)</f>
        <v>AUTOMOTIVO</v>
      </c>
    </row>
    <row r="2359" spans="1:24" x14ac:dyDescent="0.3">
      <c r="A2359" t="s">
        <v>2289</v>
      </c>
      <c r="C2359" t="s">
        <v>2290</v>
      </c>
      <c r="D2359" s="1">
        <v>46028</v>
      </c>
      <c r="E2359" t="s">
        <v>2291</v>
      </c>
      <c r="F2359">
        <v>9</v>
      </c>
      <c r="G2359">
        <v>231</v>
      </c>
      <c r="H2359" t="str">
        <f>VLOOKUP(G2359,[1]OPERADORES!$A:$B,2,0)</f>
        <v>EDIJANE</v>
      </c>
      <c r="I2359" t="s">
        <v>21</v>
      </c>
      <c r="J2359" t="s">
        <v>66</v>
      </c>
      <c r="K2359" t="s">
        <v>2292</v>
      </c>
      <c r="L2359">
        <v>10240</v>
      </c>
      <c r="M2359" t="s">
        <v>81</v>
      </c>
      <c r="O2359" t="s">
        <v>11</v>
      </c>
      <c r="P2359">
        <v>5102</v>
      </c>
      <c r="Q2359">
        <v>50</v>
      </c>
      <c r="R2359">
        <v>2.79</v>
      </c>
      <c r="S2359">
        <v>139.5</v>
      </c>
      <c r="T2359">
        <v>114</v>
      </c>
      <c r="U2359">
        <v>18.28</v>
      </c>
      <c r="V2359" t="str">
        <f>VLOOKUP(L2359,'[2]tabela de preços'!$A:$D,4,0)</f>
        <v>NORTON</v>
      </c>
      <c r="W2359" t="str">
        <f>VLOOKUP(L2359,'[2]tabela de preços'!$A:$F,6,0)</f>
        <v xml:space="preserve">DISCOS / LIXAS / ABRASIVOS </v>
      </c>
      <c r="X2359" t="str">
        <f>VLOOKUP(L2359,'[2]tabela de preços'!$A:$G,7,0)</f>
        <v>AUTOMOTIVO</v>
      </c>
    </row>
    <row r="2360" spans="1:24" x14ac:dyDescent="0.3">
      <c r="A2360" t="s">
        <v>2289</v>
      </c>
      <c r="C2360" t="s">
        <v>2290</v>
      </c>
      <c r="D2360" s="1">
        <v>46028</v>
      </c>
      <c r="E2360" t="s">
        <v>2291</v>
      </c>
      <c r="F2360">
        <v>9</v>
      </c>
      <c r="G2360">
        <v>231</v>
      </c>
      <c r="H2360" t="str">
        <f>VLOOKUP(G2360,[1]OPERADORES!$A:$B,2,0)</f>
        <v>EDIJANE</v>
      </c>
      <c r="I2360" t="s">
        <v>21</v>
      </c>
      <c r="J2360" t="s">
        <v>66</v>
      </c>
      <c r="K2360" t="s">
        <v>2292</v>
      </c>
      <c r="L2360">
        <v>10241</v>
      </c>
      <c r="M2360" t="s">
        <v>819</v>
      </c>
      <c r="O2360" t="s">
        <v>11</v>
      </c>
      <c r="P2360">
        <v>5102</v>
      </c>
      <c r="Q2360">
        <v>50</v>
      </c>
      <c r="R2360">
        <v>2.79</v>
      </c>
      <c r="S2360">
        <v>139.5</v>
      </c>
      <c r="T2360">
        <v>114</v>
      </c>
      <c r="U2360">
        <v>18.28</v>
      </c>
      <c r="V2360" t="str">
        <f>VLOOKUP(L2360,'[2]tabela de preços'!$A:$D,4,0)</f>
        <v>NORTON</v>
      </c>
      <c r="W2360" t="str">
        <f>VLOOKUP(L2360,'[2]tabela de preços'!$A:$F,6,0)</f>
        <v xml:space="preserve">DISCOS / LIXAS / ABRASIVOS </v>
      </c>
      <c r="X2360" t="str">
        <f>VLOOKUP(L2360,'[2]tabela de preços'!$A:$G,7,0)</f>
        <v>AUTOMOTIVO</v>
      </c>
    </row>
    <row r="2361" spans="1:24" x14ac:dyDescent="0.3">
      <c r="A2361" t="s">
        <v>2289</v>
      </c>
      <c r="C2361" t="s">
        <v>2290</v>
      </c>
      <c r="D2361" s="1">
        <v>46028</v>
      </c>
      <c r="E2361" t="s">
        <v>2291</v>
      </c>
      <c r="F2361">
        <v>9</v>
      </c>
      <c r="G2361">
        <v>231</v>
      </c>
      <c r="H2361" t="str">
        <f>VLOOKUP(G2361,[1]OPERADORES!$A:$B,2,0)</f>
        <v>EDIJANE</v>
      </c>
      <c r="I2361" t="s">
        <v>21</v>
      </c>
      <c r="J2361" t="s">
        <v>66</v>
      </c>
      <c r="K2361" t="s">
        <v>2292</v>
      </c>
      <c r="L2361">
        <v>20817</v>
      </c>
      <c r="M2361" t="s">
        <v>153</v>
      </c>
      <c r="O2361" t="s">
        <v>11</v>
      </c>
      <c r="P2361">
        <v>5102</v>
      </c>
      <c r="Q2361">
        <v>6</v>
      </c>
      <c r="R2361">
        <v>22.89</v>
      </c>
      <c r="S2361">
        <v>137.34</v>
      </c>
      <c r="T2361">
        <v>111.72</v>
      </c>
      <c r="U2361">
        <v>18.649999999999999</v>
      </c>
      <c r="V2361" t="str">
        <f>VLOOKUP(L2361,'[2]tabela de preços'!$A:$D,4,0)</f>
        <v>AUTO AMERICA</v>
      </c>
      <c r="W2361" t="str">
        <f>VLOOKUP(L2361,'[2]tabela de preços'!$A:$F,6,0)</f>
        <v>MASSA DE POLIR</v>
      </c>
      <c r="X2361" t="str">
        <f>VLOOKUP(L2361,'[2]tabela de preços'!$A:$G,7,0)</f>
        <v>AUTOMOTIVO</v>
      </c>
    </row>
    <row r="2362" spans="1:24" x14ac:dyDescent="0.3">
      <c r="A2362" t="s">
        <v>2289</v>
      </c>
      <c r="C2362" t="s">
        <v>2290</v>
      </c>
      <c r="D2362" s="1">
        <v>46028</v>
      </c>
      <c r="E2362" t="s">
        <v>2291</v>
      </c>
      <c r="F2362">
        <v>9</v>
      </c>
      <c r="G2362">
        <v>231</v>
      </c>
      <c r="H2362" t="str">
        <f>VLOOKUP(G2362,[1]OPERADORES!$A:$B,2,0)</f>
        <v>EDIJANE</v>
      </c>
      <c r="I2362" t="s">
        <v>21</v>
      </c>
      <c r="J2362" t="s">
        <v>66</v>
      </c>
      <c r="K2362" t="s">
        <v>2292</v>
      </c>
      <c r="L2362">
        <v>87043</v>
      </c>
      <c r="M2362" t="s">
        <v>217</v>
      </c>
      <c r="O2362" t="s">
        <v>11</v>
      </c>
      <c r="P2362">
        <v>5102</v>
      </c>
      <c r="Q2362">
        <v>6</v>
      </c>
      <c r="R2362">
        <v>22.89</v>
      </c>
      <c r="S2362">
        <v>137.34</v>
      </c>
      <c r="T2362">
        <v>108.12</v>
      </c>
      <c r="U2362">
        <v>21.28</v>
      </c>
      <c r="V2362" t="str">
        <f>VLOOKUP(L2362,'[2]tabela de preços'!$A:$D,4,0)</f>
        <v>ROBERLO</v>
      </c>
      <c r="W2362" t="str">
        <f>VLOOKUP(L2362,'[2]tabela de preços'!$A:$F,6,0)</f>
        <v>MASSA POLIÉSTER</v>
      </c>
      <c r="X2362" t="str">
        <f>VLOOKUP(L2362,'[2]tabela de preços'!$A:$G,7,0)</f>
        <v>AUTOMOTIVO</v>
      </c>
    </row>
    <row r="2363" spans="1:24" x14ac:dyDescent="0.3">
      <c r="A2363" t="s">
        <v>2289</v>
      </c>
      <c r="C2363" t="s">
        <v>2290</v>
      </c>
      <c r="D2363" s="1">
        <v>46028</v>
      </c>
      <c r="E2363" t="s">
        <v>2291</v>
      </c>
      <c r="F2363">
        <v>9</v>
      </c>
      <c r="G2363">
        <v>231</v>
      </c>
      <c r="H2363" t="str">
        <f>VLOOKUP(G2363,[1]OPERADORES!$A:$B,2,0)</f>
        <v>EDIJANE</v>
      </c>
      <c r="I2363" t="s">
        <v>21</v>
      </c>
      <c r="J2363" t="s">
        <v>66</v>
      </c>
      <c r="K2363" t="s">
        <v>2292</v>
      </c>
      <c r="L2363">
        <v>10404</v>
      </c>
      <c r="M2363" t="s">
        <v>130</v>
      </c>
      <c r="O2363" t="s">
        <v>11</v>
      </c>
      <c r="P2363">
        <v>5102</v>
      </c>
      <c r="Q2363">
        <v>5</v>
      </c>
      <c r="R2363">
        <v>16.09</v>
      </c>
      <c r="S2363">
        <v>80.45</v>
      </c>
      <c r="T2363">
        <v>66.599999999999994</v>
      </c>
      <c r="U2363">
        <v>17.22</v>
      </c>
      <c r="V2363" t="str">
        <f>VLOOKUP(L2363,'[2]tabela de preços'!$A:$D,4,0)</f>
        <v>MAXI RUBBER</v>
      </c>
      <c r="W2363" t="str">
        <f>VLOOKUP(L2363,'[2]tabela de preços'!$A:$F,6,0)</f>
        <v>VEDADORES / SELANTES</v>
      </c>
      <c r="X2363" t="str">
        <f>VLOOKUP(L2363,'[2]tabela de preços'!$A:$G,7,0)</f>
        <v>AUTOMOTIVO</v>
      </c>
    </row>
    <row r="2364" spans="1:24" x14ac:dyDescent="0.3">
      <c r="A2364" t="s">
        <v>2293</v>
      </c>
      <c r="C2364" t="s">
        <v>2294</v>
      </c>
      <c r="D2364" s="1">
        <v>46028</v>
      </c>
      <c r="E2364" t="s">
        <v>2295</v>
      </c>
      <c r="F2364">
        <v>9</v>
      </c>
      <c r="G2364">
        <v>197</v>
      </c>
      <c r="H2364" t="str">
        <f>VLOOKUP(G2364,[1]OPERADORES!$A:$B,2,0)</f>
        <v xml:space="preserve">POLIANA LORRANE DE AMORIM </v>
      </c>
      <c r="I2364" t="s">
        <v>21</v>
      </c>
      <c r="J2364" t="s">
        <v>2296</v>
      </c>
      <c r="K2364" t="s">
        <v>2297</v>
      </c>
      <c r="L2364">
        <v>84616</v>
      </c>
      <c r="M2364" t="s">
        <v>2298</v>
      </c>
      <c r="O2364" t="s">
        <v>11</v>
      </c>
      <c r="P2364">
        <v>5403</v>
      </c>
      <c r="Q2364">
        <v>2</v>
      </c>
      <c r="R2364">
        <v>62.66</v>
      </c>
      <c r="S2364">
        <v>125.32</v>
      </c>
      <c r="T2364">
        <v>95.12</v>
      </c>
      <c r="U2364">
        <v>24.1</v>
      </c>
      <c r="V2364" t="str">
        <f>VLOOKUP(L2364,'[2]tabela de preços'!$A:$D,4,0)</f>
        <v>BRASILUX</v>
      </c>
      <c r="W2364" t="str">
        <f>VLOOKUP(L2364,'[2]tabela de preços'!$A:$F,6,0)</f>
        <v>BASES IMOBILIÁRIAS</v>
      </c>
      <c r="X2364" t="str">
        <f>VLOOKUP(L2364,'[2]tabela de preços'!$A:$G,7,0)</f>
        <v>IMOBILIÁRIO</v>
      </c>
    </row>
    <row r="2365" spans="1:24" x14ac:dyDescent="0.3">
      <c r="A2365" t="s">
        <v>2293</v>
      </c>
      <c r="C2365" t="s">
        <v>2294</v>
      </c>
      <c r="D2365" s="1">
        <v>46028</v>
      </c>
      <c r="E2365" t="s">
        <v>2295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2296</v>
      </c>
      <c r="K2365" t="s">
        <v>2297</v>
      </c>
      <c r="L2365">
        <v>84618</v>
      </c>
      <c r="M2365" t="s">
        <v>2299</v>
      </c>
      <c r="O2365" t="s">
        <v>11</v>
      </c>
      <c r="P2365">
        <v>5403</v>
      </c>
      <c r="Q2365">
        <v>2</v>
      </c>
      <c r="R2365">
        <v>57.04</v>
      </c>
      <c r="S2365">
        <v>114.08</v>
      </c>
      <c r="T2365">
        <v>86.58</v>
      </c>
      <c r="U2365">
        <v>24.11</v>
      </c>
      <c r="V2365" t="str">
        <f>VLOOKUP(L2365,'[2]tabela de preços'!$A:$D,4,0)</f>
        <v>BRASILUX</v>
      </c>
      <c r="W2365" t="str">
        <f>VLOOKUP(L2365,'[2]tabela de preços'!$A:$F,6,0)</f>
        <v>BASES IMOBILIÁRIAS</v>
      </c>
      <c r="X2365" t="str">
        <f>VLOOKUP(L2365,'[2]tabela de preços'!$A:$G,7,0)</f>
        <v>IMOBILIÁRIO</v>
      </c>
    </row>
    <row r="2366" spans="1:24" x14ac:dyDescent="0.3">
      <c r="A2366" t="s">
        <v>2293</v>
      </c>
      <c r="C2366" t="s">
        <v>2294</v>
      </c>
      <c r="D2366" s="1">
        <v>46028</v>
      </c>
      <c r="E2366" t="s">
        <v>2295</v>
      </c>
      <c r="F2366">
        <v>9</v>
      </c>
      <c r="G2366">
        <v>197</v>
      </c>
      <c r="H2366" t="str">
        <f>VLOOKUP(G2366,[1]OPERADORES!$A:$B,2,0)</f>
        <v xml:space="preserve">POLIANA LORRANE DE AMORIM </v>
      </c>
      <c r="I2366" t="s">
        <v>21</v>
      </c>
      <c r="J2366" t="s">
        <v>2296</v>
      </c>
      <c r="K2366" t="s">
        <v>2297</v>
      </c>
      <c r="L2366">
        <v>84144</v>
      </c>
      <c r="M2366" t="s">
        <v>1287</v>
      </c>
      <c r="O2366" t="s">
        <v>11</v>
      </c>
      <c r="P2366">
        <v>5403</v>
      </c>
      <c r="Q2366">
        <v>4</v>
      </c>
      <c r="R2366">
        <v>68.510000000000005</v>
      </c>
      <c r="S2366">
        <v>274.04000000000002</v>
      </c>
      <c r="T2366">
        <v>208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2293</v>
      </c>
      <c r="C2367" t="s">
        <v>2294</v>
      </c>
      <c r="D2367" s="1">
        <v>46028</v>
      </c>
      <c r="E2367" t="s">
        <v>2295</v>
      </c>
      <c r="F2367">
        <v>9</v>
      </c>
      <c r="G2367">
        <v>197</v>
      </c>
      <c r="H2367" t="str">
        <f>VLOOKUP(G2367,[1]OPERADORES!$A:$B,2,0)</f>
        <v xml:space="preserve">POLIANA LORRANE DE AMORIM </v>
      </c>
      <c r="I2367" t="s">
        <v>21</v>
      </c>
      <c r="J2367" t="s">
        <v>2296</v>
      </c>
      <c r="K2367" t="s">
        <v>2297</v>
      </c>
      <c r="L2367">
        <v>84146</v>
      </c>
      <c r="M2367" t="s">
        <v>1707</v>
      </c>
      <c r="O2367" t="s">
        <v>11</v>
      </c>
      <c r="P2367">
        <v>5403</v>
      </c>
      <c r="Q2367">
        <v>6</v>
      </c>
      <c r="R2367">
        <v>21.56</v>
      </c>
      <c r="S2367">
        <v>129.36000000000001</v>
      </c>
      <c r="T2367">
        <v>98.22</v>
      </c>
      <c r="U2367">
        <v>24.07</v>
      </c>
      <c r="V2367" t="str">
        <f>VLOOKUP(L2367,'[2]tabela de preços'!$A:$D,4,0)</f>
        <v>BRASILUX</v>
      </c>
      <c r="W2367" t="str">
        <f>VLOOKUP(L2367,'[2]tabela de preços'!$A:$F,6,0)</f>
        <v>ESMALTES</v>
      </c>
      <c r="X2367" t="str">
        <f>VLOOKUP(L2367,'[2]tabela de preços'!$A:$G,7,0)</f>
        <v>INDUSTRIAL</v>
      </c>
    </row>
    <row r="2368" spans="1:24" x14ac:dyDescent="0.3">
      <c r="A2368" t="s">
        <v>2293</v>
      </c>
      <c r="C2368" t="s">
        <v>2294</v>
      </c>
      <c r="D2368" s="1">
        <v>46028</v>
      </c>
      <c r="E2368" t="s">
        <v>2295</v>
      </c>
      <c r="F2368">
        <v>9</v>
      </c>
      <c r="G2368">
        <v>197</v>
      </c>
      <c r="H2368" t="str">
        <f>VLOOKUP(G2368,[1]OPERADORES!$A:$B,2,0)</f>
        <v xml:space="preserve">POLIANA LORRANE DE AMORIM </v>
      </c>
      <c r="I2368" t="s">
        <v>21</v>
      </c>
      <c r="J2368" t="s">
        <v>2296</v>
      </c>
      <c r="K2368" t="s">
        <v>2297</v>
      </c>
      <c r="L2368">
        <v>84147</v>
      </c>
      <c r="M2368" t="s">
        <v>1717</v>
      </c>
      <c r="O2368" t="s">
        <v>11</v>
      </c>
      <c r="P2368">
        <v>5403</v>
      </c>
      <c r="Q2368">
        <v>3</v>
      </c>
      <c r="R2368">
        <v>19.41</v>
      </c>
      <c r="S2368">
        <v>58.23</v>
      </c>
      <c r="T2368">
        <v>44.19</v>
      </c>
      <c r="U2368">
        <v>24.11</v>
      </c>
      <c r="V2368" t="str">
        <f>VLOOKUP(L2368,'[2]tabela de preços'!$A:$D,4,0)</f>
        <v>BRASILUX</v>
      </c>
      <c r="W2368" t="str">
        <f>VLOOKUP(L2368,'[2]tabela de preços'!$A:$F,6,0)</f>
        <v>ESMALTES</v>
      </c>
      <c r="X2368" t="str">
        <f>VLOOKUP(L2368,'[2]tabela de preços'!$A:$G,7,0)</f>
        <v>INDUSTRIAL</v>
      </c>
    </row>
    <row r="2369" spans="1:24" x14ac:dyDescent="0.3">
      <c r="A2369" t="s">
        <v>2293</v>
      </c>
      <c r="C2369" t="s">
        <v>2294</v>
      </c>
      <c r="D2369" s="1">
        <v>46028</v>
      </c>
      <c r="E2369" t="s">
        <v>2295</v>
      </c>
      <c r="F2369">
        <v>9</v>
      </c>
      <c r="G2369">
        <v>197</v>
      </c>
      <c r="H2369" t="str">
        <f>VLOOKUP(G2369,[1]OPERADORES!$A:$B,2,0)</f>
        <v xml:space="preserve">POLIANA LORRANE DE AMORIM </v>
      </c>
      <c r="I2369" t="s">
        <v>21</v>
      </c>
      <c r="J2369" t="s">
        <v>2296</v>
      </c>
      <c r="K2369" t="s">
        <v>2297</v>
      </c>
      <c r="L2369">
        <v>84175</v>
      </c>
      <c r="M2369" t="s">
        <v>1429</v>
      </c>
      <c r="O2369" t="s">
        <v>11</v>
      </c>
      <c r="P2369">
        <v>5403</v>
      </c>
      <c r="Q2369">
        <v>1</v>
      </c>
      <c r="R2369">
        <v>91.77</v>
      </c>
      <c r="S2369">
        <v>91.77</v>
      </c>
      <c r="T2369">
        <v>69.66</v>
      </c>
      <c r="U2369">
        <v>24.09</v>
      </c>
      <c r="V2369" t="str">
        <f>VLOOKUP(L2369,'[2]tabela de preços'!$A:$D,4,0)</f>
        <v>BRASILUX</v>
      </c>
      <c r="W2369" t="str">
        <f>VLOOKUP(L2369,'[2]tabela de preços'!$A:$F,6,0)</f>
        <v>ESMALTES</v>
      </c>
      <c r="X2369" t="str">
        <f>VLOOKUP(L2369,'[2]tabela de preços'!$A:$G,7,0)</f>
        <v>INDUSTRIAL</v>
      </c>
    </row>
    <row r="2370" spans="1:24" x14ac:dyDescent="0.3">
      <c r="A2370" t="s">
        <v>2293</v>
      </c>
      <c r="C2370" t="s">
        <v>2294</v>
      </c>
      <c r="D2370" s="1">
        <v>46028</v>
      </c>
      <c r="E2370" t="s">
        <v>2295</v>
      </c>
      <c r="F2370">
        <v>9</v>
      </c>
      <c r="G2370">
        <v>197</v>
      </c>
      <c r="H2370" t="str">
        <f>VLOOKUP(G2370,[1]OPERADORES!$A:$B,2,0)</f>
        <v xml:space="preserve">POLIANA LORRANE DE AMORIM </v>
      </c>
      <c r="I2370" t="s">
        <v>21</v>
      </c>
      <c r="J2370" t="s">
        <v>2296</v>
      </c>
      <c r="K2370" t="s">
        <v>2297</v>
      </c>
      <c r="L2370">
        <v>86995</v>
      </c>
      <c r="M2370" t="s">
        <v>37</v>
      </c>
      <c r="O2370" t="s">
        <v>11</v>
      </c>
      <c r="P2370">
        <v>5102</v>
      </c>
      <c r="Q2370">
        <v>12</v>
      </c>
      <c r="R2370">
        <v>7.39</v>
      </c>
      <c r="S2370">
        <v>88.68</v>
      </c>
      <c r="T2370">
        <v>69.959999999999994</v>
      </c>
      <c r="U2370">
        <v>21.11</v>
      </c>
      <c r="V2370" t="str">
        <f>VLOOKUP(L2370,'[2]tabela de preços'!$A:$D,4,0)</f>
        <v>AUTOAMERICA</v>
      </c>
      <c r="W2370" t="str">
        <f>VLOOKUP(L2370,'[2]tabela de preços'!$A:$F,6,0)</f>
        <v>FLANELAS / PANOS</v>
      </c>
      <c r="X2370" t="str">
        <f>VLOOKUP(L2370,'[2]tabela de preços'!$A:$G,7,0)</f>
        <v>AUTOMOTIVO</v>
      </c>
    </row>
    <row r="2371" spans="1:24" x14ac:dyDescent="0.3">
      <c r="A2371" t="s">
        <v>2293</v>
      </c>
      <c r="C2371" t="s">
        <v>2294</v>
      </c>
      <c r="D2371" s="1">
        <v>46028</v>
      </c>
      <c r="E2371" t="s">
        <v>2295</v>
      </c>
      <c r="F2371">
        <v>9</v>
      </c>
      <c r="G2371">
        <v>197</v>
      </c>
      <c r="H2371" t="str">
        <f>VLOOKUP(G2371,[1]OPERADORES!$A:$B,2,0)</f>
        <v xml:space="preserve">POLIANA LORRANE DE AMORIM </v>
      </c>
      <c r="I2371" t="s">
        <v>21</v>
      </c>
      <c r="J2371" t="s">
        <v>2296</v>
      </c>
      <c r="K2371" t="s">
        <v>2297</v>
      </c>
      <c r="L2371">
        <v>84046</v>
      </c>
      <c r="M2371" t="s">
        <v>754</v>
      </c>
      <c r="O2371" t="s">
        <v>11</v>
      </c>
      <c r="P2371">
        <v>5102</v>
      </c>
      <c r="Q2371">
        <v>3</v>
      </c>
      <c r="R2371">
        <v>11.84</v>
      </c>
      <c r="S2371">
        <v>35.520000000000003</v>
      </c>
      <c r="T2371">
        <v>26.97</v>
      </c>
      <c r="U2371">
        <v>24.07</v>
      </c>
      <c r="V2371" t="str">
        <f>VLOOKUP(L2371,'[2]tabela de preços'!$A:$D,4,0)</f>
        <v>BRASILUX</v>
      </c>
      <c r="W2371" t="str">
        <f>VLOOKUP(L2371,'[2]tabela de preços'!$A:$F,6,0)</f>
        <v>MASSA DE POLIR</v>
      </c>
      <c r="X2371" t="str">
        <f>VLOOKUP(L2371,'[2]tabela de preços'!$A:$G,7,0)</f>
        <v>AUTOMOTIVO</v>
      </c>
    </row>
    <row r="2372" spans="1:24" x14ac:dyDescent="0.3">
      <c r="A2372" t="s">
        <v>2293</v>
      </c>
      <c r="C2372" t="s">
        <v>2294</v>
      </c>
      <c r="D2372" s="1">
        <v>46028</v>
      </c>
      <c r="E2372" t="s">
        <v>2295</v>
      </c>
      <c r="F2372">
        <v>9</v>
      </c>
      <c r="G2372">
        <v>197</v>
      </c>
      <c r="H2372" t="str">
        <f>VLOOKUP(G2372,[1]OPERADORES!$A:$B,2,0)</f>
        <v xml:space="preserve">POLIANA LORRANE DE AMORIM </v>
      </c>
      <c r="I2372" t="s">
        <v>21</v>
      </c>
      <c r="J2372" t="s">
        <v>2296</v>
      </c>
      <c r="K2372" t="s">
        <v>2297</v>
      </c>
      <c r="L2372">
        <v>85698</v>
      </c>
      <c r="M2372" t="s">
        <v>1946</v>
      </c>
      <c r="O2372" t="s">
        <v>11</v>
      </c>
      <c r="P2372">
        <v>5102</v>
      </c>
      <c r="Q2372">
        <v>1</v>
      </c>
      <c r="R2372">
        <v>136.83000000000001</v>
      </c>
      <c r="S2372">
        <v>136.83000000000001</v>
      </c>
      <c r="T2372">
        <v>103.86</v>
      </c>
      <c r="U2372">
        <v>24.1</v>
      </c>
      <c r="V2372" t="str">
        <f>VLOOKUP(L2372,'[2]tabela de preços'!$A:$D,4,0)</f>
        <v>SIMAPPEL</v>
      </c>
      <c r="W2372" t="str">
        <f>VLOOKUP(L2372,'[2]tabela de preços'!$A:$F,6,0)</f>
        <v>PAPELAO ONDULADO</v>
      </c>
      <c r="X2372" t="str">
        <f>VLOOKUP(L2372,'[2]tabela de preços'!$A:$G,7,0)</f>
        <v>IMOBILIÁRIO</v>
      </c>
    </row>
    <row r="2373" spans="1:24" x14ac:dyDescent="0.3">
      <c r="A2373" t="s">
        <v>2293</v>
      </c>
      <c r="C2373" t="s">
        <v>2294</v>
      </c>
      <c r="D2373" s="1">
        <v>46028</v>
      </c>
      <c r="E2373" t="s">
        <v>2295</v>
      </c>
      <c r="F2373">
        <v>9</v>
      </c>
      <c r="G2373">
        <v>197</v>
      </c>
      <c r="H2373" t="str">
        <f>VLOOKUP(G2373,[1]OPERADORES!$A:$B,2,0)</f>
        <v xml:space="preserve">POLIANA LORRANE DE AMORIM </v>
      </c>
      <c r="I2373" t="s">
        <v>21</v>
      </c>
      <c r="J2373" t="s">
        <v>2296</v>
      </c>
      <c r="K2373" t="s">
        <v>2297</v>
      </c>
      <c r="L2373">
        <v>85698</v>
      </c>
      <c r="M2373" t="s">
        <v>1946</v>
      </c>
      <c r="O2373" t="s">
        <v>11</v>
      </c>
      <c r="P2373">
        <v>5102</v>
      </c>
      <c r="Q2373">
        <v>2</v>
      </c>
      <c r="R2373">
        <v>136.82</v>
      </c>
      <c r="S2373">
        <v>273.64</v>
      </c>
      <c r="T2373">
        <v>207.72</v>
      </c>
      <c r="U2373">
        <v>24.09</v>
      </c>
      <c r="V2373" t="str">
        <f>VLOOKUP(L2373,'[2]tabela de preços'!$A:$D,4,0)</f>
        <v>SIMAPPEL</v>
      </c>
      <c r="W2373" t="str">
        <f>VLOOKUP(L2373,'[2]tabela de preços'!$A:$F,6,0)</f>
        <v>PAPELAO ONDULADO</v>
      </c>
      <c r="X2373" t="str">
        <f>VLOOKUP(L2373,'[2]tabela de preços'!$A:$G,7,0)</f>
        <v>IMOBILIÁRIO</v>
      </c>
    </row>
    <row r="2374" spans="1:24" x14ac:dyDescent="0.3">
      <c r="A2374" t="s">
        <v>2293</v>
      </c>
      <c r="C2374" t="s">
        <v>2300</v>
      </c>
      <c r="D2374" s="1">
        <v>46029</v>
      </c>
      <c r="F2374">
        <v>9</v>
      </c>
      <c r="G2374">
        <v>197</v>
      </c>
      <c r="H2374" t="str">
        <f>VLOOKUP(G2374,[1]OPERADORES!$A:$B,2,0)</f>
        <v xml:space="preserve">POLIANA LORRANE DE AMORIM </v>
      </c>
      <c r="I2374" t="s">
        <v>21</v>
      </c>
      <c r="J2374" t="s">
        <v>2296</v>
      </c>
      <c r="K2374" t="s">
        <v>2297</v>
      </c>
      <c r="L2374">
        <v>84618</v>
      </c>
      <c r="M2374" t="s">
        <v>2299</v>
      </c>
      <c r="N2374" t="s">
        <v>2301</v>
      </c>
      <c r="O2374" t="s">
        <v>11</v>
      </c>
      <c r="P2374">
        <v>1411</v>
      </c>
      <c r="Q2374">
        <v>-1</v>
      </c>
      <c r="R2374">
        <v>57.04</v>
      </c>
      <c r="S2374">
        <v>-57.04</v>
      </c>
      <c r="T2374">
        <v>-43.29</v>
      </c>
      <c r="U2374">
        <v>24.11</v>
      </c>
      <c r="V2374" t="str">
        <f>VLOOKUP(L2374,'[2]tabela de preços'!$A:$D,4,0)</f>
        <v>BRASILUX</v>
      </c>
      <c r="W2374" t="str">
        <f>VLOOKUP(L2374,'[2]tabela de preços'!$A:$F,6,0)</f>
        <v>BASES IMOBILIÁRIAS</v>
      </c>
      <c r="X2374" t="str">
        <f>VLOOKUP(L2374,'[2]tabela de preços'!$A:$G,7,0)</f>
        <v>IMOBILIÁRIO</v>
      </c>
    </row>
    <row r="2375" spans="1:24" x14ac:dyDescent="0.3">
      <c r="A2375" t="s">
        <v>2293</v>
      </c>
      <c r="C2375" t="s">
        <v>2302</v>
      </c>
      <c r="D2375" s="1">
        <v>46038</v>
      </c>
      <c r="E2375" t="s">
        <v>2303</v>
      </c>
      <c r="F2375">
        <v>9</v>
      </c>
      <c r="G2375">
        <v>197</v>
      </c>
      <c r="H2375" t="str">
        <f>VLOOKUP(G2375,[1]OPERADORES!$A:$B,2,0)</f>
        <v xml:space="preserve">POLIANA LORRANE DE AMORIM </v>
      </c>
      <c r="I2375" t="s">
        <v>21</v>
      </c>
      <c r="J2375" t="s">
        <v>2296</v>
      </c>
      <c r="K2375" t="s">
        <v>2297</v>
      </c>
      <c r="L2375">
        <v>84616</v>
      </c>
      <c r="M2375" t="s">
        <v>2298</v>
      </c>
      <c r="O2375" t="s">
        <v>11</v>
      </c>
      <c r="P2375">
        <v>5403</v>
      </c>
      <c r="Q2375">
        <v>2</v>
      </c>
      <c r="R2375">
        <v>62.66</v>
      </c>
      <c r="S2375">
        <v>125.32</v>
      </c>
      <c r="T2375">
        <v>95.12</v>
      </c>
      <c r="U2375">
        <v>24.1</v>
      </c>
      <c r="V2375" t="str">
        <f>VLOOKUP(L2375,'[2]tabela de preços'!$A:$D,4,0)</f>
        <v>BRASILUX</v>
      </c>
      <c r="W2375" t="str">
        <f>VLOOKUP(L2375,'[2]tabela de preços'!$A:$F,6,0)</f>
        <v>BASES IMOBILIÁRIAS</v>
      </c>
      <c r="X2375" t="str">
        <f>VLOOKUP(L2375,'[2]tabela de preços'!$A:$G,7,0)</f>
        <v>IMOBILIÁRIO</v>
      </c>
    </row>
    <row r="2376" spans="1:24" x14ac:dyDescent="0.3">
      <c r="A2376" t="s">
        <v>2293</v>
      </c>
      <c r="C2376" t="s">
        <v>2302</v>
      </c>
      <c r="D2376" s="1">
        <v>46038</v>
      </c>
      <c r="E2376" t="s">
        <v>2303</v>
      </c>
      <c r="F2376">
        <v>9</v>
      </c>
      <c r="G2376">
        <v>197</v>
      </c>
      <c r="H2376" t="str">
        <f>VLOOKUP(G2376,[1]OPERADORES!$A:$B,2,0)</f>
        <v xml:space="preserve">POLIANA LORRANE DE AMORIM </v>
      </c>
      <c r="I2376" t="s">
        <v>21</v>
      </c>
      <c r="J2376" t="s">
        <v>2296</v>
      </c>
      <c r="K2376" t="s">
        <v>2297</v>
      </c>
      <c r="L2376">
        <v>84615</v>
      </c>
      <c r="M2376" t="s">
        <v>2304</v>
      </c>
      <c r="O2376" t="s">
        <v>11</v>
      </c>
      <c r="P2376">
        <v>5403</v>
      </c>
      <c r="Q2376">
        <v>2</v>
      </c>
      <c r="R2376">
        <v>17.91</v>
      </c>
      <c r="S2376">
        <v>35.82</v>
      </c>
      <c r="T2376">
        <v>27.18</v>
      </c>
      <c r="U2376">
        <v>24.12</v>
      </c>
      <c r="V2376" t="str">
        <f>VLOOKUP(L2376,'[2]tabela de preços'!$A:$D,4,0)</f>
        <v>BRASILUX</v>
      </c>
      <c r="W2376" t="str">
        <f>VLOOKUP(L2376,'[2]tabela de preços'!$A:$F,6,0)</f>
        <v>BASES IMOBILIÁRIAS</v>
      </c>
      <c r="X2376" t="str">
        <f>VLOOKUP(L2376,'[2]tabela de preços'!$A:$G,7,0)</f>
        <v>IMOBILIÁRIO</v>
      </c>
    </row>
    <row r="2377" spans="1:24" x14ac:dyDescent="0.3">
      <c r="A2377" t="s">
        <v>2293</v>
      </c>
      <c r="C2377" t="s">
        <v>2302</v>
      </c>
      <c r="D2377" s="1">
        <v>46038</v>
      </c>
      <c r="E2377" t="s">
        <v>2303</v>
      </c>
      <c r="F2377">
        <v>9</v>
      </c>
      <c r="G2377">
        <v>197</v>
      </c>
      <c r="H2377" t="str">
        <f>VLOOKUP(G2377,[1]OPERADORES!$A:$B,2,0)</f>
        <v xml:space="preserve">POLIANA LORRANE DE AMORIM </v>
      </c>
      <c r="I2377" t="s">
        <v>21</v>
      </c>
      <c r="J2377" t="s">
        <v>2296</v>
      </c>
      <c r="K2377" t="s">
        <v>2297</v>
      </c>
      <c r="L2377">
        <v>84293</v>
      </c>
      <c r="M2377" t="s">
        <v>2077</v>
      </c>
      <c r="O2377" t="s">
        <v>11</v>
      </c>
      <c r="P2377">
        <v>5403</v>
      </c>
      <c r="Q2377">
        <v>2</v>
      </c>
      <c r="R2377">
        <v>83.95</v>
      </c>
      <c r="S2377">
        <v>167.9</v>
      </c>
      <c r="T2377">
        <v>127.42</v>
      </c>
      <c r="U2377">
        <v>24.11</v>
      </c>
      <c r="V2377" t="str">
        <f>VLOOKUP(L2377,'[2]tabela de preços'!$A:$D,4,0)</f>
        <v>BRASILUX</v>
      </c>
      <c r="W2377" t="str">
        <f>VLOOKUP(L2377,'[2]tabela de preços'!$A:$F,6,0)</f>
        <v>TINTA PAREDE</v>
      </c>
      <c r="X2377" t="str">
        <f>VLOOKUP(L2377,'[2]tabela de preços'!$A:$G,7,0)</f>
        <v>IMOBILIÁRIO</v>
      </c>
    </row>
    <row r="2378" spans="1:24" x14ac:dyDescent="0.3">
      <c r="A2378" t="s">
        <v>2293</v>
      </c>
      <c r="C2378" t="s">
        <v>2302</v>
      </c>
      <c r="D2378" s="1">
        <v>46038</v>
      </c>
      <c r="E2378" t="s">
        <v>2303</v>
      </c>
      <c r="F2378">
        <v>9</v>
      </c>
      <c r="G2378">
        <v>197</v>
      </c>
      <c r="H2378" t="str">
        <f>VLOOKUP(G2378,[1]OPERADORES!$A:$B,2,0)</f>
        <v xml:space="preserve">POLIANA LORRANE DE AMORIM </v>
      </c>
      <c r="I2378" t="s">
        <v>21</v>
      </c>
      <c r="J2378" t="s">
        <v>2296</v>
      </c>
      <c r="K2378" t="s">
        <v>2297</v>
      </c>
      <c r="L2378">
        <v>85053</v>
      </c>
      <c r="M2378" t="s">
        <v>2305</v>
      </c>
      <c r="O2378" t="s">
        <v>11</v>
      </c>
      <c r="P2378">
        <v>5102</v>
      </c>
      <c r="Q2378">
        <v>3</v>
      </c>
      <c r="R2378">
        <v>4.96</v>
      </c>
      <c r="S2378">
        <v>14.88</v>
      </c>
      <c r="T2378">
        <v>11.28</v>
      </c>
      <c r="U2378">
        <v>24.19</v>
      </c>
      <c r="V2378" t="str">
        <f>VLOOKUP(L2378,'[2]tabela de preços'!$A:$D,4,0)</f>
        <v>ATLAS</v>
      </c>
      <c r="W2378" t="str">
        <f>VLOOKUP(L2378,'[2]tabela de preços'!$A:$F,6,0)</f>
        <v>ROLOS / TRINCHAS / PINCÉIS / ESPÁTULAS</v>
      </c>
      <c r="X2378" t="str">
        <f>VLOOKUP(L2378,'[2]tabela de preços'!$A:$G,7,0)</f>
        <v>IMOBILIÁRIO</v>
      </c>
    </row>
    <row r="2379" spans="1:24" x14ac:dyDescent="0.3">
      <c r="A2379" t="s">
        <v>2293</v>
      </c>
      <c r="C2379" t="s">
        <v>2302</v>
      </c>
      <c r="D2379" s="1">
        <v>46038</v>
      </c>
      <c r="E2379" t="s">
        <v>2303</v>
      </c>
      <c r="F2379">
        <v>9</v>
      </c>
      <c r="G2379">
        <v>197</v>
      </c>
      <c r="H2379" t="str">
        <f>VLOOKUP(G2379,[1]OPERADORES!$A:$B,2,0)</f>
        <v xml:space="preserve">POLIANA LORRANE DE AMORIM </v>
      </c>
      <c r="I2379" t="s">
        <v>21</v>
      </c>
      <c r="J2379" t="s">
        <v>2296</v>
      </c>
      <c r="K2379" t="s">
        <v>2297</v>
      </c>
      <c r="L2379">
        <v>84142</v>
      </c>
      <c r="M2379" t="s">
        <v>1594</v>
      </c>
      <c r="O2379" t="s">
        <v>11</v>
      </c>
      <c r="P2379">
        <v>5403</v>
      </c>
      <c r="Q2379">
        <v>4</v>
      </c>
      <c r="R2379">
        <v>74.94</v>
      </c>
      <c r="S2379">
        <v>299.76</v>
      </c>
      <c r="T2379">
        <v>227.52</v>
      </c>
      <c r="U2379">
        <v>24.1</v>
      </c>
      <c r="V2379" t="str">
        <f>VLOOKUP(L2379,'[2]tabela de preços'!$A:$D,4,0)</f>
        <v>BRASILUX</v>
      </c>
      <c r="W2379" t="str">
        <f>VLOOKUP(L2379,'[2]tabela de preços'!$A:$F,6,0)</f>
        <v>ESMALTES</v>
      </c>
      <c r="X2379" t="str">
        <f>VLOOKUP(L2379,'[2]tabela de preços'!$A:$G,7,0)</f>
        <v>INDUSTRIAL</v>
      </c>
    </row>
    <row r="2380" spans="1:24" x14ac:dyDescent="0.3">
      <c r="A2380" t="s">
        <v>2293</v>
      </c>
      <c r="C2380" t="s">
        <v>2302</v>
      </c>
      <c r="D2380" s="1">
        <v>46038</v>
      </c>
      <c r="E2380" t="s">
        <v>2303</v>
      </c>
      <c r="F2380">
        <v>9</v>
      </c>
      <c r="G2380">
        <v>197</v>
      </c>
      <c r="H2380" t="str">
        <f>VLOOKUP(G2380,[1]OPERADORES!$A:$B,2,0)</f>
        <v xml:space="preserve">POLIANA LORRANE DE AMORIM </v>
      </c>
      <c r="I2380" t="s">
        <v>21</v>
      </c>
      <c r="J2380" t="s">
        <v>2296</v>
      </c>
      <c r="K2380" t="s">
        <v>2297</v>
      </c>
      <c r="L2380">
        <v>84331</v>
      </c>
      <c r="M2380" t="s">
        <v>497</v>
      </c>
      <c r="O2380" t="s">
        <v>11</v>
      </c>
      <c r="P2380">
        <v>5403</v>
      </c>
      <c r="Q2380">
        <v>2</v>
      </c>
      <c r="R2380">
        <v>59.98</v>
      </c>
      <c r="S2380">
        <v>119.96</v>
      </c>
      <c r="T2380">
        <v>104</v>
      </c>
      <c r="U2380">
        <v>13.3</v>
      </c>
      <c r="V2380" t="str">
        <f>VLOOKUP(L2380,'[2]tabela de preços'!$A:$D,4,0)</f>
        <v>BRASILUX</v>
      </c>
      <c r="W2380" t="str">
        <f>VLOOKUP(L2380,'[2]tabela de preços'!$A:$F,6,0)</f>
        <v>ESMALTES</v>
      </c>
      <c r="X2380" t="str">
        <f>VLOOKUP(L2380,'[2]tabela de preços'!$A:$G,7,0)</f>
        <v>INDUSTRIAL</v>
      </c>
    </row>
    <row r="2381" spans="1:24" x14ac:dyDescent="0.3">
      <c r="A2381" t="s">
        <v>2293</v>
      </c>
      <c r="C2381" t="s">
        <v>2302</v>
      </c>
      <c r="D2381" s="1">
        <v>46038</v>
      </c>
      <c r="E2381" t="s">
        <v>2303</v>
      </c>
      <c r="F2381">
        <v>9</v>
      </c>
      <c r="G2381">
        <v>197</v>
      </c>
      <c r="H2381" t="str">
        <f>VLOOKUP(G2381,[1]OPERADORES!$A:$B,2,0)</f>
        <v xml:space="preserve">POLIANA LORRANE DE AMORIM </v>
      </c>
      <c r="I2381" t="s">
        <v>21</v>
      </c>
      <c r="J2381" t="s">
        <v>2296</v>
      </c>
      <c r="K2381" t="s">
        <v>2297</v>
      </c>
      <c r="L2381">
        <v>84144</v>
      </c>
      <c r="M2381" t="s">
        <v>1287</v>
      </c>
      <c r="O2381" t="s">
        <v>11</v>
      </c>
      <c r="P2381">
        <v>5403</v>
      </c>
      <c r="Q2381">
        <v>2</v>
      </c>
      <c r="R2381">
        <v>59.98</v>
      </c>
      <c r="S2381">
        <v>119.96</v>
      </c>
      <c r="T2381">
        <v>104</v>
      </c>
      <c r="U2381">
        <v>13.3</v>
      </c>
      <c r="V2381" t="str">
        <f>VLOOKUP(L2381,'[2]tabela de preços'!$A:$D,4,0)</f>
        <v>BRASILUX</v>
      </c>
      <c r="W2381" t="str">
        <f>VLOOKUP(L2381,'[2]tabela de preços'!$A:$F,6,0)</f>
        <v>ESMALTES</v>
      </c>
      <c r="X2381" t="str">
        <f>VLOOKUP(L2381,'[2]tabela de preços'!$A:$G,7,0)</f>
        <v>INDUSTRIAL</v>
      </c>
    </row>
    <row r="2382" spans="1:24" x14ac:dyDescent="0.3">
      <c r="A2382" t="s">
        <v>2293</v>
      </c>
      <c r="C2382" t="s">
        <v>2302</v>
      </c>
      <c r="D2382" s="1">
        <v>46038</v>
      </c>
      <c r="E2382" t="s">
        <v>2303</v>
      </c>
      <c r="F2382">
        <v>9</v>
      </c>
      <c r="G2382">
        <v>197</v>
      </c>
      <c r="H2382" t="str">
        <f>VLOOKUP(G2382,[1]OPERADORES!$A:$B,2,0)</f>
        <v xml:space="preserve">POLIANA LORRANE DE AMORIM </v>
      </c>
      <c r="I2382" t="s">
        <v>21</v>
      </c>
      <c r="J2382" t="s">
        <v>2296</v>
      </c>
      <c r="K2382" t="s">
        <v>2297</v>
      </c>
      <c r="L2382">
        <v>10297</v>
      </c>
      <c r="M2382" t="s">
        <v>41</v>
      </c>
      <c r="O2382" t="s">
        <v>11</v>
      </c>
      <c r="P2382">
        <v>5102</v>
      </c>
      <c r="Q2382">
        <v>12</v>
      </c>
      <c r="R2382">
        <v>10.89</v>
      </c>
      <c r="S2382">
        <v>130.68</v>
      </c>
      <c r="T2382">
        <v>110.04</v>
      </c>
      <c r="U2382">
        <v>15.79</v>
      </c>
      <c r="V2382" t="str">
        <f>VLOOKUP(L2382,'[2]tabela de preços'!$A:$D,4,0)</f>
        <v>ANJO</v>
      </c>
      <c r="W2382" t="str">
        <f>VLOOKUP(L2382,'[2]tabela de preços'!$A:$F,6,0)</f>
        <v>THINNER DE LIMPEZA</v>
      </c>
      <c r="X2382" t="str">
        <f>VLOOKUP(L2382,'[2]tabela de preços'!$A:$G,7,0)</f>
        <v>THINNER</v>
      </c>
    </row>
    <row r="2383" spans="1:24" x14ac:dyDescent="0.3">
      <c r="A2383" t="s">
        <v>2306</v>
      </c>
      <c r="C2383" t="s">
        <v>2307</v>
      </c>
      <c r="D2383" s="1">
        <v>46028</v>
      </c>
      <c r="E2383" t="s">
        <v>2308</v>
      </c>
      <c r="F2383">
        <v>9</v>
      </c>
      <c r="G2383">
        <v>230</v>
      </c>
      <c r="H2383" t="str">
        <f>VLOOKUP(G2383,[1]OPERADORES!$A:$B,2,0)</f>
        <v>SÔNIA</v>
      </c>
      <c r="I2383" t="s">
        <v>21</v>
      </c>
      <c r="J2383" t="s">
        <v>2309</v>
      </c>
      <c r="K2383" t="s">
        <v>2310</v>
      </c>
      <c r="L2383">
        <v>84219</v>
      </c>
      <c r="M2383" t="s">
        <v>878</v>
      </c>
      <c r="O2383" t="s">
        <v>11</v>
      </c>
      <c r="P2383">
        <v>5403</v>
      </c>
      <c r="Q2383">
        <v>3</v>
      </c>
      <c r="R2383">
        <v>52.58</v>
      </c>
      <c r="S2383">
        <v>157.74</v>
      </c>
      <c r="T2383">
        <v>120.09</v>
      </c>
      <c r="U2383">
        <v>23.87</v>
      </c>
      <c r="V2383" t="str">
        <f>VLOOKUP(L2383,'[2]tabela de preços'!$A:$D,4,0)</f>
        <v>BRASILUX</v>
      </c>
      <c r="W2383" t="str">
        <f>VLOOKUP(L2383,'[2]tabela de preços'!$A:$F,6,0)</f>
        <v>ESMALTES</v>
      </c>
      <c r="X2383" t="str">
        <f>VLOOKUP(L2383,'[2]tabela de preços'!$A:$G,7,0)</f>
        <v>INDUSTRIAL</v>
      </c>
    </row>
    <row r="2384" spans="1:24" x14ac:dyDescent="0.3">
      <c r="A2384" t="s">
        <v>2306</v>
      </c>
      <c r="C2384" t="s">
        <v>2307</v>
      </c>
      <c r="D2384" s="1">
        <v>46028</v>
      </c>
      <c r="E2384" t="s">
        <v>2308</v>
      </c>
      <c r="F2384">
        <v>9</v>
      </c>
      <c r="G2384">
        <v>230</v>
      </c>
      <c r="H2384" t="str">
        <f>VLOOKUP(G2384,[1]OPERADORES!$A:$B,2,0)</f>
        <v>SÔNIA</v>
      </c>
      <c r="I2384" t="s">
        <v>21</v>
      </c>
      <c r="J2384" t="s">
        <v>2309</v>
      </c>
      <c r="K2384" t="s">
        <v>2310</v>
      </c>
      <c r="L2384">
        <v>84218</v>
      </c>
      <c r="M2384" t="s">
        <v>879</v>
      </c>
      <c r="O2384" t="s">
        <v>11</v>
      </c>
      <c r="P2384">
        <v>5403</v>
      </c>
      <c r="Q2384">
        <v>2</v>
      </c>
      <c r="R2384">
        <v>56.91</v>
      </c>
      <c r="S2384">
        <v>113.82</v>
      </c>
      <c r="T2384">
        <v>86.7</v>
      </c>
      <c r="U2384">
        <v>23.83</v>
      </c>
      <c r="V2384" t="str">
        <f>VLOOKUP(L2384,'[2]tabela de preços'!$A:$D,4,0)</f>
        <v>BRASILUX</v>
      </c>
      <c r="W2384" t="str">
        <f>VLOOKUP(L2384,'[2]tabela de preços'!$A:$F,6,0)</f>
        <v>ESMALTES</v>
      </c>
      <c r="X2384" t="str">
        <f>VLOOKUP(L2384,'[2]tabela de preços'!$A:$G,7,0)</f>
        <v>INDUSTRIAL</v>
      </c>
    </row>
    <row r="2385" spans="1:24" x14ac:dyDescent="0.3">
      <c r="A2385" t="s">
        <v>2306</v>
      </c>
      <c r="C2385" t="s">
        <v>2307</v>
      </c>
      <c r="D2385" s="1">
        <v>46028</v>
      </c>
      <c r="E2385" t="s">
        <v>2308</v>
      </c>
      <c r="F2385">
        <v>9</v>
      </c>
      <c r="G2385">
        <v>230</v>
      </c>
      <c r="H2385" t="str">
        <f>VLOOKUP(G2385,[1]OPERADORES!$A:$B,2,0)</f>
        <v>SÔNIA</v>
      </c>
      <c r="I2385" t="s">
        <v>21</v>
      </c>
      <c r="J2385" t="s">
        <v>2309</v>
      </c>
      <c r="K2385" t="s">
        <v>2310</v>
      </c>
      <c r="L2385">
        <v>84222</v>
      </c>
      <c r="M2385" t="s">
        <v>1548</v>
      </c>
      <c r="O2385" t="s">
        <v>11</v>
      </c>
      <c r="P2385">
        <v>5403</v>
      </c>
      <c r="Q2385">
        <v>3</v>
      </c>
      <c r="R2385">
        <v>16.739999999999998</v>
      </c>
      <c r="S2385">
        <v>50.22</v>
      </c>
      <c r="T2385">
        <v>38.25</v>
      </c>
      <c r="U2385">
        <v>23.84</v>
      </c>
      <c r="V2385" t="str">
        <f>VLOOKUP(L2385,'[2]tabela de preços'!$A:$D,4,0)</f>
        <v>BRASILUX</v>
      </c>
      <c r="W2385" t="str">
        <f>VLOOKUP(L2385,'[2]tabela de preços'!$A:$F,6,0)</f>
        <v>ESMALTES</v>
      </c>
      <c r="X2385" t="str">
        <f>VLOOKUP(L2385,'[2]tabela de preços'!$A:$G,7,0)</f>
        <v>INDUSTRIAL</v>
      </c>
    </row>
    <row r="2386" spans="1:24" x14ac:dyDescent="0.3">
      <c r="A2386" t="s">
        <v>2306</v>
      </c>
      <c r="C2386" t="s">
        <v>2311</v>
      </c>
      <c r="D2386" s="1">
        <v>46034</v>
      </c>
      <c r="E2386" t="s">
        <v>2312</v>
      </c>
      <c r="F2386">
        <v>9</v>
      </c>
      <c r="G2386">
        <v>230</v>
      </c>
      <c r="H2386" t="str">
        <f>VLOOKUP(G2386,[1]OPERADORES!$A:$B,2,0)</f>
        <v>SÔNIA</v>
      </c>
      <c r="I2386" t="s">
        <v>21</v>
      </c>
      <c r="J2386" t="s">
        <v>2309</v>
      </c>
      <c r="K2386" t="s">
        <v>2310</v>
      </c>
      <c r="L2386">
        <v>84113</v>
      </c>
      <c r="M2386" t="s">
        <v>737</v>
      </c>
      <c r="O2386" t="s">
        <v>11</v>
      </c>
      <c r="P2386">
        <v>5403</v>
      </c>
      <c r="Q2386">
        <v>3</v>
      </c>
      <c r="R2386">
        <v>153.99</v>
      </c>
      <c r="S2386">
        <v>461.97</v>
      </c>
      <c r="T2386">
        <v>350.64</v>
      </c>
      <c r="U2386">
        <v>24.1</v>
      </c>
      <c r="V2386" t="str">
        <f>VLOOKUP(L2386,'[2]tabela de preços'!$A:$D,4,0)</f>
        <v>BRASILUX</v>
      </c>
      <c r="W2386" t="str">
        <f>VLOOKUP(L2386,'[2]tabela de preços'!$A:$F,6,0)</f>
        <v>EPOXI</v>
      </c>
      <c r="X2386" t="str">
        <f>VLOOKUP(L2386,'[2]tabela de preços'!$A:$G,7,0)</f>
        <v>INDUSTRIAL</v>
      </c>
    </row>
    <row r="2387" spans="1:24" x14ac:dyDescent="0.3">
      <c r="A2387" t="s">
        <v>2306</v>
      </c>
      <c r="C2387" t="s">
        <v>2313</v>
      </c>
      <c r="D2387" s="1">
        <v>46035</v>
      </c>
      <c r="E2387" t="s">
        <v>2314</v>
      </c>
      <c r="F2387">
        <v>9</v>
      </c>
      <c r="G2387">
        <v>230</v>
      </c>
      <c r="H2387" t="str">
        <f>VLOOKUP(G2387,[1]OPERADORES!$A:$B,2,0)</f>
        <v>SÔNIA</v>
      </c>
      <c r="I2387" t="s">
        <v>21</v>
      </c>
      <c r="J2387" t="s">
        <v>2309</v>
      </c>
      <c r="K2387" t="s">
        <v>2310</v>
      </c>
      <c r="L2387">
        <v>84113</v>
      </c>
      <c r="M2387" t="s">
        <v>737</v>
      </c>
      <c r="O2387" t="s">
        <v>11</v>
      </c>
      <c r="P2387">
        <v>5403</v>
      </c>
      <c r="Q2387">
        <v>3</v>
      </c>
      <c r="R2387">
        <v>153.99</v>
      </c>
      <c r="S2387">
        <v>461.97</v>
      </c>
      <c r="T2387">
        <v>350.64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EPOXI</v>
      </c>
      <c r="X2387" t="str">
        <f>VLOOKUP(L2387,'[2]tabela de preços'!$A:$G,7,0)</f>
        <v>INDUSTRIAL</v>
      </c>
    </row>
    <row r="2388" spans="1:24" x14ac:dyDescent="0.3">
      <c r="A2388" t="s">
        <v>2306</v>
      </c>
      <c r="C2388" t="s">
        <v>2315</v>
      </c>
      <c r="D2388" s="1">
        <v>46049</v>
      </c>
      <c r="E2388" t="s">
        <v>2316</v>
      </c>
      <c r="F2388">
        <v>9</v>
      </c>
      <c r="G2388">
        <v>230</v>
      </c>
      <c r="H2388" t="str">
        <f>VLOOKUP(G2388,[1]OPERADORES!$A:$B,2,0)</f>
        <v>SÔNIA</v>
      </c>
      <c r="I2388" t="s">
        <v>21</v>
      </c>
      <c r="J2388" t="s">
        <v>2309</v>
      </c>
      <c r="K2388" t="s">
        <v>2310</v>
      </c>
      <c r="L2388">
        <v>9913</v>
      </c>
      <c r="M2388" t="s">
        <v>1510</v>
      </c>
      <c r="O2388" t="s">
        <v>11</v>
      </c>
      <c r="P2388">
        <v>5102</v>
      </c>
      <c r="Q2388">
        <v>4</v>
      </c>
      <c r="R2388">
        <v>5.31</v>
      </c>
      <c r="S2388">
        <v>21.24</v>
      </c>
      <c r="T2388">
        <v>16.12</v>
      </c>
      <c r="U2388">
        <v>24.11</v>
      </c>
      <c r="V2388" t="str">
        <f>VLOOKUP(L2388,'[2]tabela de preços'!$A:$D,4,0)</f>
        <v>WANDA</v>
      </c>
      <c r="W2388" t="str">
        <f>VLOOKUP(L2388,'[2]tabela de preços'!$A:$F,6,0)</f>
        <v>EMBALAGEM</v>
      </c>
      <c r="X2388" t="str">
        <f>VLOOKUP(L2388,'[2]tabela de preços'!$A:$G,7,0)</f>
        <v>AUTOMOTIVO</v>
      </c>
    </row>
    <row r="2389" spans="1:24" x14ac:dyDescent="0.3">
      <c r="A2389" t="s">
        <v>2306</v>
      </c>
      <c r="C2389" t="s">
        <v>2315</v>
      </c>
      <c r="D2389" s="1">
        <v>46049</v>
      </c>
      <c r="E2389" t="s">
        <v>2316</v>
      </c>
      <c r="F2389">
        <v>9</v>
      </c>
      <c r="G2389">
        <v>230</v>
      </c>
      <c r="H2389" t="str">
        <f>VLOOKUP(G2389,[1]OPERADORES!$A:$B,2,0)</f>
        <v>SÔNIA</v>
      </c>
      <c r="I2389" t="s">
        <v>21</v>
      </c>
      <c r="J2389" t="s">
        <v>2309</v>
      </c>
      <c r="K2389" t="s">
        <v>2310</v>
      </c>
      <c r="L2389">
        <v>23912</v>
      </c>
      <c r="M2389" t="s">
        <v>2317</v>
      </c>
      <c r="O2389" t="s">
        <v>11</v>
      </c>
      <c r="P2389">
        <v>5403</v>
      </c>
      <c r="Q2389">
        <v>2</v>
      </c>
      <c r="R2389">
        <v>134.94999999999999</v>
      </c>
      <c r="S2389">
        <v>269.89999999999998</v>
      </c>
      <c r="T2389">
        <v>204.86</v>
      </c>
      <c r="U2389">
        <v>24.1</v>
      </c>
      <c r="V2389" t="str">
        <f>VLOOKUP(L2389,'[2]tabela de preços'!$A:$D,4,0)</f>
        <v>SKY</v>
      </c>
      <c r="W2389" t="str">
        <f>VLOOKUP(L2389,'[2]tabela de preços'!$A:$F,6,0)</f>
        <v>ESMALTES</v>
      </c>
      <c r="X2389" t="str">
        <f>VLOOKUP(L2389,'[2]tabela de preços'!$A:$G,7,0)</f>
        <v>INDUSTRIAL</v>
      </c>
    </row>
    <row r="2390" spans="1:24" x14ac:dyDescent="0.3">
      <c r="A2390" t="s">
        <v>2306</v>
      </c>
      <c r="C2390" t="s">
        <v>2315</v>
      </c>
      <c r="D2390" s="1">
        <v>46049</v>
      </c>
      <c r="E2390" t="s">
        <v>2316</v>
      </c>
      <c r="F2390">
        <v>9</v>
      </c>
      <c r="G2390">
        <v>230</v>
      </c>
      <c r="H2390" t="str">
        <f>VLOOKUP(G2390,[1]OPERADORES!$A:$B,2,0)</f>
        <v>SÔNIA</v>
      </c>
      <c r="I2390" t="s">
        <v>21</v>
      </c>
      <c r="J2390" t="s">
        <v>2309</v>
      </c>
      <c r="K2390" t="s">
        <v>2310</v>
      </c>
      <c r="L2390">
        <v>84905</v>
      </c>
      <c r="M2390" t="s">
        <v>2318</v>
      </c>
      <c r="O2390" t="s">
        <v>11</v>
      </c>
      <c r="P2390">
        <v>5403</v>
      </c>
      <c r="Q2390">
        <v>4</v>
      </c>
      <c r="R2390">
        <v>47.69</v>
      </c>
      <c r="S2390">
        <v>190.76</v>
      </c>
      <c r="T2390">
        <v>144.80000000000001</v>
      </c>
      <c r="U2390">
        <v>24.09</v>
      </c>
      <c r="V2390" t="str">
        <f>VLOOKUP(L2390,'[2]tabela de preços'!$A:$D,4,0)</f>
        <v>BRASILUX</v>
      </c>
      <c r="W2390" t="str">
        <f>VLOOKUP(L2390,'[2]tabela de preços'!$A:$F,6,0)</f>
        <v>IMPERMEABILIZANTES</v>
      </c>
      <c r="X2390" t="str">
        <f>VLOOKUP(L2390,'[2]tabela de preços'!$A:$G,7,0)</f>
        <v>IMOBILIÁRIO</v>
      </c>
    </row>
    <row r="2391" spans="1:24" x14ac:dyDescent="0.3">
      <c r="A2391" t="s">
        <v>2319</v>
      </c>
      <c r="C2391" t="s">
        <v>2320</v>
      </c>
      <c r="D2391" s="1">
        <v>46037</v>
      </c>
      <c r="E2391" t="s">
        <v>2321</v>
      </c>
      <c r="F2391">
        <v>9</v>
      </c>
      <c r="G2391">
        <v>231</v>
      </c>
      <c r="H2391" t="str">
        <f>VLOOKUP(G2391,[1]OPERADORES!$A:$B,2,0)</f>
        <v>EDIJANE</v>
      </c>
      <c r="I2391" t="s">
        <v>21</v>
      </c>
      <c r="J2391" t="s">
        <v>843</v>
      </c>
      <c r="K2391" t="s">
        <v>2322</v>
      </c>
      <c r="L2391">
        <v>85324</v>
      </c>
      <c r="M2391" t="s">
        <v>1846</v>
      </c>
      <c r="O2391" t="s">
        <v>11</v>
      </c>
      <c r="P2391">
        <v>5102</v>
      </c>
      <c r="Q2391">
        <v>10</v>
      </c>
      <c r="R2391">
        <v>514.22</v>
      </c>
      <c r="S2391" s="2">
        <v>5142.2</v>
      </c>
      <c r="T2391" s="2">
        <v>3666.5</v>
      </c>
      <c r="U2391">
        <v>28.7</v>
      </c>
      <c r="V2391" t="str">
        <f>VLOOKUP(L2391,'[2]tabela de preços'!$A:$D,4,0)</f>
        <v>BRASILUX</v>
      </c>
      <c r="W2391" t="str">
        <f>VLOOKUP(L2391,'[2]tabela de preços'!$A:$F,6,0)</f>
        <v>TINTA EM PÓ</v>
      </c>
      <c r="X2391" t="str">
        <f>VLOOKUP(L2391,'[2]tabela de preços'!$A:$G,7,0)</f>
        <v>INDUSTRIAL</v>
      </c>
    </row>
    <row r="2392" spans="1:24" x14ac:dyDescent="0.3">
      <c r="A2392" t="s">
        <v>2323</v>
      </c>
      <c r="C2392" t="s">
        <v>2324</v>
      </c>
      <c r="D2392" s="1">
        <v>46045</v>
      </c>
      <c r="E2392" t="s">
        <v>2325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550</v>
      </c>
      <c r="K2392" t="s">
        <v>2326</v>
      </c>
      <c r="L2392">
        <v>85698</v>
      </c>
      <c r="M2392" t="s">
        <v>1946</v>
      </c>
      <c r="O2392" t="s">
        <v>11</v>
      </c>
      <c r="P2392">
        <v>5102</v>
      </c>
      <c r="Q2392">
        <v>1</v>
      </c>
      <c r="R2392">
        <v>129.9</v>
      </c>
      <c r="S2392">
        <v>129.9</v>
      </c>
      <c r="T2392">
        <v>103.86</v>
      </c>
      <c r="U2392">
        <v>20.05</v>
      </c>
      <c r="V2392" t="str">
        <f>VLOOKUP(L2392,'[2]tabela de preços'!$A:$D,4,0)</f>
        <v>SIMAPPEL</v>
      </c>
      <c r="W2392" t="str">
        <f>VLOOKUP(L2392,'[2]tabela de preços'!$A:$F,6,0)</f>
        <v>PAPELAO ONDULADO</v>
      </c>
      <c r="X2392" t="str">
        <f>VLOOKUP(L2392,'[2]tabela de preços'!$A:$G,7,0)</f>
        <v>IMOBILIÁRIO</v>
      </c>
    </row>
    <row r="2393" spans="1:24" x14ac:dyDescent="0.3">
      <c r="A2393" t="s">
        <v>2327</v>
      </c>
      <c r="C2393" t="s">
        <v>2328</v>
      </c>
      <c r="D2393" s="1">
        <v>46036</v>
      </c>
      <c r="E2393" t="s">
        <v>2329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66</v>
      </c>
      <c r="K2393" t="s">
        <v>2330</v>
      </c>
      <c r="L2393">
        <v>84335</v>
      </c>
      <c r="M2393" t="s">
        <v>269</v>
      </c>
      <c r="O2393" t="s">
        <v>11</v>
      </c>
      <c r="P2393">
        <v>5403</v>
      </c>
      <c r="Q2393">
        <v>1</v>
      </c>
      <c r="R2393">
        <v>59.98</v>
      </c>
      <c r="S2393">
        <v>59.98</v>
      </c>
      <c r="T2393">
        <v>50.65</v>
      </c>
      <c r="U2393">
        <v>15.56</v>
      </c>
      <c r="V2393" t="str">
        <f>VLOOKUP(L2393,'[2]tabela de preços'!$A:$D,4,0)</f>
        <v>BRASILUX</v>
      </c>
      <c r="W2393" t="str">
        <f>VLOOKUP(L2393,'[2]tabela de preços'!$A:$F,6,0)</f>
        <v>ESMALTES</v>
      </c>
      <c r="X2393" t="str">
        <f>VLOOKUP(L2393,'[2]tabela de preços'!$A:$G,7,0)</f>
        <v>INDUSTRIAL</v>
      </c>
    </row>
    <row r="2394" spans="1:24" x14ac:dyDescent="0.3">
      <c r="A2394" t="s">
        <v>2327</v>
      </c>
      <c r="C2394" t="s">
        <v>2328</v>
      </c>
      <c r="D2394" s="1">
        <v>46036</v>
      </c>
      <c r="E2394" t="s">
        <v>2329</v>
      </c>
      <c r="F2394">
        <v>9</v>
      </c>
      <c r="G2394">
        <v>230</v>
      </c>
      <c r="H2394" t="str">
        <f>VLOOKUP(G2394,[1]OPERADORES!$A:$B,2,0)</f>
        <v>SÔNIA</v>
      </c>
      <c r="I2394" t="s">
        <v>21</v>
      </c>
      <c r="J2394" t="s">
        <v>66</v>
      </c>
      <c r="K2394" t="s">
        <v>2330</v>
      </c>
      <c r="L2394">
        <v>23364</v>
      </c>
      <c r="M2394" t="s">
        <v>55</v>
      </c>
      <c r="O2394" t="s">
        <v>11</v>
      </c>
      <c r="P2394">
        <v>5102</v>
      </c>
      <c r="Q2394">
        <v>2</v>
      </c>
      <c r="R2394">
        <v>6.19</v>
      </c>
      <c r="S2394">
        <v>12.38</v>
      </c>
      <c r="T2394">
        <v>9.82</v>
      </c>
      <c r="U2394">
        <v>20.68</v>
      </c>
      <c r="V2394" t="str">
        <f>VLOOKUP(L2394,'[2]tabela de preços'!$A:$D,4,0)</f>
        <v>AUTO AMERICA</v>
      </c>
      <c r="W2394" t="str">
        <f>VLOOKUP(L2394,'[2]tabela de preços'!$A:$F,6,0)</f>
        <v>FLANELAS / PANOS</v>
      </c>
      <c r="X2394" t="str">
        <f>VLOOKUP(L2394,'[2]tabela de preços'!$A:$G,7,0)</f>
        <v>AUTOMOTIVO</v>
      </c>
    </row>
    <row r="2395" spans="1:24" x14ac:dyDescent="0.3">
      <c r="A2395" t="s">
        <v>2327</v>
      </c>
      <c r="C2395" t="s">
        <v>2331</v>
      </c>
      <c r="D2395" s="1">
        <v>46045</v>
      </c>
      <c r="E2395" t="s">
        <v>2332</v>
      </c>
      <c r="F2395">
        <v>9</v>
      </c>
      <c r="G2395">
        <v>230</v>
      </c>
      <c r="H2395" t="str">
        <f>VLOOKUP(G2395,[1]OPERADORES!$A:$B,2,0)</f>
        <v>SÔNIA</v>
      </c>
      <c r="I2395" t="s">
        <v>21</v>
      </c>
      <c r="J2395" t="s">
        <v>66</v>
      </c>
      <c r="K2395" t="s">
        <v>2330</v>
      </c>
      <c r="L2395">
        <v>20484</v>
      </c>
      <c r="M2395" t="s">
        <v>817</v>
      </c>
      <c r="O2395" t="s">
        <v>11</v>
      </c>
      <c r="P2395">
        <v>5102</v>
      </c>
      <c r="Q2395">
        <v>1</v>
      </c>
      <c r="R2395">
        <v>10.17</v>
      </c>
      <c r="S2395">
        <v>10.17</v>
      </c>
      <c r="T2395">
        <v>7.72</v>
      </c>
      <c r="U2395">
        <v>24.09</v>
      </c>
      <c r="V2395" t="str">
        <f>VLOOKUP(L2395,'[2]tabela de preços'!$A:$D,4,0)</f>
        <v>3M</v>
      </c>
      <c r="W2395" t="str">
        <f>VLOOKUP(L2395,'[2]tabela de preços'!$A:$F,6,0)</f>
        <v>FITA DUPLA FACE</v>
      </c>
      <c r="X2395" t="str">
        <f>VLOOKUP(L2395,'[2]tabela de preços'!$A:$G,7,0)</f>
        <v>AUTOMOTIVO</v>
      </c>
    </row>
    <row r="2396" spans="1:24" x14ac:dyDescent="0.3">
      <c r="A2396" t="s">
        <v>2333</v>
      </c>
      <c r="B2396" t="s">
        <v>2334</v>
      </c>
      <c r="C2396" t="s">
        <v>2335</v>
      </c>
      <c r="D2396" s="1">
        <v>46024</v>
      </c>
      <c r="E2396" t="s">
        <v>2336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126</v>
      </c>
      <c r="J2396" t="s">
        <v>2337</v>
      </c>
      <c r="K2396" t="s">
        <v>2338</v>
      </c>
      <c r="L2396">
        <v>84030</v>
      </c>
      <c r="M2396" t="s">
        <v>900</v>
      </c>
      <c r="O2396" t="s">
        <v>11</v>
      </c>
      <c r="P2396">
        <v>6102</v>
      </c>
      <c r="Q2396">
        <v>6</v>
      </c>
      <c r="R2396">
        <v>55.81</v>
      </c>
      <c r="S2396">
        <v>334.86</v>
      </c>
      <c r="T2396">
        <v>254.16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2333</v>
      </c>
      <c r="B2397" t="s">
        <v>2334</v>
      </c>
      <c r="C2397" t="s">
        <v>2335</v>
      </c>
      <c r="D2397" s="1">
        <v>46024</v>
      </c>
      <c r="E2397" t="s">
        <v>2336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126</v>
      </c>
      <c r="J2397" t="s">
        <v>2337</v>
      </c>
      <c r="K2397" t="s">
        <v>2338</v>
      </c>
      <c r="L2397">
        <v>84029</v>
      </c>
      <c r="M2397" t="s">
        <v>29</v>
      </c>
      <c r="O2397" t="s">
        <v>11</v>
      </c>
      <c r="P2397">
        <v>6102</v>
      </c>
      <c r="Q2397">
        <v>12</v>
      </c>
      <c r="R2397">
        <v>11.45</v>
      </c>
      <c r="S2397">
        <v>137.4</v>
      </c>
      <c r="T2397">
        <v>104.28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AGUARRAS</v>
      </c>
      <c r="X2397" t="str">
        <f>VLOOKUP(L2397,'[2]tabela de preços'!$A:$G,7,0)</f>
        <v>IMOBILIÁRIO</v>
      </c>
    </row>
    <row r="2398" spans="1:24" x14ac:dyDescent="0.3">
      <c r="A2398" t="s">
        <v>2333</v>
      </c>
      <c r="B2398" t="s">
        <v>2334</v>
      </c>
      <c r="C2398" t="s">
        <v>2335</v>
      </c>
      <c r="D2398" s="1">
        <v>46024</v>
      </c>
      <c r="E2398" t="s">
        <v>2336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126</v>
      </c>
      <c r="J2398" t="s">
        <v>2337</v>
      </c>
      <c r="K2398" t="s">
        <v>2338</v>
      </c>
      <c r="L2398">
        <v>84020</v>
      </c>
      <c r="M2398" t="s">
        <v>518</v>
      </c>
      <c r="O2398" t="s">
        <v>11</v>
      </c>
      <c r="P2398">
        <v>6102</v>
      </c>
      <c r="Q2398">
        <v>50</v>
      </c>
      <c r="R2398">
        <v>0.82</v>
      </c>
      <c r="S2398">
        <v>41</v>
      </c>
      <c r="T2398">
        <v>34.5</v>
      </c>
      <c r="U2398">
        <v>15.85</v>
      </c>
      <c r="V2398" t="str">
        <f>VLOOKUP(L2398,'[2]tabela de preços'!$A:$D,4,0)</f>
        <v>3M</v>
      </c>
      <c r="W2398" t="str">
        <f>VLOOKUP(L2398,'[2]tabela de preços'!$A:$F,6,0)</f>
        <v>LIXA MASSA  /MADEIRA / PAREDE</v>
      </c>
      <c r="X2398" t="str">
        <f>VLOOKUP(L2398,'[2]tabela de preços'!$A:$G,7,0)</f>
        <v>IMOBILIÁRIO</v>
      </c>
    </row>
    <row r="2399" spans="1:24" x14ac:dyDescent="0.3">
      <c r="A2399" t="s">
        <v>2333</v>
      </c>
      <c r="B2399" t="s">
        <v>2334</v>
      </c>
      <c r="C2399" t="s">
        <v>2335</v>
      </c>
      <c r="D2399" s="1">
        <v>46024</v>
      </c>
      <c r="E2399" t="s">
        <v>2336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126</v>
      </c>
      <c r="J2399" t="s">
        <v>2337</v>
      </c>
      <c r="K2399" t="s">
        <v>2338</v>
      </c>
      <c r="L2399">
        <v>84016</v>
      </c>
      <c r="M2399" t="s">
        <v>862</v>
      </c>
      <c r="O2399" t="s">
        <v>11</v>
      </c>
      <c r="P2399">
        <v>6102</v>
      </c>
      <c r="Q2399">
        <v>50</v>
      </c>
      <c r="R2399">
        <v>0.52</v>
      </c>
      <c r="S2399">
        <v>26</v>
      </c>
      <c r="T2399">
        <v>23</v>
      </c>
      <c r="U2399">
        <v>11.54</v>
      </c>
      <c r="V2399" t="str">
        <f>VLOOKUP(L2399,'[2]tabela de preços'!$A:$D,4,0)</f>
        <v>3M</v>
      </c>
      <c r="W2399" t="str">
        <f>VLOOKUP(L2399,'[2]tabela de preços'!$A:$F,6,0)</f>
        <v>LIXA MASSA  /MADEIRA / PAREDE</v>
      </c>
      <c r="X2399" t="str">
        <f>VLOOKUP(L2399,'[2]tabela de preços'!$A:$G,7,0)</f>
        <v>IMOBILIÁRIO</v>
      </c>
    </row>
    <row r="2400" spans="1:24" x14ac:dyDescent="0.3">
      <c r="A2400" t="s">
        <v>2333</v>
      </c>
      <c r="B2400" t="s">
        <v>2334</v>
      </c>
      <c r="C2400" t="s">
        <v>2335</v>
      </c>
      <c r="D2400" s="1">
        <v>46024</v>
      </c>
      <c r="E2400" t="s">
        <v>2336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126</v>
      </c>
      <c r="J2400" t="s">
        <v>2337</v>
      </c>
      <c r="K2400" t="s">
        <v>2338</v>
      </c>
      <c r="L2400">
        <v>84017</v>
      </c>
      <c r="M2400" t="s">
        <v>519</v>
      </c>
      <c r="O2400" t="s">
        <v>11</v>
      </c>
      <c r="P2400">
        <v>6102</v>
      </c>
      <c r="Q2400">
        <v>100</v>
      </c>
      <c r="R2400">
        <v>0.52</v>
      </c>
      <c r="S2400">
        <v>52</v>
      </c>
      <c r="T2400">
        <v>46</v>
      </c>
      <c r="U2400">
        <v>11.54</v>
      </c>
      <c r="V2400" t="str">
        <f>VLOOKUP(L2400,'[2]tabela de preços'!$A:$D,4,0)</f>
        <v>3M</v>
      </c>
      <c r="W2400" t="str">
        <f>VLOOKUP(L2400,'[2]tabela de preços'!$A:$F,6,0)</f>
        <v>LIXA MASSA  /MADEIRA / PAREDE</v>
      </c>
      <c r="X2400" t="str">
        <f>VLOOKUP(L2400,'[2]tabela de preços'!$A:$G,7,0)</f>
        <v>IMOBILIÁRIO</v>
      </c>
    </row>
    <row r="2401" spans="1:24" x14ac:dyDescent="0.3">
      <c r="A2401" t="s">
        <v>2333</v>
      </c>
      <c r="B2401" t="s">
        <v>2334</v>
      </c>
      <c r="C2401" t="s">
        <v>2335</v>
      </c>
      <c r="D2401" s="1">
        <v>46024</v>
      </c>
      <c r="E2401" t="s">
        <v>2336</v>
      </c>
      <c r="F2401">
        <v>9</v>
      </c>
      <c r="G2401">
        <v>174</v>
      </c>
      <c r="H2401" t="str">
        <f>VLOOKUP(G2401,[1]OPERADORES!$A:$B,2,0)</f>
        <v>MIRIÃ LOBATO RODRIGUES</v>
      </c>
      <c r="I2401" t="s">
        <v>126</v>
      </c>
      <c r="J2401" t="s">
        <v>2337</v>
      </c>
      <c r="K2401" t="s">
        <v>2338</v>
      </c>
      <c r="L2401">
        <v>84018</v>
      </c>
      <c r="M2401" t="s">
        <v>818</v>
      </c>
      <c r="O2401" t="s">
        <v>11</v>
      </c>
      <c r="P2401">
        <v>6102</v>
      </c>
      <c r="Q2401">
        <v>50</v>
      </c>
      <c r="R2401">
        <v>0.52</v>
      </c>
      <c r="S2401">
        <v>26</v>
      </c>
      <c r="T2401">
        <v>23</v>
      </c>
      <c r="U2401">
        <v>11.54</v>
      </c>
      <c r="V2401" t="str">
        <f>VLOOKUP(L2401,'[2]tabela de preços'!$A:$D,4,0)</f>
        <v>3M</v>
      </c>
      <c r="W2401" t="str">
        <f>VLOOKUP(L2401,'[2]tabela de preços'!$A:$F,6,0)</f>
        <v>LIXA MASSA  /MADEIRA / PAREDE</v>
      </c>
      <c r="X2401" t="str">
        <f>VLOOKUP(L2401,'[2]tabela de preços'!$A:$G,7,0)</f>
        <v>IMOBILIÁRIO</v>
      </c>
    </row>
    <row r="2402" spans="1:24" x14ac:dyDescent="0.3">
      <c r="A2402" t="s">
        <v>2333</v>
      </c>
      <c r="B2402" t="s">
        <v>2334</v>
      </c>
      <c r="C2402" t="s">
        <v>2335</v>
      </c>
      <c r="D2402" s="1">
        <v>46024</v>
      </c>
      <c r="E2402" t="s">
        <v>2336</v>
      </c>
      <c r="F2402">
        <v>9</v>
      </c>
      <c r="G2402">
        <v>174</v>
      </c>
      <c r="H2402" t="str">
        <f>VLOOKUP(G2402,[1]OPERADORES!$A:$B,2,0)</f>
        <v>MIRIÃ LOBATO RODRIGUES</v>
      </c>
      <c r="I2402" t="s">
        <v>126</v>
      </c>
      <c r="J2402" t="s">
        <v>2337</v>
      </c>
      <c r="K2402" t="s">
        <v>2338</v>
      </c>
      <c r="L2402">
        <v>10240</v>
      </c>
      <c r="M2402" t="s">
        <v>81</v>
      </c>
      <c r="O2402" t="s">
        <v>11</v>
      </c>
      <c r="P2402">
        <v>6102</v>
      </c>
      <c r="Q2402">
        <v>100</v>
      </c>
      <c r="R2402">
        <v>2.79</v>
      </c>
      <c r="S2402">
        <v>279</v>
      </c>
      <c r="T2402">
        <v>228</v>
      </c>
      <c r="U2402">
        <v>18.28</v>
      </c>
      <c r="V2402" t="str">
        <f>VLOOKUP(L2402,'[2]tabela de preços'!$A:$D,4,0)</f>
        <v>NORTON</v>
      </c>
      <c r="W2402" t="str">
        <f>VLOOKUP(L2402,'[2]tabela de preços'!$A:$F,6,0)</f>
        <v xml:space="preserve">DISCOS / LIXAS / ABRASIVOS </v>
      </c>
      <c r="X2402" t="str">
        <f>VLOOKUP(L2402,'[2]tabela de preços'!$A:$G,7,0)</f>
        <v>AUTOMOTIVO</v>
      </c>
    </row>
    <row r="2403" spans="1:24" x14ac:dyDescent="0.3">
      <c r="A2403" t="s">
        <v>2333</v>
      </c>
      <c r="B2403" t="s">
        <v>2334</v>
      </c>
      <c r="C2403" t="s">
        <v>2335</v>
      </c>
      <c r="D2403" s="1">
        <v>46024</v>
      </c>
      <c r="E2403" t="s">
        <v>2336</v>
      </c>
      <c r="F2403">
        <v>9</v>
      </c>
      <c r="G2403">
        <v>174</v>
      </c>
      <c r="H2403" t="str">
        <f>VLOOKUP(G2403,[1]OPERADORES!$A:$B,2,0)</f>
        <v>MIRIÃ LOBATO RODRIGUES</v>
      </c>
      <c r="I2403" t="s">
        <v>126</v>
      </c>
      <c r="J2403" t="s">
        <v>2337</v>
      </c>
      <c r="K2403" t="s">
        <v>2338</v>
      </c>
      <c r="L2403">
        <v>84702</v>
      </c>
      <c r="M2403" t="s">
        <v>2339</v>
      </c>
      <c r="O2403" t="s">
        <v>11</v>
      </c>
      <c r="P2403">
        <v>6102</v>
      </c>
      <c r="Q2403">
        <v>12</v>
      </c>
      <c r="R2403">
        <v>36.01</v>
      </c>
      <c r="S2403">
        <v>432.12</v>
      </c>
      <c r="T2403">
        <v>327.96</v>
      </c>
      <c r="U2403">
        <v>24.1</v>
      </c>
      <c r="V2403" t="str">
        <f>VLOOKUP(L2403,'[2]tabela de preços'!$A:$D,4,0)</f>
        <v>ATLAS</v>
      </c>
      <c r="W2403" t="str">
        <f>VLOOKUP(L2403,'[2]tabela de preços'!$A:$F,6,0)</f>
        <v>ROLOS / TRINCHAS / PINCÉIS / ESPÁTULAS</v>
      </c>
      <c r="X2403" t="str">
        <f>VLOOKUP(L2403,'[2]tabela de preços'!$A:$G,7,0)</f>
        <v>IMOBILIÁRIO</v>
      </c>
    </row>
    <row r="2404" spans="1:24" x14ac:dyDescent="0.3">
      <c r="A2404" t="s">
        <v>2333</v>
      </c>
      <c r="B2404" t="s">
        <v>2334</v>
      </c>
      <c r="C2404" t="s">
        <v>2335</v>
      </c>
      <c r="D2404" s="1">
        <v>46024</v>
      </c>
      <c r="E2404" t="s">
        <v>2336</v>
      </c>
      <c r="F2404">
        <v>9</v>
      </c>
      <c r="G2404">
        <v>174</v>
      </c>
      <c r="H2404" t="str">
        <f>VLOOKUP(G2404,[1]OPERADORES!$A:$B,2,0)</f>
        <v>MIRIÃ LOBATO RODRIGUES</v>
      </c>
      <c r="I2404" t="s">
        <v>126</v>
      </c>
      <c r="J2404" t="s">
        <v>2337</v>
      </c>
      <c r="K2404" t="s">
        <v>2338</v>
      </c>
      <c r="L2404">
        <v>10298</v>
      </c>
      <c r="M2404" t="s">
        <v>85</v>
      </c>
      <c r="O2404" t="s">
        <v>11</v>
      </c>
      <c r="P2404">
        <v>6102</v>
      </c>
      <c r="Q2404">
        <v>12</v>
      </c>
      <c r="R2404">
        <v>56.8</v>
      </c>
      <c r="S2404">
        <v>681.6</v>
      </c>
      <c r="T2404">
        <v>568.55999999999995</v>
      </c>
      <c r="U2404">
        <v>16.579999999999998</v>
      </c>
      <c r="V2404" t="str">
        <f>VLOOKUP(L2404,'[2]tabela de preços'!$A:$D,4,0)</f>
        <v>ANJO</v>
      </c>
      <c r="W2404" t="str">
        <f>VLOOKUP(L2404,'[2]tabela de preços'!$A:$F,6,0)</f>
        <v>THINNER DE LIMPEZA</v>
      </c>
      <c r="X2404" t="str">
        <f>VLOOKUP(L2404,'[2]tabela de preços'!$A:$G,7,0)</f>
        <v>THINNER</v>
      </c>
    </row>
    <row r="2405" spans="1:24" x14ac:dyDescent="0.3">
      <c r="A2405" t="s">
        <v>2333</v>
      </c>
      <c r="B2405" t="s">
        <v>2334</v>
      </c>
      <c r="C2405" t="s">
        <v>2335</v>
      </c>
      <c r="D2405" s="1">
        <v>46024</v>
      </c>
      <c r="E2405" t="s">
        <v>2336</v>
      </c>
      <c r="F2405">
        <v>9</v>
      </c>
      <c r="G2405">
        <v>174</v>
      </c>
      <c r="H2405" t="str">
        <f>VLOOKUP(G2405,[1]OPERADORES!$A:$B,2,0)</f>
        <v>MIRIÃ LOBATO RODRIGUES</v>
      </c>
      <c r="I2405" t="s">
        <v>126</v>
      </c>
      <c r="J2405" t="s">
        <v>2337</v>
      </c>
      <c r="K2405" t="s">
        <v>2338</v>
      </c>
      <c r="L2405">
        <v>10297</v>
      </c>
      <c r="M2405" t="s">
        <v>41</v>
      </c>
      <c r="O2405" t="s">
        <v>11</v>
      </c>
      <c r="P2405">
        <v>6102</v>
      </c>
      <c r="Q2405">
        <v>24</v>
      </c>
      <c r="R2405">
        <v>10.95</v>
      </c>
      <c r="S2405">
        <v>262.8</v>
      </c>
      <c r="T2405">
        <v>220.08</v>
      </c>
      <c r="U2405">
        <v>16.260000000000002</v>
      </c>
      <c r="V2405" t="str">
        <f>VLOOKUP(L2405,'[2]tabela de preços'!$A:$D,4,0)</f>
        <v>ANJO</v>
      </c>
      <c r="W2405" t="str">
        <f>VLOOKUP(L2405,'[2]tabela de preços'!$A:$F,6,0)</f>
        <v>THINNER DE LIMPEZA</v>
      </c>
      <c r="X2405" t="str">
        <f>VLOOKUP(L2405,'[2]tabela de preços'!$A:$G,7,0)</f>
        <v>THINNER</v>
      </c>
    </row>
    <row r="2406" spans="1:24" x14ac:dyDescent="0.3">
      <c r="A2406" t="s">
        <v>2333</v>
      </c>
      <c r="B2406" t="s">
        <v>2334</v>
      </c>
      <c r="C2406" t="s">
        <v>2340</v>
      </c>
      <c r="D2406" s="1">
        <v>46031</v>
      </c>
      <c r="E2406" t="s">
        <v>2341</v>
      </c>
      <c r="F2406">
        <v>9</v>
      </c>
      <c r="G2406">
        <v>174</v>
      </c>
      <c r="H2406" t="str">
        <f>VLOOKUP(G2406,[1]OPERADORES!$A:$B,2,0)</f>
        <v>MIRIÃ LOBATO RODRIGUES</v>
      </c>
      <c r="I2406" t="s">
        <v>126</v>
      </c>
      <c r="J2406" t="s">
        <v>2337</v>
      </c>
      <c r="K2406" t="s">
        <v>2338</v>
      </c>
      <c r="L2406">
        <v>84109</v>
      </c>
      <c r="M2406" t="s">
        <v>2342</v>
      </c>
      <c r="O2406" t="s">
        <v>11</v>
      </c>
      <c r="P2406">
        <v>6403</v>
      </c>
      <c r="Q2406">
        <v>6</v>
      </c>
      <c r="R2406">
        <v>30.57</v>
      </c>
      <c r="S2406">
        <v>183.42</v>
      </c>
      <c r="T2406">
        <v>139.26</v>
      </c>
      <c r="U2406">
        <v>24.08</v>
      </c>
      <c r="V2406" t="str">
        <f>VLOOKUP(L2406,'[2]tabela de preços'!$A:$D,4,0)</f>
        <v>BRASILUX</v>
      </c>
      <c r="W2406" t="str">
        <f>VLOOKUP(L2406,'[2]tabela de preços'!$A:$F,6,0)</f>
        <v>TINTAS LACA</v>
      </c>
      <c r="X2406" t="str">
        <f>VLOOKUP(L2406,'[2]tabela de preços'!$A:$G,7,0)</f>
        <v>AUTOMOTIVO</v>
      </c>
    </row>
    <row r="2407" spans="1:24" x14ac:dyDescent="0.3">
      <c r="A2407" t="s">
        <v>2333</v>
      </c>
      <c r="B2407" t="s">
        <v>2334</v>
      </c>
      <c r="C2407" t="s">
        <v>2340</v>
      </c>
      <c r="D2407" s="1">
        <v>46031</v>
      </c>
      <c r="E2407" t="s">
        <v>2341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126</v>
      </c>
      <c r="J2407" t="s">
        <v>2337</v>
      </c>
      <c r="K2407" t="s">
        <v>2338</v>
      </c>
      <c r="L2407">
        <v>84645</v>
      </c>
      <c r="M2407" t="s">
        <v>2343</v>
      </c>
      <c r="O2407" t="s">
        <v>11</v>
      </c>
      <c r="P2407">
        <v>6403</v>
      </c>
      <c r="Q2407">
        <v>6</v>
      </c>
      <c r="R2407">
        <v>85.98</v>
      </c>
      <c r="S2407">
        <v>515.88</v>
      </c>
      <c r="T2407">
        <v>391.56</v>
      </c>
      <c r="U2407">
        <v>24.1</v>
      </c>
      <c r="V2407" t="str">
        <f>VLOOKUP(L2407,'[2]tabela de preços'!$A:$D,4,0)</f>
        <v>BRASILUX</v>
      </c>
      <c r="W2407" t="str">
        <f>VLOOKUP(L2407,'[2]tabela de preços'!$A:$F,6,0)</f>
        <v xml:space="preserve">BASES SISTEMA NO MACHINE </v>
      </c>
      <c r="X2407" t="str">
        <f>VLOOKUP(L2407,'[2]tabela de preços'!$A:$G,7,0)</f>
        <v>INDUSTRIAL</v>
      </c>
    </row>
    <row r="2408" spans="1:24" x14ac:dyDescent="0.3">
      <c r="A2408" t="s">
        <v>2333</v>
      </c>
      <c r="B2408" t="s">
        <v>2334</v>
      </c>
      <c r="C2408" t="s">
        <v>2340</v>
      </c>
      <c r="D2408" s="1">
        <v>46031</v>
      </c>
      <c r="E2408" t="s">
        <v>2341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126</v>
      </c>
      <c r="J2408" t="s">
        <v>2337</v>
      </c>
      <c r="K2408" t="s">
        <v>2338</v>
      </c>
      <c r="L2408">
        <v>85280</v>
      </c>
      <c r="M2408" t="s">
        <v>943</v>
      </c>
      <c r="O2408" t="s">
        <v>11</v>
      </c>
      <c r="P2408">
        <v>6102</v>
      </c>
      <c r="Q2408">
        <v>12</v>
      </c>
      <c r="R2408">
        <v>55.72</v>
      </c>
      <c r="S2408">
        <v>668.64</v>
      </c>
      <c r="T2408">
        <v>507.48</v>
      </c>
      <c r="U2408">
        <v>24.1</v>
      </c>
      <c r="V2408" t="str">
        <f>VLOOKUP(L2408,'[2]tabela de preços'!$A:$D,4,0)</f>
        <v>BRASILUX</v>
      </c>
      <c r="W2408" t="str">
        <f>VLOOKUP(L2408,'[2]tabela de preços'!$A:$F,6,0)</f>
        <v>CATALISADORES INDIVIDUAIS</v>
      </c>
      <c r="X2408" t="str">
        <f>VLOOKUP(L2408,'[2]tabela de preços'!$A:$G,7,0)</f>
        <v>IMOBILIÁRIO</v>
      </c>
    </row>
    <row r="2409" spans="1:24" x14ac:dyDescent="0.3">
      <c r="A2409" t="s">
        <v>2333</v>
      </c>
      <c r="B2409" t="s">
        <v>2334</v>
      </c>
      <c r="C2409" t="s">
        <v>2340</v>
      </c>
      <c r="D2409" s="1">
        <v>46031</v>
      </c>
      <c r="E2409" t="s">
        <v>2341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126</v>
      </c>
      <c r="J2409" t="s">
        <v>2337</v>
      </c>
      <c r="K2409" t="s">
        <v>2338</v>
      </c>
      <c r="L2409">
        <v>84823</v>
      </c>
      <c r="M2409" t="s">
        <v>331</v>
      </c>
      <c r="O2409" t="s">
        <v>11</v>
      </c>
      <c r="P2409">
        <v>6102</v>
      </c>
      <c r="Q2409">
        <v>6</v>
      </c>
      <c r="R2409">
        <v>94.64</v>
      </c>
      <c r="S2409">
        <v>567.84</v>
      </c>
      <c r="T2409">
        <v>430.98</v>
      </c>
      <c r="U2409">
        <v>24.1</v>
      </c>
      <c r="V2409" t="str">
        <f>VLOOKUP(L2409,'[2]tabela de preços'!$A:$D,4,0)</f>
        <v>BRASILUX</v>
      </c>
      <c r="W2409" t="str">
        <f>VLOOKUP(L2409,'[2]tabela de preços'!$A:$F,6,0)</f>
        <v>DILUENTE</v>
      </c>
      <c r="X2409" t="str">
        <f>VLOOKUP(L2409,'[2]tabela de preços'!$A:$G,7,0)</f>
        <v>AUTOMOTIVO</v>
      </c>
    </row>
    <row r="2410" spans="1:24" x14ac:dyDescent="0.3">
      <c r="A2410" t="s">
        <v>2333</v>
      </c>
      <c r="B2410" t="s">
        <v>2334</v>
      </c>
      <c r="C2410" t="s">
        <v>2340</v>
      </c>
      <c r="D2410" s="1">
        <v>46031</v>
      </c>
      <c r="E2410" t="s">
        <v>2341</v>
      </c>
      <c r="F2410">
        <v>9</v>
      </c>
      <c r="G2410">
        <v>174</v>
      </c>
      <c r="H2410" t="str">
        <f>VLOOKUP(G2410,[1]OPERADORES!$A:$B,2,0)</f>
        <v>MIRIÃ LOBATO RODRIGUES</v>
      </c>
      <c r="I2410" t="s">
        <v>126</v>
      </c>
      <c r="J2410" t="s">
        <v>2337</v>
      </c>
      <c r="K2410" t="s">
        <v>2338</v>
      </c>
      <c r="L2410">
        <v>84557</v>
      </c>
      <c r="M2410" t="s">
        <v>116</v>
      </c>
      <c r="O2410" t="s">
        <v>11</v>
      </c>
      <c r="P2410">
        <v>6102</v>
      </c>
      <c r="Q2410">
        <v>18</v>
      </c>
      <c r="R2410">
        <v>18.39</v>
      </c>
      <c r="S2410">
        <v>331.02</v>
      </c>
      <c r="T2410">
        <v>251.28</v>
      </c>
      <c r="U2410">
        <v>24.09</v>
      </c>
      <c r="V2410" t="str">
        <f>VLOOKUP(L2410,'[2]tabela de preços'!$A:$D,4,0)</f>
        <v>BRASILUX</v>
      </c>
      <c r="W2410" t="str">
        <f>VLOOKUP(L2410,'[2]tabela de preços'!$A:$F,6,0)</f>
        <v>DILUENTE</v>
      </c>
      <c r="X2410" t="str">
        <f>VLOOKUP(L2410,'[2]tabela de preços'!$A:$G,7,0)</f>
        <v>AUTOMOTIVO</v>
      </c>
    </row>
    <row r="2411" spans="1:24" x14ac:dyDescent="0.3">
      <c r="A2411" t="s">
        <v>2333</v>
      </c>
      <c r="B2411" t="s">
        <v>2334</v>
      </c>
      <c r="C2411" t="s">
        <v>2340</v>
      </c>
      <c r="D2411" s="1">
        <v>46031</v>
      </c>
      <c r="E2411" t="s">
        <v>2341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126</v>
      </c>
      <c r="J2411" t="s">
        <v>2337</v>
      </c>
      <c r="K2411" t="s">
        <v>2338</v>
      </c>
      <c r="L2411">
        <v>23878</v>
      </c>
      <c r="M2411" t="s">
        <v>851</v>
      </c>
      <c r="O2411" t="s">
        <v>11</v>
      </c>
      <c r="P2411">
        <v>6102</v>
      </c>
      <c r="Q2411">
        <v>24</v>
      </c>
      <c r="R2411">
        <v>8.41</v>
      </c>
      <c r="S2411">
        <v>201.84</v>
      </c>
      <c r="T2411">
        <v>153.12</v>
      </c>
      <c r="U2411">
        <v>24.14</v>
      </c>
      <c r="V2411" t="str">
        <f>VLOOKUP(L2411,'[2]tabela de preços'!$A:$D,4,0)</f>
        <v>ATLAS</v>
      </c>
      <c r="W2411" t="str">
        <f>VLOOKUP(L2411,'[2]tabela de preços'!$A:$F,6,0)</f>
        <v>ROLOS / TRINCHAS / PINCÉIS / ESPÁTULAS</v>
      </c>
      <c r="X2411" t="str">
        <f>VLOOKUP(L2411,'[2]tabela de preços'!$A:$G,7,0)</f>
        <v>IMOBILIÁRIO</v>
      </c>
    </row>
    <row r="2412" spans="1:24" x14ac:dyDescent="0.3">
      <c r="A2412" t="s">
        <v>2333</v>
      </c>
      <c r="B2412" t="s">
        <v>2334</v>
      </c>
      <c r="C2412" t="s">
        <v>2340</v>
      </c>
      <c r="D2412" s="1">
        <v>46031</v>
      </c>
      <c r="E2412" t="s">
        <v>2341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126</v>
      </c>
      <c r="J2412" t="s">
        <v>2337</v>
      </c>
      <c r="K2412" t="s">
        <v>2338</v>
      </c>
      <c r="L2412">
        <v>83992</v>
      </c>
      <c r="M2412" t="s">
        <v>1038</v>
      </c>
      <c r="O2412" t="s">
        <v>11</v>
      </c>
      <c r="P2412">
        <v>6102</v>
      </c>
      <c r="Q2412">
        <v>50</v>
      </c>
      <c r="R2412">
        <v>2.84</v>
      </c>
      <c r="S2412">
        <v>142</v>
      </c>
      <c r="T2412">
        <v>91.5</v>
      </c>
      <c r="U2412">
        <v>35.56</v>
      </c>
      <c r="V2412" t="str">
        <f>VLOOKUP(L2412,'[2]tabela de preços'!$A:$D,4,0)</f>
        <v>3M</v>
      </c>
      <c r="W2412" t="str">
        <f>VLOOKUP(L2412,'[2]tabela de preços'!$A:$F,6,0)</f>
        <v>LIXA FERRO</v>
      </c>
      <c r="X2412" t="str">
        <f>VLOOKUP(L2412,'[2]tabela de preços'!$A:$G,7,0)</f>
        <v>IMOBILIÁRIO</v>
      </c>
    </row>
    <row r="2413" spans="1:24" x14ac:dyDescent="0.3">
      <c r="A2413" t="s">
        <v>2333</v>
      </c>
      <c r="B2413" t="s">
        <v>2334</v>
      </c>
      <c r="C2413" t="s">
        <v>2340</v>
      </c>
      <c r="D2413" s="1">
        <v>46031</v>
      </c>
      <c r="E2413" t="s">
        <v>2341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126</v>
      </c>
      <c r="J2413" t="s">
        <v>2337</v>
      </c>
      <c r="K2413" t="s">
        <v>2338</v>
      </c>
      <c r="L2413">
        <v>84015</v>
      </c>
      <c r="M2413" t="s">
        <v>2344</v>
      </c>
      <c r="O2413" t="s">
        <v>11</v>
      </c>
      <c r="P2413">
        <v>6102</v>
      </c>
      <c r="Q2413">
        <v>100</v>
      </c>
      <c r="R2413">
        <v>0.52</v>
      </c>
      <c r="S2413">
        <v>52</v>
      </c>
      <c r="T2413">
        <v>46</v>
      </c>
      <c r="U2413">
        <v>11.54</v>
      </c>
      <c r="V2413" t="str">
        <f>VLOOKUP(L2413,'[2]tabela de preços'!$A:$D,4,0)</f>
        <v>3M</v>
      </c>
      <c r="W2413" t="str">
        <f>VLOOKUP(L2413,'[2]tabela de preços'!$A:$F,6,0)</f>
        <v>LIXA MASSA  /MADEIRA / PAREDE</v>
      </c>
      <c r="X2413" t="str">
        <f>VLOOKUP(L2413,'[2]tabela de preços'!$A:$G,7,0)</f>
        <v>IMOBILIÁRIO</v>
      </c>
    </row>
    <row r="2414" spans="1:24" x14ac:dyDescent="0.3">
      <c r="A2414" t="s">
        <v>2333</v>
      </c>
      <c r="B2414" t="s">
        <v>2334</v>
      </c>
      <c r="C2414" t="s">
        <v>2340</v>
      </c>
      <c r="D2414" s="1">
        <v>46031</v>
      </c>
      <c r="E2414" t="s">
        <v>2341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126</v>
      </c>
      <c r="J2414" t="s">
        <v>2337</v>
      </c>
      <c r="K2414" t="s">
        <v>2338</v>
      </c>
      <c r="L2414">
        <v>84021</v>
      </c>
      <c r="M2414" t="s">
        <v>1945</v>
      </c>
      <c r="O2414" t="s">
        <v>11</v>
      </c>
      <c r="P2414">
        <v>6102</v>
      </c>
      <c r="Q2414">
        <v>100</v>
      </c>
      <c r="R2414">
        <v>0.52</v>
      </c>
      <c r="S2414">
        <v>52</v>
      </c>
      <c r="T2414">
        <v>46</v>
      </c>
      <c r="U2414">
        <v>11.54</v>
      </c>
      <c r="V2414" t="str">
        <f>VLOOKUP(L2414,'[2]tabela de preços'!$A:$D,4,0)</f>
        <v>3M</v>
      </c>
      <c r="W2414" t="str">
        <f>VLOOKUP(L2414,'[2]tabela de preços'!$A:$F,6,0)</f>
        <v>LIXA MASSA  /MADEIRA / PAREDE</v>
      </c>
      <c r="X2414" t="str">
        <f>VLOOKUP(L2414,'[2]tabela de preços'!$A:$G,7,0)</f>
        <v>IMOBILIÁRIO</v>
      </c>
    </row>
    <row r="2415" spans="1:24" x14ac:dyDescent="0.3">
      <c r="A2415" t="s">
        <v>2333</v>
      </c>
      <c r="B2415" t="s">
        <v>2334</v>
      </c>
      <c r="C2415" t="s">
        <v>2340</v>
      </c>
      <c r="D2415" s="1">
        <v>46031</v>
      </c>
      <c r="E2415" t="s">
        <v>2341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126</v>
      </c>
      <c r="J2415" t="s">
        <v>2337</v>
      </c>
      <c r="K2415" t="s">
        <v>2338</v>
      </c>
      <c r="L2415">
        <v>10402</v>
      </c>
      <c r="M2415" t="s">
        <v>138</v>
      </c>
      <c r="O2415" t="s">
        <v>11</v>
      </c>
      <c r="P2415">
        <v>6102</v>
      </c>
      <c r="Q2415">
        <v>6</v>
      </c>
      <c r="R2415">
        <v>22.83</v>
      </c>
      <c r="S2415">
        <v>136.97999999999999</v>
      </c>
      <c r="T2415">
        <v>103.98</v>
      </c>
      <c r="U2415">
        <v>24.09</v>
      </c>
      <c r="V2415" t="str">
        <f>VLOOKUP(L2415,'[2]tabela de preços'!$A:$D,4,0)</f>
        <v>MAXI RUBBER</v>
      </c>
      <c r="W2415" t="str">
        <f>VLOOKUP(L2415,'[2]tabela de preços'!$A:$F,6,0)</f>
        <v>REMOVEDOR PASTOSO</v>
      </c>
      <c r="X2415" t="str">
        <f>VLOOKUP(L2415,'[2]tabela de preços'!$A:$G,7,0)</f>
        <v>AUTOMOTIVO</v>
      </c>
    </row>
    <row r="2416" spans="1:24" x14ac:dyDescent="0.3">
      <c r="A2416" t="s">
        <v>2333</v>
      </c>
      <c r="B2416" t="s">
        <v>2334</v>
      </c>
      <c r="C2416" t="s">
        <v>2340</v>
      </c>
      <c r="D2416" s="1">
        <v>46031</v>
      </c>
      <c r="E2416" t="s">
        <v>2341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126</v>
      </c>
      <c r="J2416" t="s">
        <v>2337</v>
      </c>
      <c r="K2416" t="s">
        <v>2338</v>
      </c>
      <c r="L2416">
        <v>84425</v>
      </c>
      <c r="M2416" t="s">
        <v>616</v>
      </c>
      <c r="O2416" t="s">
        <v>11</v>
      </c>
      <c r="P2416">
        <v>6102</v>
      </c>
      <c r="Q2416">
        <v>12</v>
      </c>
      <c r="R2416">
        <v>3.52</v>
      </c>
      <c r="S2416">
        <v>42.24</v>
      </c>
      <c r="T2416">
        <v>32.04</v>
      </c>
      <c r="U2416">
        <v>24.15</v>
      </c>
      <c r="V2416" t="str">
        <f>VLOOKUP(L2416,'[2]tabela de preços'!$A:$D,4,0)</f>
        <v>ATLAS</v>
      </c>
      <c r="W2416" t="str">
        <f>VLOOKUP(L2416,'[2]tabela de preços'!$A:$F,6,0)</f>
        <v>ROLOS / TRINCHAS / PINCÉIS / ESPÁTULAS</v>
      </c>
      <c r="X2416" t="str">
        <f>VLOOKUP(L2416,'[2]tabela de preços'!$A:$G,7,0)</f>
        <v>IMOBILIÁRIO</v>
      </c>
    </row>
    <row r="2417" spans="1:24" x14ac:dyDescent="0.3">
      <c r="A2417" t="s">
        <v>2333</v>
      </c>
      <c r="B2417" t="s">
        <v>2334</v>
      </c>
      <c r="C2417" t="s">
        <v>2340</v>
      </c>
      <c r="D2417" s="1">
        <v>46031</v>
      </c>
      <c r="E2417" t="s">
        <v>2341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126</v>
      </c>
      <c r="J2417" t="s">
        <v>2337</v>
      </c>
      <c r="K2417" t="s">
        <v>2338</v>
      </c>
      <c r="L2417">
        <v>84423</v>
      </c>
      <c r="M2417" t="s">
        <v>1198</v>
      </c>
      <c r="O2417" t="s">
        <v>11</v>
      </c>
      <c r="P2417">
        <v>6102</v>
      </c>
      <c r="Q2417">
        <v>10</v>
      </c>
      <c r="R2417">
        <v>17.82</v>
      </c>
      <c r="S2417">
        <v>178.2</v>
      </c>
      <c r="T2417">
        <v>135.19999999999999</v>
      </c>
      <c r="U2417">
        <v>24.13</v>
      </c>
      <c r="V2417" t="str">
        <f>VLOOKUP(L2417,'[2]tabela de preços'!$A:$D,4,0)</f>
        <v>ATLAS</v>
      </c>
      <c r="W2417" t="str">
        <f>VLOOKUP(L2417,'[2]tabela de preços'!$A:$F,6,0)</f>
        <v>ROLOS / TRINCHAS / PINCÉIS / ESPÁTULAS</v>
      </c>
      <c r="X2417" t="str">
        <f>VLOOKUP(L2417,'[2]tabela de preços'!$A:$G,7,0)</f>
        <v>IMOBILIÁRIO</v>
      </c>
    </row>
    <row r="2418" spans="1:24" x14ac:dyDescent="0.3">
      <c r="A2418" t="s">
        <v>2333</v>
      </c>
      <c r="B2418" t="s">
        <v>2334</v>
      </c>
      <c r="C2418" t="s">
        <v>2340</v>
      </c>
      <c r="D2418" s="1">
        <v>46031</v>
      </c>
      <c r="E2418" t="s">
        <v>2341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126</v>
      </c>
      <c r="J2418" t="s">
        <v>2337</v>
      </c>
      <c r="K2418" t="s">
        <v>2338</v>
      </c>
      <c r="L2418">
        <v>84421</v>
      </c>
      <c r="M2418" t="s">
        <v>568</v>
      </c>
      <c r="O2418" t="s">
        <v>11</v>
      </c>
      <c r="P2418">
        <v>6102</v>
      </c>
      <c r="Q2418">
        <v>10</v>
      </c>
      <c r="R2418">
        <v>6.35</v>
      </c>
      <c r="S2418">
        <v>63.5</v>
      </c>
      <c r="T2418">
        <v>48.2</v>
      </c>
      <c r="U2418">
        <v>24.09</v>
      </c>
      <c r="V2418" t="str">
        <f>VLOOKUP(L2418,'[2]tabela de preços'!$A:$D,4,0)</f>
        <v>ATLAS</v>
      </c>
      <c r="W2418" t="str">
        <f>VLOOKUP(L2418,'[2]tabela de preços'!$A:$F,6,0)</f>
        <v>ROLOS / TRINCHAS / PINCÉIS / ESPÁTULAS</v>
      </c>
      <c r="X2418" t="str">
        <f>VLOOKUP(L2418,'[2]tabela de preços'!$A:$G,7,0)</f>
        <v>IMOBILIÁRIO</v>
      </c>
    </row>
    <row r="2419" spans="1:24" x14ac:dyDescent="0.3">
      <c r="A2419" t="s">
        <v>2333</v>
      </c>
      <c r="B2419" t="s">
        <v>2334</v>
      </c>
      <c r="C2419" t="s">
        <v>2340</v>
      </c>
      <c r="D2419" s="1">
        <v>46031</v>
      </c>
      <c r="E2419" t="s">
        <v>2341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126</v>
      </c>
      <c r="J2419" t="s">
        <v>2337</v>
      </c>
      <c r="K2419" t="s">
        <v>2338</v>
      </c>
      <c r="L2419">
        <v>84420</v>
      </c>
      <c r="M2419" t="s">
        <v>353</v>
      </c>
      <c r="O2419" t="s">
        <v>11</v>
      </c>
      <c r="P2419">
        <v>6102</v>
      </c>
      <c r="Q2419">
        <v>12</v>
      </c>
      <c r="R2419">
        <v>20.34</v>
      </c>
      <c r="S2419">
        <v>244.08</v>
      </c>
      <c r="T2419">
        <v>185.28</v>
      </c>
      <c r="U2419">
        <v>24.09</v>
      </c>
      <c r="V2419" t="str">
        <f>VLOOKUP(L2419,'[2]tabela de preços'!$A:$D,4,0)</f>
        <v>ATLAS</v>
      </c>
      <c r="W2419" t="str">
        <f>VLOOKUP(L2419,'[2]tabela de preços'!$A:$F,6,0)</f>
        <v>ROLOS / TRINCHAS / PINCÉIS / ESPÁTULAS</v>
      </c>
      <c r="X2419" t="str">
        <f>VLOOKUP(L2419,'[2]tabela de preços'!$A:$G,7,0)</f>
        <v>IMOBILIÁRIO</v>
      </c>
    </row>
    <row r="2420" spans="1:24" x14ac:dyDescent="0.3">
      <c r="A2420" t="s">
        <v>2333</v>
      </c>
      <c r="B2420" t="s">
        <v>2334</v>
      </c>
      <c r="C2420" t="s">
        <v>2340</v>
      </c>
      <c r="D2420" s="1">
        <v>46031</v>
      </c>
      <c r="E2420" t="s">
        <v>2341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126</v>
      </c>
      <c r="J2420" t="s">
        <v>2337</v>
      </c>
      <c r="K2420" t="s">
        <v>2338</v>
      </c>
      <c r="L2420">
        <v>10298</v>
      </c>
      <c r="M2420" t="s">
        <v>85</v>
      </c>
      <c r="O2420" t="s">
        <v>11</v>
      </c>
      <c r="P2420">
        <v>6102</v>
      </c>
      <c r="Q2420">
        <v>20</v>
      </c>
      <c r="R2420">
        <v>54.9</v>
      </c>
      <c r="S2420" s="2">
        <v>1098</v>
      </c>
      <c r="T2420">
        <v>947.6</v>
      </c>
      <c r="U2420">
        <v>13.7</v>
      </c>
      <c r="V2420" t="str">
        <f>VLOOKUP(L2420,'[2]tabela de preços'!$A:$D,4,0)</f>
        <v>ANJO</v>
      </c>
      <c r="W2420" t="str">
        <f>VLOOKUP(L2420,'[2]tabela de preços'!$A:$F,6,0)</f>
        <v>THINNER DE LIMPEZA</v>
      </c>
      <c r="X2420" t="str">
        <f>VLOOKUP(L2420,'[2]tabela de preços'!$A:$G,7,0)</f>
        <v>THINNER</v>
      </c>
    </row>
    <row r="2421" spans="1:24" x14ac:dyDescent="0.3">
      <c r="A2421" t="s">
        <v>2333</v>
      </c>
      <c r="B2421" t="s">
        <v>2334</v>
      </c>
      <c r="C2421" t="s">
        <v>2340</v>
      </c>
      <c r="D2421" s="1">
        <v>46031</v>
      </c>
      <c r="E2421" t="s">
        <v>2341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126</v>
      </c>
      <c r="J2421" t="s">
        <v>2337</v>
      </c>
      <c r="K2421" t="s">
        <v>2338</v>
      </c>
      <c r="L2421">
        <v>10114</v>
      </c>
      <c r="M2421" t="s">
        <v>571</v>
      </c>
      <c r="O2421" t="s">
        <v>11</v>
      </c>
      <c r="P2421">
        <v>6102</v>
      </c>
      <c r="Q2421">
        <v>12</v>
      </c>
      <c r="R2421">
        <v>3.95</v>
      </c>
      <c r="S2421">
        <v>47.4</v>
      </c>
      <c r="T2421">
        <v>36</v>
      </c>
      <c r="U2421">
        <v>24.05</v>
      </c>
      <c r="V2421" t="str">
        <f>VLOOKUP(L2421,'[2]tabela de preços'!$A:$D,4,0)</f>
        <v>ATLAS</v>
      </c>
      <c r="W2421" t="str">
        <f>VLOOKUP(L2421,'[2]tabela de preços'!$A:$F,6,0)</f>
        <v>ROLOS / TRINCHAS / PINCÉIS / ESPÁTULAS</v>
      </c>
      <c r="X2421" t="str">
        <f>VLOOKUP(L2421,'[2]tabela de preços'!$A:$G,7,0)</f>
        <v>IMOBILIÁRIO</v>
      </c>
    </row>
    <row r="2422" spans="1:24" x14ac:dyDescent="0.3">
      <c r="A2422" t="s">
        <v>2333</v>
      </c>
      <c r="B2422" t="s">
        <v>2334</v>
      </c>
      <c r="C2422" t="s">
        <v>2340</v>
      </c>
      <c r="D2422" s="1">
        <v>46031</v>
      </c>
      <c r="E2422" t="s">
        <v>2341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126</v>
      </c>
      <c r="J2422" t="s">
        <v>2337</v>
      </c>
      <c r="K2422" t="s">
        <v>2338</v>
      </c>
      <c r="L2422">
        <v>10117</v>
      </c>
      <c r="M2422" t="s">
        <v>1043</v>
      </c>
      <c r="O2422" t="s">
        <v>11</v>
      </c>
      <c r="P2422">
        <v>6102</v>
      </c>
      <c r="Q2422">
        <v>24</v>
      </c>
      <c r="R2422">
        <v>6.52</v>
      </c>
      <c r="S2422">
        <v>156.47999999999999</v>
      </c>
      <c r="T2422">
        <v>118.8</v>
      </c>
      <c r="U2422">
        <v>24.08</v>
      </c>
      <c r="V2422" t="str">
        <f>VLOOKUP(L2422,'[2]tabela de preços'!$A:$D,4,0)</f>
        <v>ATLAS</v>
      </c>
      <c r="W2422" t="str">
        <f>VLOOKUP(L2422,'[2]tabela de preços'!$A:$F,6,0)</f>
        <v>ROLOS / TRINCHAS / PINCÉIS / ESPÁTULAS</v>
      </c>
      <c r="X2422" t="str">
        <f>VLOOKUP(L2422,'[2]tabela de preços'!$A:$G,7,0)</f>
        <v>IMOBILIÁRIO</v>
      </c>
    </row>
    <row r="2423" spans="1:24" x14ac:dyDescent="0.3">
      <c r="A2423" t="s">
        <v>2333</v>
      </c>
      <c r="B2423" t="s">
        <v>2334</v>
      </c>
      <c r="C2423" t="s">
        <v>2340</v>
      </c>
      <c r="D2423" s="1">
        <v>46031</v>
      </c>
      <c r="E2423" t="s">
        <v>2341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126</v>
      </c>
      <c r="J2423" t="s">
        <v>2337</v>
      </c>
      <c r="K2423" t="s">
        <v>2338</v>
      </c>
      <c r="L2423">
        <v>10118</v>
      </c>
      <c r="M2423" t="s">
        <v>572</v>
      </c>
      <c r="O2423" t="s">
        <v>11</v>
      </c>
      <c r="P2423">
        <v>6102</v>
      </c>
      <c r="Q2423">
        <v>24</v>
      </c>
      <c r="R2423">
        <v>5.0199999999999996</v>
      </c>
      <c r="S2423">
        <v>120.48</v>
      </c>
      <c r="T2423">
        <v>91.44</v>
      </c>
      <c r="U2423">
        <v>24.1</v>
      </c>
      <c r="V2423" t="str">
        <f>VLOOKUP(L2423,'[2]tabela de preços'!$A:$D,4,0)</f>
        <v>ATLAS</v>
      </c>
      <c r="W2423" t="str">
        <f>VLOOKUP(L2423,'[2]tabela de preços'!$A:$F,6,0)</f>
        <v>ROLOS / TRINCHAS / PINCÉIS / ESPÁTULAS</v>
      </c>
      <c r="X2423" t="str">
        <f>VLOOKUP(L2423,'[2]tabela de preços'!$A:$G,7,0)</f>
        <v>IMOBILIÁRIO</v>
      </c>
    </row>
    <row r="2424" spans="1:24" x14ac:dyDescent="0.3">
      <c r="A2424" t="s">
        <v>2333</v>
      </c>
      <c r="B2424" t="s">
        <v>2334</v>
      </c>
      <c r="C2424" t="s">
        <v>2340</v>
      </c>
      <c r="D2424" s="1">
        <v>46031</v>
      </c>
      <c r="E2424" t="s">
        <v>2341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126</v>
      </c>
      <c r="J2424" t="s">
        <v>2337</v>
      </c>
      <c r="K2424" t="s">
        <v>2338</v>
      </c>
      <c r="L2424">
        <v>84460</v>
      </c>
      <c r="M2424" t="s">
        <v>322</v>
      </c>
      <c r="O2424" t="s">
        <v>11</v>
      </c>
      <c r="P2424">
        <v>6102</v>
      </c>
      <c r="Q2424">
        <v>6</v>
      </c>
      <c r="R2424">
        <v>31.07</v>
      </c>
      <c r="S2424">
        <v>186.42</v>
      </c>
      <c r="T2424">
        <v>141.47999999999999</v>
      </c>
      <c r="U2424">
        <v>24.11</v>
      </c>
      <c r="V2424" t="str">
        <f>VLOOKUP(L2424,'[2]tabela de preços'!$A:$D,4,0)</f>
        <v>BRASILUX</v>
      </c>
      <c r="W2424" t="str">
        <f>VLOOKUP(L2424,'[2]tabela de preços'!$A:$F,6,0)</f>
        <v>VEDADORES / SELANTES</v>
      </c>
      <c r="X2424" t="str">
        <f>VLOOKUP(L2424,'[2]tabela de preços'!$A:$G,7,0)</f>
        <v>AUTOMOTIVO</v>
      </c>
    </row>
    <row r="2425" spans="1:24" x14ac:dyDescent="0.3">
      <c r="A2425" t="s">
        <v>2333</v>
      </c>
      <c r="B2425" t="s">
        <v>2334</v>
      </c>
      <c r="C2425" t="s">
        <v>2345</v>
      </c>
      <c r="D2425" s="1">
        <v>46036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126</v>
      </c>
      <c r="J2425" t="s">
        <v>2337</v>
      </c>
      <c r="K2425" t="s">
        <v>2338</v>
      </c>
      <c r="L2425">
        <v>84421</v>
      </c>
      <c r="M2425" t="s">
        <v>568</v>
      </c>
      <c r="N2425" t="s">
        <v>2346</v>
      </c>
      <c r="O2425" t="s">
        <v>11</v>
      </c>
      <c r="P2425">
        <v>2202</v>
      </c>
      <c r="Q2425">
        <v>-10</v>
      </c>
      <c r="R2425">
        <v>6.35</v>
      </c>
      <c r="S2425">
        <v>-63.5</v>
      </c>
      <c r="T2425">
        <v>-48.2</v>
      </c>
      <c r="U2425">
        <v>24.09</v>
      </c>
      <c r="V2425" t="str">
        <f>VLOOKUP(L2425,'[2]tabela de preços'!$A:$D,4,0)</f>
        <v>ATLAS</v>
      </c>
      <c r="W2425" t="str">
        <f>VLOOKUP(L2425,'[2]tabela de preços'!$A:$F,6,0)</f>
        <v>ROLOS / TRINCHAS / PINCÉIS / ESPÁTULAS</v>
      </c>
      <c r="X2425" t="str">
        <f>VLOOKUP(L2425,'[2]tabela de preços'!$A:$G,7,0)</f>
        <v>IMOBILIÁRIO</v>
      </c>
    </row>
    <row r="2426" spans="1:24" x14ac:dyDescent="0.3">
      <c r="A2426" t="s">
        <v>2333</v>
      </c>
      <c r="B2426" t="s">
        <v>2334</v>
      </c>
      <c r="C2426" t="s">
        <v>2347</v>
      </c>
      <c r="D2426" s="1">
        <v>46036</v>
      </c>
      <c r="E2426" t="s">
        <v>2348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126</v>
      </c>
      <c r="J2426" t="s">
        <v>2337</v>
      </c>
      <c r="K2426" t="s">
        <v>2338</v>
      </c>
      <c r="L2426">
        <v>84489</v>
      </c>
      <c r="M2426" t="s">
        <v>1610</v>
      </c>
      <c r="O2426" t="s">
        <v>11</v>
      </c>
      <c r="P2426">
        <v>6403</v>
      </c>
      <c r="Q2426">
        <v>2</v>
      </c>
      <c r="R2426">
        <v>480.28</v>
      </c>
      <c r="S2426">
        <v>960.56</v>
      </c>
      <c r="T2426">
        <v>729.08</v>
      </c>
      <c r="U2426">
        <v>24.1</v>
      </c>
      <c r="V2426" t="str">
        <f>VLOOKUP(L2426,'[2]tabela de preços'!$A:$D,4,0)</f>
        <v>BRASILUX</v>
      </c>
      <c r="W2426" t="str">
        <f>VLOOKUP(L2426,'[2]tabela de preços'!$A:$F,6,0)</f>
        <v xml:space="preserve">BASES SISTEMA NO MACHINE </v>
      </c>
      <c r="X2426" t="str">
        <f>VLOOKUP(L2426,'[2]tabela de preços'!$A:$G,7,0)</f>
        <v>INDUSTRIAL</v>
      </c>
    </row>
    <row r="2427" spans="1:24" x14ac:dyDescent="0.3">
      <c r="A2427" t="s">
        <v>2333</v>
      </c>
      <c r="B2427" t="s">
        <v>2334</v>
      </c>
      <c r="C2427" t="s">
        <v>2347</v>
      </c>
      <c r="D2427" s="1">
        <v>46036</v>
      </c>
      <c r="E2427" t="s">
        <v>2348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126</v>
      </c>
      <c r="J2427" t="s">
        <v>2337</v>
      </c>
      <c r="K2427" t="s">
        <v>2338</v>
      </c>
      <c r="L2427">
        <v>84644</v>
      </c>
      <c r="M2427" t="s">
        <v>77</v>
      </c>
      <c r="O2427" t="s">
        <v>11</v>
      </c>
      <c r="P2427">
        <v>6403</v>
      </c>
      <c r="Q2427">
        <v>6</v>
      </c>
      <c r="R2427">
        <v>36.01</v>
      </c>
      <c r="S2427">
        <v>216.06</v>
      </c>
      <c r="T2427">
        <v>163.98</v>
      </c>
      <c r="U2427">
        <v>24.1</v>
      </c>
      <c r="V2427" t="str">
        <f>VLOOKUP(L2427,'[2]tabela de preços'!$A:$D,4,0)</f>
        <v>BRASILUX</v>
      </c>
      <c r="W2427" t="str">
        <f>VLOOKUP(L2427,'[2]tabela de preços'!$A:$F,6,0)</f>
        <v xml:space="preserve">BASES SISTEMA NO MACHINE </v>
      </c>
      <c r="X2427" t="str">
        <f>VLOOKUP(L2427,'[2]tabela de preços'!$A:$G,7,0)</f>
        <v>INDUSTRIAL</v>
      </c>
    </row>
    <row r="2428" spans="1:24" x14ac:dyDescent="0.3">
      <c r="A2428" t="s">
        <v>2333</v>
      </c>
      <c r="B2428" t="s">
        <v>2334</v>
      </c>
      <c r="C2428" t="s">
        <v>2347</v>
      </c>
      <c r="D2428" s="1">
        <v>46036</v>
      </c>
      <c r="E2428" t="s">
        <v>2348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126</v>
      </c>
      <c r="J2428" t="s">
        <v>2337</v>
      </c>
      <c r="K2428" t="s">
        <v>2338</v>
      </c>
      <c r="L2428">
        <v>84494</v>
      </c>
      <c r="M2428" t="s">
        <v>1539</v>
      </c>
      <c r="O2428" t="s">
        <v>11</v>
      </c>
      <c r="P2428">
        <v>6403</v>
      </c>
      <c r="Q2428">
        <v>3</v>
      </c>
      <c r="R2428">
        <v>150.94</v>
      </c>
      <c r="S2428">
        <v>452.82</v>
      </c>
      <c r="T2428">
        <v>343.71</v>
      </c>
      <c r="U2428">
        <v>24.1</v>
      </c>
      <c r="V2428" t="str">
        <f>VLOOKUP(L2428,'[2]tabela de preços'!$A:$D,4,0)</f>
        <v>BRASILUX</v>
      </c>
      <c r="W2428" t="str">
        <f>VLOOKUP(L2428,'[2]tabela de preços'!$A:$F,6,0)</f>
        <v xml:space="preserve">BASES SISTEMA NO MACHINE </v>
      </c>
      <c r="X2428" t="str">
        <f>VLOOKUP(L2428,'[2]tabela de preços'!$A:$G,7,0)</f>
        <v>INDUSTRIAL</v>
      </c>
    </row>
    <row r="2429" spans="1:24" x14ac:dyDescent="0.3">
      <c r="A2429" t="s">
        <v>2333</v>
      </c>
      <c r="B2429" t="s">
        <v>2334</v>
      </c>
      <c r="C2429" t="s">
        <v>2347</v>
      </c>
      <c r="D2429" s="1">
        <v>46036</v>
      </c>
      <c r="E2429" t="s">
        <v>2348</v>
      </c>
      <c r="F2429">
        <v>9</v>
      </c>
      <c r="G2429">
        <v>174</v>
      </c>
      <c r="H2429" t="str">
        <f>VLOOKUP(G2429,[1]OPERADORES!$A:$B,2,0)</f>
        <v>MIRIÃ LOBATO RODRIGUES</v>
      </c>
      <c r="I2429" t="s">
        <v>126</v>
      </c>
      <c r="J2429" t="s">
        <v>2337</v>
      </c>
      <c r="K2429" t="s">
        <v>2338</v>
      </c>
      <c r="L2429">
        <v>85280</v>
      </c>
      <c r="M2429" t="s">
        <v>943</v>
      </c>
      <c r="O2429" t="s">
        <v>11</v>
      </c>
      <c r="P2429">
        <v>6102</v>
      </c>
      <c r="Q2429">
        <v>12</v>
      </c>
      <c r="R2429">
        <v>55.72</v>
      </c>
      <c r="S2429">
        <v>668.64</v>
      </c>
      <c r="T2429">
        <v>507.48</v>
      </c>
      <c r="U2429">
        <v>24.1</v>
      </c>
      <c r="V2429" t="str">
        <f>VLOOKUP(L2429,'[2]tabela de preços'!$A:$D,4,0)</f>
        <v>BRASILUX</v>
      </c>
      <c r="W2429" t="str">
        <f>VLOOKUP(L2429,'[2]tabela de preços'!$A:$F,6,0)</f>
        <v>CATALISADORES INDIVIDUAIS</v>
      </c>
      <c r="X2429" t="str">
        <f>VLOOKUP(L2429,'[2]tabela de preços'!$A:$G,7,0)</f>
        <v>IMOBILIÁRIO</v>
      </c>
    </row>
    <row r="2430" spans="1:24" x14ac:dyDescent="0.3">
      <c r="A2430" t="s">
        <v>2333</v>
      </c>
      <c r="B2430" t="s">
        <v>2334</v>
      </c>
      <c r="C2430" t="s">
        <v>2347</v>
      </c>
      <c r="D2430" s="1">
        <v>46036</v>
      </c>
      <c r="E2430" t="s">
        <v>2348</v>
      </c>
      <c r="F2430">
        <v>9</v>
      </c>
      <c r="G2430">
        <v>174</v>
      </c>
      <c r="H2430" t="str">
        <f>VLOOKUP(G2430,[1]OPERADORES!$A:$B,2,0)</f>
        <v>MIRIÃ LOBATO RODRIGUES</v>
      </c>
      <c r="I2430" t="s">
        <v>126</v>
      </c>
      <c r="J2430" t="s">
        <v>2337</v>
      </c>
      <c r="K2430" t="s">
        <v>2338</v>
      </c>
      <c r="L2430">
        <v>84824</v>
      </c>
      <c r="M2430" t="s">
        <v>1242</v>
      </c>
      <c r="O2430" t="s">
        <v>11</v>
      </c>
      <c r="P2430">
        <v>6102</v>
      </c>
      <c r="Q2430">
        <v>2</v>
      </c>
      <c r="R2430">
        <v>324.32</v>
      </c>
      <c r="S2430">
        <v>648.64</v>
      </c>
      <c r="T2430">
        <v>492.32</v>
      </c>
      <c r="U2430">
        <v>24.1</v>
      </c>
      <c r="V2430" t="str">
        <f>VLOOKUP(L2430,'[2]tabela de preços'!$A:$D,4,0)</f>
        <v>BRASILUX</v>
      </c>
      <c r="W2430" t="str">
        <f>VLOOKUP(L2430,'[2]tabela de preços'!$A:$F,6,0)</f>
        <v>DILUENTE</v>
      </c>
      <c r="X2430" t="str">
        <f>VLOOKUP(L2430,'[2]tabela de preços'!$A:$G,7,0)</f>
        <v>AUTOMOTIVO</v>
      </c>
    </row>
    <row r="2431" spans="1:24" x14ac:dyDescent="0.3">
      <c r="A2431" t="s">
        <v>2333</v>
      </c>
      <c r="B2431" t="s">
        <v>2334</v>
      </c>
      <c r="C2431" t="s">
        <v>2347</v>
      </c>
      <c r="D2431" s="1">
        <v>46036</v>
      </c>
      <c r="E2431" t="s">
        <v>2348</v>
      </c>
      <c r="F2431">
        <v>9</v>
      </c>
      <c r="G2431">
        <v>174</v>
      </c>
      <c r="H2431" t="str">
        <f>VLOOKUP(G2431,[1]OPERADORES!$A:$B,2,0)</f>
        <v>MIRIÃ LOBATO RODRIGUES</v>
      </c>
      <c r="I2431" t="s">
        <v>126</v>
      </c>
      <c r="J2431" t="s">
        <v>2337</v>
      </c>
      <c r="K2431" t="s">
        <v>2338</v>
      </c>
      <c r="L2431">
        <v>10096</v>
      </c>
      <c r="M2431" t="s">
        <v>2349</v>
      </c>
      <c r="O2431" t="s">
        <v>11</v>
      </c>
      <c r="P2431">
        <v>6102</v>
      </c>
      <c r="Q2431">
        <v>10</v>
      </c>
      <c r="R2431">
        <v>8.8699999999999992</v>
      </c>
      <c r="S2431">
        <v>88.7</v>
      </c>
      <c r="T2431">
        <v>67.3</v>
      </c>
      <c r="U2431">
        <v>24.13</v>
      </c>
      <c r="V2431" t="str">
        <f>VLOOKUP(L2431,'[2]tabela de preços'!$A:$D,4,0)</f>
        <v>3M</v>
      </c>
      <c r="W2431" t="str">
        <f>VLOOKUP(L2431,'[2]tabela de preços'!$A:$F,6,0)</f>
        <v>EPI´S</v>
      </c>
      <c r="X2431" t="str">
        <f>VLOOKUP(L2431,'[2]tabela de preços'!$A:$G,7,0)</f>
        <v>AUTOMOTIVO</v>
      </c>
    </row>
    <row r="2432" spans="1:24" x14ac:dyDescent="0.3">
      <c r="A2432" t="s">
        <v>2333</v>
      </c>
      <c r="B2432" t="s">
        <v>2334</v>
      </c>
      <c r="C2432" t="s">
        <v>2347</v>
      </c>
      <c r="D2432" s="1">
        <v>46036</v>
      </c>
      <c r="E2432" t="s">
        <v>2348</v>
      </c>
      <c r="F2432">
        <v>9</v>
      </c>
      <c r="G2432">
        <v>174</v>
      </c>
      <c r="H2432" t="str">
        <f>VLOOKUP(G2432,[1]OPERADORES!$A:$B,2,0)</f>
        <v>MIRIÃ LOBATO RODRIGUES</v>
      </c>
      <c r="I2432" t="s">
        <v>126</v>
      </c>
      <c r="J2432" t="s">
        <v>2337</v>
      </c>
      <c r="K2432" t="s">
        <v>2338</v>
      </c>
      <c r="L2432">
        <v>10298</v>
      </c>
      <c r="M2432" t="s">
        <v>85</v>
      </c>
      <c r="O2432" t="s">
        <v>11</v>
      </c>
      <c r="P2432">
        <v>6102</v>
      </c>
      <c r="Q2432">
        <v>24</v>
      </c>
      <c r="R2432">
        <v>54.9</v>
      </c>
      <c r="S2432" s="2">
        <v>1317.6</v>
      </c>
      <c r="T2432" s="2">
        <v>1137.1199999999999</v>
      </c>
      <c r="U2432">
        <v>13.7</v>
      </c>
      <c r="V2432" t="str">
        <f>VLOOKUP(L2432,'[2]tabela de preços'!$A:$D,4,0)</f>
        <v>ANJO</v>
      </c>
      <c r="W2432" t="str">
        <f>VLOOKUP(L2432,'[2]tabela de preços'!$A:$F,6,0)</f>
        <v>THINNER DE LIMPEZA</v>
      </c>
      <c r="X2432" t="str">
        <f>VLOOKUP(L2432,'[2]tabela de preços'!$A:$G,7,0)</f>
        <v>THINNER</v>
      </c>
    </row>
    <row r="2433" spans="1:24" x14ac:dyDescent="0.3">
      <c r="A2433" t="s">
        <v>2333</v>
      </c>
      <c r="B2433" t="s">
        <v>2334</v>
      </c>
      <c r="C2433" t="s">
        <v>2350</v>
      </c>
      <c r="D2433" s="1">
        <v>46041</v>
      </c>
      <c r="F2433">
        <v>9</v>
      </c>
      <c r="G2433">
        <v>174</v>
      </c>
      <c r="H2433" t="str">
        <f>VLOOKUP(G2433,[1]OPERADORES!$A:$B,2,0)</f>
        <v>MIRIÃ LOBATO RODRIGUES</v>
      </c>
      <c r="I2433" t="s">
        <v>126</v>
      </c>
      <c r="J2433" t="s">
        <v>2337</v>
      </c>
      <c r="K2433" t="s">
        <v>2338</v>
      </c>
      <c r="L2433">
        <v>10096</v>
      </c>
      <c r="M2433" t="s">
        <v>2349</v>
      </c>
      <c r="N2433" t="s">
        <v>2351</v>
      </c>
      <c r="O2433" t="s">
        <v>11</v>
      </c>
      <c r="P2433">
        <v>2202</v>
      </c>
      <c r="Q2433">
        <v>-10</v>
      </c>
      <c r="R2433">
        <v>8.8699999999999992</v>
      </c>
      <c r="S2433">
        <v>-88.7</v>
      </c>
      <c r="T2433">
        <v>-67.3</v>
      </c>
      <c r="U2433">
        <v>24.13</v>
      </c>
      <c r="V2433" t="str">
        <f>VLOOKUP(L2433,'[2]tabela de preços'!$A:$D,4,0)</f>
        <v>3M</v>
      </c>
      <c r="W2433" t="str">
        <f>VLOOKUP(L2433,'[2]tabela de preços'!$A:$F,6,0)</f>
        <v>EPI´S</v>
      </c>
      <c r="X2433" t="str">
        <f>VLOOKUP(L2433,'[2]tabela de preços'!$A:$G,7,0)</f>
        <v>AUTOMOTIVO</v>
      </c>
    </row>
    <row r="2434" spans="1:24" x14ac:dyDescent="0.3">
      <c r="A2434" t="s">
        <v>2333</v>
      </c>
      <c r="B2434" t="s">
        <v>2334</v>
      </c>
      <c r="C2434" t="s">
        <v>2352</v>
      </c>
      <c r="D2434" s="1">
        <v>46043</v>
      </c>
      <c r="E2434" t="s">
        <v>2353</v>
      </c>
      <c r="F2434">
        <v>9</v>
      </c>
      <c r="G2434">
        <v>174</v>
      </c>
      <c r="H2434" t="str">
        <f>VLOOKUP(G2434,[1]OPERADORES!$A:$B,2,0)</f>
        <v>MIRIÃ LOBATO RODRIGUES</v>
      </c>
      <c r="I2434" t="s">
        <v>126</v>
      </c>
      <c r="J2434" t="s">
        <v>2337</v>
      </c>
      <c r="K2434" t="s">
        <v>2338</v>
      </c>
      <c r="L2434">
        <v>84625</v>
      </c>
      <c r="M2434" t="s">
        <v>1612</v>
      </c>
      <c r="O2434" t="s">
        <v>11</v>
      </c>
      <c r="P2434">
        <v>6403</v>
      </c>
      <c r="Q2434">
        <v>5</v>
      </c>
      <c r="R2434">
        <v>82.99</v>
      </c>
      <c r="S2434">
        <v>414.95</v>
      </c>
      <c r="T2434">
        <v>314.95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 xml:space="preserve">BASES SISTEMA NO MACHINE </v>
      </c>
      <c r="X2434" t="str">
        <f>VLOOKUP(L2434,'[2]tabela de preços'!$A:$G,7,0)</f>
        <v>INDUSTRIAL</v>
      </c>
    </row>
    <row r="2435" spans="1:24" x14ac:dyDescent="0.3">
      <c r="A2435" t="s">
        <v>2333</v>
      </c>
      <c r="B2435" t="s">
        <v>2334</v>
      </c>
      <c r="C2435" t="s">
        <v>2352</v>
      </c>
      <c r="D2435" s="1">
        <v>46043</v>
      </c>
      <c r="E2435" t="s">
        <v>2353</v>
      </c>
      <c r="F2435">
        <v>9</v>
      </c>
      <c r="G2435">
        <v>174</v>
      </c>
      <c r="H2435" t="str">
        <f>VLOOKUP(G2435,[1]OPERADORES!$A:$B,2,0)</f>
        <v>MIRIÃ LOBATO RODRIGUES</v>
      </c>
      <c r="I2435" t="s">
        <v>126</v>
      </c>
      <c r="J2435" t="s">
        <v>2337</v>
      </c>
      <c r="K2435" t="s">
        <v>2338</v>
      </c>
      <c r="L2435">
        <v>84823</v>
      </c>
      <c r="M2435" t="s">
        <v>331</v>
      </c>
      <c r="O2435" t="s">
        <v>11</v>
      </c>
      <c r="P2435">
        <v>6102</v>
      </c>
      <c r="Q2435">
        <v>12</v>
      </c>
      <c r="R2435">
        <v>94.64</v>
      </c>
      <c r="S2435" s="2">
        <v>1135.68</v>
      </c>
      <c r="T2435">
        <v>861.96</v>
      </c>
      <c r="U2435">
        <v>24.1</v>
      </c>
      <c r="V2435" t="str">
        <f>VLOOKUP(L2435,'[2]tabela de preços'!$A:$D,4,0)</f>
        <v>BRASILUX</v>
      </c>
      <c r="W2435" t="str">
        <f>VLOOKUP(L2435,'[2]tabela de preços'!$A:$F,6,0)</f>
        <v>DILUENTE</v>
      </c>
      <c r="X2435" t="str">
        <f>VLOOKUP(L2435,'[2]tabela de preços'!$A:$G,7,0)</f>
        <v>AUTOMOTIVO</v>
      </c>
    </row>
    <row r="2436" spans="1:24" x14ac:dyDescent="0.3">
      <c r="A2436" t="s">
        <v>2333</v>
      </c>
      <c r="B2436" t="s">
        <v>2334</v>
      </c>
      <c r="C2436" t="s">
        <v>2352</v>
      </c>
      <c r="D2436" s="1">
        <v>46043</v>
      </c>
      <c r="E2436" t="s">
        <v>2353</v>
      </c>
      <c r="F2436">
        <v>9</v>
      </c>
      <c r="G2436">
        <v>174</v>
      </c>
      <c r="H2436" t="str">
        <f>VLOOKUP(G2436,[1]OPERADORES!$A:$B,2,0)</f>
        <v>MIRIÃ LOBATO RODRIGUES</v>
      </c>
      <c r="I2436" t="s">
        <v>126</v>
      </c>
      <c r="J2436" t="s">
        <v>2337</v>
      </c>
      <c r="K2436" t="s">
        <v>2338</v>
      </c>
      <c r="L2436">
        <v>84557</v>
      </c>
      <c r="M2436" t="s">
        <v>116</v>
      </c>
      <c r="O2436" t="s">
        <v>11</v>
      </c>
      <c r="P2436">
        <v>6102</v>
      </c>
      <c r="Q2436">
        <v>18</v>
      </c>
      <c r="R2436">
        <v>17.489999999999998</v>
      </c>
      <c r="S2436">
        <v>314.82</v>
      </c>
      <c r="T2436">
        <v>251.28</v>
      </c>
      <c r="U2436">
        <v>20.18</v>
      </c>
      <c r="V2436" t="str">
        <f>VLOOKUP(L2436,'[2]tabela de preços'!$A:$D,4,0)</f>
        <v>BRASILUX</v>
      </c>
      <c r="W2436" t="str">
        <f>VLOOKUP(L2436,'[2]tabela de preços'!$A:$F,6,0)</f>
        <v>DILUENTE</v>
      </c>
      <c r="X2436" t="str">
        <f>VLOOKUP(L2436,'[2]tabela de preços'!$A:$G,7,0)</f>
        <v>AUTOMOTIVO</v>
      </c>
    </row>
    <row r="2437" spans="1:24" x14ac:dyDescent="0.3">
      <c r="A2437" t="s">
        <v>2333</v>
      </c>
      <c r="B2437" t="s">
        <v>2334</v>
      </c>
      <c r="C2437" t="s">
        <v>2352</v>
      </c>
      <c r="D2437" s="1">
        <v>46043</v>
      </c>
      <c r="E2437" t="s">
        <v>2353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126</v>
      </c>
      <c r="J2437" t="s">
        <v>2337</v>
      </c>
      <c r="K2437" t="s">
        <v>2338</v>
      </c>
      <c r="L2437">
        <v>23878</v>
      </c>
      <c r="M2437" t="s">
        <v>851</v>
      </c>
      <c r="O2437" t="s">
        <v>11</v>
      </c>
      <c r="P2437">
        <v>6102</v>
      </c>
      <c r="Q2437">
        <v>36</v>
      </c>
      <c r="R2437">
        <v>8.41</v>
      </c>
      <c r="S2437">
        <v>302.76</v>
      </c>
      <c r="T2437">
        <v>229.68</v>
      </c>
      <c r="U2437">
        <v>24.14</v>
      </c>
      <c r="V2437" t="str">
        <f>VLOOKUP(L2437,'[2]tabela de preços'!$A:$D,4,0)</f>
        <v>ATLAS</v>
      </c>
      <c r="W2437" t="str">
        <f>VLOOKUP(L2437,'[2]tabela de preços'!$A:$F,6,0)</f>
        <v>ROLOS / TRINCHAS / PINCÉIS / ESPÁTULAS</v>
      </c>
      <c r="X2437" t="str">
        <f>VLOOKUP(L2437,'[2]tabela de preços'!$A:$G,7,0)</f>
        <v>IMOBILIÁRIO</v>
      </c>
    </row>
    <row r="2438" spans="1:24" x14ac:dyDescent="0.3">
      <c r="A2438" t="s">
        <v>2333</v>
      </c>
      <c r="B2438" t="s">
        <v>2334</v>
      </c>
      <c r="C2438" t="s">
        <v>2352</v>
      </c>
      <c r="D2438" s="1">
        <v>46043</v>
      </c>
      <c r="E2438" t="s">
        <v>2353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126</v>
      </c>
      <c r="J2438" t="s">
        <v>2337</v>
      </c>
      <c r="K2438" t="s">
        <v>2338</v>
      </c>
      <c r="L2438">
        <v>84020</v>
      </c>
      <c r="M2438" t="s">
        <v>518</v>
      </c>
      <c r="O2438" t="s">
        <v>11</v>
      </c>
      <c r="P2438">
        <v>6102</v>
      </c>
      <c r="Q2438">
        <v>100</v>
      </c>
      <c r="R2438">
        <v>0.91</v>
      </c>
      <c r="S2438">
        <v>91</v>
      </c>
      <c r="T2438">
        <v>69</v>
      </c>
      <c r="U2438">
        <v>24.18</v>
      </c>
      <c r="V2438" t="str">
        <f>VLOOKUP(L2438,'[2]tabela de preços'!$A:$D,4,0)</f>
        <v>3M</v>
      </c>
      <c r="W2438" t="str">
        <f>VLOOKUP(L2438,'[2]tabela de preços'!$A:$F,6,0)</f>
        <v>LIXA MASSA  /MADEIRA / PAREDE</v>
      </c>
      <c r="X2438" t="str">
        <f>VLOOKUP(L2438,'[2]tabela de preços'!$A:$G,7,0)</f>
        <v>IMOBILIÁRIO</v>
      </c>
    </row>
    <row r="2439" spans="1:24" x14ac:dyDescent="0.3">
      <c r="A2439" t="s">
        <v>2333</v>
      </c>
      <c r="B2439" t="s">
        <v>2334</v>
      </c>
      <c r="C2439" t="s">
        <v>2352</v>
      </c>
      <c r="D2439" s="1">
        <v>46043</v>
      </c>
      <c r="E2439" t="s">
        <v>2353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126</v>
      </c>
      <c r="J2439" t="s">
        <v>2337</v>
      </c>
      <c r="K2439" t="s">
        <v>2338</v>
      </c>
      <c r="L2439">
        <v>84021</v>
      </c>
      <c r="M2439" t="s">
        <v>1945</v>
      </c>
      <c r="O2439" t="s">
        <v>11</v>
      </c>
      <c r="P2439">
        <v>6102</v>
      </c>
      <c r="Q2439">
        <v>100</v>
      </c>
      <c r="R2439">
        <v>0.6</v>
      </c>
      <c r="S2439">
        <v>60</v>
      </c>
      <c r="T2439">
        <v>46</v>
      </c>
      <c r="U2439">
        <v>23.33</v>
      </c>
      <c r="V2439" t="str">
        <f>VLOOKUP(L2439,'[2]tabela de preços'!$A:$D,4,0)</f>
        <v>3M</v>
      </c>
      <c r="W2439" t="str">
        <f>VLOOKUP(L2439,'[2]tabela de preços'!$A:$F,6,0)</f>
        <v>LIXA MASSA  /MADEIRA / PAREDE</v>
      </c>
      <c r="X2439" t="str">
        <f>VLOOKUP(L2439,'[2]tabela de preços'!$A:$G,7,0)</f>
        <v>IMOBILIÁRIO</v>
      </c>
    </row>
    <row r="2440" spans="1:24" x14ac:dyDescent="0.3">
      <c r="A2440" t="s">
        <v>2333</v>
      </c>
      <c r="B2440" t="s">
        <v>2334</v>
      </c>
      <c r="C2440" t="s">
        <v>2352</v>
      </c>
      <c r="D2440" s="1">
        <v>46043</v>
      </c>
      <c r="E2440" t="s">
        <v>2353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126</v>
      </c>
      <c r="J2440" t="s">
        <v>2337</v>
      </c>
      <c r="K2440" t="s">
        <v>2338</v>
      </c>
      <c r="L2440">
        <v>84018</v>
      </c>
      <c r="M2440" t="s">
        <v>818</v>
      </c>
      <c r="O2440" t="s">
        <v>11</v>
      </c>
      <c r="P2440">
        <v>6102</v>
      </c>
      <c r="Q2440">
        <v>150</v>
      </c>
      <c r="R2440">
        <v>0.6</v>
      </c>
      <c r="S2440">
        <v>90</v>
      </c>
      <c r="T2440">
        <v>69</v>
      </c>
      <c r="U2440">
        <v>23.33</v>
      </c>
      <c r="V2440" t="str">
        <f>VLOOKUP(L2440,'[2]tabela de preços'!$A:$D,4,0)</f>
        <v>3M</v>
      </c>
      <c r="W2440" t="str">
        <f>VLOOKUP(L2440,'[2]tabela de preços'!$A:$F,6,0)</f>
        <v>LIXA MASSA  /MADEIRA / PAREDE</v>
      </c>
      <c r="X2440" t="str">
        <f>VLOOKUP(L2440,'[2]tabela de preços'!$A:$G,7,0)</f>
        <v>IMOBILIÁRIO</v>
      </c>
    </row>
    <row r="2441" spans="1:24" x14ac:dyDescent="0.3">
      <c r="A2441" t="s">
        <v>2333</v>
      </c>
      <c r="B2441" t="s">
        <v>2334</v>
      </c>
      <c r="C2441" t="s">
        <v>2352</v>
      </c>
      <c r="D2441" s="1">
        <v>46043</v>
      </c>
      <c r="E2441" t="s">
        <v>2353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126</v>
      </c>
      <c r="J2441" t="s">
        <v>2337</v>
      </c>
      <c r="K2441" t="s">
        <v>2338</v>
      </c>
      <c r="L2441">
        <v>10238</v>
      </c>
      <c r="M2441" t="s">
        <v>79</v>
      </c>
      <c r="O2441" t="s">
        <v>11</v>
      </c>
      <c r="P2441">
        <v>6102</v>
      </c>
      <c r="Q2441">
        <v>100</v>
      </c>
      <c r="R2441">
        <v>2.79</v>
      </c>
      <c r="S2441">
        <v>279</v>
      </c>
      <c r="T2441">
        <v>224</v>
      </c>
      <c r="U2441">
        <v>19.71</v>
      </c>
      <c r="V2441" t="str">
        <f>VLOOKUP(L2441,'[2]tabela de preços'!$A:$D,4,0)</f>
        <v>NORTON</v>
      </c>
      <c r="W2441" t="str">
        <f>VLOOKUP(L2441,'[2]tabela de preços'!$A:$F,6,0)</f>
        <v xml:space="preserve">DISCOS / LIXAS / ABRASIVOS </v>
      </c>
      <c r="X2441" t="str">
        <f>VLOOKUP(L2441,'[2]tabela de preços'!$A:$G,7,0)</f>
        <v>AUTOMOTIVO</v>
      </c>
    </row>
    <row r="2442" spans="1:24" x14ac:dyDescent="0.3">
      <c r="A2442" t="s">
        <v>2333</v>
      </c>
      <c r="B2442" t="s">
        <v>2334</v>
      </c>
      <c r="C2442" t="s">
        <v>2352</v>
      </c>
      <c r="D2442" s="1">
        <v>46043</v>
      </c>
      <c r="E2442" t="s">
        <v>2353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126</v>
      </c>
      <c r="J2442" t="s">
        <v>2337</v>
      </c>
      <c r="K2442" t="s">
        <v>2338</v>
      </c>
      <c r="L2442">
        <v>10242</v>
      </c>
      <c r="M2442" t="s">
        <v>82</v>
      </c>
      <c r="O2442" t="s">
        <v>11</v>
      </c>
      <c r="P2442">
        <v>6102</v>
      </c>
      <c r="Q2442">
        <v>100</v>
      </c>
      <c r="R2442">
        <v>2.79</v>
      </c>
      <c r="S2442">
        <v>279</v>
      </c>
      <c r="T2442">
        <v>224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2333</v>
      </c>
      <c r="B2443" t="s">
        <v>2334</v>
      </c>
      <c r="C2443" t="s">
        <v>2352</v>
      </c>
      <c r="D2443" s="1">
        <v>46043</v>
      </c>
      <c r="E2443" t="s">
        <v>2353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126</v>
      </c>
      <c r="J2443" t="s">
        <v>2337</v>
      </c>
      <c r="K2443" t="s">
        <v>2338</v>
      </c>
      <c r="L2443">
        <v>10245</v>
      </c>
      <c r="M2443" t="s">
        <v>195</v>
      </c>
      <c r="O2443" t="s">
        <v>11</v>
      </c>
      <c r="P2443">
        <v>6102</v>
      </c>
      <c r="Q2443">
        <v>50</v>
      </c>
      <c r="R2443">
        <v>2.79</v>
      </c>
      <c r="S2443">
        <v>139.5</v>
      </c>
      <c r="T2443">
        <v>96.5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2333</v>
      </c>
      <c r="B2444" t="s">
        <v>2334</v>
      </c>
      <c r="C2444" t="s">
        <v>2352</v>
      </c>
      <c r="D2444" s="1">
        <v>46043</v>
      </c>
      <c r="E2444" t="s">
        <v>2353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126</v>
      </c>
      <c r="J2444" t="s">
        <v>2337</v>
      </c>
      <c r="K2444" t="s">
        <v>2338</v>
      </c>
      <c r="L2444">
        <v>85020</v>
      </c>
      <c r="M2444" t="s">
        <v>1094</v>
      </c>
      <c r="O2444" t="s">
        <v>11</v>
      </c>
      <c r="P2444">
        <v>6102</v>
      </c>
      <c r="Q2444">
        <v>5</v>
      </c>
      <c r="R2444">
        <v>1.07</v>
      </c>
      <c r="S2444">
        <v>5.35</v>
      </c>
      <c r="T2444">
        <v>4.05</v>
      </c>
      <c r="U2444">
        <v>24.3</v>
      </c>
      <c r="V2444" t="str">
        <f>VLOOKUP(L2444,'[2]tabela de preços'!$A:$D,4,0)</f>
        <v>.</v>
      </c>
      <c r="W2444" t="str">
        <f>VLOOKUP(L2444,'[2]tabela de preços'!$A:$F,6,0)</f>
        <v>PALHA DE AÇO</v>
      </c>
      <c r="X2444" t="str">
        <f>VLOOKUP(L2444,'[2]tabela de preços'!$A:$G,7,0)</f>
        <v>IMOBILIÁRIO</v>
      </c>
    </row>
    <row r="2445" spans="1:24" x14ac:dyDescent="0.3">
      <c r="A2445" t="s">
        <v>2333</v>
      </c>
      <c r="B2445" t="s">
        <v>2334</v>
      </c>
      <c r="C2445" t="s">
        <v>2352</v>
      </c>
      <c r="D2445" s="1">
        <v>46043</v>
      </c>
      <c r="E2445" t="s">
        <v>2353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126</v>
      </c>
      <c r="J2445" t="s">
        <v>2337</v>
      </c>
      <c r="K2445" t="s">
        <v>2338</v>
      </c>
      <c r="L2445">
        <v>84430</v>
      </c>
      <c r="M2445" t="s">
        <v>2354</v>
      </c>
      <c r="O2445" t="s">
        <v>11</v>
      </c>
      <c r="P2445">
        <v>6102</v>
      </c>
      <c r="Q2445">
        <v>18</v>
      </c>
      <c r="R2445">
        <v>17.25</v>
      </c>
      <c r="S2445">
        <v>310.5</v>
      </c>
      <c r="T2445">
        <v>235.62</v>
      </c>
      <c r="U2445">
        <v>24.12</v>
      </c>
      <c r="V2445" t="str">
        <f>VLOOKUP(L2445,'[2]tabela de preços'!$A:$D,4,0)</f>
        <v>ATLAS</v>
      </c>
      <c r="W2445" t="str">
        <f>VLOOKUP(L2445,'[2]tabela de preços'!$A:$F,6,0)</f>
        <v>ROLOS / TRINCHAS / PINCÉIS / ESPÁTULAS</v>
      </c>
      <c r="X2445" t="str">
        <f>VLOOKUP(L2445,'[2]tabela de preços'!$A:$G,7,0)</f>
        <v>IMOBILIÁRIO</v>
      </c>
    </row>
    <row r="2446" spans="1:24" x14ac:dyDescent="0.3">
      <c r="A2446" t="s">
        <v>2333</v>
      </c>
      <c r="B2446" t="s">
        <v>2334</v>
      </c>
      <c r="C2446" t="s">
        <v>2352</v>
      </c>
      <c r="D2446" s="1">
        <v>46043</v>
      </c>
      <c r="E2446" t="s">
        <v>2353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126</v>
      </c>
      <c r="J2446" t="s">
        <v>2337</v>
      </c>
      <c r="K2446" t="s">
        <v>2338</v>
      </c>
      <c r="L2446">
        <v>84420</v>
      </c>
      <c r="M2446" t="s">
        <v>353</v>
      </c>
      <c r="O2446" t="s">
        <v>11</v>
      </c>
      <c r="P2446">
        <v>6102</v>
      </c>
      <c r="Q2446">
        <v>24</v>
      </c>
      <c r="R2446">
        <v>20.34</v>
      </c>
      <c r="S2446">
        <v>488.16</v>
      </c>
      <c r="T2446">
        <v>370.56</v>
      </c>
      <c r="U2446">
        <v>24.09</v>
      </c>
      <c r="V2446" t="str">
        <f>VLOOKUP(L2446,'[2]tabela de preços'!$A:$D,4,0)</f>
        <v>ATLAS</v>
      </c>
      <c r="W2446" t="str">
        <f>VLOOKUP(L2446,'[2]tabela de preços'!$A:$F,6,0)</f>
        <v>ROLOS / TRINCHAS / PINCÉIS / ESPÁTULAS</v>
      </c>
      <c r="X2446" t="str">
        <f>VLOOKUP(L2446,'[2]tabela de preços'!$A:$G,7,0)</f>
        <v>IMOBILIÁRIO</v>
      </c>
    </row>
    <row r="2447" spans="1:24" x14ac:dyDescent="0.3">
      <c r="A2447" t="s">
        <v>2333</v>
      </c>
      <c r="B2447" t="s">
        <v>2334</v>
      </c>
      <c r="C2447" t="s">
        <v>2352</v>
      </c>
      <c r="D2447" s="1">
        <v>46043</v>
      </c>
      <c r="E2447" t="s">
        <v>2353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126</v>
      </c>
      <c r="J2447" t="s">
        <v>2337</v>
      </c>
      <c r="K2447" t="s">
        <v>2338</v>
      </c>
      <c r="L2447">
        <v>22218</v>
      </c>
      <c r="M2447" t="s">
        <v>2355</v>
      </c>
      <c r="O2447" t="s">
        <v>11</v>
      </c>
      <c r="P2447">
        <v>6102</v>
      </c>
      <c r="Q2447">
        <v>11</v>
      </c>
      <c r="R2447">
        <v>10.33</v>
      </c>
      <c r="S2447">
        <v>113.63</v>
      </c>
      <c r="T2447">
        <v>92.18</v>
      </c>
      <c r="U2447">
        <v>18.88</v>
      </c>
      <c r="V2447" t="str">
        <f>VLOOKUP(L2447,'[2]tabela de preços'!$A:$D,4,0)</f>
        <v>ATLAS</v>
      </c>
      <c r="W2447" t="str">
        <f>VLOOKUP(L2447,'[2]tabela de preços'!$A:$F,6,0)</f>
        <v>ROLOS / TRINCHAS / PINCÉIS / ESPÁTULAS</v>
      </c>
      <c r="X2447" t="str">
        <f>VLOOKUP(L2447,'[2]tabela de preços'!$A:$G,7,0)</f>
        <v>AUTOMOTIVO</v>
      </c>
    </row>
    <row r="2448" spans="1:24" x14ac:dyDescent="0.3">
      <c r="A2448" t="s">
        <v>2333</v>
      </c>
      <c r="B2448" t="s">
        <v>2334</v>
      </c>
      <c r="C2448" t="s">
        <v>2352</v>
      </c>
      <c r="D2448" s="1">
        <v>46043</v>
      </c>
      <c r="E2448" t="s">
        <v>2353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126</v>
      </c>
      <c r="J2448" t="s">
        <v>2337</v>
      </c>
      <c r="K2448" t="s">
        <v>2338</v>
      </c>
      <c r="L2448">
        <v>10118</v>
      </c>
      <c r="M2448" t="s">
        <v>572</v>
      </c>
      <c r="O2448" t="s">
        <v>11</v>
      </c>
      <c r="P2448">
        <v>6102</v>
      </c>
      <c r="Q2448">
        <v>24</v>
      </c>
      <c r="R2448">
        <v>5.0199999999999996</v>
      </c>
      <c r="S2448">
        <v>120.48</v>
      </c>
      <c r="T2448">
        <v>91.44</v>
      </c>
      <c r="U2448">
        <v>24.1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2333</v>
      </c>
      <c r="B2449" t="s">
        <v>2334</v>
      </c>
      <c r="C2449" t="s">
        <v>2352</v>
      </c>
      <c r="D2449" s="1">
        <v>46043</v>
      </c>
      <c r="E2449" t="s">
        <v>2353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126</v>
      </c>
      <c r="J2449" t="s">
        <v>2337</v>
      </c>
      <c r="K2449" t="s">
        <v>2338</v>
      </c>
      <c r="L2449">
        <v>10120</v>
      </c>
      <c r="M2449" t="s">
        <v>2356</v>
      </c>
      <c r="O2449" t="s">
        <v>11</v>
      </c>
      <c r="P2449">
        <v>6102</v>
      </c>
      <c r="Q2449">
        <v>24</v>
      </c>
      <c r="R2449">
        <v>9.9700000000000006</v>
      </c>
      <c r="S2449">
        <v>239.28</v>
      </c>
      <c r="T2449">
        <v>181.68</v>
      </c>
      <c r="U2449">
        <v>24.07</v>
      </c>
      <c r="V2449" t="str">
        <f>VLOOKUP(L2449,'[2]tabela de preços'!$A:$D,4,0)</f>
        <v>ATLAS</v>
      </c>
      <c r="W2449" t="str">
        <f>VLOOKUP(L2449,'[2]tabela de preços'!$A:$F,6,0)</f>
        <v>ROLOS / TRINCHAS / PINCÉIS / ESPÁTULAS</v>
      </c>
      <c r="X2449" t="str">
        <f>VLOOKUP(L2449,'[2]tabela de preços'!$A:$G,7,0)</f>
        <v>IMOBILIÁRIO</v>
      </c>
    </row>
    <row r="2450" spans="1:24" x14ac:dyDescent="0.3">
      <c r="A2450" t="s">
        <v>2333</v>
      </c>
      <c r="B2450" t="s">
        <v>2334</v>
      </c>
      <c r="C2450" t="s">
        <v>2352</v>
      </c>
      <c r="D2450" s="1">
        <v>46043</v>
      </c>
      <c r="E2450" t="s">
        <v>2353</v>
      </c>
      <c r="F2450">
        <v>9</v>
      </c>
      <c r="G2450">
        <v>174</v>
      </c>
      <c r="H2450" t="str">
        <f>VLOOKUP(G2450,[1]OPERADORES!$A:$B,2,0)</f>
        <v>MIRIÃ LOBATO RODRIGUES</v>
      </c>
      <c r="I2450" t="s">
        <v>126</v>
      </c>
      <c r="J2450" t="s">
        <v>2337</v>
      </c>
      <c r="K2450" t="s">
        <v>2338</v>
      </c>
      <c r="L2450">
        <v>10121</v>
      </c>
      <c r="M2450" t="s">
        <v>2357</v>
      </c>
      <c r="O2450" t="s">
        <v>11</v>
      </c>
      <c r="P2450">
        <v>6102</v>
      </c>
      <c r="Q2450">
        <v>12</v>
      </c>
      <c r="R2450">
        <v>11.42</v>
      </c>
      <c r="S2450">
        <v>137.04</v>
      </c>
      <c r="T2450">
        <v>104.04</v>
      </c>
      <c r="U2450">
        <v>24.08</v>
      </c>
      <c r="V2450" t="str">
        <f>VLOOKUP(L2450,'[2]tabela de preços'!$A:$D,4,0)</f>
        <v>ATLAS</v>
      </c>
      <c r="W2450" t="str">
        <f>VLOOKUP(L2450,'[2]tabela de preços'!$A:$F,6,0)</f>
        <v>ROLOS / TRINCHAS / PINCÉIS / ESPÁTULAS</v>
      </c>
      <c r="X2450" t="str">
        <f>VLOOKUP(L2450,'[2]tabela de preços'!$A:$G,7,0)</f>
        <v>IMOBILIÁRIO</v>
      </c>
    </row>
    <row r="2451" spans="1:24" x14ac:dyDescent="0.3">
      <c r="A2451" t="s">
        <v>2333</v>
      </c>
      <c r="B2451" t="s">
        <v>2334</v>
      </c>
      <c r="C2451" t="s">
        <v>2358</v>
      </c>
      <c r="D2451" s="1">
        <v>46050</v>
      </c>
      <c r="E2451" t="s">
        <v>2359</v>
      </c>
      <c r="F2451">
        <v>9</v>
      </c>
      <c r="G2451">
        <v>174</v>
      </c>
      <c r="H2451" t="str">
        <f>VLOOKUP(G2451,[1]OPERADORES!$A:$B,2,0)</f>
        <v>MIRIÃ LOBATO RODRIGUES</v>
      </c>
      <c r="I2451" t="s">
        <v>126</v>
      </c>
      <c r="J2451" t="s">
        <v>2337</v>
      </c>
      <c r="K2451" t="s">
        <v>2338</v>
      </c>
      <c r="L2451">
        <v>24356</v>
      </c>
      <c r="M2451" t="s">
        <v>2360</v>
      </c>
      <c r="O2451" t="s">
        <v>11</v>
      </c>
      <c r="P2451">
        <v>6403</v>
      </c>
      <c r="Q2451">
        <v>2</v>
      </c>
      <c r="R2451">
        <v>318.61</v>
      </c>
      <c r="S2451">
        <v>637.22</v>
      </c>
      <c r="T2451">
        <v>483.66</v>
      </c>
      <c r="U2451">
        <v>24.1</v>
      </c>
      <c r="V2451" t="str">
        <f>VLOOKUP(L2451,'[2]tabela de preços'!$A:$D,4,0)</f>
        <v>BRASILUX</v>
      </c>
      <c r="W2451" t="str">
        <f>VLOOKUP(L2451,'[2]tabela de preços'!$A:$F,6,0)</f>
        <v xml:space="preserve">BASES SISTEMA NO MACHINE </v>
      </c>
      <c r="X2451" t="str">
        <f>VLOOKUP(L2451,'[2]tabela de preços'!$A:$G,7,0)</f>
        <v>INDUSTRIAL</v>
      </c>
    </row>
    <row r="2452" spans="1:24" x14ac:dyDescent="0.3">
      <c r="A2452" t="s">
        <v>2333</v>
      </c>
      <c r="B2452" t="s">
        <v>2334</v>
      </c>
      <c r="C2452" t="s">
        <v>2358</v>
      </c>
      <c r="D2452" s="1">
        <v>46050</v>
      </c>
      <c r="E2452" t="s">
        <v>2359</v>
      </c>
      <c r="F2452">
        <v>9</v>
      </c>
      <c r="G2452">
        <v>174</v>
      </c>
      <c r="H2452" t="str">
        <f>VLOOKUP(G2452,[1]OPERADORES!$A:$B,2,0)</f>
        <v>MIRIÃ LOBATO RODRIGUES</v>
      </c>
      <c r="I2452" t="s">
        <v>126</v>
      </c>
      <c r="J2452" t="s">
        <v>2337</v>
      </c>
      <c r="K2452" t="s">
        <v>2338</v>
      </c>
      <c r="L2452">
        <v>84645</v>
      </c>
      <c r="M2452" t="s">
        <v>2343</v>
      </c>
      <c r="O2452" t="s">
        <v>11</v>
      </c>
      <c r="P2452">
        <v>6403</v>
      </c>
      <c r="Q2452">
        <v>1</v>
      </c>
      <c r="R2452">
        <v>85.98</v>
      </c>
      <c r="S2452">
        <v>85.98</v>
      </c>
      <c r="T2452">
        <v>65.260000000000005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 xml:space="preserve">BASES SISTEMA NO MACHINE </v>
      </c>
      <c r="X2452" t="str">
        <f>VLOOKUP(L2452,'[2]tabela de preços'!$A:$G,7,0)</f>
        <v>INDUSTRIAL</v>
      </c>
    </row>
    <row r="2453" spans="1:24" x14ac:dyDescent="0.3">
      <c r="A2453" t="s">
        <v>2333</v>
      </c>
      <c r="B2453" t="s">
        <v>2334</v>
      </c>
      <c r="C2453" t="s">
        <v>2358</v>
      </c>
      <c r="D2453" s="1">
        <v>46050</v>
      </c>
      <c r="E2453" t="s">
        <v>2359</v>
      </c>
      <c r="F2453">
        <v>9</v>
      </c>
      <c r="G2453">
        <v>174</v>
      </c>
      <c r="H2453" t="str">
        <f>VLOOKUP(G2453,[1]OPERADORES!$A:$B,2,0)</f>
        <v>MIRIÃ LOBATO RODRIGUES</v>
      </c>
      <c r="I2453" t="s">
        <v>126</v>
      </c>
      <c r="J2453" t="s">
        <v>2337</v>
      </c>
      <c r="K2453" t="s">
        <v>2338</v>
      </c>
      <c r="L2453">
        <v>84644</v>
      </c>
      <c r="M2453" t="s">
        <v>77</v>
      </c>
      <c r="O2453" t="s">
        <v>11</v>
      </c>
      <c r="P2453">
        <v>6403</v>
      </c>
      <c r="Q2453">
        <v>2</v>
      </c>
      <c r="R2453">
        <v>36.01</v>
      </c>
      <c r="S2453">
        <v>72.02</v>
      </c>
      <c r="T2453">
        <v>54.66</v>
      </c>
      <c r="U2453">
        <v>24.1</v>
      </c>
      <c r="V2453" t="str">
        <f>VLOOKUP(L2453,'[2]tabela de preços'!$A:$D,4,0)</f>
        <v>BRASILUX</v>
      </c>
      <c r="W2453" t="str">
        <f>VLOOKUP(L2453,'[2]tabela de preços'!$A:$F,6,0)</f>
        <v xml:space="preserve">BASES SISTEMA NO MACHINE </v>
      </c>
      <c r="X2453" t="str">
        <f>VLOOKUP(L2453,'[2]tabela de preços'!$A:$G,7,0)</f>
        <v>INDUSTRIAL</v>
      </c>
    </row>
    <row r="2454" spans="1:24" x14ac:dyDescent="0.3">
      <c r="A2454" t="s">
        <v>2333</v>
      </c>
      <c r="B2454" t="s">
        <v>2334</v>
      </c>
      <c r="C2454" t="s">
        <v>2358</v>
      </c>
      <c r="D2454" s="1">
        <v>46050</v>
      </c>
      <c r="E2454" t="s">
        <v>2359</v>
      </c>
      <c r="F2454">
        <v>9</v>
      </c>
      <c r="G2454">
        <v>174</v>
      </c>
      <c r="H2454" t="str">
        <f>VLOOKUP(G2454,[1]OPERADORES!$A:$B,2,0)</f>
        <v>MIRIÃ LOBATO RODRIGUES</v>
      </c>
      <c r="I2454" t="s">
        <v>126</v>
      </c>
      <c r="J2454" t="s">
        <v>2337</v>
      </c>
      <c r="K2454" t="s">
        <v>2338</v>
      </c>
      <c r="L2454">
        <v>84823</v>
      </c>
      <c r="M2454" t="s">
        <v>331</v>
      </c>
      <c r="O2454" t="s">
        <v>11</v>
      </c>
      <c r="P2454">
        <v>6102</v>
      </c>
      <c r="Q2454">
        <v>4</v>
      </c>
      <c r="R2454">
        <v>94.64</v>
      </c>
      <c r="S2454">
        <v>378.56</v>
      </c>
      <c r="T2454">
        <v>287.32</v>
      </c>
      <c r="U2454">
        <v>24.1</v>
      </c>
      <c r="V2454" t="str">
        <f>VLOOKUP(L2454,'[2]tabela de preços'!$A:$D,4,0)</f>
        <v>BRASILUX</v>
      </c>
      <c r="W2454" t="str">
        <f>VLOOKUP(L2454,'[2]tabela de preços'!$A:$F,6,0)</f>
        <v>DILUENTE</v>
      </c>
      <c r="X2454" t="str">
        <f>VLOOKUP(L2454,'[2]tabela de preços'!$A:$G,7,0)</f>
        <v>AUTOMOTIVO</v>
      </c>
    </row>
    <row r="2455" spans="1:24" x14ac:dyDescent="0.3">
      <c r="A2455" t="s">
        <v>2333</v>
      </c>
      <c r="B2455" t="s">
        <v>2334</v>
      </c>
      <c r="C2455" t="s">
        <v>2358</v>
      </c>
      <c r="D2455" s="1">
        <v>46050</v>
      </c>
      <c r="E2455" t="s">
        <v>2359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2337</v>
      </c>
      <c r="K2455" t="s">
        <v>2338</v>
      </c>
      <c r="L2455">
        <v>84557</v>
      </c>
      <c r="M2455" t="s">
        <v>116</v>
      </c>
      <c r="O2455" t="s">
        <v>11</v>
      </c>
      <c r="P2455">
        <v>6102</v>
      </c>
      <c r="Q2455">
        <v>12</v>
      </c>
      <c r="R2455">
        <v>17.489999999999998</v>
      </c>
      <c r="S2455">
        <v>209.88</v>
      </c>
      <c r="T2455">
        <v>167.52</v>
      </c>
      <c r="U2455">
        <v>20.18</v>
      </c>
      <c r="V2455" t="str">
        <f>VLOOKUP(L2455,'[2]tabela de preços'!$A:$D,4,0)</f>
        <v>BRASILUX</v>
      </c>
      <c r="W2455" t="str">
        <f>VLOOKUP(L2455,'[2]tabela de preços'!$A:$F,6,0)</f>
        <v>DILUENTE</v>
      </c>
      <c r="X2455" t="str">
        <f>VLOOKUP(L2455,'[2]tabela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2026-01-30T21:19:12Z</dcterms:modified>
</cp:coreProperties>
</file>