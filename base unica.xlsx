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 2\"/>
    </mc:Choice>
  </mc:AlternateContent>
  <xr:revisionPtr revIDLastSave="0" documentId="13_ncr:1_{28E52BB9-7909-4255-81E3-F804514FF409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2455" i="1" l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X2925" i="1"/>
  <c r="X2926" i="1"/>
  <c r="X2927" i="1"/>
  <c r="X2928" i="1"/>
  <c r="X2929" i="1"/>
  <c r="X2930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58" i="1"/>
  <c r="X2959" i="1"/>
  <c r="X2960" i="1"/>
  <c r="X2961" i="1"/>
  <c r="X2962" i="1"/>
  <c r="X2963" i="1"/>
  <c r="X2964" i="1"/>
  <c r="X2965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016" i="1"/>
  <c r="X3017" i="1"/>
  <c r="X3018" i="1"/>
  <c r="X3019" i="1"/>
  <c r="X3020" i="1"/>
  <c r="V2525" i="1"/>
  <c r="V2526" i="1"/>
  <c r="V2527" i="1"/>
  <c r="V2611" i="1"/>
  <c r="V2612" i="1"/>
  <c r="V2719" i="1"/>
  <c r="V2720" i="1"/>
  <c r="V2721" i="1"/>
  <c r="V2722" i="1"/>
  <c r="V2723" i="1"/>
  <c r="V2724" i="1"/>
  <c r="V2725" i="1"/>
  <c r="V2726" i="1"/>
  <c r="V2727" i="1"/>
  <c r="V2728" i="1"/>
  <c r="V2729" i="1"/>
  <c r="V2528" i="1"/>
  <c r="V2730" i="1"/>
  <c r="V2731" i="1"/>
  <c r="V2529" i="1"/>
  <c r="V2732" i="1"/>
  <c r="V2844" i="1"/>
  <c r="V2530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863" i="1"/>
  <c r="V2531" i="1"/>
  <c r="V2532" i="1"/>
  <c r="V2533" i="1"/>
  <c r="V2534" i="1"/>
  <c r="V2733" i="1"/>
  <c r="V2734" i="1"/>
  <c r="V2735" i="1"/>
  <c r="V2736" i="1"/>
  <c r="V2864" i="1"/>
  <c r="V286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866" i="1"/>
  <c r="V2867" i="1"/>
  <c r="V2868" i="1"/>
  <c r="V2869" i="1"/>
  <c r="V2870" i="1"/>
  <c r="V2871" i="1"/>
  <c r="V2535" i="1"/>
  <c r="V2536" i="1"/>
  <c r="V2537" i="1"/>
  <c r="V2538" i="1"/>
  <c r="V2539" i="1"/>
  <c r="V2540" i="1"/>
  <c r="V2638" i="1"/>
  <c r="V2639" i="1"/>
  <c r="V2640" i="1"/>
  <c r="V2641" i="1"/>
  <c r="V2642" i="1"/>
  <c r="V2737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738" i="1"/>
  <c r="V2739" i="1"/>
  <c r="V2740" i="1"/>
  <c r="V2655" i="1"/>
  <c r="V2656" i="1"/>
  <c r="V2657" i="1"/>
  <c r="V2658" i="1"/>
  <c r="V2659" i="1"/>
  <c r="V2660" i="1"/>
  <c r="V2661" i="1"/>
  <c r="V2662" i="1"/>
  <c r="V2663" i="1"/>
  <c r="V2664" i="1"/>
  <c r="V2665" i="1"/>
  <c r="V2741" i="1"/>
  <c r="V2742" i="1"/>
  <c r="V2743" i="1"/>
  <c r="V2744" i="1"/>
  <c r="V2872" i="1"/>
  <c r="V2873" i="1"/>
  <c r="V2874" i="1"/>
  <c r="V2875" i="1"/>
  <c r="V2876" i="1"/>
  <c r="V2877" i="1"/>
  <c r="V2878" i="1"/>
  <c r="V2879" i="1"/>
  <c r="V2666" i="1"/>
  <c r="V2667" i="1"/>
  <c r="V2668" i="1"/>
  <c r="V2669" i="1"/>
  <c r="V2670" i="1"/>
  <c r="V2671" i="1"/>
  <c r="V2672" i="1"/>
  <c r="V2880" i="1"/>
  <c r="V2745" i="1"/>
  <c r="V2746" i="1"/>
  <c r="V2881" i="1"/>
  <c r="V2673" i="1"/>
  <c r="V2674" i="1"/>
  <c r="V2675" i="1"/>
  <c r="V2676" i="1"/>
  <c r="V2882" i="1"/>
  <c r="V2677" i="1"/>
  <c r="V2678" i="1"/>
  <c r="V2679" i="1"/>
  <c r="V2883" i="1"/>
  <c r="V2884" i="1"/>
  <c r="V2885" i="1"/>
  <c r="V2886" i="1"/>
  <c r="V2887" i="1"/>
  <c r="V2888" i="1"/>
  <c r="V2541" i="1"/>
  <c r="V2542" i="1"/>
  <c r="V2543" i="1"/>
  <c r="V2544" i="1"/>
  <c r="V2680" i="1"/>
  <c r="V2681" i="1"/>
  <c r="V2682" i="1"/>
  <c r="V2683" i="1"/>
  <c r="V2684" i="1"/>
  <c r="V2685" i="1"/>
  <c r="V2686" i="1"/>
  <c r="V2687" i="1"/>
  <c r="V2688" i="1"/>
  <c r="V2689" i="1"/>
  <c r="V2545" i="1"/>
  <c r="V2546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547" i="1"/>
  <c r="V2548" i="1"/>
  <c r="V2913" i="1"/>
  <c r="V2914" i="1"/>
  <c r="V2915" i="1"/>
  <c r="V2916" i="1"/>
  <c r="V2917" i="1"/>
  <c r="V2918" i="1"/>
  <c r="V2919" i="1"/>
  <c r="V2920" i="1"/>
  <c r="V2921" i="1"/>
  <c r="V2922" i="1"/>
  <c r="V2549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923" i="1"/>
  <c r="V2924" i="1"/>
  <c r="V2763" i="1"/>
  <c r="V2764" i="1"/>
  <c r="V2765" i="1"/>
  <c r="V2766" i="1"/>
  <c r="V2767" i="1"/>
  <c r="V2768" i="1"/>
  <c r="W2525" i="1"/>
  <c r="W2526" i="1"/>
  <c r="W2527" i="1"/>
  <c r="W2611" i="1"/>
  <c r="W2612" i="1"/>
  <c r="W2719" i="1"/>
  <c r="W2720" i="1"/>
  <c r="W2721" i="1"/>
  <c r="W2722" i="1"/>
  <c r="W2723" i="1"/>
  <c r="W2724" i="1"/>
  <c r="W2725" i="1"/>
  <c r="W2726" i="1"/>
  <c r="W2727" i="1"/>
  <c r="W2728" i="1"/>
  <c r="W2729" i="1"/>
  <c r="W2528" i="1"/>
  <c r="W2730" i="1"/>
  <c r="W2731" i="1"/>
  <c r="W2529" i="1"/>
  <c r="W2732" i="1"/>
  <c r="W2844" i="1"/>
  <c r="W2530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863" i="1"/>
  <c r="W2531" i="1"/>
  <c r="W2532" i="1"/>
  <c r="W2533" i="1"/>
  <c r="W2534" i="1"/>
  <c r="W2733" i="1"/>
  <c r="W2734" i="1"/>
  <c r="W2735" i="1"/>
  <c r="W2736" i="1"/>
  <c r="W2864" i="1"/>
  <c r="W286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866" i="1"/>
  <c r="W2867" i="1"/>
  <c r="W2868" i="1"/>
  <c r="W2869" i="1"/>
  <c r="W2870" i="1"/>
  <c r="W2871" i="1"/>
  <c r="W2535" i="1"/>
  <c r="W2536" i="1"/>
  <c r="W2537" i="1"/>
  <c r="W2538" i="1"/>
  <c r="W2539" i="1"/>
  <c r="W2540" i="1"/>
  <c r="W2638" i="1"/>
  <c r="W2639" i="1"/>
  <c r="W2640" i="1"/>
  <c r="W2641" i="1"/>
  <c r="W2642" i="1"/>
  <c r="W2737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738" i="1"/>
  <c r="W2739" i="1"/>
  <c r="W2740" i="1"/>
  <c r="W2655" i="1"/>
  <c r="W2656" i="1"/>
  <c r="W2657" i="1"/>
  <c r="W2658" i="1"/>
  <c r="W2659" i="1"/>
  <c r="W2660" i="1"/>
  <c r="W2661" i="1"/>
  <c r="W2662" i="1"/>
  <c r="W2663" i="1"/>
  <c r="W2664" i="1"/>
  <c r="W2665" i="1"/>
  <c r="W2741" i="1"/>
  <c r="W2742" i="1"/>
  <c r="W2743" i="1"/>
  <c r="W2744" i="1"/>
  <c r="W2872" i="1"/>
  <c r="W2873" i="1"/>
  <c r="W2874" i="1"/>
  <c r="W2875" i="1"/>
  <c r="W2876" i="1"/>
  <c r="W2877" i="1"/>
  <c r="W2878" i="1"/>
  <c r="W2879" i="1"/>
  <c r="W2666" i="1"/>
  <c r="W2667" i="1"/>
  <c r="W2668" i="1"/>
  <c r="W2669" i="1"/>
  <c r="W2670" i="1"/>
  <c r="W2671" i="1"/>
  <c r="W2672" i="1"/>
  <c r="W2880" i="1"/>
  <c r="W2745" i="1"/>
  <c r="W2746" i="1"/>
  <c r="W2881" i="1"/>
  <c r="W2673" i="1"/>
  <c r="W2674" i="1"/>
  <c r="W2675" i="1"/>
  <c r="W2676" i="1"/>
  <c r="W2882" i="1"/>
  <c r="W2677" i="1"/>
  <c r="W2678" i="1"/>
  <c r="W2679" i="1"/>
  <c r="W2883" i="1"/>
  <c r="W2884" i="1"/>
  <c r="W2885" i="1"/>
  <c r="W2886" i="1"/>
  <c r="W2887" i="1"/>
  <c r="W2888" i="1"/>
  <c r="W2541" i="1"/>
  <c r="W2542" i="1"/>
  <c r="W2543" i="1"/>
  <c r="W2544" i="1"/>
  <c r="W2680" i="1"/>
  <c r="W2681" i="1"/>
  <c r="W2682" i="1"/>
  <c r="W2683" i="1"/>
  <c r="W2684" i="1"/>
  <c r="W2685" i="1"/>
  <c r="W2686" i="1"/>
  <c r="W2687" i="1"/>
  <c r="W2688" i="1"/>
  <c r="W2689" i="1"/>
  <c r="W2545" i="1"/>
  <c r="W2546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547" i="1"/>
  <c r="W2548" i="1"/>
  <c r="W2913" i="1"/>
  <c r="W2914" i="1"/>
  <c r="W2915" i="1"/>
  <c r="W2916" i="1"/>
  <c r="W2917" i="1"/>
  <c r="W2918" i="1"/>
  <c r="W2919" i="1"/>
  <c r="W2920" i="1"/>
  <c r="W2921" i="1"/>
  <c r="W2922" i="1"/>
  <c r="W2549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923" i="1"/>
  <c r="W2924" i="1"/>
  <c r="W2763" i="1"/>
  <c r="W2764" i="1"/>
  <c r="W2765" i="1"/>
  <c r="W2766" i="1"/>
  <c r="W2767" i="1"/>
  <c r="W2768" i="1"/>
  <c r="X2525" i="1"/>
  <c r="X2526" i="1"/>
  <c r="X2527" i="1"/>
  <c r="X2611" i="1"/>
  <c r="X2612" i="1"/>
  <c r="X2719" i="1"/>
  <c r="X2720" i="1"/>
  <c r="X2721" i="1"/>
  <c r="X2722" i="1"/>
  <c r="X2723" i="1"/>
  <c r="X2724" i="1"/>
  <c r="X2725" i="1"/>
  <c r="X2726" i="1"/>
  <c r="X2727" i="1"/>
  <c r="X2728" i="1"/>
  <c r="X2729" i="1"/>
  <c r="X2528" i="1"/>
  <c r="X2730" i="1"/>
  <c r="X2731" i="1"/>
  <c r="X2529" i="1"/>
  <c r="X2732" i="1"/>
  <c r="X2844" i="1"/>
  <c r="X2530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863" i="1"/>
  <c r="X2531" i="1"/>
  <c r="X2532" i="1"/>
  <c r="X2533" i="1"/>
  <c r="X2534" i="1"/>
  <c r="X2733" i="1"/>
  <c r="X2734" i="1"/>
  <c r="X2735" i="1"/>
  <c r="X2736" i="1"/>
  <c r="X2864" i="1"/>
  <c r="X286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866" i="1"/>
  <c r="X2867" i="1"/>
  <c r="X2868" i="1"/>
  <c r="X2869" i="1"/>
  <c r="X2870" i="1"/>
  <c r="X2871" i="1"/>
  <c r="X2535" i="1"/>
  <c r="X2536" i="1"/>
  <c r="X2537" i="1"/>
  <c r="X2538" i="1"/>
  <c r="X2539" i="1"/>
  <c r="X2540" i="1"/>
  <c r="X2638" i="1"/>
  <c r="X2639" i="1"/>
  <c r="X2640" i="1"/>
  <c r="X2641" i="1"/>
  <c r="X2642" i="1"/>
  <c r="X2737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738" i="1"/>
  <c r="X2739" i="1"/>
  <c r="X2740" i="1"/>
  <c r="X2655" i="1"/>
  <c r="X2656" i="1"/>
  <c r="X2657" i="1"/>
  <c r="X2658" i="1"/>
  <c r="X2659" i="1"/>
  <c r="X2660" i="1"/>
  <c r="X2661" i="1"/>
  <c r="X2662" i="1"/>
  <c r="X2663" i="1"/>
  <c r="X2664" i="1"/>
  <c r="X2665" i="1"/>
  <c r="X2741" i="1"/>
  <c r="X2742" i="1"/>
  <c r="X2743" i="1"/>
  <c r="X2744" i="1"/>
  <c r="X2872" i="1"/>
  <c r="X2873" i="1"/>
  <c r="X2874" i="1"/>
  <c r="X2875" i="1"/>
  <c r="X2876" i="1"/>
  <c r="X2877" i="1"/>
  <c r="X2878" i="1"/>
  <c r="X2879" i="1"/>
  <c r="X2666" i="1"/>
  <c r="X2667" i="1"/>
  <c r="X2668" i="1"/>
  <c r="X2669" i="1"/>
  <c r="X2670" i="1"/>
  <c r="X2671" i="1"/>
  <c r="X2672" i="1"/>
  <c r="X2880" i="1"/>
  <c r="X2745" i="1"/>
  <c r="X2746" i="1"/>
  <c r="X2881" i="1"/>
  <c r="X2673" i="1"/>
  <c r="X2674" i="1"/>
  <c r="X2675" i="1"/>
  <c r="X2676" i="1"/>
  <c r="X2882" i="1"/>
  <c r="X2677" i="1"/>
  <c r="X2678" i="1"/>
  <c r="X2679" i="1"/>
  <c r="X2883" i="1"/>
  <c r="X2884" i="1"/>
  <c r="X2885" i="1"/>
  <c r="X2886" i="1"/>
  <c r="X2887" i="1"/>
  <c r="X2888" i="1"/>
  <c r="X2541" i="1"/>
  <c r="X2542" i="1"/>
  <c r="X2543" i="1"/>
  <c r="X2544" i="1"/>
  <c r="X2680" i="1"/>
  <c r="X2681" i="1"/>
  <c r="X2682" i="1"/>
  <c r="X2683" i="1"/>
  <c r="X2684" i="1"/>
  <c r="X2685" i="1"/>
  <c r="X2686" i="1"/>
  <c r="X2687" i="1"/>
  <c r="X2688" i="1"/>
  <c r="X2689" i="1"/>
  <c r="X2545" i="1"/>
  <c r="X2546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547" i="1"/>
  <c r="X2548" i="1"/>
  <c r="X2913" i="1"/>
  <c r="X2914" i="1"/>
  <c r="X2915" i="1"/>
  <c r="X2916" i="1"/>
  <c r="X2917" i="1"/>
  <c r="X2918" i="1"/>
  <c r="X2919" i="1"/>
  <c r="X2920" i="1"/>
  <c r="X2921" i="1"/>
  <c r="X2922" i="1"/>
  <c r="X2549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923" i="1"/>
  <c r="X2924" i="1"/>
  <c r="X2763" i="1"/>
  <c r="X2764" i="1"/>
  <c r="X2765" i="1"/>
  <c r="X2766" i="1"/>
  <c r="X2767" i="1"/>
  <c r="X2768" i="1"/>
  <c r="V2573" i="1"/>
  <c r="V2574" i="1"/>
  <c r="V2575" i="1"/>
  <c r="V2576" i="1"/>
  <c r="V2577" i="1"/>
  <c r="V2578" i="1"/>
  <c r="V2579" i="1"/>
  <c r="V2580" i="1"/>
  <c r="V2581" i="1"/>
  <c r="V2582" i="1"/>
  <c r="V2583" i="1"/>
  <c r="V2694" i="1"/>
  <c r="V2695" i="1"/>
  <c r="V2696" i="1"/>
  <c r="V2697" i="1"/>
  <c r="V2698" i="1"/>
  <c r="V2699" i="1"/>
  <c r="V2700" i="1"/>
  <c r="V2701" i="1"/>
  <c r="V2702" i="1"/>
  <c r="V2703" i="1"/>
  <c r="V2704" i="1"/>
  <c r="V2810" i="1"/>
  <c r="V2811" i="1"/>
  <c r="V2812" i="1"/>
  <c r="V2584" i="1"/>
  <c r="V2585" i="1"/>
  <c r="V2586" i="1"/>
  <c r="V2587" i="1"/>
  <c r="V2705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813" i="1"/>
  <c r="V2814" i="1"/>
  <c r="V2815" i="1"/>
  <c r="V2816" i="1"/>
  <c r="V2817" i="1"/>
  <c r="V2588" i="1"/>
  <c r="V2706" i="1"/>
  <c r="V2707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818" i="1"/>
  <c r="V2819" i="1"/>
  <c r="V2820" i="1"/>
  <c r="V2821" i="1"/>
  <c r="V2822" i="1"/>
  <c r="V2823" i="1"/>
  <c r="V2708" i="1"/>
  <c r="V2709" i="1"/>
  <c r="V2502" i="1"/>
  <c r="V2503" i="1"/>
  <c r="V2504" i="1"/>
  <c r="V2505" i="1"/>
  <c r="V2506" i="1"/>
  <c r="V2710" i="1"/>
  <c r="V2711" i="1"/>
  <c r="V2507" i="1"/>
  <c r="V2508" i="1"/>
  <c r="V2509" i="1"/>
  <c r="V2510" i="1"/>
  <c r="V2511" i="1"/>
  <c r="V2512" i="1"/>
  <c r="V2513" i="1"/>
  <c r="V2514" i="1"/>
  <c r="V2824" i="1"/>
  <c r="V2825" i="1"/>
  <c r="V2826" i="1"/>
  <c r="V2827" i="1"/>
  <c r="V2828" i="1"/>
  <c r="V2829" i="1"/>
  <c r="V2830" i="1"/>
  <c r="V2831" i="1"/>
  <c r="V2832" i="1"/>
  <c r="V2603" i="1"/>
  <c r="V2604" i="1"/>
  <c r="V2605" i="1"/>
  <c r="V2606" i="1"/>
  <c r="V2607" i="1"/>
  <c r="V2608" i="1"/>
  <c r="V2833" i="1"/>
  <c r="V2834" i="1"/>
  <c r="V2712" i="1"/>
  <c r="V2713" i="1"/>
  <c r="V2835" i="1"/>
  <c r="V2836" i="1"/>
  <c r="V2714" i="1"/>
  <c r="V2837" i="1"/>
  <c r="V2838" i="1"/>
  <c r="V2839" i="1"/>
  <c r="V2840" i="1"/>
  <c r="V2841" i="1"/>
  <c r="V2842" i="1"/>
  <c r="V2843" i="1"/>
  <c r="V2609" i="1"/>
  <c r="V2610" i="1"/>
  <c r="V2515" i="1"/>
  <c r="V2516" i="1"/>
  <c r="V2517" i="1"/>
  <c r="V2518" i="1"/>
  <c r="V2715" i="1"/>
  <c r="V2716" i="1"/>
  <c r="V2717" i="1"/>
  <c r="V2718" i="1"/>
  <c r="V2519" i="1"/>
  <c r="V2520" i="1"/>
  <c r="V2521" i="1"/>
  <c r="V2522" i="1"/>
  <c r="V2523" i="1"/>
  <c r="V2524" i="1"/>
  <c r="W2573" i="1"/>
  <c r="W2574" i="1"/>
  <c r="W2575" i="1"/>
  <c r="W2576" i="1"/>
  <c r="W2577" i="1"/>
  <c r="W2578" i="1"/>
  <c r="W2579" i="1"/>
  <c r="W2580" i="1"/>
  <c r="W2581" i="1"/>
  <c r="W2582" i="1"/>
  <c r="W2583" i="1"/>
  <c r="W2694" i="1"/>
  <c r="W2695" i="1"/>
  <c r="W2696" i="1"/>
  <c r="W2697" i="1"/>
  <c r="W2698" i="1"/>
  <c r="W2699" i="1"/>
  <c r="W2700" i="1"/>
  <c r="W2701" i="1"/>
  <c r="W2702" i="1"/>
  <c r="W2703" i="1"/>
  <c r="W2704" i="1"/>
  <c r="W2810" i="1"/>
  <c r="W2811" i="1"/>
  <c r="W2812" i="1"/>
  <c r="W2584" i="1"/>
  <c r="W2585" i="1"/>
  <c r="W2586" i="1"/>
  <c r="W2587" i="1"/>
  <c r="W2705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813" i="1"/>
  <c r="W2814" i="1"/>
  <c r="W2815" i="1"/>
  <c r="W2816" i="1"/>
  <c r="W2817" i="1"/>
  <c r="W2588" i="1"/>
  <c r="W2706" i="1"/>
  <c r="W2707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818" i="1"/>
  <c r="W2819" i="1"/>
  <c r="W2820" i="1"/>
  <c r="W2821" i="1"/>
  <c r="W2822" i="1"/>
  <c r="W2823" i="1"/>
  <c r="W2708" i="1"/>
  <c r="W2709" i="1"/>
  <c r="W2502" i="1"/>
  <c r="W2503" i="1"/>
  <c r="W2504" i="1"/>
  <c r="W2505" i="1"/>
  <c r="W2506" i="1"/>
  <c r="W2710" i="1"/>
  <c r="W2711" i="1"/>
  <c r="W2507" i="1"/>
  <c r="W2508" i="1"/>
  <c r="W2509" i="1"/>
  <c r="W2510" i="1"/>
  <c r="W2511" i="1"/>
  <c r="W2512" i="1"/>
  <c r="W2513" i="1"/>
  <c r="W2514" i="1"/>
  <c r="W2824" i="1"/>
  <c r="W2825" i="1"/>
  <c r="W2826" i="1"/>
  <c r="W2827" i="1"/>
  <c r="W2828" i="1"/>
  <c r="W2829" i="1"/>
  <c r="W2830" i="1"/>
  <c r="W2831" i="1"/>
  <c r="W2832" i="1"/>
  <c r="W2603" i="1"/>
  <c r="W2604" i="1"/>
  <c r="W2605" i="1"/>
  <c r="W2606" i="1"/>
  <c r="W2607" i="1"/>
  <c r="W2608" i="1"/>
  <c r="W2833" i="1"/>
  <c r="W2834" i="1"/>
  <c r="W2712" i="1"/>
  <c r="W2713" i="1"/>
  <c r="W2835" i="1"/>
  <c r="W2836" i="1"/>
  <c r="W2714" i="1"/>
  <c r="W2837" i="1"/>
  <c r="W2838" i="1"/>
  <c r="W2839" i="1"/>
  <c r="W2840" i="1"/>
  <c r="W2841" i="1"/>
  <c r="W2842" i="1"/>
  <c r="W2843" i="1"/>
  <c r="W2609" i="1"/>
  <c r="W2610" i="1"/>
  <c r="W2515" i="1"/>
  <c r="W2516" i="1"/>
  <c r="W2517" i="1"/>
  <c r="W2518" i="1"/>
  <c r="W2715" i="1"/>
  <c r="W2716" i="1"/>
  <c r="W2717" i="1"/>
  <c r="W2718" i="1"/>
  <c r="W2519" i="1"/>
  <c r="W2520" i="1"/>
  <c r="W2521" i="1"/>
  <c r="W2522" i="1"/>
  <c r="W2523" i="1"/>
  <c r="W2524" i="1"/>
  <c r="X2573" i="1"/>
  <c r="X2574" i="1"/>
  <c r="X2575" i="1"/>
  <c r="X2576" i="1"/>
  <c r="X2577" i="1"/>
  <c r="X2578" i="1"/>
  <c r="X2579" i="1"/>
  <c r="X2580" i="1"/>
  <c r="X2581" i="1"/>
  <c r="X2582" i="1"/>
  <c r="X2583" i="1"/>
  <c r="X2694" i="1"/>
  <c r="X2695" i="1"/>
  <c r="X2696" i="1"/>
  <c r="X2697" i="1"/>
  <c r="X2698" i="1"/>
  <c r="X2699" i="1"/>
  <c r="X2700" i="1"/>
  <c r="X2701" i="1"/>
  <c r="X2702" i="1"/>
  <c r="X2703" i="1"/>
  <c r="X2704" i="1"/>
  <c r="X2810" i="1"/>
  <c r="X2811" i="1"/>
  <c r="X2812" i="1"/>
  <c r="X2584" i="1"/>
  <c r="X2585" i="1"/>
  <c r="X2586" i="1"/>
  <c r="X2587" i="1"/>
  <c r="X2705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813" i="1"/>
  <c r="X2814" i="1"/>
  <c r="X2815" i="1"/>
  <c r="X2816" i="1"/>
  <c r="X2817" i="1"/>
  <c r="X2588" i="1"/>
  <c r="X2706" i="1"/>
  <c r="X2707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2602" i="1"/>
  <c r="X2818" i="1"/>
  <c r="X2819" i="1"/>
  <c r="X2820" i="1"/>
  <c r="X2821" i="1"/>
  <c r="X2822" i="1"/>
  <c r="X2823" i="1"/>
  <c r="X2708" i="1"/>
  <c r="X2709" i="1"/>
  <c r="X2502" i="1"/>
  <c r="X2503" i="1"/>
  <c r="X2504" i="1"/>
  <c r="X2505" i="1"/>
  <c r="X2506" i="1"/>
  <c r="X2710" i="1"/>
  <c r="X2711" i="1"/>
  <c r="X2507" i="1"/>
  <c r="X2508" i="1"/>
  <c r="X2509" i="1"/>
  <c r="X2510" i="1"/>
  <c r="X2511" i="1"/>
  <c r="X2512" i="1"/>
  <c r="X2513" i="1"/>
  <c r="X2514" i="1"/>
  <c r="X2824" i="1"/>
  <c r="X2825" i="1"/>
  <c r="X2826" i="1"/>
  <c r="X2827" i="1"/>
  <c r="X2828" i="1"/>
  <c r="X2829" i="1"/>
  <c r="X2830" i="1"/>
  <c r="X2831" i="1"/>
  <c r="X2832" i="1"/>
  <c r="X2603" i="1"/>
  <c r="X2604" i="1"/>
  <c r="X2605" i="1"/>
  <c r="X2606" i="1"/>
  <c r="X2607" i="1"/>
  <c r="X2608" i="1"/>
  <c r="X2833" i="1"/>
  <c r="X2834" i="1"/>
  <c r="X2712" i="1"/>
  <c r="X2713" i="1"/>
  <c r="X2835" i="1"/>
  <c r="X2836" i="1"/>
  <c r="X2714" i="1"/>
  <c r="X2837" i="1"/>
  <c r="X2838" i="1"/>
  <c r="X2839" i="1"/>
  <c r="X2840" i="1"/>
  <c r="X2841" i="1"/>
  <c r="X2842" i="1"/>
  <c r="X2843" i="1"/>
  <c r="X2609" i="1"/>
  <c r="X2610" i="1"/>
  <c r="X2515" i="1"/>
  <c r="X2516" i="1"/>
  <c r="X2517" i="1"/>
  <c r="X2518" i="1"/>
  <c r="X2715" i="1"/>
  <c r="X2716" i="1"/>
  <c r="X2717" i="1"/>
  <c r="X2718" i="1"/>
  <c r="X2519" i="1"/>
  <c r="X2520" i="1"/>
  <c r="X2521" i="1"/>
  <c r="X2522" i="1"/>
  <c r="X2523" i="1"/>
  <c r="X2524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2555" i="1"/>
  <c r="X2556" i="1"/>
  <c r="X2557" i="1"/>
  <c r="X2558" i="1"/>
  <c r="X2559" i="1"/>
  <c r="X1006" i="1"/>
  <c r="X1007" i="1"/>
  <c r="X6" i="1"/>
  <c r="X2102" i="1"/>
  <c r="X292" i="1"/>
  <c r="X293" i="1"/>
  <c r="X401" i="1"/>
  <c r="X630" i="1"/>
  <c r="X2560" i="1"/>
  <c r="X2561" i="1"/>
  <c r="X2690" i="1"/>
  <c r="X2691" i="1"/>
  <c r="X2784" i="1"/>
  <c r="X2785" i="1"/>
  <c r="X2467" i="1"/>
  <c r="X2468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2570" i="1"/>
  <c r="X257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2771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2786" i="1"/>
  <c r="X2787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2572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2788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2562" i="1"/>
  <c r="X2802" i="1"/>
  <c r="X2803" i="1"/>
  <c r="X2804" i="1"/>
  <c r="X2805" i="1"/>
  <c r="X2806" i="1"/>
  <c r="X2807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2789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790" i="1"/>
  <c r="X2040" i="1"/>
  <c r="X2041" i="1"/>
  <c r="X2042" i="1"/>
  <c r="X2043" i="1"/>
  <c r="X2044" i="1"/>
  <c r="X186" i="1"/>
  <c r="X187" i="1"/>
  <c r="X188" i="1"/>
  <c r="X1449" i="1"/>
  <c r="X2568" i="1"/>
  <c r="X2569" i="1"/>
  <c r="X835" i="1"/>
  <c r="X836" i="1"/>
  <c r="X837" i="1"/>
  <c r="X2808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2809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2692" i="1"/>
  <c r="X2693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564" i="1"/>
  <c r="X2565" i="1"/>
  <c r="X2566" i="1"/>
  <c r="X2567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791" i="1"/>
  <c r="X2792" i="1"/>
  <c r="X2036" i="1"/>
  <c r="X258" i="1"/>
  <c r="X259" i="1"/>
  <c r="X1140" i="1"/>
  <c r="X1141" i="1"/>
  <c r="X1142" i="1"/>
  <c r="X2133" i="1"/>
  <c r="X2134" i="1"/>
  <c r="X2769" i="1"/>
  <c r="X2770" i="1"/>
  <c r="X2455" i="1"/>
  <c r="X2456" i="1"/>
  <c r="X2457" i="1"/>
  <c r="X1423" i="1"/>
  <c r="X1424" i="1"/>
  <c r="X140" i="1"/>
  <c r="X2799" i="1"/>
  <c r="X2800" i="1"/>
  <c r="X2801" i="1"/>
  <c r="X2469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473" i="1"/>
  <c r="X2474" i="1"/>
  <c r="X294" i="1"/>
  <c r="X2289" i="1"/>
  <c r="X2290" i="1"/>
  <c r="X2291" i="1"/>
  <c r="X2793" i="1"/>
  <c r="X2794" i="1"/>
  <c r="X2795" i="1"/>
  <c r="X2796" i="1"/>
  <c r="X2797" i="1"/>
  <c r="X2798" i="1"/>
  <c r="X389" i="1"/>
  <c r="X390" i="1"/>
  <c r="X1635" i="1"/>
  <c r="X1636" i="1"/>
  <c r="X1637" i="1"/>
  <c r="X1638" i="1"/>
  <c r="X1639" i="1"/>
  <c r="X1640" i="1"/>
  <c r="X2458" i="1"/>
  <c r="X2459" i="1"/>
  <c r="X2460" i="1"/>
  <c r="X2461" i="1"/>
  <c r="X2462" i="1"/>
  <c r="X1549" i="1"/>
  <c r="X1550" i="1"/>
  <c r="X461" i="1"/>
  <c r="X462" i="1"/>
  <c r="X463" i="1"/>
  <c r="X615" i="1"/>
  <c r="X295" i="1"/>
  <c r="X296" i="1"/>
  <c r="X1964" i="1"/>
  <c r="X2475" i="1"/>
  <c r="X2476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2463" i="1"/>
  <c r="X2464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65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2472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2466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2477" i="1"/>
  <c r="X2478" i="1"/>
  <c r="X2479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2470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480" i="1"/>
  <c r="X2481" i="1"/>
  <c r="X297" i="1"/>
  <c r="X1212" i="1"/>
  <c r="X2563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2471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550" i="1"/>
  <c r="X2551" i="1"/>
  <c r="X2552" i="1"/>
  <c r="X2553" i="1"/>
  <c r="X2554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2555" i="1"/>
  <c r="W2556" i="1"/>
  <c r="W2557" i="1"/>
  <c r="W2558" i="1"/>
  <c r="W2559" i="1"/>
  <c r="W1006" i="1"/>
  <c r="W1007" i="1"/>
  <c r="W6" i="1"/>
  <c r="W2102" i="1"/>
  <c r="W292" i="1"/>
  <c r="W293" i="1"/>
  <c r="W401" i="1"/>
  <c r="W630" i="1"/>
  <c r="W2560" i="1"/>
  <c r="W2561" i="1"/>
  <c r="W2690" i="1"/>
  <c r="W2691" i="1"/>
  <c r="W2784" i="1"/>
  <c r="W2785" i="1"/>
  <c r="W2467" i="1"/>
  <c r="W2468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2570" i="1"/>
  <c r="W257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2771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2786" i="1"/>
  <c r="W2787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2572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2788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2562" i="1"/>
  <c r="W2802" i="1"/>
  <c r="W2803" i="1"/>
  <c r="W2804" i="1"/>
  <c r="W2805" i="1"/>
  <c r="W2806" i="1"/>
  <c r="W2807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2789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790" i="1"/>
  <c r="W2040" i="1"/>
  <c r="W2041" i="1"/>
  <c r="W2042" i="1"/>
  <c r="W2043" i="1"/>
  <c r="W2044" i="1"/>
  <c r="W186" i="1"/>
  <c r="W187" i="1"/>
  <c r="W188" i="1"/>
  <c r="W1449" i="1"/>
  <c r="W2568" i="1"/>
  <c r="W2569" i="1"/>
  <c r="W835" i="1"/>
  <c r="W836" i="1"/>
  <c r="W837" i="1"/>
  <c r="W2808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2809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2692" i="1"/>
  <c r="W2693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564" i="1"/>
  <c r="W2565" i="1"/>
  <c r="W2566" i="1"/>
  <c r="W2567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791" i="1"/>
  <c r="W2792" i="1"/>
  <c r="W2036" i="1"/>
  <c r="W258" i="1"/>
  <c r="W259" i="1"/>
  <c r="W1140" i="1"/>
  <c r="W1141" i="1"/>
  <c r="W1142" i="1"/>
  <c r="W2133" i="1"/>
  <c r="W2134" i="1"/>
  <c r="W2769" i="1"/>
  <c r="W2770" i="1"/>
  <c r="W2455" i="1"/>
  <c r="W2456" i="1"/>
  <c r="W2457" i="1"/>
  <c r="W1423" i="1"/>
  <c r="W1424" i="1"/>
  <c r="W140" i="1"/>
  <c r="W2799" i="1"/>
  <c r="W2800" i="1"/>
  <c r="W2801" i="1"/>
  <c r="W2469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473" i="1"/>
  <c r="W2474" i="1"/>
  <c r="W294" i="1"/>
  <c r="W2289" i="1"/>
  <c r="W2290" i="1"/>
  <c r="W2291" i="1"/>
  <c r="W2793" i="1"/>
  <c r="W2794" i="1"/>
  <c r="W2795" i="1"/>
  <c r="W2796" i="1"/>
  <c r="W2797" i="1"/>
  <c r="W2798" i="1"/>
  <c r="W389" i="1"/>
  <c r="W390" i="1"/>
  <c r="W1635" i="1"/>
  <c r="W1636" i="1"/>
  <c r="W1637" i="1"/>
  <c r="W1638" i="1"/>
  <c r="W1639" i="1"/>
  <c r="W1640" i="1"/>
  <c r="W2458" i="1"/>
  <c r="W2459" i="1"/>
  <c r="W2460" i="1"/>
  <c r="W2461" i="1"/>
  <c r="W2462" i="1"/>
  <c r="W1549" i="1"/>
  <c r="W1550" i="1"/>
  <c r="W461" i="1"/>
  <c r="W462" i="1"/>
  <c r="W463" i="1"/>
  <c r="W615" i="1"/>
  <c r="W295" i="1"/>
  <c r="W296" i="1"/>
  <c r="W1964" i="1"/>
  <c r="W2475" i="1"/>
  <c r="W2476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2463" i="1"/>
  <c r="W2464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65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2472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2466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2477" i="1"/>
  <c r="W2478" i="1"/>
  <c r="W2479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2470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480" i="1"/>
  <c r="W2481" i="1"/>
  <c r="W297" i="1"/>
  <c r="W1212" i="1"/>
  <c r="W2563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2471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550" i="1"/>
  <c r="W2551" i="1"/>
  <c r="W2552" i="1"/>
  <c r="W2553" i="1"/>
  <c r="W2554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2555" i="1"/>
  <c r="V2556" i="1"/>
  <c r="V2557" i="1"/>
  <c r="V2558" i="1"/>
  <c r="V2559" i="1"/>
  <c r="V1006" i="1"/>
  <c r="V1007" i="1"/>
  <c r="V6" i="1"/>
  <c r="V2102" i="1"/>
  <c r="V292" i="1"/>
  <c r="V293" i="1"/>
  <c r="V401" i="1"/>
  <c r="V630" i="1"/>
  <c r="V2560" i="1"/>
  <c r="V2561" i="1"/>
  <c r="V2690" i="1"/>
  <c r="V2691" i="1"/>
  <c r="V2784" i="1"/>
  <c r="V2785" i="1"/>
  <c r="V2467" i="1"/>
  <c r="V2468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2570" i="1"/>
  <c r="V257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2771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2786" i="1"/>
  <c r="V2787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2572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2788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2562" i="1"/>
  <c r="V2802" i="1"/>
  <c r="V2803" i="1"/>
  <c r="V2804" i="1"/>
  <c r="V2805" i="1"/>
  <c r="V2806" i="1"/>
  <c r="V2807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2789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790" i="1"/>
  <c r="V2040" i="1"/>
  <c r="V2041" i="1"/>
  <c r="V2042" i="1"/>
  <c r="V2043" i="1"/>
  <c r="V2044" i="1"/>
  <c r="V186" i="1"/>
  <c r="V187" i="1"/>
  <c r="V188" i="1"/>
  <c r="V1449" i="1"/>
  <c r="V2568" i="1"/>
  <c r="V2569" i="1"/>
  <c r="V835" i="1"/>
  <c r="V836" i="1"/>
  <c r="V837" i="1"/>
  <c r="V2808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2809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2692" i="1"/>
  <c r="V2693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564" i="1"/>
  <c r="V2565" i="1"/>
  <c r="V2566" i="1"/>
  <c r="V2567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791" i="1"/>
  <c r="V2792" i="1"/>
  <c r="V2036" i="1"/>
  <c r="V258" i="1"/>
  <c r="V259" i="1"/>
  <c r="V1140" i="1"/>
  <c r="V1141" i="1"/>
  <c r="V1142" i="1"/>
  <c r="V2133" i="1"/>
  <c r="V2134" i="1"/>
  <c r="V2769" i="1"/>
  <c r="V2770" i="1"/>
  <c r="V2455" i="1"/>
  <c r="V2456" i="1"/>
  <c r="V2457" i="1"/>
  <c r="V1423" i="1"/>
  <c r="V1424" i="1"/>
  <c r="V140" i="1"/>
  <c r="V2799" i="1"/>
  <c r="V2800" i="1"/>
  <c r="V2801" i="1"/>
  <c r="V2469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473" i="1"/>
  <c r="V2474" i="1"/>
  <c r="V294" i="1"/>
  <c r="V2289" i="1"/>
  <c r="V2290" i="1"/>
  <c r="V2291" i="1"/>
  <c r="V2793" i="1"/>
  <c r="V2794" i="1"/>
  <c r="V2795" i="1"/>
  <c r="V2796" i="1"/>
  <c r="V2797" i="1"/>
  <c r="V2798" i="1"/>
  <c r="V389" i="1"/>
  <c r="V390" i="1"/>
  <c r="V1635" i="1"/>
  <c r="V1636" i="1"/>
  <c r="V1637" i="1"/>
  <c r="V1638" i="1"/>
  <c r="V1639" i="1"/>
  <c r="V1640" i="1"/>
  <c r="V2458" i="1"/>
  <c r="V2459" i="1"/>
  <c r="V2460" i="1"/>
  <c r="V2461" i="1"/>
  <c r="V2462" i="1"/>
  <c r="V1549" i="1"/>
  <c r="V1550" i="1"/>
  <c r="V461" i="1"/>
  <c r="V462" i="1"/>
  <c r="V463" i="1"/>
  <c r="V615" i="1"/>
  <c r="V295" i="1"/>
  <c r="V296" i="1"/>
  <c r="V1964" i="1"/>
  <c r="V2475" i="1"/>
  <c r="V2476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2463" i="1"/>
  <c r="V2464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65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2472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2466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2477" i="1"/>
  <c r="V2478" i="1"/>
  <c r="V2479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2470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480" i="1"/>
  <c r="V2481" i="1"/>
  <c r="V297" i="1"/>
  <c r="V1212" i="1"/>
  <c r="V2563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2471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550" i="1"/>
  <c r="V2551" i="1"/>
  <c r="V2552" i="1"/>
  <c r="V2553" i="1"/>
  <c r="V2554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<sst xmlns="http://schemas.openxmlformats.org/spreadsheetml/2006/main" count="24800" uniqueCount="2804">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</sst>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........................................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>.....................................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ATLAS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3020" totalsRowShown="0">
  <autoFilter ref="A1:X3020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3020"/>
  <sheetViews>
    <sheetView tabSelected="1" topLeftCell="F1" zoomScale="90" zoomScaleNormal="90" workbookViewId="0">
      <selection activeCell="L2602" sqref="L2602:M2602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ATLAS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18</v>
      </c>
      <c r="C2455" t="s">
        <v>2563</v>
      </c>
      <c r="D2455" s="1">
        <v>46058</v>
      </c>
      <c r="E2455" t="s">
        <v>2564</v>
      </c>
      <c r="F2455">
        <v>9</v>
      </c>
      <c r="G2455">
        <v>236</v>
      </c>
      <c r="H2455" t="str">
        <f>VLOOKUP(G2455,[1]OPERADORES!$A:$B,2,0)</f>
        <v>DANIEL</v>
      </c>
      <c r="I2455" t="s">
        <v>21</v>
      </c>
      <c r="J2455" t="s">
        <v>22</v>
      </c>
      <c r="K2455" t="s">
        <v>23</v>
      </c>
      <c r="L2455">
        <v>85772</v>
      </c>
      <c r="M2455" t="s">
        <v>54</v>
      </c>
      <c r="O2455" t="s">
        <v>11</v>
      </c>
      <c r="P2455">
        <v>5403</v>
      </c>
      <c r="Q2455">
        <v>1</v>
      </c>
      <c r="R2455">
        <v>78.11</v>
      </c>
      <c r="S2455">
        <v>78.11</v>
      </c>
      <c r="T2455">
        <v>59.28</v>
      </c>
      <c r="U2455">
        <v>24.11</v>
      </c>
      <c r="V2455" t="str">
        <f>VLOOKUP(L2455,'[2]tabela de preços'!$A:$D,4,0)</f>
        <v>CORAL</v>
      </c>
      <c r="W2455" t="str">
        <f>VLOOKUP(L2455,'[2]tabela de preços'!$A:$F,6,0)</f>
        <v>TINTA PAREDE</v>
      </c>
      <c r="X2455" t="str">
        <f>VLOOKUP(L2455,'[2]tabela de preços'!$A:$G,7,0)</f>
        <v>IMOBILIÁRIO</v>
      </c>
    </row>
    <row r="2456" spans="1:24" x14ac:dyDescent="0.3">
      <c r="A2456" t="s">
        <v>18</v>
      </c>
      <c r="C2456" t="s">
        <v>2565</v>
      </c>
      <c r="D2456" s="1">
        <v>46058</v>
      </c>
      <c r="E2456" t="s">
        <v>2566</v>
      </c>
      <c r="F2456">
        <v>9</v>
      </c>
      <c r="G2456">
        <v>236</v>
      </c>
      <c r="H2456" t="str">
        <f>VLOOKUP(G2456,[1]OPERADORES!$A:$B,2,0)</f>
        <v>DANIEL</v>
      </c>
      <c r="I2456" t="s">
        <v>21</v>
      </c>
      <c r="J2456" t="s">
        <v>22</v>
      </c>
      <c r="K2456" t="s">
        <v>23</v>
      </c>
      <c r="L2456">
        <v>84928</v>
      </c>
      <c r="M2456" t="s">
        <v>36</v>
      </c>
      <c r="O2456" t="s">
        <v>11</v>
      </c>
      <c r="P2456">
        <v>5102</v>
      </c>
      <c r="Q2456">
        <v>4</v>
      </c>
      <c r="R2456">
        <v>9.39</v>
      </c>
      <c r="S2456">
        <v>37.56</v>
      </c>
      <c r="T2456">
        <v>28.52</v>
      </c>
      <c r="U2456">
        <v>24.07</v>
      </c>
      <c r="V2456" t="str">
        <f>VLOOKUP(L2456,'[2]tabela de preços'!$A:$D,4,0)</f>
        <v>ADERE</v>
      </c>
      <c r="W2456" t="str">
        <f>VLOOKUP(L2456,'[2]tabela de preços'!$A:$F,6,0)</f>
        <v xml:space="preserve">FITA DE USO GERAL </v>
      </c>
      <c r="X2456" t="str">
        <f>VLOOKUP(L2456,'[2]tabela de preços'!$A:$G,7,0)</f>
        <v>IMOBILIÁRIO</v>
      </c>
    </row>
    <row r="2457" spans="1:24" x14ac:dyDescent="0.3">
      <c r="A2457" t="s">
        <v>2739</v>
      </c>
      <c r="C2457" t="s">
        <v>2740</v>
      </c>
      <c r="D2457" s="1">
        <v>46059</v>
      </c>
      <c r="E2457" t="s">
        <v>2741</v>
      </c>
      <c r="F2457">
        <v>9</v>
      </c>
      <c r="G2457">
        <v>231</v>
      </c>
      <c r="H2457" t="str">
        <f>VLOOKUP(G2457,[1]OPERADORES!$A:$B,2,0)</f>
        <v>EDIJANE</v>
      </c>
      <c r="I2457" t="s">
        <v>317</v>
      </c>
      <c r="J2457" t="s">
        <v>2742</v>
      </c>
      <c r="K2457" t="s">
        <v>2743</v>
      </c>
      <c r="L2457">
        <v>85401</v>
      </c>
      <c r="M2457" t="s">
        <v>261</v>
      </c>
      <c r="O2457" t="s">
        <v>11</v>
      </c>
      <c r="P2457">
        <v>6102</v>
      </c>
      <c r="Q2457">
        <v>1</v>
      </c>
      <c r="R2457">
        <v>633.42999999999995</v>
      </c>
      <c r="S2457">
        <v>633.42999999999995</v>
      </c>
      <c r="T2457">
        <v>451.64</v>
      </c>
      <c r="U2457">
        <v>28.7</v>
      </c>
      <c r="V2457" t="str">
        <f>VLOOKUP(L2457,'[2]tabela de preços'!$A:$D,4,0)</f>
        <v>BRASILUX</v>
      </c>
      <c r="W2457" t="str">
        <f>VLOOKUP(L2457,'[2]tabela de preços'!$A:$F,6,0)</f>
        <v>TINTA EM PÓ</v>
      </c>
      <c r="X2457" t="str">
        <f>VLOOKUP(L2457,'[2]tabela de preços'!$A:$G,7,0)</f>
        <v>INDUSTRIAL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20099</v>
      </c>
      <c r="M2458" t="s">
        <v>1308</v>
      </c>
      <c r="O2458" t="s">
        <v>11</v>
      </c>
      <c r="P2458">
        <v>6403</v>
      </c>
      <c r="Q2458">
        <v>1</v>
      </c>
      <c r="R2458">
        <v>15.9</v>
      </c>
      <c r="S2458">
        <v>15.9</v>
      </c>
      <c r="T2458">
        <v>12.07</v>
      </c>
      <c r="U2458">
        <v>24.09</v>
      </c>
      <c r="V2458" t="str">
        <f>VLOOKUP(L2458,'[2]tabela de preços'!$A:$D,4,0)</f>
        <v>MAXI RUBBER</v>
      </c>
      <c r="W2458" t="str">
        <f>VLOOKUP(L2458,'[2]tabela de preços'!$A:$F,6,0)</f>
        <v>BATIDA DE PEDRA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84564</v>
      </c>
      <c r="M2459" t="s">
        <v>2176</v>
      </c>
      <c r="O2459" t="s">
        <v>11</v>
      </c>
      <c r="P2459">
        <v>6403</v>
      </c>
      <c r="Q2459">
        <v>3</v>
      </c>
      <c r="R2459">
        <v>24.07</v>
      </c>
      <c r="S2459">
        <v>72.209999999999994</v>
      </c>
      <c r="T2459">
        <v>54.81</v>
      </c>
      <c r="U2459">
        <v>24.1</v>
      </c>
      <c r="V2459" t="str">
        <f>VLOOKUP(L2459,'[2]tabela de preços'!$A:$D,4,0)</f>
        <v>BRASILUX</v>
      </c>
      <c r="W2459" t="str">
        <f>VLOOKUP(L2459,'[2]tabela de preços'!$A:$F,6,0)</f>
        <v>PRETO FOSCO VINÍLICO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84565</v>
      </c>
      <c r="M2460" t="s">
        <v>236</v>
      </c>
      <c r="O2460" t="s">
        <v>11</v>
      </c>
      <c r="P2460">
        <v>6102</v>
      </c>
      <c r="Q2460">
        <v>3</v>
      </c>
      <c r="R2460">
        <v>9.24</v>
      </c>
      <c r="S2460">
        <v>27.72</v>
      </c>
      <c r="T2460">
        <v>21.03</v>
      </c>
      <c r="U2460">
        <v>24.13</v>
      </c>
      <c r="V2460" t="str">
        <f>VLOOKUP(L2460,'[2]tabela de preços'!$A:$D,4,0)</f>
        <v>BRASILUX</v>
      </c>
      <c r="W2460" t="str">
        <f>VLOOKUP(L2460,'[2]tabela de preços'!$A:$F,6,0)</f>
        <v>PRETO FOSCO VINÍLICO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84557</v>
      </c>
      <c r="M2461" t="s">
        <v>116</v>
      </c>
      <c r="O2461" t="s">
        <v>11</v>
      </c>
      <c r="P2461">
        <v>6102</v>
      </c>
      <c r="Q2461">
        <v>6</v>
      </c>
      <c r="R2461">
        <v>17.489999999999998</v>
      </c>
      <c r="S2461">
        <v>104.94</v>
      </c>
      <c r="T2461">
        <v>83.76</v>
      </c>
      <c r="U2461">
        <v>20.18</v>
      </c>
      <c r="V2461" t="str">
        <f>VLOOKUP(L2461,'[2]tabela de preços'!$A:$D,4,0)</f>
        <v>BRASILUX</v>
      </c>
      <c r="W2461" t="str">
        <f>VLOOKUP(L2461,'[2]tabela de preços'!$A:$F,6,0)</f>
        <v>DILUENTE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24248</v>
      </c>
      <c r="M2462" t="s">
        <v>107</v>
      </c>
      <c r="O2462" t="s">
        <v>11</v>
      </c>
      <c r="P2462">
        <v>6102</v>
      </c>
      <c r="Q2462">
        <v>6</v>
      </c>
      <c r="R2462">
        <v>8</v>
      </c>
      <c r="S2462">
        <v>48</v>
      </c>
      <c r="T2462">
        <v>39</v>
      </c>
      <c r="U2462">
        <v>18.75</v>
      </c>
      <c r="V2462" t="str">
        <f>VLOOKUP(L2462,'[2]tabela de preços'!$A:$D,4,0)</f>
        <v>SHERWIN WILLIAMS</v>
      </c>
      <c r="W2462" t="str">
        <f>VLOOKUP(L2462,'[2]tabela de preços'!$A:$F,6,0)</f>
        <v>PRIMER AUTOMOTIVO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15</v>
      </c>
      <c r="M2463" t="s">
        <v>205</v>
      </c>
      <c r="O2463" t="s">
        <v>11</v>
      </c>
      <c r="P2463">
        <v>6102</v>
      </c>
      <c r="Q2463">
        <v>15</v>
      </c>
      <c r="R2463">
        <v>6.45</v>
      </c>
      <c r="S2463">
        <v>96.75</v>
      </c>
      <c r="T2463">
        <v>62.4</v>
      </c>
      <c r="U2463">
        <v>35.5</v>
      </c>
      <c r="V2463" t="str">
        <f>VLOOKUP(L2463,'[2]tabela de preços'!$A:$D,4,0)</f>
        <v>3M</v>
      </c>
      <c r="W2463" t="str">
        <f>VLOOKUP(L2463,'[2]tabela de preços'!$A:$F,6,0)</f>
        <v>LIXA DÁGUA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16</v>
      </c>
      <c r="M2464" t="s">
        <v>122</v>
      </c>
      <c r="O2464" t="s">
        <v>11</v>
      </c>
      <c r="P2464">
        <v>6102</v>
      </c>
      <c r="Q2464">
        <v>15</v>
      </c>
      <c r="R2464">
        <v>3.41</v>
      </c>
      <c r="S2464">
        <v>51.15</v>
      </c>
      <c r="T2464">
        <v>33</v>
      </c>
      <c r="U2464">
        <v>35.479999999999997</v>
      </c>
      <c r="V2464" t="str">
        <f>VLOOKUP(L2464,'[2]tabela de preços'!$A:$D,4,0)</f>
        <v>3M</v>
      </c>
      <c r="W2464" t="str">
        <f>VLOOKUP(L2464,'[2]tabela de preços'!$A:$F,6,0)</f>
        <v>LIXA DÁGUA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10242</v>
      </c>
      <c r="M2465" t="s">
        <v>82</v>
      </c>
      <c r="O2465" t="s">
        <v>11</v>
      </c>
      <c r="P2465">
        <v>6102</v>
      </c>
      <c r="Q2465">
        <v>25</v>
      </c>
      <c r="R2465">
        <v>2.79</v>
      </c>
      <c r="S2465">
        <v>69.75</v>
      </c>
      <c r="T2465">
        <v>56</v>
      </c>
      <c r="U2465">
        <v>19.71</v>
      </c>
      <c r="V2465" t="str">
        <f>VLOOKUP(L2465,'[2]tabela de preços'!$A:$D,4,0)</f>
        <v>NORTON</v>
      </c>
      <c r="W2465" t="str">
        <f>VLOOKUP(L2465,'[2]tabela de preços'!$A:$F,6,0)</f>
        <v xml:space="preserve">DISCOS / LIXAS / ABRASIVOS 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10243</v>
      </c>
      <c r="M2466" t="s">
        <v>83</v>
      </c>
      <c r="O2466" t="s">
        <v>11</v>
      </c>
      <c r="P2466">
        <v>6102</v>
      </c>
      <c r="Q2466">
        <v>25</v>
      </c>
      <c r="R2466">
        <v>2.79</v>
      </c>
      <c r="S2466">
        <v>69.75</v>
      </c>
      <c r="T2466">
        <v>48.25</v>
      </c>
      <c r="U2466">
        <v>30.82</v>
      </c>
      <c r="V2466" t="str">
        <f>VLOOKUP(L2466,'[2]tabela de preços'!$A:$D,4,0)</f>
        <v>NORTON</v>
      </c>
      <c r="W2466" t="str">
        <f>VLOOKUP(L2466,'[2]tabela de preços'!$A:$F,6,0)</f>
        <v xml:space="preserve">DISCOS / LIXAS / ABRASIVOS </v>
      </c>
      <c r="X2466" t="str">
        <f>VLOOKUP(L2466,'[2]tabela de preços'!$A:$G,7,0)</f>
        <v>AUTOMOTIVO</v>
      </c>
    </row>
    <row r="2467" spans="1:24" x14ac:dyDescent="0.3">
      <c r="A2467" t="s">
        <v>123</v>
      </c>
      <c r="C2467" t="s">
        <v>2418</v>
      </c>
      <c r="D2467" s="1">
        <v>46055</v>
      </c>
      <c r="E2467" t="s">
        <v>2419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126</v>
      </c>
      <c r="J2467" t="s">
        <v>127</v>
      </c>
      <c r="K2467" t="s">
        <v>128</v>
      </c>
      <c r="L2467">
        <v>10244</v>
      </c>
      <c r="M2467" t="s">
        <v>84</v>
      </c>
      <c r="O2467" t="s">
        <v>11</v>
      </c>
      <c r="P2467">
        <v>6102</v>
      </c>
      <c r="Q2467">
        <v>25</v>
      </c>
      <c r="R2467">
        <v>2.79</v>
      </c>
      <c r="S2467">
        <v>69.75</v>
      </c>
      <c r="T2467">
        <v>48.25</v>
      </c>
      <c r="U2467">
        <v>30.82</v>
      </c>
      <c r="V2467" t="str">
        <f>VLOOKUP(L2467,'[2]tabela de preços'!$A:$D,4,0)</f>
        <v>NORTON</v>
      </c>
      <c r="W2467" t="str">
        <f>VLOOKUP(L2467,'[2]tabela de preços'!$A:$F,6,0)</f>
        <v xml:space="preserve">DISCOS / LIXAS / ABRASIVOS </v>
      </c>
      <c r="X2467" t="str">
        <f>VLOOKUP(L2467,'[2]tabela de preços'!$A:$G,7,0)</f>
        <v>AUTOMOTIVO</v>
      </c>
    </row>
    <row r="2468" spans="1:24" x14ac:dyDescent="0.3">
      <c r="A2468" t="s">
        <v>123</v>
      </c>
      <c r="C2468" t="s">
        <v>2418</v>
      </c>
      <c r="D2468" s="1">
        <v>46055</v>
      </c>
      <c r="E2468" t="s">
        <v>2419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126</v>
      </c>
      <c r="J2468" t="s">
        <v>127</v>
      </c>
      <c r="K2468" t="s">
        <v>128</v>
      </c>
      <c r="L2468">
        <v>21078</v>
      </c>
      <c r="M2468" t="s">
        <v>141</v>
      </c>
      <c r="O2468" t="s">
        <v>11</v>
      </c>
      <c r="P2468">
        <v>6102</v>
      </c>
      <c r="Q2468">
        <v>6</v>
      </c>
      <c r="R2468">
        <v>22.89</v>
      </c>
      <c r="S2468">
        <v>137.34</v>
      </c>
      <c r="T2468">
        <v>111.96</v>
      </c>
      <c r="U2468">
        <v>18.48</v>
      </c>
      <c r="V2468" t="str">
        <f>VLOOKUP(L2468,'[2]tabela de preços'!$A:$D,4,0)</f>
        <v>SHERWIN WILLIAMS</v>
      </c>
      <c r="W2468" t="str">
        <f>VLOOKUP(L2468,'[2]tabela de preços'!$A:$F,6,0)</f>
        <v>MASSA POLIÉSTER</v>
      </c>
      <c r="X2468" t="str">
        <f>VLOOKUP(L2468,'[2]tabela de preços'!$A:$G,7,0)</f>
        <v>AUTOMOTIVO</v>
      </c>
    </row>
    <row r="2469" spans="1:24" x14ac:dyDescent="0.3">
      <c r="A2469" t="s">
        <v>123</v>
      </c>
      <c r="C2469" t="s">
        <v>2418</v>
      </c>
      <c r="D2469" s="1">
        <v>46055</v>
      </c>
      <c r="E2469" t="s">
        <v>2419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126</v>
      </c>
      <c r="J2469" t="s">
        <v>127</v>
      </c>
      <c r="K2469" t="s">
        <v>128</v>
      </c>
      <c r="L2469">
        <v>24247</v>
      </c>
      <c r="M2469" t="s">
        <v>160</v>
      </c>
      <c r="O2469" t="s">
        <v>11</v>
      </c>
      <c r="P2469">
        <v>6403</v>
      </c>
      <c r="Q2469">
        <v>6</v>
      </c>
      <c r="R2469">
        <v>21</v>
      </c>
      <c r="S2469">
        <v>126</v>
      </c>
      <c r="T2469">
        <v>101.22</v>
      </c>
      <c r="U2469">
        <v>19.670000000000002</v>
      </c>
      <c r="V2469" t="str">
        <f>VLOOKUP(L2469,'[2]tabela de preços'!$A:$D,4,0)</f>
        <v>SHERWIN WILLIAMS</v>
      </c>
      <c r="W2469" t="str">
        <f>VLOOKUP(L2469,'[2]tabela de preços'!$A:$F,6,0)</f>
        <v>PRIMER AUTOMOTIVO</v>
      </c>
      <c r="X2469" t="str">
        <f>VLOOKUP(L2469,'[2]tabela de preços'!$A:$G,7,0)</f>
        <v>AUTOMOTIVO</v>
      </c>
    </row>
    <row r="2470" spans="1:24" x14ac:dyDescent="0.3">
      <c r="A2470" t="s">
        <v>123</v>
      </c>
      <c r="C2470" t="s">
        <v>2567</v>
      </c>
      <c r="D2470" s="1">
        <v>46058</v>
      </c>
      <c r="E2470" t="s">
        <v>2568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126</v>
      </c>
      <c r="J2470" t="s">
        <v>127</v>
      </c>
      <c r="K2470" t="s">
        <v>128</v>
      </c>
      <c r="L2470">
        <v>23580</v>
      </c>
      <c r="M2470" t="s">
        <v>115</v>
      </c>
      <c r="O2470" t="s">
        <v>11</v>
      </c>
      <c r="P2470">
        <v>6102</v>
      </c>
      <c r="Q2470">
        <v>20</v>
      </c>
      <c r="R2470">
        <v>0.56000000000000005</v>
      </c>
      <c r="S2470">
        <v>11.2</v>
      </c>
      <c r="T2470">
        <v>7.2</v>
      </c>
      <c r="U2470">
        <v>35.71</v>
      </c>
      <c r="V2470" t="str">
        <f>VLOOKUP(L2470,'[2]tabela de preços'!$A:$D,4,0)</f>
        <v>RENOVA COADORES</v>
      </c>
      <c r="W2470" t="str">
        <f>VLOOKUP(L2470,'[2]tabela de preços'!$A:$F,6,0)</f>
        <v>COADORES</v>
      </c>
      <c r="X2470" t="str">
        <f>VLOOKUP(L2470,'[2]tabela de preços'!$A:$G,7,0)</f>
        <v>AUTOMOTIVO</v>
      </c>
    </row>
    <row r="2471" spans="1:24" x14ac:dyDescent="0.3">
      <c r="A2471" t="s">
        <v>123</v>
      </c>
      <c r="C2471" t="s">
        <v>2567</v>
      </c>
      <c r="D2471" s="1">
        <v>46058</v>
      </c>
      <c r="E2471" t="s">
        <v>2568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126</v>
      </c>
      <c r="J2471" t="s">
        <v>127</v>
      </c>
      <c r="K2471" t="s">
        <v>128</v>
      </c>
      <c r="L2471">
        <v>84557</v>
      </c>
      <c r="M2471" t="s">
        <v>116</v>
      </c>
      <c r="O2471" t="s">
        <v>11</v>
      </c>
      <c r="P2471">
        <v>6102</v>
      </c>
      <c r="Q2471">
        <v>10</v>
      </c>
      <c r="R2471">
        <v>17.489999999999998</v>
      </c>
      <c r="S2471">
        <v>174.9</v>
      </c>
      <c r="T2471">
        <v>139.6</v>
      </c>
      <c r="U2471">
        <v>20.18</v>
      </c>
      <c r="V2471" t="str">
        <f>VLOOKUP(L2471,'[2]tabela de preços'!$A:$D,4,0)</f>
        <v>BRASILUX</v>
      </c>
      <c r="W2471" t="str">
        <f>VLOOKUP(L2471,'[2]tabela de preços'!$A:$F,6,0)</f>
        <v>DILUENTE</v>
      </c>
      <c r="X2471" t="str">
        <f>VLOOKUP(L2471,'[2]tabela de preços'!$A:$G,7,0)</f>
        <v>AUTOMOTIVO</v>
      </c>
    </row>
    <row r="2472" spans="1:24" x14ac:dyDescent="0.3">
      <c r="A2472" t="s">
        <v>123</v>
      </c>
      <c r="C2472" t="s">
        <v>2567</v>
      </c>
      <c r="D2472" s="1">
        <v>46058</v>
      </c>
      <c r="E2472" t="s">
        <v>2568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126</v>
      </c>
      <c r="J2472" t="s">
        <v>127</v>
      </c>
      <c r="K2472" t="s">
        <v>128</v>
      </c>
      <c r="L2472">
        <v>10230</v>
      </c>
      <c r="M2472" t="s">
        <v>193</v>
      </c>
      <c r="O2472" t="s">
        <v>11</v>
      </c>
      <c r="P2472">
        <v>6102</v>
      </c>
      <c r="Q2472">
        <v>20</v>
      </c>
      <c r="R2472">
        <v>2.79</v>
      </c>
      <c r="S2472">
        <v>55.8</v>
      </c>
      <c r="T2472">
        <v>46.4</v>
      </c>
      <c r="U2472">
        <v>16.850000000000001</v>
      </c>
      <c r="V2472" t="str">
        <f>VLOOKUP(L2472,'[2]tabela de preços'!$A:$D,4,0)</f>
        <v>NORTON</v>
      </c>
      <c r="W2472" t="str">
        <f>VLOOKUP(L2472,'[2]tabela de preços'!$A:$F,6,0)</f>
        <v xml:space="preserve">DISCOS / LIXAS / ABRASIVOS </v>
      </c>
      <c r="X2472" t="str">
        <f>VLOOKUP(L2472,'[2]tabela de preços'!$A:$G,7,0)</f>
        <v>AUTOMOTIVO</v>
      </c>
    </row>
    <row r="2473" spans="1:24" x14ac:dyDescent="0.3">
      <c r="A2473" t="s">
        <v>123</v>
      </c>
      <c r="C2473" t="s">
        <v>2567</v>
      </c>
      <c r="D2473" s="1">
        <v>46058</v>
      </c>
      <c r="E2473" t="s">
        <v>2569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126</v>
      </c>
      <c r="J2473" t="s">
        <v>127</v>
      </c>
      <c r="K2473" t="s">
        <v>128</v>
      </c>
      <c r="L2473">
        <v>10232</v>
      </c>
      <c r="M2473" t="s">
        <v>134</v>
      </c>
      <c r="O2473" t="s">
        <v>11</v>
      </c>
      <c r="P2473">
        <v>6102</v>
      </c>
      <c r="Q2473">
        <v>15</v>
      </c>
      <c r="R2473">
        <v>2.79</v>
      </c>
      <c r="S2473">
        <v>41.85</v>
      </c>
      <c r="T2473">
        <v>33.75</v>
      </c>
      <c r="U2473">
        <v>19.350000000000001</v>
      </c>
      <c r="V2473" t="str">
        <f>VLOOKUP(L2473,'[2]tabela de preços'!$A:$D,4,0)</f>
        <v>NORTON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123</v>
      </c>
      <c r="C2474" t="s">
        <v>2567</v>
      </c>
      <c r="D2474" s="1">
        <v>46058</v>
      </c>
      <c r="E2474" t="s">
        <v>2568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126</v>
      </c>
      <c r="J2474" t="s">
        <v>127</v>
      </c>
      <c r="K2474" t="s">
        <v>128</v>
      </c>
      <c r="L2474">
        <v>20525</v>
      </c>
      <c r="M2474" t="s">
        <v>137</v>
      </c>
      <c r="O2474" t="s">
        <v>11</v>
      </c>
      <c r="P2474">
        <v>6102</v>
      </c>
      <c r="Q2474">
        <v>3</v>
      </c>
      <c r="R2474">
        <v>13.65</v>
      </c>
      <c r="S2474">
        <v>40.950000000000003</v>
      </c>
      <c r="T2474">
        <v>31.08</v>
      </c>
      <c r="U2474">
        <v>24.1</v>
      </c>
      <c r="V2474" t="str">
        <f>VLOOKUP(L2474,'[2]tabela de preços'!$A:$D,4,0)</f>
        <v>SHERWIN WILLIAMS</v>
      </c>
      <c r="W2474" t="str">
        <f>VLOOKUP(L2474,'[2]tabela de preços'!$A:$F,6,0)</f>
        <v>MASSA DE PEQUENOS REPAROS</v>
      </c>
      <c r="X2474" t="str">
        <f>VLOOKUP(L2474,'[2]tabela de preços'!$A:$G,7,0)</f>
        <v>AUTOMOTIVO</v>
      </c>
    </row>
    <row r="2475" spans="1:24" x14ac:dyDescent="0.3">
      <c r="A2475" t="s">
        <v>123</v>
      </c>
      <c r="C2475" t="s">
        <v>2567</v>
      </c>
      <c r="D2475" s="1">
        <v>46058</v>
      </c>
      <c r="E2475" t="s">
        <v>2568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126</v>
      </c>
      <c r="J2475" t="s">
        <v>127</v>
      </c>
      <c r="K2475" t="s">
        <v>128</v>
      </c>
      <c r="L2475">
        <v>21078</v>
      </c>
      <c r="M2475" t="s">
        <v>141</v>
      </c>
      <c r="O2475" t="s">
        <v>11</v>
      </c>
      <c r="P2475">
        <v>6102</v>
      </c>
      <c r="Q2475">
        <v>4</v>
      </c>
      <c r="R2475">
        <v>22.89</v>
      </c>
      <c r="S2475">
        <v>91.56</v>
      </c>
      <c r="T2475">
        <v>74.64</v>
      </c>
      <c r="U2475">
        <v>18.48</v>
      </c>
      <c r="V2475" t="str">
        <f>VLOOKUP(L2475,'[2]tabela de preços'!$A:$D,4,0)</f>
        <v>SHERWIN WILLIAMS</v>
      </c>
      <c r="W2475" t="str">
        <f>VLOOKUP(L2475,'[2]tabela de preços'!$A:$F,6,0)</f>
        <v>MASSA POLIÉSTER</v>
      </c>
      <c r="X2475" t="str">
        <f>VLOOKUP(L2475,'[2]tabela de preços'!$A:$G,7,0)</f>
        <v>AUTOMOTIVO</v>
      </c>
    </row>
    <row r="2476" spans="1:24" x14ac:dyDescent="0.3">
      <c r="A2476" t="s">
        <v>123</v>
      </c>
      <c r="C2476" t="s">
        <v>2567</v>
      </c>
      <c r="D2476" s="1">
        <v>46058</v>
      </c>
      <c r="E2476" t="s">
        <v>2568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126</v>
      </c>
      <c r="J2476" t="s">
        <v>127</v>
      </c>
      <c r="K2476" t="s">
        <v>128</v>
      </c>
      <c r="L2476">
        <v>10297</v>
      </c>
      <c r="M2476" t="s">
        <v>41</v>
      </c>
      <c r="O2476" t="s">
        <v>11</v>
      </c>
      <c r="P2476">
        <v>6102</v>
      </c>
      <c r="Q2476">
        <v>6</v>
      </c>
      <c r="R2476">
        <v>10.89</v>
      </c>
      <c r="S2476">
        <v>65.34</v>
      </c>
      <c r="T2476">
        <v>55.02</v>
      </c>
      <c r="U2476">
        <v>15.79</v>
      </c>
      <c r="V2476" t="str">
        <f>VLOOKUP(L2476,'[2]tabela de preços'!$A:$D,4,0)</f>
        <v>ANJO</v>
      </c>
      <c r="W2476" t="str">
        <f>VLOOKUP(L2476,'[2]tabela de preços'!$A:$F,6,0)</f>
        <v>THINNER DE LIMPEZA</v>
      </c>
      <c r="X2476" t="str">
        <f>VLOOKUP(L2476,'[2]tabela de preços'!$A:$G,7,0)</f>
        <v>THINNER</v>
      </c>
    </row>
    <row r="2477" spans="1:24" x14ac:dyDescent="0.3">
      <c r="A2477" t="s">
        <v>123</v>
      </c>
      <c r="C2477" t="s">
        <v>2567</v>
      </c>
      <c r="D2477" s="1">
        <v>46058</v>
      </c>
      <c r="E2477" t="s">
        <v>2568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126</v>
      </c>
      <c r="J2477" t="s">
        <v>127</v>
      </c>
      <c r="K2477" t="s">
        <v>128</v>
      </c>
      <c r="L2477">
        <v>10404</v>
      </c>
      <c r="M2477" t="s">
        <v>130</v>
      </c>
      <c r="O2477" t="s">
        <v>11</v>
      </c>
      <c r="P2477">
        <v>6102</v>
      </c>
      <c r="Q2477">
        <v>4</v>
      </c>
      <c r="R2477">
        <v>16.29</v>
      </c>
      <c r="S2477">
        <v>65.16</v>
      </c>
      <c r="T2477">
        <v>50.04</v>
      </c>
      <c r="U2477">
        <v>23.2</v>
      </c>
      <c r="V2477" t="str">
        <f>VLOOKUP(L2477,'[2]tabela de preços'!$A:$D,4,0)</f>
        <v>MAXI RUBBER</v>
      </c>
      <c r="W2477" t="str">
        <f>VLOOKUP(L2477,'[2]tabela de preços'!$A:$F,6,0)</f>
        <v>VEDADORES / SELANTES</v>
      </c>
      <c r="X2477" t="str">
        <f>VLOOKUP(L2477,'[2]tabela de preços'!$A:$G,7,0)</f>
        <v>AUTOMOTIVO</v>
      </c>
    </row>
    <row r="2478" spans="1:24" x14ac:dyDescent="0.3">
      <c r="A2478" t="s">
        <v>123</v>
      </c>
      <c r="C2478" t="s">
        <v>2744</v>
      </c>
      <c r="D2478" s="1">
        <v>46059</v>
      </c>
      <c r="E2478" t="s">
        <v>2745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126</v>
      </c>
      <c r="J2478" t="s">
        <v>127</v>
      </c>
      <c r="K2478" t="s">
        <v>128</v>
      </c>
      <c r="L2478">
        <v>20431</v>
      </c>
      <c r="M2478" t="s">
        <v>202</v>
      </c>
      <c r="O2478" t="s">
        <v>11</v>
      </c>
      <c r="P2478">
        <v>6403</v>
      </c>
      <c r="Q2478">
        <v>7</v>
      </c>
      <c r="R2478">
        <v>36.89</v>
      </c>
      <c r="S2478">
        <v>258.23</v>
      </c>
      <c r="T2478">
        <v>211.82</v>
      </c>
      <c r="U2478">
        <v>17.97</v>
      </c>
      <c r="V2478" t="str">
        <f>VLOOKUP(L2478,'[2]tabela de preços'!$A:$D,4,0)</f>
        <v>SHERWIN WILLIAMS</v>
      </c>
      <c r="W2478" t="str">
        <f>VLOOKUP(L2478,'[2]tabela de preços'!$A:$F,6,0)</f>
        <v>VERNIZ AUTOMOTIVO</v>
      </c>
      <c r="X2478" t="str">
        <f>VLOOKUP(L2478,'[2]tabela de preços'!$A:$G,7,0)</f>
        <v>AUTOMOTIVO</v>
      </c>
    </row>
    <row r="2479" spans="1:24" x14ac:dyDescent="0.3">
      <c r="A2479" t="s">
        <v>165</v>
      </c>
      <c r="C2479" t="s">
        <v>2570</v>
      </c>
      <c r="D2479" s="1">
        <v>46058</v>
      </c>
      <c r="E2479" t="s">
        <v>2571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168</v>
      </c>
      <c r="J2479" t="s">
        <v>169</v>
      </c>
      <c r="K2479" t="s">
        <v>170</v>
      </c>
      <c r="L2479">
        <v>83825</v>
      </c>
      <c r="M2479" t="s">
        <v>332</v>
      </c>
      <c r="O2479" t="s">
        <v>11</v>
      </c>
      <c r="P2479">
        <v>6102</v>
      </c>
      <c r="Q2479">
        <v>50</v>
      </c>
      <c r="R2479">
        <v>2.64</v>
      </c>
      <c r="S2479">
        <v>132</v>
      </c>
      <c r="T2479">
        <v>100.5</v>
      </c>
      <c r="U2479">
        <v>23.86</v>
      </c>
      <c r="V2479" t="str">
        <f>VLOOKUP(L2479,'[2]tabela de preços'!$A:$D,4,0)</f>
        <v>NORTON</v>
      </c>
      <c r="W2479" t="str">
        <f>VLOOKUP(L2479,'[2]tabela de preços'!$A:$F,6,0)</f>
        <v xml:space="preserve">DISCOS / LIXAS / ABRASIVOS </v>
      </c>
      <c r="X2479" t="str">
        <f>VLOOKUP(L2479,'[2]tabela de preços'!$A:$G,7,0)</f>
        <v>AUTOMOTIVO</v>
      </c>
    </row>
    <row r="2480" spans="1:24" x14ac:dyDescent="0.3">
      <c r="A2480" t="s">
        <v>165</v>
      </c>
      <c r="C2480" t="s">
        <v>2570</v>
      </c>
      <c r="D2480" s="1">
        <v>46058</v>
      </c>
      <c r="E2480" t="s">
        <v>2571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168</v>
      </c>
      <c r="J2480" t="s">
        <v>169</v>
      </c>
      <c r="K2480" t="s">
        <v>170</v>
      </c>
      <c r="L2480">
        <v>23690</v>
      </c>
      <c r="M2480" t="s">
        <v>98</v>
      </c>
      <c r="O2480" t="s">
        <v>11</v>
      </c>
      <c r="P2480">
        <v>6403</v>
      </c>
      <c r="Q2480">
        <v>6</v>
      </c>
      <c r="R2480">
        <v>39.89</v>
      </c>
      <c r="S2480">
        <v>239.34</v>
      </c>
      <c r="T2480">
        <v>189.66</v>
      </c>
      <c r="U2480">
        <v>20.76</v>
      </c>
      <c r="V2480" t="str">
        <f>VLOOKUP(L2480,'[2]tabela de preços'!$A:$D,4,0)</f>
        <v>WANDA</v>
      </c>
      <c r="W2480" t="str">
        <f>VLOOKUP(L2480,'[2]tabela de preços'!$A:$F,6,0)</f>
        <v>VERNIZ AUTOMOTIVO</v>
      </c>
      <c r="X2480" t="str">
        <f>VLOOKUP(L2480,'[2]tabela de preços'!$A:$G,7,0)</f>
        <v>AUTOMOTIVO</v>
      </c>
    </row>
    <row r="2481" spans="1:24" x14ac:dyDescent="0.3">
      <c r="A2481" t="s">
        <v>165</v>
      </c>
      <c r="C2481" t="s">
        <v>2570</v>
      </c>
      <c r="D2481" s="1">
        <v>46058</v>
      </c>
      <c r="E2481" t="s">
        <v>2571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168</v>
      </c>
      <c r="J2481" t="s">
        <v>169</v>
      </c>
      <c r="K2481" t="s">
        <v>170</v>
      </c>
      <c r="L2481">
        <v>10238</v>
      </c>
      <c r="M2481" t="s">
        <v>79</v>
      </c>
      <c r="O2481" t="s">
        <v>11</v>
      </c>
      <c r="P2481">
        <v>6102</v>
      </c>
      <c r="Q2481">
        <v>100</v>
      </c>
      <c r="R2481">
        <v>2.79</v>
      </c>
      <c r="S2481">
        <v>279</v>
      </c>
      <c r="T2481">
        <v>224</v>
      </c>
      <c r="U2481">
        <v>19.71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165</v>
      </c>
      <c r="C2482" t="s">
        <v>2570</v>
      </c>
      <c r="D2482" s="1">
        <v>46058</v>
      </c>
      <c r="E2482" t="s">
        <v>2571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168</v>
      </c>
      <c r="J2482" t="s">
        <v>169</v>
      </c>
      <c r="K2482" t="s">
        <v>170</v>
      </c>
      <c r="L2482">
        <v>10240</v>
      </c>
      <c r="M2482" t="s">
        <v>81</v>
      </c>
      <c r="O2482" t="s">
        <v>11</v>
      </c>
      <c r="P2482">
        <v>6102</v>
      </c>
      <c r="Q2482">
        <v>50</v>
      </c>
      <c r="R2482">
        <v>2.79</v>
      </c>
      <c r="S2482">
        <v>139.5</v>
      </c>
      <c r="T2482">
        <v>112</v>
      </c>
      <c r="U2482">
        <v>19.71</v>
      </c>
      <c r="V2482" t="str">
        <f>VLOOKUP(L2482,'[2]tabela de preços'!$A:$D,4,0)</f>
        <v>NORTON</v>
      </c>
      <c r="W2482" t="str">
        <f>VLOOKUP(L2482,'[2]tabela de preços'!$A:$F,6,0)</f>
        <v xml:space="preserve">DISCOS / LIXAS / ABRASIVOS </v>
      </c>
      <c r="X2482" t="str">
        <f>VLOOKUP(L2482,'[2]tabela de preços'!$A:$G,7,0)</f>
        <v>AUTOMOTIVO</v>
      </c>
    </row>
    <row r="2483" spans="1:24" x14ac:dyDescent="0.3">
      <c r="A2483" t="s">
        <v>165</v>
      </c>
      <c r="C2483" t="s">
        <v>2570</v>
      </c>
      <c r="D2483" s="1">
        <v>46058</v>
      </c>
      <c r="E2483" t="s">
        <v>2571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168</v>
      </c>
      <c r="J2483" t="s">
        <v>169</v>
      </c>
      <c r="K2483" t="s">
        <v>170</v>
      </c>
      <c r="L2483">
        <v>84460</v>
      </c>
      <c r="M2483" t="s">
        <v>322</v>
      </c>
      <c r="O2483" t="s">
        <v>11</v>
      </c>
      <c r="P2483">
        <v>6102</v>
      </c>
      <c r="Q2483">
        <v>6</v>
      </c>
      <c r="R2483">
        <v>31.07</v>
      </c>
      <c r="S2483">
        <v>186.42</v>
      </c>
      <c r="T2483">
        <v>141.47999999999999</v>
      </c>
      <c r="U2483">
        <v>24.11</v>
      </c>
      <c r="V2483" t="str">
        <f>VLOOKUP(L2483,'[2]tabela de preços'!$A:$D,4,0)</f>
        <v>BRASILUX</v>
      </c>
      <c r="W2483" t="str">
        <f>VLOOKUP(L2483,'[2]tabela de preços'!$A:$F,6,0)</f>
        <v>VEDADORES / SELANTES</v>
      </c>
      <c r="X2483" t="str">
        <f>VLOOKUP(L2483,'[2]tabela de preços'!$A:$G,7,0)</f>
        <v>AUTOMOTIVO</v>
      </c>
    </row>
    <row r="2484" spans="1:24" x14ac:dyDescent="0.3">
      <c r="A2484" t="s">
        <v>186</v>
      </c>
      <c r="C2484" t="s">
        <v>2478</v>
      </c>
      <c r="D2484" s="1">
        <v>46056</v>
      </c>
      <c r="E2484" t="s">
        <v>2479</v>
      </c>
      <c r="F2484">
        <v>9</v>
      </c>
      <c r="G2484">
        <v>236</v>
      </c>
      <c r="H2484" t="str">
        <f>VLOOKUP(G2484,[1]OPERADORES!$A:$B,2,0)</f>
        <v>DANIEL</v>
      </c>
      <c r="I2484" t="s">
        <v>21</v>
      </c>
      <c r="J2484" t="s">
        <v>189</v>
      </c>
      <c r="K2484" t="s">
        <v>190</v>
      </c>
      <c r="L2484">
        <v>85635</v>
      </c>
      <c r="M2484" t="s">
        <v>674</v>
      </c>
      <c r="O2484" t="s">
        <v>11</v>
      </c>
      <c r="P2484">
        <v>5102</v>
      </c>
      <c r="Q2484">
        <v>1</v>
      </c>
      <c r="R2484">
        <v>6.2</v>
      </c>
      <c r="S2484">
        <v>6.2</v>
      </c>
      <c r="T2484">
        <v>4</v>
      </c>
      <c r="U2484">
        <v>35.479999999999997</v>
      </c>
      <c r="V2484" t="str">
        <f>VLOOKUP(L2484,'[2]tabela de preços'!$A:$D,4,0)</f>
        <v>UNIPEGA</v>
      </c>
      <c r="W2484" t="str">
        <f>VLOOKUP(L2484,'[2]tabela de preços'!$A:$F,6,0)</f>
        <v>DESENGRIPANTE</v>
      </c>
      <c r="X2484" t="str">
        <f>VLOOKUP(L2484,'[2]tabela de preços'!$A:$G,7,0)</f>
        <v>AUTOMOTIVO</v>
      </c>
    </row>
    <row r="2485" spans="1:24" x14ac:dyDescent="0.3">
      <c r="A2485" t="s">
        <v>186</v>
      </c>
      <c r="C2485" t="s">
        <v>2478</v>
      </c>
      <c r="D2485" s="1">
        <v>46056</v>
      </c>
      <c r="E2485" t="s">
        <v>2479</v>
      </c>
      <c r="F2485">
        <v>9</v>
      </c>
      <c r="G2485">
        <v>236</v>
      </c>
      <c r="H2485" t="str">
        <f>VLOOKUP(G2485,[1]OPERADORES!$A:$B,2,0)</f>
        <v>DANIEL</v>
      </c>
      <c r="I2485" t="s">
        <v>21</v>
      </c>
      <c r="J2485" t="s">
        <v>189</v>
      </c>
      <c r="K2485" t="s">
        <v>190</v>
      </c>
      <c r="L2485">
        <v>22684</v>
      </c>
      <c r="M2485" t="s">
        <v>73</v>
      </c>
      <c r="O2485" t="s">
        <v>11</v>
      </c>
      <c r="P2485">
        <v>5102</v>
      </c>
      <c r="Q2485">
        <v>20</v>
      </c>
      <c r="R2485">
        <v>3.65</v>
      </c>
      <c r="S2485">
        <v>73</v>
      </c>
      <c r="T2485">
        <v>61.6</v>
      </c>
      <c r="U2485">
        <v>15.62</v>
      </c>
      <c r="V2485" t="str">
        <f>VLOOKUP(L2485,'[2]tabela de preços'!$A:$D,4,0)</f>
        <v>3M</v>
      </c>
      <c r="W2485" t="str">
        <f>VLOOKUP(L2485,'[2]tabela de preços'!$A:$F,6,0)</f>
        <v>FITA AUTOMOTIVA</v>
      </c>
      <c r="X2485" t="str">
        <f>VLOOKUP(L2485,'[2]tabela de preços'!$A:$G,7,0)</f>
        <v>AUTOMOTIVO</v>
      </c>
    </row>
    <row r="2486" spans="1:24" x14ac:dyDescent="0.3">
      <c r="A2486" t="s">
        <v>186</v>
      </c>
      <c r="C2486" t="s">
        <v>2478</v>
      </c>
      <c r="D2486" s="1">
        <v>46056</v>
      </c>
      <c r="E2486" t="s">
        <v>2479</v>
      </c>
      <c r="F2486">
        <v>9</v>
      </c>
      <c r="G2486">
        <v>236</v>
      </c>
      <c r="H2486" t="str">
        <f>VLOOKUP(G2486,[1]OPERADORES!$A:$B,2,0)</f>
        <v>DANIEL</v>
      </c>
      <c r="I2486" t="s">
        <v>21</v>
      </c>
      <c r="J2486" t="s">
        <v>189</v>
      </c>
      <c r="K2486" t="s">
        <v>190</v>
      </c>
      <c r="L2486">
        <v>85409</v>
      </c>
      <c r="M2486" t="s">
        <v>201</v>
      </c>
      <c r="O2486" t="s">
        <v>11</v>
      </c>
      <c r="P2486">
        <v>5403</v>
      </c>
      <c r="Q2486">
        <v>2</v>
      </c>
      <c r="R2486">
        <v>28.9</v>
      </c>
      <c r="S2486">
        <v>57.8</v>
      </c>
      <c r="T2486">
        <v>46.22</v>
      </c>
      <c r="U2486">
        <v>20.03</v>
      </c>
      <c r="V2486" t="str">
        <f>VLOOKUP(L2486,'[2]tabela de preços'!$A:$D,4,0)</f>
        <v>WANDA</v>
      </c>
      <c r="W2486" t="str">
        <f>VLOOKUP(L2486,'[2]tabela de preços'!$A:$F,6,0)</f>
        <v>PRIMER AUTOMOTIVO</v>
      </c>
      <c r="X2486" t="str">
        <f>VLOOKUP(L2486,'[2]tabela de preços'!$A:$G,7,0)</f>
        <v>AUTOMOTIVO</v>
      </c>
    </row>
    <row r="2487" spans="1:24" x14ac:dyDescent="0.3">
      <c r="A2487" t="s">
        <v>186</v>
      </c>
      <c r="C2487" t="s">
        <v>2478</v>
      </c>
      <c r="D2487" s="1">
        <v>46056</v>
      </c>
      <c r="E2487" t="s">
        <v>2479</v>
      </c>
      <c r="F2487">
        <v>9</v>
      </c>
      <c r="G2487">
        <v>236</v>
      </c>
      <c r="H2487" t="str">
        <f>VLOOKUP(G2487,[1]OPERADORES!$A:$B,2,0)</f>
        <v>DANIEL</v>
      </c>
      <c r="I2487" t="s">
        <v>21</v>
      </c>
      <c r="J2487" t="s">
        <v>189</v>
      </c>
      <c r="K2487" t="s">
        <v>190</v>
      </c>
      <c r="L2487">
        <v>13</v>
      </c>
      <c r="M2487" t="s">
        <v>152</v>
      </c>
      <c r="O2487" t="s">
        <v>11</v>
      </c>
      <c r="P2487">
        <v>5102</v>
      </c>
      <c r="Q2487">
        <v>5</v>
      </c>
      <c r="R2487">
        <v>5.79</v>
      </c>
      <c r="S2487">
        <v>28.95</v>
      </c>
      <c r="T2487">
        <v>20.8</v>
      </c>
      <c r="U2487">
        <v>28.15</v>
      </c>
      <c r="V2487" t="str">
        <f>VLOOKUP(L2487,'[2]tabela de preços'!$A:$D,4,0)</f>
        <v>3M</v>
      </c>
      <c r="W2487" t="str">
        <f>VLOOKUP(L2487,'[2]tabela de preços'!$A:$F,6,0)</f>
        <v>LIXA DÁGUA</v>
      </c>
      <c r="X2487" t="str">
        <f>VLOOKUP(L2487,'[2]tabela de preços'!$A:$G,7,0)</f>
        <v>AUTOMOTIVO</v>
      </c>
    </row>
    <row r="2488" spans="1:24" x14ac:dyDescent="0.3">
      <c r="A2488" t="s">
        <v>186</v>
      </c>
      <c r="C2488" t="s">
        <v>2478</v>
      </c>
      <c r="D2488" s="1">
        <v>46056</v>
      </c>
      <c r="E2488" t="s">
        <v>2479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189</v>
      </c>
      <c r="K2488" t="s">
        <v>190</v>
      </c>
      <c r="L2488">
        <v>10238</v>
      </c>
      <c r="M2488" t="s">
        <v>79</v>
      </c>
      <c r="O2488" t="s">
        <v>11</v>
      </c>
      <c r="P2488">
        <v>5102</v>
      </c>
      <c r="Q2488">
        <v>10</v>
      </c>
      <c r="R2488">
        <v>2.79</v>
      </c>
      <c r="S2488">
        <v>27.9</v>
      </c>
      <c r="T2488">
        <v>22.4</v>
      </c>
      <c r="U2488">
        <v>19.71</v>
      </c>
      <c r="V2488" t="str">
        <f>VLOOKUP(L2488,'[2]tabela de preços'!$A:$D,4,0)</f>
        <v>NORTON</v>
      </c>
      <c r="W2488" t="str">
        <f>VLOOKUP(L2488,'[2]tabela de preços'!$A:$F,6,0)</f>
        <v xml:space="preserve">DISCOS / LIXAS / ABRASIVOS </v>
      </c>
      <c r="X2488" t="str">
        <f>VLOOKUP(L2488,'[2]tabela de preços'!$A:$G,7,0)</f>
        <v>AUTOMOTIVO</v>
      </c>
    </row>
    <row r="2489" spans="1:24" x14ac:dyDescent="0.3">
      <c r="A2489" t="s">
        <v>186</v>
      </c>
      <c r="C2489" t="s">
        <v>2478</v>
      </c>
      <c r="D2489" s="1">
        <v>46056</v>
      </c>
      <c r="E2489" t="s">
        <v>2479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189</v>
      </c>
      <c r="K2489" t="s">
        <v>190</v>
      </c>
      <c r="L2489">
        <v>10242</v>
      </c>
      <c r="M2489" t="s">
        <v>82</v>
      </c>
      <c r="O2489" t="s">
        <v>11</v>
      </c>
      <c r="P2489">
        <v>5102</v>
      </c>
      <c r="Q2489">
        <v>10</v>
      </c>
      <c r="R2489">
        <v>2.79</v>
      </c>
      <c r="S2489">
        <v>27.9</v>
      </c>
      <c r="T2489">
        <v>22.4</v>
      </c>
      <c r="U2489">
        <v>19.71</v>
      </c>
      <c r="V2489" t="str">
        <f>VLOOKUP(L2489,'[2]tabela de preços'!$A:$D,4,0)</f>
        <v>NORTON</v>
      </c>
      <c r="W2489" t="str">
        <f>VLOOKUP(L2489,'[2]tabela de preços'!$A:$F,6,0)</f>
        <v xml:space="preserve">DISCOS / LIXAS / ABRASIVOS </v>
      </c>
      <c r="X2489" t="str">
        <f>VLOOKUP(L2489,'[2]tabela de preços'!$A:$G,7,0)</f>
        <v>AUTOMOTIVO</v>
      </c>
    </row>
    <row r="2490" spans="1:24" x14ac:dyDescent="0.3">
      <c r="A2490" t="s">
        <v>186</v>
      </c>
      <c r="C2490" t="s">
        <v>2478</v>
      </c>
      <c r="D2490" s="1">
        <v>46056</v>
      </c>
      <c r="E2490" t="s">
        <v>2479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189</v>
      </c>
      <c r="K2490" t="s">
        <v>190</v>
      </c>
      <c r="L2490">
        <v>10243</v>
      </c>
      <c r="M2490" t="s">
        <v>83</v>
      </c>
      <c r="O2490" t="s">
        <v>11</v>
      </c>
      <c r="P2490">
        <v>5102</v>
      </c>
      <c r="Q2490">
        <v>10</v>
      </c>
      <c r="R2490">
        <v>2.79</v>
      </c>
      <c r="S2490">
        <v>27.9</v>
      </c>
      <c r="T2490">
        <v>19.3</v>
      </c>
      <c r="U2490">
        <v>30.82</v>
      </c>
      <c r="V2490" t="str">
        <f>VLOOKUP(L2490,'[2]tabela de preços'!$A:$D,4,0)</f>
        <v>NORTON</v>
      </c>
      <c r="W2490" t="str">
        <f>VLOOKUP(L2490,'[2]tabela de preços'!$A:$F,6,0)</f>
        <v xml:space="preserve">DISCOS / LIXAS / ABRASIVOS </v>
      </c>
      <c r="X2490" t="str">
        <f>VLOOKUP(L2490,'[2]tabela de preços'!$A:$G,7,0)</f>
        <v>AUTOMOTIVO</v>
      </c>
    </row>
    <row r="2491" spans="1:24" x14ac:dyDescent="0.3">
      <c r="A2491" t="s">
        <v>186</v>
      </c>
      <c r="C2491" t="s">
        <v>2478</v>
      </c>
      <c r="D2491" s="1">
        <v>46056</v>
      </c>
      <c r="E2491" t="s">
        <v>2479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189</v>
      </c>
      <c r="K2491" t="s">
        <v>190</v>
      </c>
      <c r="L2491">
        <v>10245</v>
      </c>
      <c r="M2491" t="s">
        <v>195</v>
      </c>
      <c r="O2491" t="s">
        <v>11</v>
      </c>
      <c r="P2491">
        <v>5102</v>
      </c>
      <c r="Q2491">
        <v>10</v>
      </c>
      <c r="R2491">
        <v>2.79</v>
      </c>
      <c r="S2491">
        <v>27.9</v>
      </c>
      <c r="T2491">
        <v>19.3</v>
      </c>
      <c r="U2491">
        <v>30.82</v>
      </c>
      <c r="V2491" t="str">
        <f>VLOOKUP(L2491,'[2]tabela de preços'!$A:$D,4,0)</f>
        <v>NORTON</v>
      </c>
      <c r="W2491" t="str">
        <f>VLOOKUP(L2491,'[2]tabela de preços'!$A:$F,6,0)</f>
        <v xml:space="preserve">DISCOS / LIXAS / ABRASIVOS </v>
      </c>
      <c r="X2491" t="str">
        <f>VLOOKUP(L2491,'[2]tabela de preços'!$A:$G,7,0)</f>
        <v>AUTOMOTIVO</v>
      </c>
    </row>
    <row r="2492" spans="1:24" x14ac:dyDescent="0.3">
      <c r="A2492" t="s">
        <v>186</v>
      </c>
      <c r="C2492" t="s">
        <v>2478</v>
      </c>
      <c r="D2492" s="1">
        <v>46056</v>
      </c>
      <c r="E2492" t="s">
        <v>2479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189</v>
      </c>
      <c r="K2492" t="s">
        <v>190</v>
      </c>
      <c r="L2492">
        <v>21078</v>
      </c>
      <c r="M2492" t="s">
        <v>141</v>
      </c>
      <c r="O2492" t="s">
        <v>11</v>
      </c>
      <c r="P2492">
        <v>5102</v>
      </c>
      <c r="Q2492">
        <v>2</v>
      </c>
      <c r="R2492">
        <v>22.89</v>
      </c>
      <c r="S2492">
        <v>45.78</v>
      </c>
      <c r="T2492">
        <v>37.32</v>
      </c>
      <c r="U2492">
        <v>18.48</v>
      </c>
      <c r="V2492" t="str">
        <f>VLOOKUP(L2492,'[2]tabela de preços'!$A:$D,4,0)</f>
        <v>SHERWIN WILLIAMS</v>
      </c>
      <c r="W2492" t="str">
        <f>VLOOKUP(L2492,'[2]tabela de preços'!$A:$F,6,0)</f>
        <v>MASSA POLIÉSTER</v>
      </c>
      <c r="X2492" t="str">
        <f>VLOOKUP(L2492,'[2]tabela de preços'!$A:$G,7,0)</f>
        <v>AUTOMOTIVO</v>
      </c>
    </row>
    <row r="2493" spans="1:24" x14ac:dyDescent="0.3">
      <c r="A2493" t="s">
        <v>186</v>
      </c>
      <c r="C2493" t="s">
        <v>2478</v>
      </c>
      <c r="D2493" s="1">
        <v>46056</v>
      </c>
      <c r="E2493" t="s">
        <v>2479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189</v>
      </c>
      <c r="K2493" t="s">
        <v>190</v>
      </c>
      <c r="L2493">
        <v>87043</v>
      </c>
      <c r="M2493" t="s">
        <v>217</v>
      </c>
      <c r="O2493" t="s">
        <v>11</v>
      </c>
      <c r="P2493">
        <v>5102</v>
      </c>
      <c r="Q2493">
        <v>3</v>
      </c>
      <c r="R2493">
        <v>21.95</v>
      </c>
      <c r="S2493">
        <v>65.849999999999994</v>
      </c>
      <c r="T2493">
        <v>54.06</v>
      </c>
      <c r="U2493">
        <v>17.899999999999999</v>
      </c>
      <c r="V2493" t="str">
        <f>VLOOKUP(L2493,'[2]tabela de preços'!$A:$D,4,0)</f>
        <v>ROBERLO</v>
      </c>
      <c r="W2493" t="str">
        <f>VLOOKUP(L2493,'[2]tabela de preços'!$A:$F,6,0)</f>
        <v>MASSA POLIÉSTER</v>
      </c>
      <c r="X2493" t="str">
        <f>VLOOKUP(L2493,'[2]tabela de preços'!$A:$G,7,0)</f>
        <v>AUTOMOTIVO</v>
      </c>
    </row>
    <row r="2494" spans="1:24" x14ac:dyDescent="0.3">
      <c r="A2494" t="s">
        <v>186</v>
      </c>
      <c r="C2494" t="s">
        <v>2478</v>
      </c>
      <c r="D2494" s="1">
        <v>46056</v>
      </c>
      <c r="E2494" t="s">
        <v>2479</v>
      </c>
      <c r="F2494">
        <v>9</v>
      </c>
      <c r="G2494">
        <v>236</v>
      </c>
      <c r="H2494" t="str">
        <f>VLOOKUP(G2494,[1]OPERADORES!$A:$B,2,0)</f>
        <v>DANIEL</v>
      </c>
      <c r="I2494" t="s">
        <v>21</v>
      </c>
      <c r="J2494" t="s">
        <v>189</v>
      </c>
      <c r="K2494" t="s">
        <v>190</v>
      </c>
      <c r="L2494">
        <v>85189</v>
      </c>
      <c r="M2494" t="s">
        <v>197</v>
      </c>
      <c r="O2494" t="s">
        <v>11</v>
      </c>
      <c r="P2494">
        <v>5102</v>
      </c>
      <c r="Q2494">
        <v>1</v>
      </c>
      <c r="R2494">
        <v>177.9</v>
      </c>
      <c r="S2494">
        <v>177.9</v>
      </c>
      <c r="T2494">
        <v>138.15</v>
      </c>
      <c r="U2494">
        <v>22.34</v>
      </c>
      <c r="V2494" t="str">
        <f>VLOOKUP(L2494,'[2]tabela de preços'!$A:$D,4,0)</f>
        <v>PDR</v>
      </c>
      <c r="W2494" t="str">
        <f>VLOOKUP(L2494,'[2]tabela de preços'!$A:$F,6,0)</f>
        <v>PISTOLAS</v>
      </c>
      <c r="X2494" t="str">
        <f>VLOOKUP(L2494,'[2]tabela de preços'!$A:$G,7,0)</f>
        <v>AUTOMOTIVO</v>
      </c>
    </row>
    <row r="2495" spans="1:24" x14ac:dyDescent="0.3">
      <c r="A2495" t="s">
        <v>186</v>
      </c>
      <c r="C2495" t="s">
        <v>2478</v>
      </c>
      <c r="D2495" s="1">
        <v>46056</v>
      </c>
      <c r="E2495" t="s">
        <v>2479</v>
      </c>
      <c r="F2495">
        <v>9</v>
      </c>
      <c r="G2495">
        <v>236</v>
      </c>
      <c r="H2495" t="str">
        <f>VLOOKUP(G2495,[1]OPERADORES!$A:$B,2,0)</f>
        <v>DANIEL</v>
      </c>
      <c r="I2495" t="s">
        <v>21</v>
      </c>
      <c r="J2495" t="s">
        <v>189</v>
      </c>
      <c r="K2495" t="s">
        <v>190</v>
      </c>
      <c r="L2495">
        <v>20414</v>
      </c>
      <c r="M2495" t="s">
        <v>112</v>
      </c>
      <c r="O2495" t="s">
        <v>11</v>
      </c>
      <c r="P2495">
        <v>5102</v>
      </c>
      <c r="Q2495">
        <v>2</v>
      </c>
      <c r="R2495">
        <v>21.89</v>
      </c>
      <c r="S2495">
        <v>43.78</v>
      </c>
      <c r="T2495">
        <v>36</v>
      </c>
      <c r="U2495">
        <v>17.77</v>
      </c>
      <c r="V2495" t="str">
        <f>VLOOKUP(L2495,'[2]tabela de preços'!$A:$D,4,0)</f>
        <v>SHERWIN WILLIAMS</v>
      </c>
      <c r="W2495" t="str">
        <f>VLOOKUP(L2495,'[2]tabela de preços'!$A:$F,6,0)</f>
        <v>DILUENTE</v>
      </c>
      <c r="X2495" t="str">
        <f>VLOOKUP(L2495,'[2]tabela de preços'!$A:$G,7,0)</f>
        <v>AUTOMOTIVO</v>
      </c>
    </row>
    <row r="2496" spans="1:24" x14ac:dyDescent="0.3">
      <c r="A2496" t="s">
        <v>279</v>
      </c>
      <c r="C2496" t="s">
        <v>2572</v>
      </c>
      <c r="D2496" s="1">
        <v>46057</v>
      </c>
      <c r="E2496" t="s">
        <v>2573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282</v>
      </c>
      <c r="J2496" t="s">
        <v>283</v>
      </c>
      <c r="K2496" t="s">
        <v>284</v>
      </c>
      <c r="L2496">
        <v>84331</v>
      </c>
      <c r="M2496" t="s">
        <v>497</v>
      </c>
      <c r="O2496" t="s">
        <v>11</v>
      </c>
      <c r="P2496">
        <v>6403</v>
      </c>
      <c r="Q2496">
        <v>8</v>
      </c>
      <c r="R2496">
        <v>59.98</v>
      </c>
      <c r="S2496">
        <v>479.84</v>
      </c>
      <c r="T2496">
        <v>416</v>
      </c>
      <c r="U2496">
        <v>13.3</v>
      </c>
      <c r="V2496" t="str">
        <f>VLOOKUP(L2496,'[2]tabela de preços'!$A:$D,4,0)</f>
        <v>BRASILUX</v>
      </c>
      <c r="W2496" t="str">
        <f>VLOOKUP(L2496,'[2]tabela de preços'!$A:$F,6,0)</f>
        <v>ESMALTES</v>
      </c>
      <c r="X2496" t="str">
        <f>VLOOKUP(L2496,'[2]tabela de preços'!$A:$G,7,0)</f>
        <v>INDUSTRIAL</v>
      </c>
    </row>
    <row r="2497" spans="1:24" x14ac:dyDescent="0.3">
      <c r="A2497" t="s">
        <v>279</v>
      </c>
      <c r="C2497" t="s">
        <v>2572</v>
      </c>
      <c r="D2497" s="1">
        <v>46057</v>
      </c>
      <c r="E2497" t="s">
        <v>2573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282</v>
      </c>
      <c r="J2497" t="s">
        <v>283</v>
      </c>
      <c r="K2497" t="s">
        <v>284</v>
      </c>
      <c r="L2497">
        <v>84036</v>
      </c>
      <c r="M2497" t="s">
        <v>289</v>
      </c>
      <c r="O2497" t="s">
        <v>11</v>
      </c>
      <c r="P2497">
        <v>6102</v>
      </c>
      <c r="Q2497">
        <v>30</v>
      </c>
      <c r="R2497">
        <v>47.9</v>
      </c>
      <c r="S2497" s="2">
        <v>1437</v>
      </c>
      <c r="T2497" s="2">
        <v>1248.9000000000001</v>
      </c>
      <c r="U2497">
        <v>13.09</v>
      </c>
      <c r="V2497" t="str">
        <f>VLOOKUP(L2497,'[2]tabela de preços'!$A:$D,4,0)</f>
        <v>BRASILUX</v>
      </c>
      <c r="W2497" t="str">
        <f>VLOOKUP(L2497,'[2]tabela de preços'!$A:$F,6,0)</f>
        <v>MASSA CORRIDA / ACRÍLICA</v>
      </c>
      <c r="X2497" t="str">
        <f>VLOOKUP(L2497,'[2]tabela de preços'!$A:$G,7,0)</f>
        <v>IMOBILIÁRIO</v>
      </c>
    </row>
    <row r="2498" spans="1:24" x14ac:dyDescent="0.3">
      <c r="A2498" t="s">
        <v>279</v>
      </c>
      <c r="C2498" t="s">
        <v>2574</v>
      </c>
      <c r="D2498" s="1">
        <v>46058</v>
      </c>
      <c r="E2498" t="s">
        <v>2575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282</v>
      </c>
      <c r="J2498" t="s">
        <v>283</v>
      </c>
      <c r="K2498" t="s">
        <v>284</v>
      </c>
      <c r="L2498">
        <v>84189</v>
      </c>
      <c r="M2498" t="s">
        <v>2576</v>
      </c>
      <c r="O2498" t="s">
        <v>11</v>
      </c>
      <c r="P2498">
        <v>6403</v>
      </c>
      <c r="Q2498">
        <v>4</v>
      </c>
      <c r="R2498">
        <v>80.8</v>
      </c>
      <c r="S2498">
        <v>323.2</v>
      </c>
      <c r="T2498">
        <v>236.96</v>
      </c>
      <c r="U2498">
        <v>26.68</v>
      </c>
      <c r="V2498" t="str">
        <f>VLOOKUP(L2498,'[2]tabela de preços'!$A:$D,4,0)</f>
        <v>BRASILUX</v>
      </c>
      <c r="W2498" t="str">
        <f>VLOOKUP(L2498,'[2]tabela de preços'!$A:$F,6,0)</f>
        <v>LINHA MOVELEIRA</v>
      </c>
      <c r="X2498" t="str">
        <f>VLOOKUP(L2498,'[2]tabela de preços'!$A:$G,7,0)</f>
        <v>MOVELEIRA</v>
      </c>
    </row>
    <row r="2499" spans="1:24" x14ac:dyDescent="0.3">
      <c r="A2499" t="s">
        <v>279</v>
      </c>
      <c r="C2499" t="s">
        <v>2574</v>
      </c>
      <c r="D2499" s="1">
        <v>46058</v>
      </c>
      <c r="E2499" t="s">
        <v>2575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282</v>
      </c>
      <c r="J2499" t="s">
        <v>283</v>
      </c>
      <c r="K2499" t="s">
        <v>284</v>
      </c>
      <c r="L2499">
        <v>85266</v>
      </c>
      <c r="M2499" t="s">
        <v>2577</v>
      </c>
      <c r="O2499" t="s">
        <v>11</v>
      </c>
      <c r="P2499">
        <v>6403</v>
      </c>
      <c r="Q2499">
        <v>2</v>
      </c>
      <c r="R2499">
        <v>95.59</v>
      </c>
      <c r="S2499">
        <v>191.18</v>
      </c>
      <c r="T2499">
        <v>140.16</v>
      </c>
      <c r="U2499">
        <v>26.69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347</v>
      </c>
      <c r="C2500" t="s">
        <v>2420</v>
      </c>
      <c r="D2500" s="1">
        <v>46055</v>
      </c>
      <c r="E2500" t="s">
        <v>2421</v>
      </c>
      <c r="F2500">
        <v>9</v>
      </c>
      <c r="G2500">
        <v>174</v>
      </c>
      <c r="H2500" t="str">
        <f>VLOOKUP(G2500,[1]OPERADORES!$A:$B,2,0)</f>
        <v>MIRIÃ LOBATO RODRIGUES</v>
      </c>
      <c r="I2500" t="s">
        <v>21</v>
      </c>
      <c r="J2500" t="s">
        <v>350</v>
      </c>
      <c r="K2500" t="s">
        <v>351</v>
      </c>
      <c r="L2500">
        <v>84928</v>
      </c>
      <c r="M2500" t="s">
        <v>36</v>
      </c>
      <c r="O2500" t="s">
        <v>11</v>
      </c>
      <c r="P2500">
        <v>5102</v>
      </c>
      <c r="Q2500">
        <v>2</v>
      </c>
      <c r="R2500">
        <v>9.39</v>
      </c>
      <c r="S2500">
        <v>18.78</v>
      </c>
      <c r="T2500">
        <v>14.26</v>
      </c>
      <c r="U2500">
        <v>24.07</v>
      </c>
      <c r="V2500" t="str">
        <f>VLOOKUP(L2500,'[2]tabela de preços'!$A:$D,4,0)</f>
        <v>ADERE</v>
      </c>
      <c r="W2500" t="str">
        <f>VLOOKUP(L2500,'[2]tabela de preços'!$A:$F,6,0)</f>
        <v xml:space="preserve">FITA DE USO GERAL </v>
      </c>
      <c r="X2500" t="str">
        <f>VLOOKUP(L2500,'[2]tabela de preços'!$A:$G,7,0)</f>
        <v>IMOBILIÁRIO</v>
      </c>
    </row>
    <row r="2501" spans="1:24" x14ac:dyDescent="0.3">
      <c r="A2501" t="s">
        <v>347</v>
      </c>
      <c r="C2501" t="s">
        <v>2420</v>
      </c>
      <c r="D2501" s="1">
        <v>46055</v>
      </c>
      <c r="E2501" t="s">
        <v>2421</v>
      </c>
      <c r="F2501">
        <v>9</v>
      </c>
      <c r="G2501">
        <v>174</v>
      </c>
      <c r="H2501" t="str">
        <f>VLOOKUP(G2501,[1]OPERADORES!$A:$B,2,0)</f>
        <v>MIRIÃ LOBATO RODRIGUES</v>
      </c>
      <c r="I2501" t="s">
        <v>21</v>
      </c>
      <c r="J2501" t="s">
        <v>350</v>
      </c>
      <c r="K2501" t="s">
        <v>351</v>
      </c>
      <c r="L2501">
        <v>85698</v>
      </c>
      <c r="M2501" t="s">
        <v>1946</v>
      </c>
      <c r="O2501" t="s">
        <v>11</v>
      </c>
      <c r="P2501">
        <v>5102</v>
      </c>
      <c r="Q2501">
        <v>2</v>
      </c>
      <c r="R2501">
        <v>136.83000000000001</v>
      </c>
      <c r="S2501">
        <v>273.66000000000003</v>
      </c>
      <c r="T2501">
        <v>207.72</v>
      </c>
      <c r="U2501">
        <v>24.1</v>
      </c>
      <c r="V2501" t="str">
        <f>VLOOKUP(L2501,'[2]tabela de preços'!$A:$D,4,0)</f>
        <v>SIMAPPEL</v>
      </c>
      <c r="W2501" t="str">
        <f>VLOOKUP(L2501,'[2]tabela de preços'!$A:$F,6,0)</f>
        <v>PAPELAO ONDULADO</v>
      </c>
      <c r="X2501" t="str">
        <f>VLOOKUP(L2501,'[2]tabela de preços'!$A:$G,7,0)</f>
        <v>IMOBILIÁRIO</v>
      </c>
    </row>
    <row r="2502" spans="1:24" x14ac:dyDescent="0.3">
      <c r="A2502" t="s">
        <v>354</v>
      </c>
      <c r="C2502" t="s">
        <v>2578</v>
      </c>
      <c r="D2502" s="1">
        <v>46057</v>
      </c>
      <c r="E2502" t="s">
        <v>2579</v>
      </c>
      <c r="F2502">
        <v>9</v>
      </c>
      <c r="G2502">
        <v>231</v>
      </c>
      <c r="H2502" t="str">
        <f>VLOOKUP(G2502,[1]OPERADORES!$A:$B,2,0)</f>
        <v>EDIJANE</v>
      </c>
      <c r="I2502" t="s">
        <v>21</v>
      </c>
      <c r="J2502" t="s">
        <v>357</v>
      </c>
      <c r="K2502" t="s">
        <v>358</v>
      </c>
      <c r="L2502">
        <v>84324</v>
      </c>
      <c r="M2502" t="s">
        <v>359</v>
      </c>
      <c r="O2502" t="s">
        <v>11</v>
      </c>
      <c r="P2502">
        <v>5403</v>
      </c>
      <c r="Q2502">
        <v>40</v>
      </c>
      <c r="R2502">
        <v>86.55</v>
      </c>
      <c r="S2502" s="2">
        <v>3462</v>
      </c>
      <c r="T2502" s="2">
        <v>2788.4</v>
      </c>
      <c r="U2502">
        <v>19.46</v>
      </c>
      <c r="V2502" t="str">
        <f>VLOOKUP(L2502,'[2]tabela de preços'!$A:$D,4,0)</f>
        <v>BRASILUX</v>
      </c>
      <c r="W2502" t="str">
        <f>VLOOKUP(L2502,'[2]tabela de preços'!$A:$F,6,0)</f>
        <v>ESMALTES</v>
      </c>
      <c r="X2502" t="str">
        <f>VLOOKUP(L2502,'[2]tabela de preços'!$A:$G,7,0)</f>
        <v>INDUSTRIAL</v>
      </c>
    </row>
    <row r="2503" spans="1:24" x14ac:dyDescent="0.3">
      <c r="A2503" t="s">
        <v>360</v>
      </c>
      <c r="C2503" t="s">
        <v>2580</v>
      </c>
      <c r="D2503" s="1">
        <v>46057</v>
      </c>
      <c r="E2503" t="s">
        <v>2581</v>
      </c>
      <c r="F2503">
        <v>9</v>
      </c>
      <c r="G2503">
        <v>231</v>
      </c>
      <c r="H2503" t="str">
        <f>VLOOKUP(G2503,[1]OPERADORES!$A:$B,2,0)</f>
        <v>EDIJANE</v>
      </c>
      <c r="I2503" t="s">
        <v>21</v>
      </c>
      <c r="J2503" t="s">
        <v>363</v>
      </c>
      <c r="K2503" t="s">
        <v>364</v>
      </c>
      <c r="L2503">
        <v>85403</v>
      </c>
      <c r="M2503" t="s">
        <v>2582</v>
      </c>
      <c r="O2503" t="s">
        <v>11</v>
      </c>
      <c r="P2503">
        <v>5102</v>
      </c>
      <c r="Q2503">
        <v>1</v>
      </c>
      <c r="R2503">
        <v>570.62</v>
      </c>
      <c r="S2503">
        <v>570.62</v>
      </c>
      <c r="T2503">
        <v>406.86</v>
      </c>
      <c r="U2503">
        <v>28.7</v>
      </c>
      <c r="V2503" t="str">
        <f>VLOOKUP(L2503,'[2]tabela de preços'!$A:$D,4,0)</f>
        <v>BRASILUX</v>
      </c>
      <c r="W2503" t="str">
        <f>VLOOKUP(L2503,'[2]tabela de preços'!$A:$F,6,0)</f>
        <v>TINTA EM PÓ</v>
      </c>
      <c r="X2503" t="str">
        <f>VLOOKUP(L2503,'[2]tabela de preços'!$A:$G,7,0)</f>
        <v>INDUSTRIAL</v>
      </c>
    </row>
    <row r="2504" spans="1:24" x14ac:dyDescent="0.3">
      <c r="A2504" t="s">
        <v>360</v>
      </c>
      <c r="C2504" t="s">
        <v>2583</v>
      </c>
      <c r="D2504" s="1">
        <v>46058</v>
      </c>
      <c r="E2504" t="s">
        <v>2584</v>
      </c>
      <c r="F2504">
        <v>9</v>
      </c>
      <c r="G2504">
        <v>231</v>
      </c>
      <c r="H2504" t="str">
        <f>VLOOKUP(G2504,[1]OPERADORES!$A:$B,2,0)</f>
        <v>EDIJANE</v>
      </c>
      <c r="I2504" t="s">
        <v>21</v>
      </c>
      <c r="J2504" t="s">
        <v>363</v>
      </c>
      <c r="K2504" t="s">
        <v>364</v>
      </c>
      <c r="L2504">
        <v>85403</v>
      </c>
      <c r="M2504" t="s">
        <v>2582</v>
      </c>
      <c r="O2504" t="s">
        <v>11</v>
      </c>
      <c r="P2504">
        <v>5102</v>
      </c>
      <c r="Q2504">
        <v>1</v>
      </c>
      <c r="R2504">
        <v>570.62</v>
      </c>
      <c r="S2504">
        <v>570.62</v>
      </c>
      <c r="T2504">
        <v>406.86</v>
      </c>
      <c r="U2504">
        <v>28.7</v>
      </c>
      <c r="V2504" t="str">
        <f>VLOOKUP(L2504,'[2]tabela de preços'!$A:$D,4,0)</f>
        <v>BRASILUX</v>
      </c>
      <c r="W2504" t="str">
        <f>VLOOKUP(L2504,'[2]tabela de preços'!$A:$F,6,0)</f>
        <v>TINTA EM PÓ</v>
      </c>
      <c r="X2504" t="str">
        <f>VLOOKUP(L2504,'[2]tabela de preços'!$A:$G,7,0)</f>
        <v>INDUSTRIAL</v>
      </c>
    </row>
    <row r="2505" spans="1:24" x14ac:dyDescent="0.3">
      <c r="A2505" t="s">
        <v>369</v>
      </c>
      <c r="C2505" t="s">
        <v>2585</v>
      </c>
      <c r="D2505" s="1">
        <v>46058</v>
      </c>
      <c r="E2505" t="s">
        <v>2586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372</v>
      </c>
      <c r="K2505" t="s">
        <v>373</v>
      </c>
      <c r="L2505">
        <v>5</v>
      </c>
      <c r="M2505" t="s">
        <v>147</v>
      </c>
      <c r="O2505" t="s">
        <v>11</v>
      </c>
      <c r="P2505">
        <v>5102</v>
      </c>
      <c r="Q2505">
        <v>1</v>
      </c>
      <c r="R2505">
        <v>6.06</v>
      </c>
      <c r="S2505">
        <v>6.06</v>
      </c>
      <c r="T2505">
        <v>3.91</v>
      </c>
      <c r="U2505">
        <v>35.479999999999997</v>
      </c>
      <c r="V2505" t="str">
        <f>VLOOKUP(L2505,'[2]tabela de preços'!$A:$D,4,0)</f>
        <v>BRILHO ESTOPA</v>
      </c>
      <c r="W2505" t="str">
        <f>VLOOKUP(L2505,'[2]tabela de preços'!$A:$F,6,0)</f>
        <v>ESTOPAS</v>
      </c>
      <c r="X2505" t="str">
        <f>VLOOKUP(L2505,'[2]tabela de preços'!$A:$G,7,0)</f>
        <v>AUTOMOTIVO</v>
      </c>
    </row>
    <row r="2506" spans="1:24" x14ac:dyDescent="0.3">
      <c r="A2506" t="s">
        <v>369</v>
      </c>
      <c r="C2506" t="s">
        <v>2585</v>
      </c>
      <c r="D2506" s="1">
        <v>46058</v>
      </c>
      <c r="E2506" t="s">
        <v>2586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372</v>
      </c>
      <c r="K2506" t="s">
        <v>373</v>
      </c>
      <c r="L2506">
        <v>84411</v>
      </c>
      <c r="M2506" t="s">
        <v>35</v>
      </c>
      <c r="O2506" t="s">
        <v>11</v>
      </c>
      <c r="P2506">
        <v>5102</v>
      </c>
      <c r="Q2506">
        <v>1</v>
      </c>
      <c r="R2506">
        <v>4.29</v>
      </c>
      <c r="S2506">
        <v>4.29</v>
      </c>
      <c r="T2506">
        <v>3.54</v>
      </c>
      <c r="U2506">
        <v>17.48</v>
      </c>
      <c r="V2506" t="str">
        <f>VLOOKUP(L2506,'[2]tabela de preços'!$A:$D,4,0)</f>
        <v>ADERE</v>
      </c>
      <c r="W2506" t="str">
        <f>VLOOKUP(L2506,'[2]tabela de preços'!$A:$F,6,0)</f>
        <v xml:space="preserve">FITA DE USO GERAL </v>
      </c>
      <c r="X2506" t="str">
        <f>VLOOKUP(L2506,'[2]tabela de preços'!$A:$G,7,0)</f>
        <v>IMOBILIÁRIO</v>
      </c>
    </row>
    <row r="2507" spans="1:24" x14ac:dyDescent="0.3">
      <c r="A2507" t="s">
        <v>369</v>
      </c>
      <c r="C2507" t="s">
        <v>2585</v>
      </c>
      <c r="D2507" s="1">
        <v>46058</v>
      </c>
      <c r="E2507" t="s">
        <v>2586</v>
      </c>
      <c r="F2507">
        <v>9</v>
      </c>
      <c r="G2507">
        <v>236</v>
      </c>
      <c r="H2507" t="str">
        <f>VLOOKUP(G2507,[1]OPERADORES!$A:$B,2,0)</f>
        <v>DANIEL</v>
      </c>
      <c r="I2507" t="s">
        <v>21</v>
      </c>
      <c r="J2507" t="s">
        <v>372</v>
      </c>
      <c r="K2507" t="s">
        <v>373</v>
      </c>
      <c r="L2507">
        <v>84421</v>
      </c>
      <c r="M2507" t="s">
        <v>568</v>
      </c>
      <c r="O2507" t="s">
        <v>11</v>
      </c>
      <c r="P2507">
        <v>5102</v>
      </c>
      <c r="Q2507">
        <v>2</v>
      </c>
      <c r="R2507">
        <v>6.72</v>
      </c>
      <c r="S2507">
        <v>13.44</v>
      </c>
      <c r="T2507">
        <v>9.64</v>
      </c>
      <c r="U2507">
        <v>28.27</v>
      </c>
      <c r="V2507" t="str">
        <f>VLOOKUP(L2507,'[2]tabela de preços'!$A:$D,4,0)</f>
        <v>ATLAS</v>
      </c>
      <c r="W2507" t="str">
        <f>VLOOKUP(L2507,'[2]tabela de preços'!$A:$F,6,0)</f>
        <v>ROLOS / TRINCHAS / PINCÉIS / ESPÁTULAS</v>
      </c>
      <c r="X2507" t="str">
        <f>VLOOKUP(L2507,'[2]tabela de preços'!$A:$G,7,0)</f>
        <v>IMOBILIÁRIO</v>
      </c>
    </row>
    <row r="2508" spans="1:24" x14ac:dyDescent="0.3">
      <c r="A2508" t="s">
        <v>369</v>
      </c>
      <c r="C2508" t="s">
        <v>2585</v>
      </c>
      <c r="D2508" s="1">
        <v>46058</v>
      </c>
      <c r="E2508" t="s">
        <v>2586</v>
      </c>
      <c r="F2508">
        <v>9</v>
      </c>
      <c r="G2508">
        <v>236</v>
      </c>
      <c r="H2508" t="str">
        <f>VLOOKUP(G2508,[1]OPERADORES!$A:$B,2,0)</f>
        <v>DANIEL</v>
      </c>
      <c r="I2508" t="s">
        <v>21</v>
      </c>
      <c r="J2508" t="s">
        <v>372</v>
      </c>
      <c r="K2508" t="s">
        <v>373</v>
      </c>
      <c r="L2508">
        <v>84560</v>
      </c>
      <c r="M2508" t="s">
        <v>118</v>
      </c>
      <c r="O2508" t="s">
        <v>11</v>
      </c>
      <c r="P2508">
        <v>5102</v>
      </c>
      <c r="Q2508">
        <v>1</v>
      </c>
      <c r="R2508">
        <v>47.89</v>
      </c>
      <c r="S2508">
        <v>47.89</v>
      </c>
      <c r="T2508">
        <v>39.159999999999997</v>
      </c>
      <c r="U2508">
        <v>18.23</v>
      </c>
      <c r="V2508" t="str">
        <f>VLOOKUP(L2508,'[2]tabela de preços'!$A:$D,4,0)</f>
        <v>BRASILUX</v>
      </c>
      <c r="W2508" t="str">
        <f>VLOOKUP(L2508,'[2]tabela de preços'!$A:$F,6,0)</f>
        <v>THINNER DE LIMPEZA</v>
      </c>
      <c r="X2508" t="str">
        <f>VLOOKUP(L2508,'[2]tabela de preços'!$A:$G,7,0)</f>
        <v>THINNER</v>
      </c>
    </row>
    <row r="2509" spans="1:24" x14ac:dyDescent="0.3">
      <c r="A2509" t="s">
        <v>369</v>
      </c>
      <c r="C2509" t="s">
        <v>2585</v>
      </c>
      <c r="D2509" s="1">
        <v>46058</v>
      </c>
      <c r="E2509" t="s">
        <v>2586</v>
      </c>
      <c r="F2509">
        <v>9</v>
      </c>
      <c r="G2509">
        <v>236</v>
      </c>
      <c r="H2509" t="str">
        <f>VLOOKUP(G2509,[1]OPERADORES!$A:$B,2,0)</f>
        <v>DANIEL</v>
      </c>
      <c r="I2509" t="s">
        <v>21</v>
      </c>
      <c r="J2509" t="s">
        <v>372</v>
      </c>
      <c r="K2509" t="s">
        <v>373</v>
      </c>
      <c r="L2509">
        <v>10115</v>
      </c>
      <c r="M2509" t="s">
        <v>2587</v>
      </c>
      <c r="O2509" t="s">
        <v>11</v>
      </c>
      <c r="P2509">
        <v>5102</v>
      </c>
      <c r="Q2509">
        <v>2</v>
      </c>
      <c r="R2509">
        <v>3.15</v>
      </c>
      <c r="S2509">
        <v>6.3</v>
      </c>
      <c r="T2509">
        <v>4.5199999999999996</v>
      </c>
      <c r="U2509">
        <v>28.25</v>
      </c>
      <c r="V2509" t="str">
        <f>VLOOKUP(L2509,'[2]tabela de preços'!$A:$D,4,0)</f>
        <v>ATLAS</v>
      </c>
      <c r="W2509" t="str">
        <f>VLOOKUP(L2509,'[2]tabela de preços'!$A:$F,6,0)</f>
        <v>ROLOS / TRINCHAS / PINCÉIS / ESPÁTULAS</v>
      </c>
      <c r="X2509" t="str">
        <f>VLOOKUP(L2509,'[2]tabela de preços'!$A:$G,7,0)</f>
        <v>IMOBILIÁRIO</v>
      </c>
    </row>
    <row r="2510" spans="1:24" x14ac:dyDescent="0.3">
      <c r="A2510" t="s">
        <v>378</v>
      </c>
      <c r="C2510" t="s">
        <v>2588</v>
      </c>
      <c r="D2510" s="1">
        <v>46058</v>
      </c>
      <c r="E2510" t="s">
        <v>2589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21</v>
      </c>
      <c r="J2510" t="s">
        <v>381</v>
      </c>
      <c r="K2510" t="s">
        <v>382</v>
      </c>
      <c r="L2510">
        <v>9860</v>
      </c>
      <c r="M2510" t="s">
        <v>2590</v>
      </c>
      <c r="O2510" t="s">
        <v>11</v>
      </c>
      <c r="P2510">
        <v>5403</v>
      </c>
      <c r="Q2510">
        <v>1</v>
      </c>
      <c r="R2510">
        <v>687.51</v>
      </c>
      <c r="S2510">
        <v>687.51</v>
      </c>
      <c r="T2510">
        <v>521.83000000000004</v>
      </c>
      <c r="U2510">
        <v>24.1</v>
      </c>
      <c r="V2510" t="str">
        <f>VLOOKUP(L2510,'[2]tabela de preços'!$A:$D,4,0)</f>
        <v>WANDA</v>
      </c>
      <c r="W2510" t="str">
        <f>VLOOKUP(L2510,'[2]tabela de preços'!$A:$F,6,0)</f>
        <v>BASES POLIÉSTER</v>
      </c>
      <c r="X2510" t="str">
        <f>VLOOKUP(L2510,'[2]tabela de preços'!$A:$G,7,0)</f>
        <v>AUTOMOTIVO</v>
      </c>
    </row>
    <row r="2511" spans="1:24" x14ac:dyDescent="0.3">
      <c r="A2511" t="s">
        <v>378</v>
      </c>
      <c r="C2511" t="s">
        <v>2588</v>
      </c>
      <c r="D2511" s="1">
        <v>46058</v>
      </c>
      <c r="E2511" t="s">
        <v>2589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21</v>
      </c>
      <c r="J2511" t="s">
        <v>381</v>
      </c>
      <c r="K2511" t="s">
        <v>382</v>
      </c>
      <c r="L2511">
        <v>9911</v>
      </c>
      <c r="M2511" t="s">
        <v>2591</v>
      </c>
      <c r="O2511" t="s">
        <v>11</v>
      </c>
      <c r="P2511">
        <v>5403</v>
      </c>
      <c r="Q2511">
        <v>2</v>
      </c>
      <c r="R2511">
        <v>295.05</v>
      </c>
      <c r="S2511">
        <v>590.1</v>
      </c>
      <c r="T2511">
        <v>432.62</v>
      </c>
      <c r="U2511">
        <v>26.69</v>
      </c>
      <c r="V2511" t="str">
        <f>VLOOKUP(L2511,'[2]tabela de preços'!$A:$D,4,0)</f>
        <v>WANDA</v>
      </c>
      <c r="W2511" t="str">
        <f>VLOOKUP(L2511,'[2]tabela de preços'!$A:$F,6,0)</f>
        <v>BASES POLIÉSTER</v>
      </c>
      <c r="X2511" t="str">
        <f>VLOOKUP(L2511,'[2]tabela de preços'!$A:$G,7,0)</f>
        <v>AUTOMOTIVO</v>
      </c>
    </row>
    <row r="2512" spans="1:24" x14ac:dyDescent="0.3">
      <c r="A2512" t="s">
        <v>426</v>
      </c>
      <c r="B2512" t="s">
        <v>427</v>
      </c>
      <c r="C2512" t="s">
        <v>2592</v>
      </c>
      <c r="D2512" s="1">
        <v>46058</v>
      </c>
      <c r="E2512" t="s">
        <v>2593</v>
      </c>
      <c r="F2512">
        <v>9</v>
      </c>
      <c r="G2512">
        <v>236</v>
      </c>
      <c r="H2512" t="str">
        <f>VLOOKUP(G2512,[1]OPERADORES!$A:$B,2,0)</f>
        <v>DANIEL</v>
      </c>
      <c r="I2512" t="s">
        <v>21</v>
      </c>
      <c r="J2512" t="s">
        <v>430</v>
      </c>
      <c r="K2512" t="s">
        <v>431</v>
      </c>
      <c r="L2512">
        <v>85209</v>
      </c>
      <c r="M2512" t="s">
        <v>1072</v>
      </c>
      <c r="O2512" t="s">
        <v>11</v>
      </c>
      <c r="P2512">
        <v>5102</v>
      </c>
      <c r="Q2512">
        <v>1</v>
      </c>
      <c r="R2512">
        <v>25</v>
      </c>
      <c r="S2512">
        <v>25</v>
      </c>
      <c r="T2512">
        <v>15.64</v>
      </c>
      <c r="U2512">
        <v>37.44</v>
      </c>
      <c r="V2512" t="str">
        <f>VLOOKUP(L2512,'[2]tabela de preços'!$A:$D,4,0)</f>
        <v>VONIXX</v>
      </c>
      <c r="W2512" t="str">
        <f>VLOOKUP(L2512,'[2]tabela de preços'!$A:$F,6,0)</f>
        <v>LINHA DE HIGENIZAÇÃO E ESTÉTICA  AUTOMOTIVA</v>
      </c>
      <c r="X2512" t="str">
        <f>VLOOKUP(L2512,'[2]tabela de preços'!$A:$G,7,0)</f>
        <v>AUTOMOTIVO</v>
      </c>
    </row>
    <row r="2513" spans="1:24" x14ac:dyDescent="0.3">
      <c r="A2513" t="s">
        <v>426</v>
      </c>
      <c r="B2513" t="s">
        <v>427</v>
      </c>
      <c r="C2513" t="s">
        <v>2746</v>
      </c>
      <c r="D2513" s="1">
        <v>46059</v>
      </c>
      <c r="E2513" t="s">
        <v>2747</v>
      </c>
      <c r="F2513">
        <v>9</v>
      </c>
      <c r="G2513">
        <v>145</v>
      </c>
      <c r="H2513" t="str">
        <f>VLOOKUP(G2513,[1]OPERADORES!$A:$B,2,0)</f>
        <v xml:space="preserve">FABRICIA </v>
      </c>
      <c r="I2513" t="s">
        <v>21</v>
      </c>
      <c r="J2513" t="s">
        <v>430</v>
      </c>
      <c r="K2513" t="s">
        <v>431</v>
      </c>
      <c r="L2513">
        <v>244</v>
      </c>
      <c r="M2513" t="s">
        <v>2748</v>
      </c>
      <c r="O2513" t="s">
        <v>11</v>
      </c>
      <c r="P2513">
        <v>5102</v>
      </c>
      <c r="Q2513">
        <v>1</v>
      </c>
      <c r="R2513">
        <v>28.65</v>
      </c>
      <c r="S2513">
        <v>28.65</v>
      </c>
      <c r="T2513">
        <v>18.78</v>
      </c>
      <c r="U2513">
        <v>34.450000000000003</v>
      </c>
      <c r="V2513" t="str">
        <f>VLOOKUP(L2513,'[2]tabela de preços'!$A:$D,4,0)</f>
        <v>VONIXX</v>
      </c>
      <c r="W2513" t="str">
        <f>VLOOKUP(L2513,'[2]tabela de preços'!$A:$F,6,0)</f>
        <v>LINHA DE HIGENIZAÇÃO E ESTÉTICA  AUTOMOTIVA</v>
      </c>
      <c r="X2513" t="str">
        <f>VLOOKUP(L2513,'[2]tabela de preços'!$A:$G,7,0)</f>
        <v>AUTOMOTIVO</v>
      </c>
    </row>
    <row r="2514" spans="1:24" x14ac:dyDescent="0.3">
      <c r="A2514" t="s">
        <v>452</v>
      </c>
      <c r="C2514" t="s">
        <v>2594</v>
      </c>
      <c r="D2514" s="1">
        <v>46058</v>
      </c>
      <c r="E2514" t="s">
        <v>2595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455</v>
      </c>
      <c r="J2514" t="s">
        <v>456</v>
      </c>
      <c r="K2514" t="s">
        <v>457</v>
      </c>
      <c r="L2514">
        <v>84658</v>
      </c>
      <c r="M2514" t="s">
        <v>100</v>
      </c>
      <c r="O2514" t="s">
        <v>11</v>
      </c>
      <c r="P2514">
        <v>6102</v>
      </c>
      <c r="Q2514">
        <v>6</v>
      </c>
      <c r="R2514">
        <v>40.840000000000003</v>
      </c>
      <c r="S2514">
        <v>245.04</v>
      </c>
      <c r="T2514">
        <v>186</v>
      </c>
      <c r="U2514">
        <v>24.09</v>
      </c>
      <c r="V2514" t="str">
        <f>VLOOKUP(L2514,'[2]tabela de preços'!$A:$D,4,0)</f>
        <v>ANJO</v>
      </c>
      <c r="W2514" t="str">
        <f>VLOOKUP(L2514,'[2]tabela de preços'!$A:$F,6,0)</f>
        <v>MASSA POLIÉSTER</v>
      </c>
      <c r="X2514" t="str">
        <f>VLOOKUP(L2514,'[2]tabela de preços'!$A:$G,7,0)</f>
        <v>AUTOMOTIVO</v>
      </c>
    </row>
    <row r="2515" spans="1:24" x14ac:dyDescent="0.3">
      <c r="A2515" t="s">
        <v>508</v>
      </c>
      <c r="C2515" t="s">
        <v>2596</v>
      </c>
      <c r="D2515" s="1">
        <v>46058</v>
      </c>
      <c r="E2515" t="s">
        <v>2597</v>
      </c>
      <c r="F2515">
        <v>9</v>
      </c>
      <c r="G2515">
        <v>231</v>
      </c>
      <c r="H2515" t="str">
        <f>VLOOKUP(G2515,[1]OPERADORES!$A:$B,2,0)</f>
        <v>EDIJANE</v>
      </c>
      <c r="I2515" t="s">
        <v>21</v>
      </c>
      <c r="J2515" t="s">
        <v>66</v>
      </c>
      <c r="K2515" t="s">
        <v>511</v>
      </c>
      <c r="L2515">
        <v>84029</v>
      </c>
      <c r="M2515" t="s">
        <v>29</v>
      </c>
      <c r="O2515" t="s">
        <v>11</v>
      </c>
      <c r="P2515">
        <v>5102</v>
      </c>
      <c r="Q2515">
        <v>4</v>
      </c>
      <c r="R2515">
        <v>11.45</v>
      </c>
      <c r="S2515">
        <v>45.8</v>
      </c>
      <c r="T2515">
        <v>34.76</v>
      </c>
      <c r="U2515">
        <v>24.1</v>
      </c>
      <c r="V2515" t="str">
        <f>VLOOKUP(L2515,'[2]tabela de preços'!$A:$D,4,0)</f>
        <v>BRASILUX</v>
      </c>
      <c r="W2515" t="str">
        <f>VLOOKUP(L2515,'[2]tabela de preços'!$A:$F,6,0)</f>
        <v>AGUARRAS</v>
      </c>
      <c r="X2515" t="str">
        <f>VLOOKUP(L2515,'[2]tabela de preços'!$A:$G,7,0)</f>
        <v>IMOBILIÁRIO</v>
      </c>
    </row>
    <row r="2516" spans="1:24" x14ac:dyDescent="0.3">
      <c r="A2516" t="s">
        <v>508</v>
      </c>
      <c r="C2516" t="s">
        <v>2596</v>
      </c>
      <c r="D2516" s="1">
        <v>46058</v>
      </c>
      <c r="E2516" t="s">
        <v>2597</v>
      </c>
      <c r="F2516">
        <v>9</v>
      </c>
      <c r="G2516">
        <v>231</v>
      </c>
      <c r="H2516" t="str">
        <f>VLOOKUP(G2516,[1]OPERADORES!$A:$B,2,0)</f>
        <v>EDIJANE</v>
      </c>
      <c r="I2516" t="s">
        <v>21</v>
      </c>
      <c r="J2516" t="s">
        <v>66</v>
      </c>
      <c r="K2516" t="s">
        <v>511</v>
      </c>
      <c r="L2516">
        <v>85616</v>
      </c>
      <c r="M2516" t="s">
        <v>471</v>
      </c>
      <c r="O2516" t="s">
        <v>11</v>
      </c>
      <c r="P2516">
        <v>5102</v>
      </c>
      <c r="Q2516">
        <v>20</v>
      </c>
      <c r="R2516">
        <v>2.79</v>
      </c>
      <c r="S2516">
        <v>55.8</v>
      </c>
      <c r="T2516">
        <v>45.6</v>
      </c>
      <c r="U2516">
        <v>18.28</v>
      </c>
      <c r="V2516" t="str">
        <f>VLOOKUP(L2516,'[2]tabela de preços'!$A:$D,4,0)</f>
        <v>ADERE</v>
      </c>
      <c r="W2516" t="str">
        <f>VLOOKUP(L2516,'[2]tabela de preços'!$A:$F,6,0)</f>
        <v xml:space="preserve">FITA DE USO GERAL </v>
      </c>
      <c r="X2516" t="str">
        <f>VLOOKUP(L2516,'[2]tabela de preços'!$A:$G,7,0)</f>
        <v>IMOBILIÁRIO</v>
      </c>
    </row>
    <row r="2517" spans="1:24" x14ac:dyDescent="0.3">
      <c r="A2517" t="s">
        <v>508</v>
      </c>
      <c r="C2517" t="s">
        <v>2596</v>
      </c>
      <c r="D2517" s="1">
        <v>46058</v>
      </c>
      <c r="E2517" t="s">
        <v>2597</v>
      </c>
      <c r="F2517">
        <v>9</v>
      </c>
      <c r="G2517">
        <v>231</v>
      </c>
      <c r="H2517" t="str">
        <f>VLOOKUP(G2517,[1]OPERADORES!$A:$B,2,0)</f>
        <v>EDIJANE</v>
      </c>
      <c r="I2517" t="s">
        <v>21</v>
      </c>
      <c r="J2517" t="s">
        <v>66</v>
      </c>
      <c r="K2517" t="s">
        <v>511</v>
      </c>
      <c r="L2517">
        <v>10238</v>
      </c>
      <c r="M2517" t="s">
        <v>79</v>
      </c>
      <c r="O2517" t="s">
        <v>11</v>
      </c>
      <c r="P2517">
        <v>5102</v>
      </c>
      <c r="Q2517">
        <v>100</v>
      </c>
      <c r="R2517">
        <v>2.79</v>
      </c>
      <c r="S2517">
        <v>279</v>
      </c>
      <c r="T2517">
        <v>224</v>
      </c>
      <c r="U2517">
        <v>19.71</v>
      </c>
      <c r="V2517" t="str">
        <f>VLOOKUP(L2517,'[2]tabela de preços'!$A:$D,4,0)</f>
        <v>NORTON</v>
      </c>
      <c r="W2517" t="str">
        <f>VLOOKUP(L2517,'[2]tabela de preços'!$A:$F,6,0)</f>
        <v xml:space="preserve">DISCOS / LIXAS / ABRASIVOS </v>
      </c>
      <c r="X2517" t="str">
        <f>VLOOKUP(L2517,'[2]tabela de preços'!$A:$G,7,0)</f>
        <v>AUTOMOTIVO</v>
      </c>
    </row>
    <row r="2518" spans="1:24" x14ac:dyDescent="0.3">
      <c r="A2518" t="s">
        <v>508</v>
      </c>
      <c r="C2518" t="s">
        <v>2596</v>
      </c>
      <c r="D2518" s="1">
        <v>46058</v>
      </c>
      <c r="E2518" t="s">
        <v>2597</v>
      </c>
      <c r="F2518">
        <v>9</v>
      </c>
      <c r="G2518">
        <v>231</v>
      </c>
      <c r="H2518" t="str">
        <f>VLOOKUP(G2518,[1]OPERADORES!$A:$B,2,0)</f>
        <v>EDIJANE</v>
      </c>
      <c r="I2518" t="s">
        <v>21</v>
      </c>
      <c r="J2518" t="s">
        <v>66</v>
      </c>
      <c r="K2518" t="s">
        <v>511</v>
      </c>
      <c r="L2518">
        <v>10242</v>
      </c>
      <c r="M2518" t="s">
        <v>82</v>
      </c>
      <c r="O2518" t="s">
        <v>11</v>
      </c>
      <c r="P2518">
        <v>5102</v>
      </c>
      <c r="Q2518">
        <v>100</v>
      </c>
      <c r="R2518">
        <v>2.79</v>
      </c>
      <c r="S2518">
        <v>279</v>
      </c>
      <c r="T2518">
        <v>224</v>
      </c>
      <c r="U2518">
        <v>19.71</v>
      </c>
      <c r="V2518" t="str">
        <f>VLOOKUP(L2518,'[2]tabela de preços'!$A:$D,4,0)</f>
        <v>NORTON</v>
      </c>
      <c r="W2518" t="str">
        <f>VLOOKUP(L2518,'[2]tabela de preços'!$A:$F,6,0)</f>
        <v xml:space="preserve">DISCOS / LIXAS / ABRASIVOS </v>
      </c>
      <c r="X2518" t="str">
        <f>VLOOKUP(L2518,'[2]tabela de preços'!$A:$G,7,0)</f>
        <v>AUTOMOTIVO</v>
      </c>
    </row>
    <row r="2519" spans="1:24" x14ac:dyDescent="0.3">
      <c r="A2519" t="s">
        <v>508</v>
      </c>
      <c r="C2519" t="s">
        <v>2596</v>
      </c>
      <c r="D2519" s="1">
        <v>46058</v>
      </c>
      <c r="E2519" t="s">
        <v>2597</v>
      </c>
      <c r="F2519">
        <v>9</v>
      </c>
      <c r="G2519">
        <v>231</v>
      </c>
      <c r="H2519" t="str">
        <f>VLOOKUP(G2519,[1]OPERADORES!$A:$B,2,0)</f>
        <v>EDIJANE</v>
      </c>
      <c r="I2519" t="s">
        <v>21</v>
      </c>
      <c r="J2519" t="s">
        <v>66</v>
      </c>
      <c r="K2519" t="s">
        <v>511</v>
      </c>
      <c r="L2519">
        <v>10244</v>
      </c>
      <c r="M2519" t="s">
        <v>84</v>
      </c>
      <c r="O2519" t="s">
        <v>11</v>
      </c>
      <c r="P2519">
        <v>5102</v>
      </c>
      <c r="Q2519">
        <v>100</v>
      </c>
      <c r="R2519">
        <v>2.79</v>
      </c>
      <c r="S2519">
        <v>279</v>
      </c>
      <c r="T2519">
        <v>193</v>
      </c>
      <c r="U2519">
        <v>30.82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508</v>
      </c>
      <c r="C2520" t="s">
        <v>2596</v>
      </c>
      <c r="D2520" s="1">
        <v>46058</v>
      </c>
      <c r="E2520" t="s">
        <v>2597</v>
      </c>
      <c r="F2520">
        <v>9</v>
      </c>
      <c r="G2520">
        <v>231</v>
      </c>
      <c r="H2520" t="str">
        <f>VLOOKUP(G2520,[1]OPERADORES!$A:$B,2,0)</f>
        <v>EDIJANE</v>
      </c>
      <c r="I2520" t="s">
        <v>21</v>
      </c>
      <c r="J2520" t="s">
        <v>66</v>
      </c>
      <c r="K2520" t="s">
        <v>511</v>
      </c>
      <c r="L2520">
        <v>85164</v>
      </c>
      <c r="M2520" t="s">
        <v>278</v>
      </c>
      <c r="O2520" t="s">
        <v>11</v>
      </c>
      <c r="P2520">
        <v>5102</v>
      </c>
      <c r="Q2520">
        <v>4</v>
      </c>
      <c r="R2520">
        <v>13.29</v>
      </c>
      <c r="S2520">
        <v>53.16</v>
      </c>
      <c r="T2520">
        <v>40.36</v>
      </c>
      <c r="U2520">
        <v>24.08</v>
      </c>
      <c r="V2520" t="str">
        <f>VLOOKUP(L2520,'[2]tabela de preços'!$A:$D,4,0)</f>
        <v>BRASILUX</v>
      </c>
      <c r="W2520" t="str">
        <f>VLOOKUP(L2520,'[2]tabela de preços'!$A:$F,6,0)</f>
        <v>QUEROSENE</v>
      </c>
      <c r="X2520" t="str">
        <f>VLOOKUP(L2520,'[2]tabela de preços'!$A:$G,7,0)</f>
        <v>AUTOMOTIVO</v>
      </c>
    </row>
    <row r="2521" spans="1:24" x14ac:dyDescent="0.3">
      <c r="A2521" t="s">
        <v>528</v>
      </c>
      <c r="C2521" t="s">
        <v>2422</v>
      </c>
      <c r="D2521" s="1">
        <v>46055</v>
      </c>
      <c r="E2521" t="s">
        <v>2423</v>
      </c>
      <c r="F2521">
        <v>9</v>
      </c>
      <c r="G2521">
        <v>231</v>
      </c>
      <c r="H2521" t="str">
        <f>VLOOKUP(G2521,[1]OPERADORES!$A:$B,2,0)</f>
        <v>EDIJANE</v>
      </c>
      <c r="I2521" t="s">
        <v>21</v>
      </c>
      <c r="J2521" t="s">
        <v>531</v>
      </c>
      <c r="K2521" t="s">
        <v>532</v>
      </c>
      <c r="L2521">
        <v>84500</v>
      </c>
      <c r="M2521" t="s">
        <v>2424</v>
      </c>
      <c r="O2521" t="s">
        <v>11</v>
      </c>
      <c r="P2521">
        <v>5102</v>
      </c>
      <c r="Q2521">
        <v>2</v>
      </c>
      <c r="R2521">
        <v>195.25</v>
      </c>
      <c r="S2521">
        <v>390.5</v>
      </c>
      <c r="T2521">
        <v>296.39999999999998</v>
      </c>
      <c r="U2521">
        <v>24.1</v>
      </c>
      <c r="V2521" t="str">
        <f>VLOOKUP(L2521,'[2]tabela de preços'!$A:$D,4,0)</f>
        <v>BRASILUX</v>
      </c>
      <c r="W2521" t="str">
        <f>VLOOKUP(L2521,'[2]tabela de preços'!$A:$F,6,0)</f>
        <v>AGUARRAS</v>
      </c>
      <c r="X2521" t="str">
        <f>VLOOKUP(L2521,'[2]tabela de preços'!$A:$G,7,0)</f>
        <v>IMOBILIÁRIO</v>
      </c>
    </row>
    <row r="2522" spans="1:24" x14ac:dyDescent="0.3">
      <c r="A2522" t="s">
        <v>528</v>
      </c>
      <c r="C2522" t="s">
        <v>2480</v>
      </c>
      <c r="D2522" s="1">
        <v>46056</v>
      </c>
      <c r="E2522" t="s">
        <v>2481</v>
      </c>
      <c r="F2522">
        <v>9</v>
      </c>
      <c r="G2522">
        <v>231</v>
      </c>
      <c r="H2522" t="str">
        <f>VLOOKUP(G2522,[1]OPERADORES!$A:$B,2,0)</f>
        <v>EDIJANE</v>
      </c>
      <c r="I2522" t="s">
        <v>21</v>
      </c>
      <c r="J2522" t="s">
        <v>531</v>
      </c>
      <c r="K2522" t="s">
        <v>532</v>
      </c>
      <c r="L2522">
        <v>85316</v>
      </c>
      <c r="M2522" t="s">
        <v>365</v>
      </c>
      <c r="O2522" t="s">
        <v>11</v>
      </c>
      <c r="P2522">
        <v>5102</v>
      </c>
      <c r="Q2522">
        <v>1</v>
      </c>
      <c r="R2522">
        <v>668</v>
      </c>
      <c r="S2522">
        <v>668</v>
      </c>
      <c r="T2522">
        <v>478.31</v>
      </c>
      <c r="U2522">
        <v>28.4</v>
      </c>
      <c r="V2522" t="str">
        <f>VLOOKUP(L2522,'[2]tabela de preços'!$A:$D,4,0)</f>
        <v>BRASILUX</v>
      </c>
      <c r="W2522" t="str">
        <f>VLOOKUP(L2522,'[2]tabela de preços'!$A:$F,6,0)</f>
        <v>TINTA EM PÓ</v>
      </c>
      <c r="X2522" t="str">
        <f>VLOOKUP(L2522,'[2]tabela de preços'!$A:$G,7,0)</f>
        <v>INDUSTRIAL</v>
      </c>
    </row>
    <row r="2523" spans="1:24" x14ac:dyDescent="0.3">
      <c r="A2523" t="s">
        <v>2749</v>
      </c>
      <c r="C2523" t="s">
        <v>2750</v>
      </c>
      <c r="D2523" s="1">
        <v>46059</v>
      </c>
      <c r="E2523" t="s">
        <v>2751</v>
      </c>
      <c r="F2523">
        <v>9</v>
      </c>
      <c r="G2523">
        <v>230</v>
      </c>
      <c r="H2523" t="str">
        <f>VLOOKUP(G2523,[1]OPERADORES!$A:$B,2,0)</f>
        <v>SÔNIA</v>
      </c>
      <c r="I2523" t="s">
        <v>21</v>
      </c>
      <c r="J2523" t="s">
        <v>66</v>
      </c>
      <c r="K2523" t="s">
        <v>2752</v>
      </c>
      <c r="L2523">
        <v>85448</v>
      </c>
      <c r="M2523" t="s">
        <v>1259</v>
      </c>
      <c r="O2523" t="s">
        <v>11</v>
      </c>
      <c r="P2523">
        <v>5403</v>
      </c>
      <c r="Q2523">
        <v>4</v>
      </c>
      <c r="R2523">
        <v>95.4</v>
      </c>
      <c r="S2523">
        <v>381.6</v>
      </c>
      <c r="T2523">
        <v>289.64</v>
      </c>
      <c r="U2523">
        <v>24.1</v>
      </c>
      <c r="V2523" t="str">
        <f>VLOOKUP(L2523,'[2]tabela de preços'!$A:$D,4,0)</f>
        <v>BRASILUX</v>
      </c>
      <c r="W2523" t="str">
        <f>VLOOKUP(L2523,'[2]tabela de preços'!$A:$F,6,0)</f>
        <v>TINTAS LACA</v>
      </c>
      <c r="X2523" t="str">
        <f>VLOOKUP(L2523,'[2]tabela de preços'!$A:$G,7,0)</f>
        <v>AUTOMOTIVO</v>
      </c>
    </row>
    <row r="2524" spans="1:24" x14ac:dyDescent="0.3">
      <c r="A2524" t="s">
        <v>2749</v>
      </c>
      <c r="C2524" t="s">
        <v>2750</v>
      </c>
      <c r="D2524" s="1">
        <v>46059</v>
      </c>
      <c r="E2524" t="s">
        <v>2751</v>
      </c>
      <c r="F2524">
        <v>9</v>
      </c>
      <c r="G2524">
        <v>230</v>
      </c>
      <c r="H2524" t="str">
        <f>VLOOKUP(G2524,[1]OPERADORES!$A:$B,2,0)</f>
        <v>SÔNIA</v>
      </c>
      <c r="I2524" t="s">
        <v>21</v>
      </c>
      <c r="J2524" t="s">
        <v>66</v>
      </c>
      <c r="K2524" t="s">
        <v>2752</v>
      </c>
      <c r="L2524">
        <v>85246</v>
      </c>
      <c r="M2524" t="s">
        <v>1036</v>
      </c>
      <c r="O2524" t="s">
        <v>11</v>
      </c>
      <c r="P2524">
        <v>5403</v>
      </c>
      <c r="Q2524">
        <v>8</v>
      </c>
      <c r="R2524">
        <v>121.98</v>
      </c>
      <c r="S2524">
        <v>975.84</v>
      </c>
      <c r="T2524">
        <v>740.72</v>
      </c>
      <c r="U2524">
        <v>24.09</v>
      </c>
      <c r="V2524" t="str">
        <f>VLOOKUP(L2524,'[2]tabela de preços'!$A:$D,4,0)</f>
        <v>BRASILUX</v>
      </c>
      <c r="W2524" t="str">
        <f>VLOOKUP(L2524,'[2]tabela de preços'!$A:$F,6,0)</f>
        <v>TINTAS LACA</v>
      </c>
      <c r="X2524" t="str">
        <f>VLOOKUP(L2524,'[2]tabela de preços'!$A:$G,7,0)</f>
        <v>AUTOMOTIVO</v>
      </c>
    </row>
    <row r="2525" spans="1:24" x14ac:dyDescent="0.3">
      <c r="A2525" t="s">
        <v>2749</v>
      </c>
      <c r="C2525" t="s">
        <v>2750</v>
      </c>
      <c r="D2525" s="1">
        <v>46059</v>
      </c>
      <c r="E2525" t="s">
        <v>2751</v>
      </c>
      <c r="F2525">
        <v>9</v>
      </c>
      <c r="G2525">
        <v>230</v>
      </c>
      <c r="H2525" t="str">
        <f>VLOOKUP(G2525,[1]OPERADORES!$A:$B,2,0)</f>
        <v>SÔNIA</v>
      </c>
      <c r="I2525" t="s">
        <v>21</v>
      </c>
      <c r="J2525" t="s">
        <v>66</v>
      </c>
      <c r="K2525" t="s">
        <v>2752</v>
      </c>
      <c r="L2525">
        <v>84145</v>
      </c>
      <c r="M2525" t="s">
        <v>301</v>
      </c>
      <c r="O2525" t="s">
        <v>11</v>
      </c>
      <c r="P2525">
        <v>5403</v>
      </c>
      <c r="Q2525">
        <v>4</v>
      </c>
      <c r="R2525">
        <v>59.98</v>
      </c>
      <c r="S2525">
        <v>239.92</v>
      </c>
      <c r="T2525">
        <v>208.04</v>
      </c>
      <c r="U2525">
        <v>13.29</v>
      </c>
      <c r="V2525" t="str">
        <f>VLOOKUP(L2525,'[2]tabela de preços'!$A:$D,4,0)</f>
        <v>BRASILUX</v>
      </c>
      <c r="W2525" t="str">
        <f>VLOOKUP(L2525,'[2]tabela de preços'!$A:$F,6,0)</f>
        <v>ESMALTES</v>
      </c>
      <c r="X2525" t="str">
        <f>VLOOKUP(L2525,'[2]tabela de preços'!$A:$G,7,0)</f>
        <v>INDUSTRIAL</v>
      </c>
    </row>
    <row r="2526" spans="1:24" x14ac:dyDescent="0.3">
      <c r="A2526" t="s">
        <v>2749</v>
      </c>
      <c r="C2526" t="s">
        <v>2750</v>
      </c>
      <c r="D2526" s="1">
        <v>46059</v>
      </c>
      <c r="E2526" t="s">
        <v>2751</v>
      </c>
      <c r="F2526">
        <v>9</v>
      </c>
      <c r="G2526">
        <v>230</v>
      </c>
      <c r="H2526" t="str">
        <f>VLOOKUP(G2526,[1]OPERADORES!$A:$B,2,0)</f>
        <v>SÔNIA</v>
      </c>
      <c r="I2526" t="s">
        <v>21</v>
      </c>
      <c r="J2526" t="s">
        <v>66</v>
      </c>
      <c r="K2526" t="s">
        <v>2752</v>
      </c>
      <c r="L2526">
        <v>10236</v>
      </c>
      <c r="M2526" t="s">
        <v>133</v>
      </c>
      <c r="O2526" t="s">
        <v>11</v>
      </c>
      <c r="P2526">
        <v>5102</v>
      </c>
      <c r="Q2526">
        <v>50</v>
      </c>
      <c r="R2526">
        <v>2.79</v>
      </c>
      <c r="S2526">
        <v>139.5</v>
      </c>
      <c r="T2526">
        <v>116</v>
      </c>
      <c r="U2526">
        <v>16.850000000000001</v>
      </c>
      <c r="V2526" t="str">
        <f>VLOOKUP(L2526,'[2]tabela de preços'!$A:$D,4,0)</f>
        <v>NORTON</v>
      </c>
      <c r="W2526" t="str">
        <f>VLOOKUP(L2526,'[2]tabela de preços'!$A:$F,6,0)</f>
        <v xml:space="preserve">DISCOS / LIXAS / ABRASIVOS </v>
      </c>
      <c r="X2526" t="str">
        <f>VLOOKUP(L2526,'[2]tabela de preços'!$A:$G,7,0)</f>
        <v>AUTOMOTIVO</v>
      </c>
    </row>
    <row r="2527" spans="1:24" x14ac:dyDescent="0.3">
      <c r="A2527" t="s">
        <v>2749</v>
      </c>
      <c r="C2527" t="s">
        <v>2750</v>
      </c>
      <c r="D2527" s="1">
        <v>46059</v>
      </c>
      <c r="E2527" t="s">
        <v>2751</v>
      </c>
      <c r="F2527">
        <v>9</v>
      </c>
      <c r="G2527">
        <v>230</v>
      </c>
      <c r="H2527" t="str">
        <f>VLOOKUP(G2527,[1]OPERADORES!$A:$B,2,0)</f>
        <v>SÔNIA</v>
      </c>
      <c r="I2527" t="s">
        <v>21</v>
      </c>
      <c r="J2527" t="s">
        <v>66</v>
      </c>
      <c r="K2527" t="s">
        <v>2752</v>
      </c>
      <c r="L2527">
        <v>84863</v>
      </c>
      <c r="M2527" t="s">
        <v>1049</v>
      </c>
      <c r="O2527" t="s">
        <v>11</v>
      </c>
      <c r="P2527">
        <v>5403</v>
      </c>
      <c r="Q2527">
        <v>8</v>
      </c>
      <c r="R2527">
        <v>113.35</v>
      </c>
      <c r="S2527">
        <v>906.8</v>
      </c>
      <c r="T2527">
        <v>688.24</v>
      </c>
      <c r="U2527">
        <v>24.1</v>
      </c>
      <c r="V2527" t="str">
        <f>VLOOKUP(L2527,'[2]tabela de preços'!$A:$D,4,0)</f>
        <v>BRASILUX</v>
      </c>
      <c r="W2527" t="str">
        <f>VLOOKUP(L2527,'[2]tabela de preços'!$A:$F,6,0)</f>
        <v>ESMALTES</v>
      </c>
      <c r="X2527" t="str">
        <f>VLOOKUP(L2527,'[2]tabela de preços'!$A:$G,7,0)</f>
        <v>INDUSTRIAL</v>
      </c>
    </row>
    <row r="2528" spans="1:24" x14ac:dyDescent="0.3">
      <c r="A2528" t="s">
        <v>2749</v>
      </c>
      <c r="C2528" t="s">
        <v>2750</v>
      </c>
      <c r="D2528" s="1">
        <v>46059</v>
      </c>
      <c r="E2528" t="s">
        <v>2751</v>
      </c>
      <c r="F2528">
        <v>9</v>
      </c>
      <c r="G2528">
        <v>230</v>
      </c>
      <c r="H2528" t="str">
        <f>VLOOKUP(G2528,[1]OPERADORES!$A:$B,2,0)</f>
        <v>SÔNIA</v>
      </c>
      <c r="I2528" t="s">
        <v>21</v>
      </c>
      <c r="J2528" t="s">
        <v>66</v>
      </c>
      <c r="K2528" t="s">
        <v>2752</v>
      </c>
      <c r="L2528">
        <v>5</v>
      </c>
      <c r="M2528" t="s">
        <v>147</v>
      </c>
      <c r="O2528" t="s">
        <v>11</v>
      </c>
      <c r="P2528">
        <v>5102</v>
      </c>
      <c r="Q2528">
        <v>20</v>
      </c>
      <c r="R2528">
        <v>5.15</v>
      </c>
      <c r="S2528">
        <v>103</v>
      </c>
      <c r="T2528">
        <v>78.2</v>
      </c>
      <c r="U2528">
        <v>24.08</v>
      </c>
      <c r="V2528" t="str">
        <f>VLOOKUP(L2528,'[2]tabela de preços'!$A:$D,4,0)</f>
        <v>BRILHO ESTOPA</v>
      </c>
      <c r="W2528" t="str">
        <f>VLOOKUP(L2528,'[2]tabela de preços'!$A:$F,6,0)</f>
        <v>ESTOPAS</v>
      </c>
      <c r="X2528" t="str">
        <f>VLOOKUP(L2528,'[2]tabela de preços'!$A:$G,7,0)</f>
        <v>AUTOMOTIVO</v>
      </c>
    </row>
    <row r="2529" spans="1:24" x14ac:dyDescent="0.3">
      <c r="A2529" t="s">
        <v>2749</v>
      </c>
      <c r="C2529" t="s">
        <v>2750</v>
      </c>
      <c r="D2529" s="1">
        <v>46059</v>
      </c>
      <c r="E2529" t="s">
        <v>2751</v>
      </c>
      <c r="F2529">
        <v>9</v>
      </c>
      <c r="G2529">
        <v>230</v>
      </c>
      <c r="H2529" t="str">
        <f>VLOOKUP(G2529,[1]OPERADORES!$A:$B,2,0)</f>
        <v>SÔNIA</v>
      </c>
      <c r="I2529" t="s">
        <v>21</v>
      </c>
      <c r="J2529" t="s">
        <v>66</v>
      </c>
      <c r="K2529" t="s">
        <v>2752</v>
      </c>
      <c r="L2529">
        <v>84411</v>
      </c>
      <c r="M2529" t="s">
        <v>35</v>
      </c>
      <c r="O2529" t="s">
        <v>11</v>
      </c>
      <c r="P2529">
        <v>5102</v>
      </c>
      <c r="Q2529">
        <v>6</v>
      </c>
      <c r="R2529">
        <v>4.29</v>
      </c>
      <c r="S2529">
        <v>25.74</v>
      </c>
      <c r="T2529">
        <v>21.24</v>
      </c>
      <c r="U2529">
        <v>17.48</v>
      </c>
      <c r="V2529" t="str">
        <f>VLOOKUP(L2529,'[2]tabela de preços'!$A:$D,4,0)</f>
        <v>ADERE</v>
      </c>
      <c r="W2529" t="str">
        <f>VLOOKUP(L2529,'[2]tabela de preços'!$A:$F,6,0)</f>
        <v xml:space="preserve">FITA DE USO GERAL </v>
      </c>
      <c r="X2529" t="str">
        <f>VLOOKUP(L2529,'[2]tabela de preços'!$A:$G,7,0)</f>
        <v>IMOBILIÁRIO</v>
      </c>
    </row>
    <row r="2530" spans="1:24" x14ac:dyDescent="0.3">
      <c r="A2530" t="s">
        <v>2749</v>
      </c>
      <c r="C2530" t="s">
        <v>2750</v>
      </c>
      <c r="D2530" s="1">
        <v>46059</v>
      </c>
      <c r="E2530" t="s">
        <v>2751</v>
      </c>
      <c r="F2530">
        <v>9</v>
      </c>
      <c r="G2530">
        <v>230</v>
      </c>
      <c r="H2530" t="str">
        <f>VLOOKUP(G2530,[1]OPERADORES!$A:$B,2,0)</f>
        <v>SÔNIA</v>
      </c>
      <c r="I2530" t="s">
        <v>21</v>
      </c>
      <c r="J2530" t="s">
        <v>66</v>
      </c>
      <c r="K2530" t="s">
        <v>2752</v>
      </c>
      <c r="L2530">
        <v>22180</v>
      </c>
      <c r="M2530" t="s">
        <v>404</v>
      </c>
      <c r="O2530" t="s">
        <v>11</v>
      </c>
      <c r="P2530">
        <v>5102</v>
      </c>
      <c r="Q2530">
        <v>3</v>
      </c>
      <c r="R2530">
        <v>19.29</v>
      </c>
      <c r="S2530">
        <v>57.87</v>
      </c>
      <c r="T2530">
        <v>43.92</v>
      </c>
      <c r="U2530">
        <v>24.11</v>
      </c>
      <c r="V2530" t="str">
        <f>VLOOKUP(L2530,'[2]tabela de preços'!$A:$D,4,0)</f>
        <v>MADRUGA</v>
      </c>
      <c r="W2530" t="str">
        <f>VLOOKUP(L2530,'[2]tabela de preços'!$A:$F,6,0)</f>
        <v>PAPEL DE MASCARAMENTO</v>
      </c>
      <c r="X2530" t="str">
        <f>VLOOKUP(L2530,'[2]tabela de preços'!$A:$G,7,0)</f>
        <v>AUTOMOTIVO</v>
      </c>
    </row>
    <row r="2531" spans="1:24" x14ac:dyDescent="0.3">
      <c r="A2531" t="s">
        <v>2749</v>
      </c>
      <c r="C2531" t="s">
        <v>2750</v>
      </c>
      <c r="D2531" s="1">
        <v>46059</v>
      </c>
      <c r="E2531" t="s">
        <v>2751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66</v>
      </c>
      <c r="K2531" t="s">
        <v>2752</v>
      </c>
      <c r="L2531">
        <v>23710</v>
      </c>
      <c r="M2531" t="s">
        <v>927</v>
      </c>
      <c r="O2531" t="s">
        <v>11</v>
      </c>
      <c r="P2531">
        <v>5102</v>
      </c>
      <c r="Q2531">
        <v>1</v>
      </c>
      <c r="R2531">
        <v>38</v>
      </c>
      <c r="S2531">
        <v>38</v>
      </c>
      <c r="T2531">
        <v>28.84</v>
      </c>
      <c r="U2531">
        <v>24.11</v>
      </c>
      <c r="V2531" t="str">
        <f>VLOOKUP(L2531,'[2]tabela de preços'!$A:$D,4,0)</f>
        <v>NEW PAD</v>
      </c>
      <c r="W2531" t="str">
        <f>VLOOKUP(L2531,'[2]tabela de preços'!$A:$F,6,0)</f>
        <v>APLICADORES / ADAPTADORES / ENGATES / SUPORTES</v>
      </c>
      <c r="X2531" t="str">
        <f>VLOOKUP(L2531,'[2]tabela de preços'!$A:$G,7,0)</f>
        <v>AUTOMOTIVO</v>
      </c>
    </row>
    <row r="2532" spans="1:24" x14ac:dyDescent="0.3">
      <c r="A2532" t="s">
        <v>2749</v>
      </c>
      <c r="C2532" t="s">
        <v>2750</v>
      </c>
      <c r="D2532" s="1">
        <v>46059</v>
      </c>
      <c r="E2532" t="s">
        <v>2751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66</v>
      </c>
      <c r="K2532" t="s">
        <v>2752</v>
      </c>
      <c r="L2532">
        <v>84560</v>
      </c>
      <c r="M2532" t="s">
        <v>118</v>
      </c>
      <c r="O2532" t="s">
        <v>11</v>
      </c>
      <c r="P2532">
        <v>5102</v>
      </c>
      <c r="Q2532">
        <v>5</v>
      </c>
      <c r="R2532">
        <v>47.89</v>
      </c>
      <c r="S2532">
        <v>239.45</v>
      </c>
      <c r="T2532">
        <v>195.8</v>
      </c>
      <c r="U2532">
        <v>18.23</v>
      </c>
      <c r="V2532" t="str">
        <f>VLOOKUP(L2532,'[2]tabela de preços'!$A:$D,4,0)</f>
        <v>BRASILUX</v>
      </c>
      <c r="W2532" t="str">
        <f>VLOOKUP(L2532,'[2]tabela de preços'!$A:$F,6,0)</f>
        <v>THINNER DE LIMPEZA</v>
      </c>
      <c r="X2532" t="str">
        <f>VLOOKUP(L2532,'[2]tabela de preços'!$A:$G,7,0)</f>
        <v>THINNER</v>
      </c>
    </row>
    <row r="2533" spans="1:24" x14ac:dyDescent="0.3">
      <c r="A2533" t="s">
        <v>555</v>
      </c>
      <c r="C2533" t="s">
        <v>2598</v>
      </c>
      <c r="D2533" s="1">
        <v>46058</v>
      </c>
      <c r="E2533" t="s">
        <v>2599</v>
      </c>
      <c r="F2533">
        <v>9</v>
      </c>
      <c r="G2533">
        <v>236</v>
      </c>
      <c r="H2533" t="str">
        <f>VLOOKUP(G2533,[1]OPERADORES!$A:$B,2,0)</f>
        <v>DANIEL</v>
      </c>
      <c r="I2533" t="s">
        <v>21</v>
      </c>
      <c r="J2533" t="s">
        <v>558</v>
      </c>
      <c r="K2533" t="s">
        <v>559</v>
      </c>
      <c r="L2533">
        <v>84565</v>
      </c>
      <c r="M2533" t="s">
        <v>236</v>
      </c>
      <c r="O2533" t="s">
        <v>11</v>
      </c>
      <c r="P2533">
        <v>5102</v>
      </c>
      <c r="Q2533">
        <v>3</v>
      </c>
      <c r="R2533">
        <v>9.7799999999999994</v>
      </c>
      <c r="S2533">
        <v>29.34</v>
      </c>
      <c r="T2533">
        <v>21.03</v>
      </c>
      <c r="U2533">
        <v>28.32</v>
      </c>
      <c r="V2533" t="str">
        <f>VLOOKUP(L2533,'[2]tabela de preços'!$A:$D,4,0)</f>
        <v>BRASILUX</v>
      </c>
      <c r="W2533" t="str">
        <f>VLOOKUP(L2533,'[2]tabela de preços'!$A:$F,6,0)</f>
        <v>PRETO FOSCO VINÍLICO</v>
      </c>
      <c r="X2533" t="str">
        <f>VLOOKUP(L2533,'[2]tabela de preços'!$A:$G,7,0)</f>
        <v>AUTOMOTIVO</v>
      </c>
    </row>
    <row r="2534" spans="1:24" x14ac:dyDescent="0.3">
      <c r="A2534" t="s">
        <v>555</v>
      </c>
      <c r="C2534" t="s">
        <v>2598</v>
      </c>
      <c r="D2534" s="1">
        <v>46058</v>
      </c>
      <c r="E2534" t="s">
        <v>2599</v>
      </c>
      <c r="F2534">
        <v>9</v>
      </c>
      <c r="G2534">
        <v>236</v>
      </c>
      <c r="H2534" t="str">
        <f>VLOOKUP(G2534,[1]OPERADORES!$A:$B,2,0)</f>
        <v>DANIEL</v>
      </c>
      <c r="I2534" t="s">
        <v>21</v>
      </c>
      <c r="J2534" t="s">
        <v>558</v>
      </c>
      <c r="K2534" t="s">
        <v>559</v>
      </c>
      <c r="L2534">
        <v>23425</v>
      </c>
      <c r="M2534" t="s">
        <v>2544</v>
      </c>
      <c r="O2534" t="s">
        <v>11</v>
      </c>
      <c r="P2534">
        <v>5102</v>
      </c>
      <c r="Q2534">
        <v>1</v>
      </c>
      <c r="R2534">
        <v>17.760000000000002</v>
      </c>
      <c r="S2534">
        <v>17.760000000000002</v>
      </c>
      <c r="T2534">
        <v>13.48</v>
      </c>
      <c r="U2534">
        <v>24.1</v>
      </c>
      <c r="V2534" t="str">
        <f>VLOOKUP(L2534,'[2]tabela de preços'!$A:$D,4,0)</f>
        <v>NORTON</v>
      </c>
      <c r="W2534" t="str">
        <f>VLOOKUP(L2534,'[2]tabela de preços'!$A:$F,6,0)</f>
        <v xml:space="preserve">OUTROS DISCOS </v>
      </c>
      <c r="X2534" t="str">
        <f>VLOOKUP(L2534,'[2]tabela de preços'!$A:$G,7,0)</f>
        <v>AUTOMOTIVO</v>
      </c>
    </row>
    <row r="2535" spans="1:24" x14ac:dyDescent="0.3">
      <c r="A2535" t="s">
        <v>555</v>
      </c>
      <c r="C2535" t="s">
        <v>2598</v>
      </c>
      <c r="D2535" s="1">
        <v>46058</v>
      </c>
      <c r="E2535" t="s">
        <v>2599</v>
      </c>
      <c r="F2535">
        <v>9</v>
      </c>
      <c r="G2535">
        <v>236</v>
      </c>
      <c r="H2535" t="str">
        <f>VLOOKUP(G2535,[1]OPERADORES!$A:$B,2,0)</f>
        <v>DANIEL</v>
      </c>
      <c r="I2535" t="s">
        <v>21</v>
      </c>
      <c r="J2535" t="s">
        <v>558</v>
      </c>
      <c r="K2535" t="s">
        <v>559</v>
      </c>
      <c r="L2535">
        <v>84042</v>
      </c>
      <c r="M2535" t="s">
        <v>2600</v>
      </c>
      <c r="O2535" t="s">
        <v>11</v>
      </c>
      <c r="P2535">
        <v>5102</v>
      </c>
      <c r="Q2535">
        <v>1</v>
      </c>
      <c r="R2535">
        <v>13.26</v>
      </c>
      <c r="S2535">
        <v>13.26</v>
      </c>
      <c r="T2535">
        <v>9.7200000000000006</v>
      </c>
      <c r="U2535">
        <v>26.7</v>
      </c>
      <c r="V2535" t="str">
        <f>VLOOKUP(L2535,'[2]tabela de preços'!$A:$D,4,0)</f>
        <v>BRASILUX</v>
      </c>
      <c r="W2535" t="str">
        <f>VLOOKUP(L2535,'[2]tabela de preços'!$A:$F,6,0)</f>
        <v>FERRUGEM</v>
      </c>
      <c r="X2535" t="str">
        <f>VLOOKUP(L2535,'[2]tabela de preços'!$A:$G,7,0)</f>
        <v>AUTOMOTIVO</v>
      </c>
    </row>
    <row r="2536" spans="1:24" x14ac:dyDescent="0.3">
      <c r="A2536" t="s">
        <v>555</v>
      </c>
      <c r="C2536" t="s">
        <v>2598</v>
      </c>
      <c r="D2536" s="1">
        <v>46058</v>
      </c>
      <c r="E2536" t="s">
        <v>2599</v>
      </c>
      <c r="F2536">
        <v>9</v>
      </c>
      <c r="G2536">
        <v>236</v>
      </c>
      <c r="H2536" t="str">
        <f>VLOOKUP(G2536,[1]OPERADORES!$A:$B,2,0)</f>
        <v>DANIEL</v>
      </c>
      <c r="I2536" t="s">
        <v>21</v>
      </c>
      <c r="J2536" t="s">
        <v>558</v>
      </c>
      <c r="K2536" t="s">
        <v>559</v>
      </c>
      <c r="L2536">
        <v>84318</v>
      </c>
      <c r="M2536" t="s">
        <v>2601</v>
      </c>
      <c r="O2536" t="s">
        <v>11</v>
      </c>
      <c r="P2536">
        <v>5403</v>
      </c>
      <c r="Q2536">
        <v>2</v>
      </c>
      <c r="R2536">
        <v>59.38</v>
      </c>
      <c r="S2536">
        <v>118.76</v>
      </c>
      <c r="T2536">
        <v>90.14</v>
      </c>
      <c r="U2536">
        <v>24.1</v>
      </c>
      <c r="V2536" t="str">
        <f>VLOOKUP(L2536,'[2]tabela de preços'!$A:$D,4,0)</f>
        <v>BRASILUX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555</v>
      </c>
      <c r="C2537" t="s">
        <v>2598</v>
      </c>
      <c r="D2537" s="1">
        <v>46058</v>
      </c>
      <c r="E2537" t="s">
        <v>2599</v>
      </c>
      <c r="F2537">
        <v>9</v>
      </c>
      <c r="G2537">
        <v>236</v>
      </c>
      <c r="H2537" t="str">
        <f>VLOOKUP(G2537,[1]OPERADORES!$A:$B,2,0)</f>
        <v>DANIEL</v>
      </c>
      <c r="I2537" t="s">
        <v>21</v>
      </c>
      <c r="J2537" t="s">
        <v>558</v>
      </c>
      <c r="K2537" t="s">
        <v>559</v>
      </c>
      <c r="L2537">
        <v>84424</v>
      </c>
      <c r="M2537" t="s">
        <v>567</v>
      </c>
      <c r="O2537" t="s">
        <v>11</v>
      </c>
      <c r="P2537">
        <v>5102</v>
      </c>
      <c r="Q2537">
        <v>1</v>
      </c>
      <c r="R2537">
        <v>14.3</v>
      </c>
      <c r="S2537">
        <v>14.3</v>
      </c>
      <c r="T2537">
        <v>10.85</v>
      </c>
      <c r="U2537">
        <v>24.13</v>
      </c>
      <c r="V2537" t="str">
        <f>VLOOKUP(L2537,'[2]tabela de preços'!$A:$D,4,0)</f>
        <v>ATLAS</v>
      </c>
      <c r="W2537" t="str">
        <f>VLOOKUP(L2537,'[2]tabela de preços'!$A:$F,6,0)</f>
        <v>ROLOS / TRINCHAS / PINCÉIS / ESPÁTULAS</v>
      </c>
      <c r="X2537" t="str">
        <f>VLOOKUP(L2537,'[2]tabela de preços'!$A:$G,7,0)</f>
        <v>IMOBILIÁRIO</v>
      </c>
    </row>
    <row r="2538" spans="1:24" x14ac:dyDescent="0.3">
      <c r="A2538" t="s">
        <v>555</v>
      </c>
      <c r="C2538" t="s">
        <v>2598</v>
      </c>
      <c r="D2538" s="1">
        <v>46058</v>
      </c>
      <c r="E2538" t="s">
        <v>2599</v>
      </c>
      <c r="F2538">
        <v>9</v>
      </c>
      <c r="G2538">
        <v>236</v>
      </c>
      <c r="H2538" t="str">
        <f>VLOOKUP(G2538,[1]OPERADORES!$A:$B,2,0)</f>
        <v>DANIEL</v>
      </c>
      <c r="I2538" t="s">
        <v>21</v>
      </c>
      <c r="J2538" t="s">
        <v>558</v>
      </c>
      <c r="K2538" t="s">
        <v>559</v>
      </c>
      <c r="L2538">
        <v>84422</v>
      </c>
      <c r="M2538" t="s">
        <v>569</v>
      </c>
      <c r="O2538" t="s">
        <v>11</v>
      </c>
      <c r="P2538">
        <v>5102</v>
      </c>
      <c r="Q2538">
        <v>1</v>
      </c>
      <c r="R2538">
        <v>9.32</v>
      </c>
      <c r="S2538">
        <v>9.32</v>
      </c>
      <c r="T2538">
        <v>7.08</v>
      </c>
      <c r="U2538">
        <v>24.03</v>
      </c>
      <c r="V2538" t="str">
        <f>VLOOKUP(L2538,'[2]tabela de preços'!$A:$D,4,0)</f>
        <v>ATLAS</v>
      </c>
      <c r="W2538" t="str">
        <f>VLOOKUP(L2538,'[2]tabela de preços'!$A:$F,6,0)</f>
        <v>ROLOS / TRINCHAS / PINCÉIS / ESPÁTULAS</v>
      </c>
      <c r="X2538" t="str">
        <f>VLOOKUP(L2538,'[2]tabela de preços'!$A:$G,7,0)</f>
        <v>IMOBILIÁRIO</v>
      </c>
    </row>
    <row r="2539" spans="1:24" x14ac:dyDescent="0.3">
      <c r="A2539" t="s">
        <v>555</v>
      </c>
      <c r="C2539" t="s">
        <v>2598</v>
      </c>
      <c r="D2539" s="1">
        <v>46058</v>
      </c>
      <c r="E2539" t="s">
        <v>2599</v>
      </c>
      <c r="F2539">
        <v>9</v>
      </c>
      <c r="G2539">
        <v>236</v>
      </c>
      <c r="H2539" t="str">
        <f>VLOOKUP(G2539,[1]OPERADORES!$A:$B,2,0)</f>
        <v>DANIEL</v>
      </c>
      <c r="I2539" t="s">
        <v>21</v>
      </c>
      <c r="J2539" t="s">
        <v>558</v>
      </c>
      <c r="K2539" t="s">
        <v>559</v>
      </c>
      <c r="L2539">
        <v>85363</v>
      </c>
      <c r="M2539" t="s">
        <v>237</v>
      </c>
      <c r="O2539" t="s">
        <v>11</v>
      </c>
      <c r="P2539">
        <v>5102</v>
      </c>
      <c r="Q2539">
        <v>3</v>
      </c>
      <c r="R2539">
        <v>25.36</v>
      </c>
      <c r="S2539">
        <v>76.08</v>
      </c>
      <c r="T2539">
        <v>54.54</v>
      </c>
      <c r="U2539">
        <v>28.31</v>
      </c>
      <c r="V2539" t="str">
        <f>VLOOKUP(L2539,'[2]tabela de preços'!$A:$D,4,0)</f>
        <v>BRASILUX</v>
      </c>
      <c r="W2539" t="str">
        <f>VLOOKUP(L2539,'[2]tabela de preços'!$A:$F,6,0)</f>
        <v>PRETO FOSCO VINÍLICO</v>
      </c>
      <c r="X2539" t="str">
        <f>VLOOKUP(L2539,'[2]tabela de preços'!$A:$G,7,0)</f>
        <v>AUTOMOTIVO</v>
      </c>
    </row>
    <row r="2540" spans="1:24" x14ac:dyDescent="0.3">
      <c r="A2540" t="s">
        <v>555</v>
      </c>
      <c r="C2540" t="s">
        <v>2602</v>
      </c>
      <c r="D2540" s="1">
        <v>46058</v>
      </c>
      <c r="F2540">
        <v>9</v>
      </c>
      <c r="G2540">
        <v>236</v>
      </c>
      <c r="H2540" t="str">
        <f>VLOOKUP(G2540,[1]OPERADORES!$A:$B,2,0)</f>
        <v>DANIEL</v>
      </c>
      <c r="I2540" t="s">
        <v>21</v>
      </c>
      <c r="J2540" t="s">
        <v>558</v>
      </c>
      <c r="K2540" t="s">
        <v>559</v>
      </c>
      <c r="L2540">
        <v>84318</v>
      </c>
      <c r="M2540" t="s">
        <v>2601</v>
      </c>
      <c r="N2540" t="s">
        <v>2603</v>
      </c>
      <c r="O2540" t="s">
        <v>11</v>
      </c>
      <c r="P2540">
        <v>1411</v>
      </c>
      <c r="Q2540">
        <v>-1</v>
      </c>
      <c r="R2540">
        <v>59.38</v>
      </c>
      <c r="S2540">
        <v>-59.38</v>
      </c>
      <c r="T2540">
        <v>-45.07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IMPERMEABILIZANTES</v>
      </c>
      <c r="X2540" t="str">
        <f>VLOOKUP(L2540,'[2]tabela de preços'!$A:$G,7,0)</f>
        <v>IMOBILIÁRIO</v>
      </c>
    </row>
    <row r="2541" spans="1:24" x14ac:dyDescent="0.3">
      <c r="A2541" t="s">
        <v>626</v>
      </c>
      <c r="B2541" t="s">
        <v>627</v>
      </c>
      <c r="C2541" t="s">
        <v>2425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630</v>
      </c>
      <c r="K2541" t="s">
        <v>631</v>
      </c>
      <c r="L2541">
        <v>85636</v>
      </c>
      <c r="M2541" t="s">
        <v>696</v>
      </c>
      <c r="N2541" t="s">
        <v>2426</v>
      </c>
      <c r="O2541" t="s">
        <v>11</v>
      </c>
      <c r="P2541">
        <v>1202</v>
      </c>
      <c r="Q2541">
        <v>-12</v>
      </c>
      <c r="R2541">
        <v>7.36</v>
      </c>
      <c r="S2541">
        <v>-88.32</v>
      </c>
      <c r="T2541">
        <v>-67.08</v>
      </c>
      <c r="U2541">
        <v>24.05</v>
      </c>
      <c r="V2541" t="str">
        <f>VLOOKUP(L2541,'[2]tabela de preços'!$A:$D,4,0)</f>
        <v>UNIPEGA</v>
      </c>
      <c r="W2541" t="str">
        <f>VLOOKUP(L2541,'[2]tabela de preços'!$A:$F,6,0)</f>
        <v>DESENGRIPANTE</v>
      </c>
      <c r="X2541" t="str">
        <f>VLOOKUP(L2541,'[2]tabela de preços'!$A:$G,7,0)</f>
        <v>AUTOMOTIVO</v>
      </c>
    </row>
    <row r="2542" spans="1:24" x14ac:dyDescent="0.3">
      <c r="A2542" t="s">
        <v>626</v>
      </c>
      <c r="B2542" t="s">
        <v>627</v>
      </c>
      <c r="C2542" t="s">
        <v>2427</v>
      </c>
      <c r="D2542" s="1">
        <v>46055</v>
      </c>
      <c r="E2542" t="s">
        <v>2428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630</v>
      </c>
      <c r="K2542" t="s">
        <v>631</v>
      </c>
      <c r="L2542">
        <v>23716</v>
      </c>
      <c r="M2542" t="s">
        <v>220</v>
      </c>
      <c r="O2542" t="s">
        <v>11</v>
      </c>
      <c r="P2542">
        <v>5102</v>
      </c>
      <c r="Q2542">
        <v>2</v>
      </c>
      <c r="R2542">
        <v>40.71</v>
      </c>
      <c r="S2542">
        <v>81.42</v>
      </c>
      <c r="T2542">
        <v>61.8</v>
      </c>
      <c r="U2542">
        <v>24.1</v>
      </c>
      <c r="V2542" t="str">
        <f>VLOOKUP(L2542,'[2]tabela de preços'!$A:$D,4,0)</f>
        <v>NEW PAD</v>
      </c>
      <c r="W2542" t="str">
        <f>VLOOKUP(L2542,'[2]tabela de preços'!$A:$F,6,0)</f>
        <v>BOINAS PARA POLIMENTO</v>
      </c>
      <c r="X2542" t="str">
        <f>VLOOKUP(L2542,'[2]tabela de preços'!$A:$G,7,0)</f>
        <v>AUTOMOTIVO</v>
      </c>
    </row>
    <row r="2543" spans="1:24" x14ac:dyDescent="0.3">
      <c r="A2543" t="s">
        <v>626</v>
      </c>
      <c r="B2543" t="s">
        <v>627</v>
      </c>
      <c r="C2543" t="s">
        <v>2427</v>
      </c>
      <c r="D2543" s="1">
        <v>46055</v>
      </c>
      <c r="E2543" t="s">
        <v>2428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630</v>
      </c>
      <c r="K2543" t="s">
        <v>631</v>
      </c>
      <c r="L2543">
        <v>86866</v>
      </c>
      <c r="M2543" t="s">
        <v>2071</v>
      </c>
      <c r="O2543" t="s">
        <v>11</v>
      </c>
      <c r="P2543">
        <v>5403</v>
      </c>
      <c r="Q2543">
        <v>6</v>
      </c>
      <c r="R2543">
        <v>4.4400000000000004</v>
      </c>
      <c r="S2543">
        <v>26.64</v>
      </c>
      <c r="T2543">
        <v>20.7</v>
      </c>
      <c r="U2543">
        <v>22.3</v>
      </c>
      <c r="V2543" t="str">
        <f>VLOOKUP(L2543,'[2]tabela de preços'!$A:$D,4,0)</f>
        <v>SHERWIN WILLIAMS</v>
      </c>
      <c r="W2543" t="str">
        <f>VLOOKUP(L2543,'[2]tabela de preços'!$A:$F,6,0)</f>
        <v>CORANTES</v>
      </c>
      <c r="X2543" t="str">
        <f>VLOOKUP(L2543,'[2]tabela de preços'!$A:$G,7,0)</f>
        <v>IMOBILIÁRIO</v>
      </c>
    </row>
    <row r="2544" spans="1:24" x14ac:dyDescent="0.3">
      <c r="A2544" t="s">
        <v>626</v>
      </c>
      <c r="B2544" t="s">
        <v>627</v>
      </c>
      <c r="C2544" t="s">
        <v>2427</v>
      </c>
      <c r="D2544" s="1">
        <v>46055</v>
      </c>
      <c r="E2544" t="s">
        <v>2428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630</v>
      </c>
      <c r="K2544" t="s">
        <v>631</v>
      </c>
      <c r="L2544">
        <v>23110</v>
      </c>
      <c r="M2544" t="s">
        <v>409</v>
      </c>
      <c r="O2544" t="s">
        <v>11</v>
      </c>
      <c r="P2544">
        <v>5102</v>
      </c>
      <c r="Q2544">
        <v>50</v>
      </c>
      <c r="R2544">
        <v>2.35</v>
      </c>
      <c r="S2544">
        <v>117.5</v>
      </c>
      <c r="T2544">
        <v>92.5</v>
      </c>
      <c r="U2544">
        <v>21.28</v>
      </c>
      <c r="V2544" t="str">
        <f>VLOOKUP(L2544,'[2]tabela de preços'!$A:$D,4,0)</f>
        <v>3M</v>
      </c>
      <c r="W2544" t="str">
        <f>VLOOKUP(L2544,'[2]tabela de preços'!$A:$F,6,0)</f>
        <v xml:space="preserve">DISCOS / LIXAS / ABRASIVOS </v>
      </c>
      <c r="X2544" t="str">
        <f>VLOOKUP(L2544,'[2]tabela de preços'!$A:$G,7,0)</f>
        <v>AUTOMOTIVO</v>
      </c>
    </row>
    <row r="2545" spans="1:24" x14ac:dyDescent="0.3">
      <c r="A2545" t="s">
        <v>626</v>
      </c>
      <c r="B2545" t="s">
        <v>627</v>
      </c>
      <c r="C2545" t="s">
        <v>2427</v>
      </c>
      <c r="D2545" s="1">
        <v>46055</v>
      </c>
      <c r="E2545" t="s">
        <v>2428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630</v>
      </c>
      <c r="K2545" t="s">
        <v>631</v>
      </c>
      <c r="L2545">
        <v>23106</v>
      </c>
      <c r="M2545" t="s">
        <v>403</v>
      </c>
      <c r="O2545" t="s">
        <v>11</v>
      </c>
      <c r="P2545">
        <v>5102</v>
      </c>
      <c r="Q2545">
        <v>50</v>
      </c>
      <c r="R2545">
        <v>2.35</v>
      </c>
      <c r="S2545">
        <v>117.5</v>
      </c>
      <c r="T2545">
        <v>96</v>
      </c>
      <c r="U2545">
        <v>18.3</v>
      </c>
      <c r="V2545" t="str">
        <f>VLOOKUP(L2545,'[2]tabela de preços'!$A:$D,4,0)</f>
        <v>3M</v>
      </c>
      <c r="W2545" t="str">
        <f>VLOOKUP(L2545,'[2]tabela de preços'!$A:$F,6,0)</f>
        <v xml:space="preserve">DISCOS / LIXAS / ABRASIVOS </v>
      </c>
      <c r="X2545" t="str">
        <f>VLOOKUP(L2545,'[2]tabela de preços'!$A:$G,7,0)</f>
        <v>AUTOMOTIVO</v>
      </c>
    </row>
    <row r="2546" spans="1:24" x14ac:dyDescent="0.3">
      <c r="A2546" t="s">
        <v>626</v>
      </c>
      <c r="B2546" t="s">
        <v>627</v>
      </c>
      <c r="C2546" t="s">
        <v>2427</v>
      </c>
      <c r="D2546" s="1">
        <v>46055</v>
      </c>
      <c r="E2546" t="s">
        <v>2428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630</v>
      </c>
      <c r="K2546" t="s">
        <v>631</v>
      </c>
      <c r="L2546">
        <v>20384</v>
      </c>
      <c r="M2546" t="s">
        <v>648</v>
      </c>
      <c r="O2546" t="s">
        <v>11</v>
      </c>
      <c r="P2546">
        <v>5403</v>
      </c>
      <c r="Q2546">
        <v>1</v>
      </c>
      <c r="R2546">
        <v>32.159999999999997</v>
      </c>
      <c r="S2546">
        <v>32.159999999999997</v>
      </c>
      <c r="T2546">
        <v>22.93</v>
      </c>
      <c r="U2546">
        <v>28.7</v>
      </c>
      <c r="V2546" t="str">
        <f>VLOOKUP(L2546,'[2]tabela de preços'!$A:$D,4,0)</f>
        <v>SHERWIN WILLIAMS</v>
      </c>
      <c r="W2546" t="str">
        <f>VLOOKUP(L2546,'[2]tabela de preços'!$A:$F,6,0)</f>
        <v>TINTAS PU</v>
      </c>
      <c r="X2546" t="str">
        <f>VLOOKUP(L2546,'[2]tabela de preços'!$A:$G,7,0)</f>
        <v>AUTOMOTIVO</v>
      </c>
    </row>
    <row r="2547" spans="1:24" x14ac:dyDescent="0.3">
      <c r="A2547" t="s">
        <v>626</v>
      </c>
      <c r="B2547" t="s">
        <v>627</v>
      </c>
      <c r="C2547" t="s">
        <v>2427</v>
      </c>
      <c r="D2547" s="1">
        <v>46055</v>
      </c>
      <c r="E2547" t="s">
        <v>2428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630</v>
      </c>
      <c r="K2547" t="s">
        <v>631</v>
      </c>
      <c r="L2547">
        <v>20817</v>
      </c>
      <c r="M2547" t="s">
        <v>153</v>
      </c>
      <c r="O2547" t="s">
        <v>11</v>
      </c>
      <c r="P2547">
        <v>5102</v>
      </c>
      <c r="Q2547">
        <v>2</v>
      </c>
      <c r="R2547">
        <v>22.89</v>
      </c>
      <c r="S2547">
        <v>45.78</v>
      </c>
      <c r="T2547">
        <v>37.24</v>
      </c>
      <c r="U2547">
        <v>18.649999999999999</v>
      </c>
      <c r="V2547" t="str">
        <f>VLOOKUP(L2547,'[2]tabela de preços'!$A:$D,4,0)</f>
        <v>AUTO AMERICA</v>
      </c>
      <c r="W2547" t="str">
        <f>VLOOKUP(L2547,'[2]tabela de preços'!$A:$F,6,0)</f>
        <v>MASSA DE POLIR</v>
      </c>
      <c r="X2547" t="str">
        <f>VLOOKUP(L2547,'[2]tabela de preços'!$A:$G,7,0)</f>
        <v>AUTOMOTIVO</v>
      </c>
    </row>
    <row r="2548" spans="1:24" x14ac:dyDescent="0.3">
      <c r="A2548" t="s">
        <v>626</v>
      </c>
      <c r="B2548" t="s">
        <v>627</v>
      </c>
      <c r="C2548" t="s">
        <v>2427</v>
      </c>
      <c r="D2548" s="1">
        <v>46055</v>
      </c>
      <c r="E2548" t="s">
        <v>2428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630</v>
      </c>
      <c r="K2548" t="s">
        <v>631</v>
      </c>
      <c r="L2548">
        <v>85189</v>
      </c>
      <c r="M2548" t="s">
        <v>197</v>
      </c>
      <c r="O2548" t="s">
        <v>11</v>
      </c>
      <c r="P2548">
        <v>5102</v>
      </c>
      <c r="Q2548">
        <v>1</v>
      </c>
      <c r="R2548">
        <v>177.9</v>
      </c>
      <c r="S2548">
        <v>177.9</v>
      </c>
      <c r="T2548">
        <v>138.15</v>
      </c>
      <c r="U2548">
        <v>22.34</v>
      </c>
      <c r="V2548" t="str">
        <f>VLOOKUP(L2548,'[2]tabela de preços'!$A:$D,4,0)</f>
        <v>PDR</v>
      </c>
      <c r="W2548" t="str">
        <f>VLOOKUP(L2548,'[2]tabela de preços'!$A:$F,6,0)</f>
        <v>PISTOLAS</v>
      </c>
      <c r="X2548" t="str">
        <f>VLOOKUP(L2548,'[2]tabela de preços'!$A:$G,7,0)</f>
        <v>AUTOMOTIVO</v>
      </c>
    </row>
    <row r="2549" spans="1:24" x14ac:dyDescent="0.3">
      <c r="A2549" t="s">
        <v>626</v>
      </c>
      <c r="B2549" t="s">
        <v>627</v>
      </c>
      <c r="C2549" t="s">
        <v>2427</v>
      </c>
      <c r="D2549" s="1">
        <v>46055</v>
      </c>
      <c r="E2549" t="s">
        <v>2428</v>
      </c>
      <c r="F2549">
        <v>9</v>
      </c>
      <c r="G2549">
        <v>174</v>
      </c>
      <c r="H2549" t="str">
        <f>VLOOKUP(G2549,[1]OPERADORES!$A:$B,2,0)</f>
        <v>MIRIÃ LOBATO RODRIGUES</v>
      </c>
      <c r="I2549" t="s">
        <v>21</v>
      </c>
      <c r="J2549" t="s">
        <v>630</v>
      </c>
      <c r="K2549" t="s">
        <v>631</v>
      </c>
      <c r="L2549">
        <v>84426</v>
      </c>
      <c r="M2549" t="s">
        <v>1957</v>
      </c>
      <c r="O2549" t="s">
        <v>11</v>
      </c>
      <c r="P2549">
        <v>5102</v>
      </c>
      <c r="Q2549">
        <v>1</v>
      </c>
      <c r="R2549">
        <v>4.32</v>
      </c>
      <c r="S2549">
        <v>4.32</v>
      </c>
      <c r="T2549">
        <v>3.28</v>
      </c>
      <c r="U2549">
        <v>24.07</v>
      </c>
      <c r="V2549" t="str">
        <f>VLOOKUP(L2549,'[2]tabela de preços'!$A:$D,4,0)</f>
        <v>ATLAS</v>
      </c>
      <c r="W2549" t="str">
        <f>VLOOKUP(L2549,'[2]tabela de preços'!$A:$F,6,0)</f>
        <v>ROLOS / TRINCHAS / PINCÉIS / ESPÁTULAS</v>
      </c>
      <c r="X2549" t="str">
        <f>VLOOKUP(L2549,'[2]tabela de preços'!$A:$G,7,0)</f>
        <v>IMOBILIÁRIO</v>
      </c>
    </row>
    <row r="2550" spans="1:24" x14ac:dyDescent="0.3">
      <c r="A2550" t="s">
        <v>626</v>
      </c>
      <c r="B2550" t="s">
        <v>627</v>
      </c>
      <c r="C2550" t="s">
        <v>2427</v>
      </c>
      <c r="D2550" s="1">
        <v>46055</v>
      </c>
      <c r="E2550" t="s">
        <v>2428</v>
      </c>
      <c r="F2550">
        <v>9</v>
      </c>
      <c r="G2550">
        <v>174</v>
      </c>
      <c r="H2550" t="str">
        <f>VLOOKUP(G2550,[1]OPERADORES!$A:$B,2,0)</f>
        <v>MIRIÃ LOBATO RODRIGUES</v>
      </c>
      <c r="I2550" t="s">
        <v>21</v>
      </c>
      <c r="J2550" t="s">
        <v>630</v>
      </c>
      <c r="K2550" t="s">
        <v>631</v>
      </c>
      <c r="L2550">
        <v>84560</v>
      </c>
      <c r="M2550" t="s">
        <v>118</v>
      </c>
      <c r="O2550" t="s">
        <v>11</v>
      </c>
      <c r="P2550">
        <v>5102</v>
      </c>
      <c r="Q2550">
        <v>20</v>
      </c>
      <c r="R2550">
        <v>47.89</v>
      </c>
      <c r="S2550">
        <v>957.8</v>
      </c>
      <c r="T2550">
        <v>783.2</v>
      </c>
      <c r="U2550">
        <v>18.23</v>
      </c>
      <c r="V2550" t="str">
        <f>VLOOKUP(L2550,'[2]tabela de preços'!$A:$D,4,0)</f>
        <v>BRASILUX</v>
      </c>
      <c r="W2550" t="str">
        <f>VLOOKUP(L2550,'[2]tabela de preços'!$A:$F,6,0)</f>
        <v>THINNER DE LIMPEZA</v>
      </c>
      <c r="X2550" t="str">
        <f>VLOOKUP(L2550,'[2]tabela de preços'!$A:$G,7,0)</f>
        <v>THINNER</v>
      </c>
    </row>
    <row r="2551" spans="1:24" x14ac:dyDescent="0.3">
      <c r="A2551" t="s">
        <v>626</v>
      </c>
      <c r="B2551" t="s">
        <v>627</v>
      </c>
      <c r="C2551" t="s">
        <v>2427</v>
      </c>
      <c r="D2551" s="1">
        <v>46055</v>
      </c>
      <c r="E2551" t="s">
        <v>2428</v>
      </c>
      <c r="F2551">
        <v>9</v>
      </c>
      <c r="G2551">
        <v>174</v>
      </c>
      <c r="H2551" t="str">
        <f>VLOOKUP(G2551,[1]OPERADORES!$A:$B,2,0)</f>
        <v>MIRIÃ LOBATO RODRIGUES</v>
      </c>
      <c r="I2551" t="s">
        <v>21</v>
      </c>
      <c r="J2551" t="s">
        <v>630</v>
      </c>
      <c r="K2551" t="s">
        <v>631</v>
      </c>
      <c r="L2551">
        <v>20414</v>
      </c>
      <c r="M2551" t="s">
        <v>112</v>
      </c>
      <c r="O2551" t="s">
        <v>11</v>
      </c>
      <c r="P2551">
        <v>5102</v>
      </c>
      <c r="Q2551">
        <v>20</v>
      </c>
      <c r="R2551">
        <v>21.89</v>
      </c>
      <c r="S2551">
        <v>437.8</v>
      </c>
      <c r="T2551">
        <v>360</v>
      </c>
      <c r="U2551">
        <v>17.77</v>
      </c>
      <c r="V2551" t="str">
        <f>VLOOKUP(L2551,'[2]tabela de preços'!$A:$D,4,0)</f>
        <v>SHERWIN WILLIAMS</v>
      </c>
      <c r="W2551" t="str">
        <f>VLOOKUP(L2551,'[2]tabela de preços'!$A:$F,6,0)</f>
        <v>DILUENTE</v>
      </c>
      <c r="X2551" t="str">
        <f>VLOOKUP(L2551,'[2]tabela de preços'!$A:$G,7,0)</f>
        <v>AUTOMOTIVO</v>
      </c>
    </row>
    <row r="2552" spans="1:24" x14ac:dyDescent="0.3">
      <c r="A2552" t="s">
        <v>626</v>
      </c>
      <c r="B2552" t="s">
        <v>627</v>
      </c>
      <c r="C2552" t="s">
        <v>2427</v>
      </c>
      <c r="D2552" s="1">
        <v>46055</v>
      </c>
      <c r="E2552" t="s">
        <v>2428</v>
      </c>
      <c r="F2552">
        <v>9</v>
      </c>
      <c r="G2552">
        <v>174</v>
      </c>
      <c r="H2552" t="str">
        <f>VLOOKUP(G2552,[1]OPERADORES!$A:$B,2,0)</f>
        <v>MIRIÃ LOBATO RODRIGUES</v>
      </c>
      <c r="I2552" t="s">
        <v>21</v>
      </c>
      <c r="J2552" t="s">
        <v>630</v>
      </c>
      <c r="K2552" t="s">
        <v>631</v>
      </c>
      <c r="L2552">
        <v>23287</v>
      </c>
      <c r="M2552" t="s">
        <v>273</v>
      </c>
      <c r="O2552" t="s">
        <v>11</v>
      </c>
      <c r="P2552">
        <v>5102</v>
      </c>
      <c r="Q2552">
        <v>2</v>
      </c>
      <c r="R2552">
        <v>39.979999999999997</v>
      </c>
      <c r="S2552">
        <v>79.959999999999994</v>
      </c>
      <c r="T2552">
        <v>60.7</v>
      </c>
      <c r="U2552">
        <v>24.09</v>
      </c>
      <c r="V2552" t="str">
        <f>VLOOKUP(L2552,'[2]tabela de preços'!$A:$D,4,0)</f>
        <v>AUTO AMERICA</v>
      </c>
      <c r="W2552" t="str">
        <f>VLOOKUP(L2552,'[2]tabela de preços'!$A:$F,6,0)</f>
        <v>CERA  / LIMPEZA /  POLIMENTO VEICULAR</v>
      </c>
      <c r="X2552" t="str">
        <f>VLOOKUP(L2552,'[2]tabela de preços'!$A:$G,7,0)</f>
        <v>AUTOMOTIVO</v>
      </c>
    </row>
    <row r="2553" spans="1:24" x14ac:dyDescent="0.3">
      <c r="A2553" t="s">
        <v>626</v>
      </c>
      <c r="B2553" t="s">
        <v>627</v>
      </c>
      <c r="C2553" t="s">
        <v>2482</v>
      </c>
      <c r="D2553" s="1">
        <v>46056</v>
      </c>
      <c r="E2553" t="s">
        <v>2483</v>
      </c>
      <c r="F2553">
        <v>9</v>
      </c>
      <c r="G2553">
        <v>174</v>
      </c>
      <c r="H2553" t="str">
        <f>VLOOKUP(G2553,[1]OPERADORES!$A:$B,2,0)</f>
        <v>MIRIÃ LOBATO RODRIGUES</v>
      </c>
      <c r="I2553" t="s">
        <v>21</v>
      </c>
      <c r="J2553" t="s">
        <v>630</v>
      </c>
      <c r="K2553" t="s">
        <v>631</v>
      </c>
      <c r="L2553">
        <v>85693</v>
      </c>
      <c r="M2553" t="s">
        <v>526</v>
      </c>
      <c r="O2553" t="s">
        <v>11</v>
      </c>
      <c r="P2553">
        <v>5102</v>
      </c>
      <c r="Q2553">
        <v>12</v>
      </c>
      <c r="R2553">
        <v>7.89</v>
      </c>
      <c r="S2553">
        <v>94.68</v>
      </c>
      <c r="T2553">
        <v>78.12</v>
      </c>
      <c r="U2553">
        <v>17.489999999999998</v>
      </c>
      <c r="V2553" t="str">
        <f>VLOOKUP(L2553,'[2]tabela de preços'!$A:$D,4,0)</f>
        <v>UNIPEGA</v>
      </c>
      <c r="W2553" t="str">
        <f>VLOOKUP(L2553,'[2]tabela de preços'!$A:$F,6,0)</f>
        <v>PU 40</v>
      </c>
      <c r="X2553" t="str">
        <f>VLOOKUP(L2553,'[2]tabela de preços'!$A:$G,7,0)</f>
        <v>IMOBILIÁRIO</v>
      </c>
    </row>
    <row r="2554" spans="1:24" x14ac:dyDescent="0.3">
      <c r="A2554" t="s">
        <v>626</v>
      </c>
      <c r="B2554" t="s">
        <v>627</v>
      </c>
      <c r="C2554" t="s">
        <v>2482</v>
      </c>
      <c r="D2554" s="1">
        <v>46056</v>
      </c>
      <c r="E2554" t="s">
        <v>2483</v>
      </c>
      <c r="F2554">
        <v>9</v>
      </c>
      <c r="G2554">
        <v>174</v>
      </c>
      <c r="H2554" t="str">
        <f>VLOOKUP(G2554,[1]OPERADORES!$A:$B,2,0)</f>
        <v>MIRIÃ LOBATO RODRIGUES</v>
      </c>
      <c r="I2554" t="s">
        <v>21</v>
      </c>
      <c r="J2554" t="s">
        <v>630</v>
      </c>
      <c r="K2554" t="s">
        <v>631</v>
      </c>
      <c r="L2554">
        <v>85691</v>
      </c>
      <c r="M2554" t="s">
        <v>1231</v>
      </c>
      <c r="O2554" t="s">
        <v>11</v>
      </c>
      <c r="P2554">
        <v>5102</v>
      </c>
      <c r="Q2554">
        <v>12</v>
      </c>
      <c r="R2554">
        <v>14.81</v>
      </c>
      <c r="S2554">
        <v>177.72</v>
      </c>
      <c r="T2554">
        <v>134.88</v>
      </c>
      <c r="U2554">
        <v>24.11</v>
      </c>
      <c r="V2554" t="str">
        <f>VLOOKUP(L2554,'[2]tabela de preços'!$A:$D,4,0)</f>
        <v>UNIPEGA</v>
      </c>
      <c r="W2554" t="str">
        <f>VLOOKUP(L2554,'[2]tabela de preços'!$A:$F,6,0)</f>
        <v>COLA INST./ ADESIVOS COLANTES</v>
      </c>
      <c r="X2554" t="str">
        <f>VLOOKUP(L2554,'[2]tabela de preços'!$A:$G,7,0)</f>
        <v>AUTOMOTIVO</v>
      </c>
    </row>
    <row r="2555" spans="1:24" x14ac:dyDescent="0.3">
      <c r="A2555" t="s">
        <v>626</v>
      </c>
      <c r="B2555" t="s">
        <v>627</v>
      </c>
      <c r="C2555" t="s">
        <v>2482</v>
      </c>
      <c r="D2555" s="1">
        <v>46056</v>
      </c>
      <c r="E2555" t="s">
        <v>2483</v>
      </c>
      <c r="F2555">
        <v>9</v>
      </c>
      <c r="G2555">
        <v>174</v>
      </c>
      <c r="H2555" t="str">
        <f>VLOOKUP(G2555,[1]OPERADORES!$A:$B,2,0)</f>
        <v>MIRIÃ LOBATO RODRIGUES</v>
      </c>
      <c r="I2555" t="s">
        <v>21</v>
      </c>
      <c r="J2555" t="s">
        <v>630</v>
      </c>
      <c r="K2555" t="s">
        <v>631</v>
      </c>
      <c r="L2555">
        <v>23110</v>
      </c>
      <c r="M2555" t="s">
        <v>409</v>
      </c>
      <c r="O2555" t="s">
        <v>11</v>
      </c>
      <c r="P2555">
        <v>5102</v>
      </c>
      <c r="Q2555">
        <v>250</v>
      </c>
      <c r="R2555">
        <v>2.35</v>
      </c>
      <c r="S2555">
        <v>587.5</v>
      </c>
      <c r="T2555">
        <v>462.5</v>
      </c>
      <c r="U2555">
        <v>21.28</v>
      </c>
      <c r="V2555" t="str">
        <f>VLOOKUP(L2555,'[2]tabela de preços'!$A:$D,4,0)</f>
        <v>3M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626</v>
      </c>
      <c r="B2556" t="s">
        <v>627</v>
      </c>
      <c r="C2556" t="s">
        <v>2482</v>
      </c>
      <c r="D2556" s="1">
        <v>46056</v>
      </c>
      <c r="E2556" t="s">
        <v>2483</v>
      </c>
      <c r="F2556">
        <v>9</v>
      </c>
      <c r="G2556">
        <v>174</v>
      </c>
      <c r="H2556" t="str">
        <f>VLOOKUP(G2556,[1]OPERADORES!$A:$B,2,0)</f>
        <v>MIRIÃ LOBATO RODRIGUES</v>
      </c>
      <c r="I2556" t="s">
        <v>21</v>
      </c>
      <c r="J2556" t="s">
        <v>630</v>
      </c>
      <c r="K2556" t="s">
        <v>631</v>
      </c>
      <c r="L2556">
        <v>23105</v>
      </c>
      <c r="M2556" t="s">
        <v>402</v>
      </c>
      <c r="O2556" t="s">
        <v>11</v>
      </c>
      <c r="P2556">
        <v>5102</v>
      </c>
      <c r="Q2556">
        <v>200</v>
      </c>
      <c r="R2556">
        <v>2.35</v>
      </c>
      <c r="S2556">
        <v>470</v>
      </c>
      <c r="T2556">
        <v>384</v>
      </c>
      <c r="U2556">
        <v>18.3</v>
      </c>
      <c r="V2556" t="str">
        <f>VLOOKUP(L2556,'[2]tabela de preços'!$A:$D,4,0)</f>
        <v>3M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626</v>
      </c>
      <c r="B2557" t="s">
        <v>627</v>
      </c>
      <c r="C2557" t="s">
        <v>2482</v>
      </c>
      <c r="D2557" s="1">
        <v>46056</v>
      </c>
      <c r="E2557" t="s">
        <v>2483</v>
      </c>
      <c r="F2557">
        <v>9</v>
      </c>
      <c r="G2557">
        <v>174</v>
      </c>
      <c r="H2557" t="str">
        <f>VLOOKUP(G2557,[1]OPERADORES!$A:$B,2,0)</f>
        <v>MIRIÃ LOBATO RODRIGUES</v>
      </c>
      <c r="I2557" t="s">
        <v>21</v>
      </c>
      <c r="J2557" t="s">
        <v>630</v>
      </c>
      <c r="K2557" t="s">
        <v>631</v>
      </c>
      <c r="L2557">
        <v>23106</v>
      </c>
      <c r="M2557" t="s">
        <v>403</v>
      </c>
      <c r="O2557" t="s">
        <v>11</v>
      </c>
      <c r="P2557">
        <v>5102</v>
      </c>
      <c r="Q2557">
        <v>200</v>
      </c>
      <c r="R2557">
        <v>2.35</v>
      </c>
      <c r="S2557">
        <v>470</v>
      </c>
      <c r="T2557">
        <v>384</v>
      </c>
      <c r="U2557">
        <v>18.3</v>
      </c>
      <c r="V2557" t="str">
        <f>VLOOKUP(L2557,'[2]tabela de preços'!$A:$D,4,0)</f>
        <v>3M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626</v>
      </c>
      <c r="B2558" t="s">
        <v>627</v>
      </c>
      <c r="C2558" t="s">
        <v>2482</v>
      </c>
      <c r="D2558" s="1">
        <v>46056</v>
      </c>
      <c r="E2558" t="s">
        <v>2483</v>
      </c>
      <c r="F2558">
        <v>9</v>
      </c>
      <c r="G2558">
        <v>174</v>
      </c>
      <c r="H2558" t="str">
        <f>VLOOKUP(G2558,[1]OPERADORES!$A:$B,2,0)</f>
        <v>MIRIÃ LOBATO RODRIGUES</v>
      </c>
      <c r="I2558" t="s">
        <v>21</v>
      </c>
      <c r="J2558" t="s">
        <v>630</v>
      </c>
      <c r="K2558" t="s">
        <v>631</v>
      </c>
      <c r="L2558">
        <v>23107</v>
      </c>
      <c r="M2558" t="s">
        <v>247</v>
      </c>
      <c r="O2558" t="s">
        <v>11</v>
      </c>
      <c r="P2558">
        <v>5102</v>
      </c>
      <c r="Q2558">
        <v>250</v>
      </c>
      <c r="R2558">
        <v>2.35</v>
      </c>
      <c r="S2558">
        <v>587.5</v>
      </c>
      <c r="T2558">
        <v>462.5</v>
      </c>
      <c r="U2558">
        <v>21.28</v>
      </c>
      <c r="V2558" t="str">
        <f>VLOOKUP(L2558,'[2]tabela de preços'!$A:$D,4,0)</f>
        <v>3M</v>
      </c>
      <c r="W2558" t="str">
        <f>VLOOKUP(L2558,'[2]tabela de preços'!$A:$F,6,0)</f>
        <v xml:space="preserve">DISCOS / LIXAS / ABRASIVOS </v>
      </c>
      <c r="X2558" t="str">
        <f>VLOOKUP(L2558,'[2]tabela de preços'!$A:$G,7,0)</f>
        <v>AUTOMOTIVO</v>
      </c>
    </row>
    <row r="2559" spans="1:24" x14ac:dyDescent="0.3">
      <c r="A2559" t="s">
        <v>626</v>
      </c>
      <c r="B2559" t="s">
        <v>627</v>
      </c>
      <c r="C2559" t="s">
        <v>2482</v>
      </c>
      <c r="D2559" s="1">
        <v>46056</v>
      </c>
      <c r="E2559" t="s">
        <v>2483</v>
      </c>
      <c r="F2559">
        <v>9</v>
      </c>
      <c r="G2559">
        <v>174</v>
      </c>
      <c r="H2559" t="str">
        <f>VLOOKUP(G2559,[1]OPERADORES!$A:$B,2,0)</f>
        <v>MIRIÃ LOBATO RODRIGUES</v>
      </c>
      <c r="I2559" t="s">
        <v>21</v>
      </c>
      <c r="J2559" t="s">
        <v>630</v>
      </c>
      <c r="K2559" t="s">
        <v>631</v>
      </c>
      <c r="L2559">
        <v>23108</v>
      </c>
      <c r="M2559" t="s">
        <v>248</v>
      </c>
      <c r="O2559" t="s">
        <v>11</v>
      </c>
      <c r="P2559">
        <v>5102</v>
      </c>
      <c r="Q2559">
        <v>100</v>
      </c>
      <c r="R2559">
        <v>2.35</v>
      </c>
      <c r="S2559">
        <v>235</v>
      </c>
      <c r="T2559">
        <v>185</v>
      </c>
      <c r="U2559">
        <v>21.28</v>
      </c>
      <c r="V2559" t="str">
        <f>VLOOKUP(L2559,'[2]tabela de preços'!$A:$D,4,0)</f>
        <v>3M</v>
      </c>
      <c r="W2559" t="str">
        <f>VLOOKUP(L2559,'[2]tabela de preços'!$A:$F,6,0)</f>
        <v xml:space="preserve">DISCOS / LIXAS / ABRASIVOS </v>
      </c>
      <c r="X2559" t="str">
        <f>VLOOKUP(L2559,'[2]tabela de preços'!$A:$G,7,0)</f>
        <v>AUTOMOTIVO</v>
      </c>
    </row>
    <row r="2560" spans="1:24" x14ac:dyDescent="0.3">
      <c r="A2560" t="s">
        <v>626</v>
      </c>
      <c r="B2560" t="s">
        <v>627</v>
      </c>
      <c r="C2560" t="s">
        <v>2482</v>
      </c>
      <c r="D2560" s="1">
        <v>46056</v>
      </c>
      <c r="E2560" t="s">
        <v>2483</v>
      </c>
      <c r="F2560">
        <v>9</v>
      </c>
      <c r="G2560">
        <v>174</v>
      </c>
      <c r="H2560" t="str">
        <f>VLOOKUP(G2560,[1]OPERADORES!$A:$B,2,0)</f>
        <v>MIRIÃ LOBATO RODRIGUES</v>
      </c>
      <c r="I2560" t="s">
        <v>21</v>
      </c>
      <c r="J2560" t="s">
        <v>630</v>
      </c>
      <c r="K2560" t="s">
        <v>631</v>
      </c>
      <c r="L2560">
        <v>24248</v>
      </c>
      <c r="M2560" t="s">
        <v>107</v>
      </c>
      <c r="O2560" t="s">
        <v>11</v>
      </c>
      <c r="P2560">
        <v>5102</v>
      </c>
      <c r="Q2560">
        <v>12</v>
      </c>
      <c r="R2560">
        <v>8</v>
      </c>
      <c r="S2560">
        <v>96</v>
      </c>
      <c r="T2560">
        <v>78</v>
      </c>
      <c r="U2560">
        <v>18.75</v>
      </c>
      <c r="V2560" t="str">
        <f>VLOOKUP(L2560,'[2]tabela de preços'!$A:$D,4,0)</f>
        <v>SHERWIN WILLIAMS</v>
      </c>
      <c r="W2560" t="str">
        <f>VLOOKUP(L2560,'[2]tabela de preços'!$A:$F,6,0)</f>
        <v>PRIMER AUTOMOTIVO</v>
      </c>
      <c r="X2560" t="str">
        <f>VLOOKUP(L2560,'[2]tabela de preços'!$A:$G,7,0)</f>
        <v>AUTOMOTIVO</v>
      </c>
    </row>
    <row r="2561" spans="1:24" x14ac:dyDescent="0.3">
      <c r="A2561" t="s">
        <v>626</v>
      </c>
      <c r="B2561" t="s">
        <v>627</v>
      </c>
      <c r="C2561" t="s">
        <v>2482</v>
      </c>
      <c r="D2561" s="1">
        <v>46056</v>
      </c>
      <c r="E2561" t="s">
        <v>2483</v>
      </c>
      <c r="F2561">
        <v>9</v>
      </c>
      <c r="G2561">
        <v>174</v>
      </c>
      <c r="H2561" t="str">
        <f>VLOOKUP(G2561,[1]OPERADORES!$A:$B,2,0)</f>
        <v>MIRIÃ LOBATO RODRIGUES</v>
      </c>
      <c r="I2561" t="s">
        <v>21</v>
      </c>
      <c r="J2561" t="s">
        <v>630</v>
      </c>
      <c r="K2561" t="s">
        <v>631</v>
      </c>
      <c r="L2561">
        <v>85670</v>
      </c>
      <c r="M2561" t="s">
        <v>981</v>
      </c>
      <c r="O2561" t="s">
        <v>11</v>
      </c>
      <c r="P2561">
        <v>5102</v>
      </c>
      <c r="Q2561">
        <v>4</v>
      </c>
      <c r="R2561">
        <v>12.2</v>
      </c>
      <c r="S2561">
        <v>48.8</v>
      </c>
      <c r="T2561">
        <v>37.04</v>
      </c>
      <c r="U2561">
        <v>24.1</v>
      </c>
      <c r="V2561" t="str">
        <f>VLOOKUP(L2561,'[2]tabela de preços'!$A:$D,4,0)</f>
        <v>UNIPEGA</v>
      </c>
      <c r="W2561" t="str">
        <f>VLOOKUP(L2561,'[2]tabela de preços'!$A:$F,6,0)</f>
        <v>ESPUMA EXPANSIVA</v>
      </c>
      <c r="X2561" t="str">
        <f>VLOOKUP(L2561,'[2]tabela de preços'!$A:$G,7,0)</f>
        <v>IMOBILIÁRIO</v>
      </c>
    </row>
    <row r="2562" spans="1:24" x14ac:dyDescent="0.3">
      <c r="A2562" t="s">
        <v>626</v>
      </c>
      <c r="B2562" t="s">
        <v>627</v>
      </c>
      <c r="C2562" t="s">
        <v>2482</v>
      </c>
      <c r="D2562" s="1">
        <v>46056</v>
      </c>
      <c r="E2562" t="s">
        <v>2483</v>
      </c>
      <c r="F2562">
        <v>9</v>
      </c>
      <c r="G2562">
        <v>174</v>
      </c>
      <c r="H2562" t="str">
        <f>VLOOKUP(G2562,[1]OPERADORES!$A:$B,2,0)</f>
        <v>MIRIÃ LOBATO RODRIGUES</v>
      </c>
      <c r="I2562" t="s">
        <v>21</v>
      </c>
      <c r="J2562" t="s">
        <v>630</v>
      </c>
      <c r="K2562" t="s">
        <v>631</v>
      </c>
      <c r="L2562">
        <v>60</v>
      </c>
      <c r="M2562" t="s">
        <v>2484</v>
      </c>
      <c r="O2562" t="s">
        <v>11</v>
      </c>
      <c r="P2562">
        <v>5102</v>
      </c>
      <c r="Q2562">
        <v>100</v>
      </c>
      <c r="R2562">
        <v>1.53</v>
      </c>
      <c r="S2562">
        <v>153</v>
      </c>
      <c r="T2562">
        <v>99</v>
      </c>
      <c r="U2562">
        <v>35.29</v>
      </c>
      <c r="V2562" t="str">
        <f>VLOOKUP(L2562,'[2]tabela de preços'!$A:$D,4,0)</f>
        <v>3M</v>
      </c>
      <c r="W2562" t="str">
        <f>VLOOKUP(L2562,'[2]tabela de preços'!$A:$F,6,0)</f>
        <v>LIXA DÁGUA</v>
      </c>
      <c r="X2562" t="str">
        <f>VLOOKUP(L2562,'[2]tabela de preços'!$A:$G,7,0)</f>
        <v>AUTOMOTIVO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61</v>
      </c>
      <c r="M2563" t="s">
        <v>2485</v>
      </c>
      <c r="O2563" t="s">
        <v>11</v>
      </c>
      <c r="P2563">
        <v>5102</v>
      </c>
      <c r="Q2563">
        <v>100</v>
      </c>
      <c r="R2563">
        <v>1.53</v>
      </c>
      <c r="S2563">
        <v>153</v>
      </c>
      <c r="T2563">
        <v>99</v>
      </c>
      <c r="U2563">
        <v>35.29</v>
      </c>
      <c r="V2563" t="str">
        <f>VLOOKUP(L2563,'[2]tabela de preços'!$A:$D,4,0)</f>
        <v>3M</v>
      </c>
      <c r="W2563" t="str">
        <f>VLOOKUP(L2563,'[2]tabela de preços'!$A:$F,6,0)</f>
        <v>LIXA DÁGUA</v>
      </c>
      <c r="X2563" t="str">
        <f>VLOOKUP(L2563,'[2]tabela de preços'!$A:$G,7,0)</f>
        <v>AUTOMOTIVO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13</v>
      </c>
      <c r="M2564" t="s">
        <v>152</v>
      </c>
      <c r="O2564" t="s">
        <v>11</v>
      </c>
      <c r="P2564">
        <v>5102</v>
      </c>
      <c r="Q2564">
        <v>100</v>
      </c>
      <c r="R2564">
        <v>5.79</v>
      </c>
      <c r="S2564">
        <v>579</v>
      </c>
      <c r="T2564">
        <v>416</v>
      </c>
      <c r="U2564">
        <v>28.15</v>
      </c>
      <c r="V2564" t="str">
        <f>VLOOKUP(L2564,'[2]tabela de preços'!$A:$D,4,0)</f>
        <v>3M</v>
      </c>
      <c r="W2564" t="str">
        <f>VLOOKUP(L2564,'[2]tabela de preços'!$A:$F,6,0)</f>
        <v>LIXA DÁGUA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15</v>
      </c>
      <c r="M2565" t="s">
        <v>205</v>
      </c>
      <c r="O2565" t="s">
        <v>11</v>
      </c>
      <c r="P2565">
        <v>5102</v>
      </c>
      <c r="Q2565">
        <v>150</v>
      </c>
      <c r="R2565">
        <v>5.79</v>
      </c>
      <c r="S2565">
        <v>868.5</v>
      </c>
      <c r="T2565">
        <v>624</v>
      </c>
      <c r="U2565">
        <v>28.15</v>
      </c>
      <c r="V2565" t="str">
        <f>VLOOKUP(L2565,'[2]tabela de preços'!$A:$D,4,0)</f>
        <v>3M</v>
      </c>
      <c r="W2565" t="str">
        <f>VLOOKUP(L2565,'[2]tabela de preços'!$A:$F,6,0)</f>
        <v>LIXA DÁGUA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54</v>
      </c>
      <c r="M2566" t="s">
        <v>2486</v>
      </c>
      <c r="O2566" t="s">
        <v>11</v>
      </c>
      <c r="P2566">
        <v>5102</v>
      </c>
      <c r="Q2566">
        <v>100</v>
      </c>
      <c r="R2566">
        <v>1.53</v>
      </c>
      <c r="S2566">
        <v>153</v>
      </c>
      <c r="T2566">
        <v>99</v>
      </c>
      <c r="U2566">
        <v>35.29</v>
      </c>
      <c r="V2566" t="str">
        <f>VLOOKUP(L2566,'[2]tabela de preços'!$A:$D,4,0)</f>
        <v>3M</v>
      </c>
      <c r="W2566" t="str">
        <f>VLOOKUP(L2566,'[2]tabela de preços'!$A:$F,6,0)</f>
        <v>LIXA DÁGUA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55</v>
      </c>
      <c r="M2567" t="s">
        <v>1640</v>
      </c>
      <c r="O2567" t="s">
        <v>11</v>
      </c>
      <c r="P2567">
        <v>5102</v>
      </c>
      <c r="Q2567">
        <v>100</v>
      </c>
      <c r="R2567">
        <v>1.1299999999999999</v>
      </c>
      <c r="S2567">
        <v>113</v>
      </c>
      <c r="T2567">
        <v>73</v>
      </c>
      <c r="U2567">
        <v>35.4</v>
      </c>
      <c r="V2567" t="str">
        <f>VLOOKUP(L2567,'[2]tabela de preços'!$A:$D,4,0)</f>
        <v>3M</v>
      </c>
      <c r="W2567" t="str">
        <f>VLOOKUP(L2567,'[2]tabela de preços'!$A:$F,6,0)</f>
        <v>LIXA DÁGUA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57</v>
      </c>
      <c r="M2568" t="s">
        <v>1089</v>
      </c>
      <c r="O2568" t="s">
        <v>11</v>
      </c>
      <c r="P2568">
        <v>5102</v>
      </c>
      <c r="Q2568">
        <v>100</v>
      </c>
      <c r="R2568">
        <v>1.1299999999999999</v>
      </c>
      <c r="S2568">
        <v>113</v>
      </c>
      <c r="T2568">
        <v>73</v>
      </c>
      <c r="U2568">
        <v>35.4</v>
      </c>
      <c r="V2568" t="str">
        <f>VLOOKUP(L2568,'[2]tabela de preços'!$A:$D,4,0)</f>
        <v>3M</v>
      </c>
      <c r="W2568" t="str">
        <f>VLOOKUP(L2568,'[2]tabela de preços'!$A:$F,6,0)</f>
        <v>LIXA DÁGUA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21077</v>
      </c>
      <c r="M2569" t="s">
        <v>207</v>
      </c>
      <c r="O2569" t="s">
        <v>11</v>
      </c>
      <c r="P2569">
        <v>5102</v>
      </c>
      <c r="Q2569">
        <v>2</v>
      </c>
      <c r="R2569">
        <v>44.68</v>
      </c>
      <c r="S2569">
        <v>89.36</v>
      </c>
      <c r="T2569">
        <v>67.84</v>
      </c>
      <c r="U2569">
        <v>24.08</v>
      </c>
      <c r="V2569" t="str">
        <f>VLOOKUP(L2569,'[2]tabela de preços'!$A:$D,4,0)</f>
        <v>SHERWIN WILLIAMS</v>
      </c>
      <c r="W2569" t="str">
        <f>VLOOKUP(L2569,'[2]tabela de preços'!$A:$F,6,0)</f>
        <v>MASSA POLIÉSTER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84658</v>
      </c>
      <c r="M2570" t="s">
        <v>100</v>
      </c>
      <c r="O2570" t="s">
        <v>11</v>
      </c>
      <c r="P2570">
        <v>5102</v>
      </c>
      <c r="Q2570">
        <v>1</v>
      </c>
      <c r="R2570">
        <v>40.840000000000003</v>
      </c>
      <c r="S2570">
        <v>40.840000000000003</v>
      </c>
      <c r="T2570">
        <v>31</v>
      </c>
      <c r="U2570">
        <v>24.09</v>
      </c>
      <c r="V2570" t="str">
        <f>VLOOKUP(L2570,'[2]tabela de preços'!$A:$D,4,0)</f>
        <v>ANJO</v>
      </c>
      <c r="W2570" t="str">
        <f>VLOOKUP(L2570,'[2]tabela de preços'!$A:$F,6,0)</f>
        <v>MASSA POLIÉSTER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24247</v>
      </c>
      <c r="M2571" t="s">
        <v>160</v>
      </c>
      <c r="O2571" t="s">
        <v>11</v>
      </c>
      <c r="P2571">
        <v>5403</v>
      </c>
      <c r="Q2571">
        <v>12</v>
      </c>
      <c r="R2571">
        <v>21</v>
      </c>
      <c r="S2571">
        <v>252</v>
      </c>
      <c r="T2571">
        <v>202.44</v>
      </c>
      <c r="U2571">
        <v>19.670000000000002</v>
      </c>
      <c r="V2571" t="str">
        <f>VLOOKUP(L2571,'[2]tabela de preços'!$A:$D,4,0)</f>
        <v>SHERWIN WILLIAMS</v>
      </c>
      <c r="W2571" t="str">
        <f>VLOOKUP(L2571,'[2]tabela de preços'!$A:$F,6,0)</f>
        <v>PRIMER AUTOMOTIVO</v>
      </c>
      <c r="X2571" t="str">
        <f>VLOOKUP(L2571,'[2]tabela de preços'!$A:$G,7,0)</f>
        <v>AUTOMOTIVO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9997</v>
      </c>
      <c r="M2572" t="s">
        <v>2487</v>
      </c>
      <c r="O2572" t="s">
        <v>11</v>
      </c>
      <c r="P2572">
        <v>5102</v>
      </c>
      <c r="Q2572">
        <v>2</v>
      </c>
      <c r="R2572">
        <v>41.04</v>
      </c>
      <c r="S2572">
        <v>82.08</v>
      </c>
      <c r="T2572">
        <v>62.3</v>
      </c>
      <c r="U2572">
        <v>24.1</v>
      </c>
      <c r="V2572" t="str">
        <f>VLOOKUP(L2572,'[2]tabela de preços'!$A:$D,4,0)</f>
        <v>SIKKENS</v>
      </c>
      <c r="W2572" t="str">
        <f>VLOOKUP(L2572,'[2]tabela de preços'!$A:$F,6,0)</f>
        <v>DILUENTE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84460</v>
      </c>
      <c r="M2573" t="s">
        <v>322</v>
      </c>
      <c r="O2573" t="s">
        <v>11</v>
      </c>
      <c r="P2573">
        <v>5102</v>
      </c>
      <c r="Q2573">
        <v>5</v>
      </c>
      <c r="R2573">
        <v>31.07</v>
      </c>
      <c r="S2573">
        <v>155.35</v>
      </c>
      <c r="T2573">
        <v>117.9</v>
      </c>
      <c r="U2573">
        <v>24.11</v>
      </c>
      <c r="V2573" t="str">
        <f>VLOOKUP(L2573,'[2]tabela de preços'!$A:$D,4,0)</f>
        <v>BRASILUX</v>
      </c>
      <c r="W2573" t="str">
        <f>VLOOKUP(L2573,'[2]tabela de preços'!$A:$F,6,0)</f>
        <v>VEDADORES / SELANTES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2604</v>
      </c>
      <c r="D2574" s="1">
        <v>46057</v>
      </c>
      <c r="E2574" t="s">
        <v>2605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84487</v>
      </c>
      <c r="M2574" t="s">
        <v>633</v>
      </c>
      <c r="O2574" t="s">
        <v>11</v>
      </c>
      <c r="P2574">
        <v>5403</v>
      </c>
      <c r="Q2574">
        <v>2</v>
      </c>
      <c r="R2574">
        <v>28.84</v>
      </c>
      <c r="S2574">
        <v>57.68</v>
      </c>
      <c r="T2574">
        <v>43.78</v>
      </c>
      <c r="U2574">
        <v>24.1</v>
      </c>
      <c r="V2574" t="str">
        <f>VLOOKUP(L2574,'[2]tabela de preços'!$A:$D,4,0)</f>
        <v>BRASILUX</v>
      </c>
      <c r="W2574" t="str">
        <f>VLOOKUP(L2574,'[2]tabela de preços'!$A:$F,6,0)</f>
        <v>TINTAS LACA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2604</v>
      </c>
      <c r="D2575" s="1">
        <v>46057</v>
      </c>
      <c r="E2575" t="s">
        <v>2605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24248</v>
      </c>
      <c r="M2575" t="s">
        <v>107</v>
      </c>
      <c r="O2575" t="s">
        <v>11</v>
      </c>
      <c r="P2575">
        <v>5102</v>
      </c>
      <c r="Q2575">
        <v>18</v>
      </c>
      <c r="R2575">
        <v>8</v>
      </c>
      <c r="S2575">
        <v>144</v>
      </c>
      <c r="T2575">
        <v>117</v>
      </c>
      <c r="U2575">
        <v>18.75</v>
      </c>
      <c r="V2575" t="str">
        <f>VLOOKUP(L2575,'[2]tabela de preços'!$A:$D,4,0)</f>
        <v>SHERWIN WILLIAMS</v>
      </c>
      <c r="W2575" t="str">
        <f>VLOOKUP(L2575,'[2]tabela de preços'!$A:$F,6,0)</f>
        <v>PRIMER AUTOMOTIVO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2604</v>
      </c>
      <c r="D2576" s="1">
        <v>46057</v>
      </c>
      <c r="E2576" t="s">
        <v>2605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23076</v>
      </c>
      <c r="M2576" t="s">
        <v>97</v>
      </c>
      <c r="O2576" t="s">
        <v>11</v>
      </c>
      <c r="P2576">
        <v>5403</v>
      </c>
      <c r="Q2576">
        <v>18</v>
      </c>
      <c r="R2576">
        <v>34.89</v>
      </c>
      <c r="S2576">
        <v>628.02</v>
      </c>
      <c r="T2576">
        <v>477.54</v>
      </c>
      <c r="U2576">
        <v>23.96</v>
      </c>
      <c r="V2576" t="str">
        <f>VLOOKUP(L2576,'[2]tabela de preços'!$A:$D,4,0)</f>
        <v>WANDA</v>
      </c>
      <c r="W2576" t="str">
        <f>VLOOKUP(L2576,'[2]tabela de preços'!$A:$F,6,0)</f>
        <v>PRIMER AUTOMOTIVO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2604</v>
      </c>
      <c r="D2577" s="1">
        <v>46057</v>
      </c>
      <c r="E2577" t="s">
        <v>2605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23602</v>
      </c>
      <c r="M2577" t="s">
        <v>215</v>
      </c>
      <c r="O2577" t="s">
        <v>11</v>
      </c>
      <c r="P2577">
        <v>5403</v>
      </c>
      <c r="Q2577">
        <v>6</v>
      </c>
      <c r="R2577">
        <v>35.89</v>
      </c>
      <c r="S2577">
        <v>215.34</v>
      </c>
      <c r="T2577">
        <v>175.5</v>
      </c>
      <c r="U2577">
        <v>18.5</v>
      </c>
      <c r="V2577" t="str">
        <f>VLOOKUP(L2577,'[2]tabela de preços'!$A:$D,4,0)</f>
        <v>SHERWIN WILLIAMS</v>
      </c>
      <c r="W2577" t="str">
        <f>VLOOKUP(L2577,'[2]tabela de preços'!$A:$F,6,0)</f>
        <v>VERNIZ AUTOMOTIVO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2604</v>
      </c>
      <c r="D2578" s="1">
        <v>46057</v>
      </c>
      <c r="E2578" t="s">
        <v>2605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10238</v>
      </c>
      <c r="M2578" t="s">
        <v>79</v>
      </c>
      <c r="O2578" t="s">
        <v>11</v>
      </c>
      <c r="P2578">
        <v>5102</v>
      </c>
      <c r="Q2578">
        <v>4</v>
      </c>
      <c r="R2578">
        <v>2.79</v>
      </c>
      <c r="S2578">
        <v>11.16</v>
      </c>
      <c r="T2578">
        <v>8.9600000000000009</v>
      </c>
      <c r="U2578">
        <v>19.71</v>
      </c>
      <c r="V2578" t="str">
        <f>VLOOKUP(L2578,'[2]tabela de preços'!$A:$D,4,0)</f>
        <v>NORTON</v>
      </c>
      <c r="W2578" t="str">
        <f>VLOOKUP(L2578,'[2]tabela de preços'!$A:$F,6,0)</f>
        <v xml:space="preserve">DISCOS / LIXAS / ABRASIVOS 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2604</v>
      </c>
      <c r="D2579" s="1">
        <v>46057</v>
      </c>
      <c r="E2579" t="s">
        <v>2605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10240</v>
      </c>
      <c r="M2579" t="s">
        <v>81</v>
      </c>
      <c r="O2579" t="s">
        <v>11</v>
      </c>
      <c r="P2579">
        <v>5102</v>
      </c>
      <c r="Q2579">
        <v>6</v>
      </c>
      <c r="R2579">
        <v>2.79</v>
      </c>
      <c r="S2579">
        <v>16.739999999999998</v>
      </c>
      <c r="T2579">
        <v>13.44</v>
      </c>
      <c r="U2579">
        <v>19.71</v>
      </c>
      <c r="V2579" t="str">
        <f>VLOOKUP(L2579,'[2]tabela de preços'!$A:$D,4,0)</f>
        <v>NORTON</v>
      </c>
      <c r="W2579" t="str">
        <f>VLOOKUP(L2579,'[2]tabela de preços'!$A:$F,6,0)</f>
        <v xml:space="preserve">DISCOS / LIXAS / ABRASIVOS 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2604</v>
      </c>
      <c r="D2580" s="1">
        <v>46057</v>
      </c>
      <c r="E2580" t="s">
        <v>2605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20817</v>
      </c>
      <c r="M2580" t="s">
        <v>153</v>
      </c>
      <c r="O2580" t="s">
        <v>11</v>
      </c>
      <c r="P2580">
        <v>5102</v>
      </c>
      <c r="Q2580">
        <v>4</v>
      </c>
      <c r="R2580">
        <v>22.89</v>
      </c>
      <c r="S2580">
        <v>91.56</v>
      </c>
      <c r="T2580">
        <v>74.48</v>
      </c>
      <c r="U2580">
        <v>18.649999999999999</v>
      </c>
      <c r="V2580" t="str">
        <f>VLOOKUP(L2580,'[2]tabela de preços'!$A:$D,4,0)</f>
        <v>AUTO AMERICA</v>
      </c>
      <c r="W2580" t="str">
        <f>VLOOKUP(L2580,'[2]tabela de preços'!$A:$F,6,0)</f>
        <v>MASSA DE POLIR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2604</v>
      </c>
      <c r="D2581" s="1">
        <v>46057</v>
      </c>
      <c r="E2581" t="s">
        <v>2605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21077</v>
      </c>
      <c r="M2581" t="s">
        <v>207</v>
      </c>
      <c r="O2581" t="s">
        <v>11</v>
      </c>
      <c r="P2581">
        <v>5102</v>
      </c>
      <c r="Q2581">
        <v>12</v>
      </c>
      <c r="R2581">
        <v>44.68</v>
      </c>
      <c r="S2581">
        <v>536.16</v>
      </c>
      <c r="T2581">
        <v>407.04</v>
      </c>
      <c r="U2581">
        <v>24.08</v>
      </c>
      <c r="V2581" t="str">
        <f>VLOOKUP(L2581,'[2]tabela de preços'!$A:$D,4,0)</f>
        <v>SHERWIN WILLIAMS</v>
      </c>
      <c r="W2581" t="str">
        <f>VLOOKUP(L2581,'[2]tabela de preços'!$A:$F,6,0)</f>
        <v>MASSA POLIÉSTER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2604</v>
      </c>
      <c r="D2582" s="1">
        <v>46057</v>
      </c>
      <c r="E2582" t="s">
        <v>2605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87043</v>
      </c>
      <c r="M2582" t="s">
        <v>217</v>
      </c>
      <c r="O2582" t="s">
        <v>11</v>
      </c>
      <c r="P2582">
        <v>5102</v>
      </c>
      <c r="Q2582">
        <v>8</v>
      </c>
      <c r="R2582">
        <v>21.95</v>
      </c>
      <c r="S2582">
        <v>175.6</v>
      </c>
      <c r="T2582">
        <v>144.16</v>
      </c>
      <c r="U2582">
        <v>17.899999999999999</v>
      </c>
      <c r="V2582" t="str">
        <f>VLOOKUP(L2582,'[2]tabela de preços'!$A:$D,4,0)</f>
        <v>ROBERLO</v>
      </c>
      <c r="W2582" t="str">
        <f>VLOOKUP(L2582,'[2]tabela de preços'!$A:$F,6,0)</f>
        <v>MASSA POLIÉSTER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2604</v>
      </c>
      <c r="D2583" s="1">
        <v>46057</v>
      </c>
      <c r="E2583" t="s">
        <v>2605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24247</v>
      </c>
      <c r="M2583" t="s">
        <v>160</v>
      </c>
      <c r="O2583" t="s">
        <v>11</v>
      </c>
      <c r="P2583">
        <v>5403</v>
      </c>
      <c r="Q2583">
        <v>18</v>
      </c>
      <c r="R2583">
        <v>21</v>
      </c>
      <c r="S2583">
        <v>378</v>
      </c>
      <c r="T2583">
        <v>303.66000000000003</v>
      </c>
      <c r="U2583">
        <v>19.670000000000002</v>
      </c>
      <c r="V2583" t="str">
        <f>VLOOKUP(L2583,'[2]tabela de preços'!$A:$D,4,0)</f>
        <v>SHERWIN WILLIAMS</v>
      </c>
      <c r="W2583" t="str">
        <f>VLOOKUP(L2583,'[2]tabela de preços'!$A:$F,6,0)</f>
        <v>PRIMER AUTOMOTIVO</v>
      </c>
      <c r="X2583" t="str">
        <f>VLOOKUP(L2583,'[2]tabela de preços'!$A:$G,7,0)</f>
        <v>AUTOMOTIVO</v>
      </c>
    </row>
    <row r="2584" spans="1:24" x14ac:dyDescent="0.3">
      <c r="A2584" t="s">
        <v>2753</v>
      </c>
      <c r="C2584" t="s">
        <v>2754</v>
      </c>
      <c r="D2584" s="1">
        <v>46059</v>
      </c>
      <c r="E2584" t="s">
        <v>2755</v>
      </c>
      <c r="F2584">
        <v>9</v>
      </c>
      <c r="G2584">
        <v>231</v>
      </c>
      <c r="H2584" t="str">
        <f>VLOOKUP(G2584,[1]OPERADORES!$A:$B,2,0)</f>
        <v>EDIJANE</v>
      </c>
      <c r="I2584" t="s">
        <v>21</v>
      </c>
      <c r="J2584" t="s">
        <v>2756</v>
      </c>
      <c r="K2584" t="s">
        <v>2757</v>
      </c>
      <c r="L2584">
        <v>85320</v>
      </c>
      <c r="M2584" t="s">
        <v>2758</v>
      </c>
      <c r="O2584" t="s">
        <v>11</v>
      </c>
      <c r="P2584">
        <v>5102</v>
      </c>
      <c r="Q2584">
        <v>4</v>
      </c>
      <c r="R2584">
        <v>513</v>
      </c>
      <c r="S2584" s="2">
        <v>2052</v>
      </c>
      <c r="T2584" s="2">
        <v>1615.16</v>
      </c>
      <c r="U2584">
        <v>21.29</v>
      </c>
      <c r="V2584" t="str">
        <f>VLOOKUP(L2584,'[2]tabela de preços'!$A:$D,4,0)</f>
        <v>BRASILUX</v>
      </c>
      <c r="W2584" t="str">
        <f>VLOOKUP(L2584,'[2]tabela de preços'!$A:$F,6,0)</f>
        <v>TINTA EM PÓ</v>
      </c>
      <c r="X2584" t="str">
        <f>VLOOKUP(L2584,'[2]tabela de preços'!$A:$G,7,0)</f>
        <v>INDUSTRIAL</v>
      </c>
    </row>
    <row r="2585" spans="1:24" x14ac:dyDescent="0.3">
      <c r="A2585" t="s">
        <v>2759</v>
      </c>
      <c r="C2585" t="s">
        <v>2760</v>
      </c>
      <c r="D2585" s="1">
        <v>46059</v>
      </c>
      <c r="E2585" t="s">
        <v>2761</v>
      </c>
      <c r="F2585">
        <v>9</v>
      </c>
      <c r="G2585">
        <v>236</v>
      </c>
      <c r="H2585" t="str">
        <f>VLOOKUP(G2585,[1]OPERADORES!$A:$B,2,0)</f>
        <v>DANIEL</v>
      </c>
      <c r="I2585" t="s">
        <v>21</v>
      </c>
      <c r="J2585" t="s">
        <v>66</v>
      </c>
      <c r="K2585" t="s">
        <v>2762</v>
      </c>
      <c r="L2585">
        <v>86541</v>
      </c>
      <c r="M2585" t="s">
        <v>2763</v>
      </c>
      <c r="O2585" t="s">
        <v>11</v>
      </c>
      <c r="P2585">
        <v>5102</v>
      </c>
      <c r="Q2585">
        <v>1</v>
      </c>
      <c r="R2585">
        <v>219.22</v>
      </c>
      <c r="S2585">
        <v>219.22</v>
      </c>
      <c r="T2585">
        <v>172.48</v>
      </c>
      <c r="U2585">
        <v>21.32</v>
      </c>
      <c r="V2585" t="str">
        <f>VLOOKUP(L2585,'[2]tabela de preços'!$A:$D,4,0)</f>
        <v>CORAL</v>
      </c>
      <c r="W2585" t="str">
        <f>VLOOKUP(L2585,'[2]tabela de preços'!$A:$F,6,0)</f>
        <v>MASSA CORRIDA / ACRÍLICA</v>
      </c>
      <c r="X2585" t="str">
        <f>VLOOKUP(L2585,'[2]tabela de preços'!$A:$G,7,0)</f>
        <v>IMOBILIÁRIO</v>
      </c>
    </row>
    <row r="2586" spans="1:24" x14ac:dyDescent="0.3">
      <c r="A2586" t="s">
        <v>2759</v>
      </c>
      <c r="C2586" t="s">
        <v>2760</v>
      </c>
      <c r="D2586" s="1">
        <v>46059</v>
      </c>
      <c r="E2586" t="s">
        <v>2761</v>
      </c>
      <c r="F2586">
        <v>9</v>
      </c>
      <c r="G2586">
        <v>236</v>
      </c>
      <c r="H2586" t="str">
        <f>VLOOKUP(G2586,[1]OPERADORES!$A:$B,2,0)</f>
        <v>DANIEL</v>
      </c>
      <c r="I2586" t="s">
        <v>21</v>
      </c>
      <c r="J2586" t="s">
        <v>66</v>
      </c>
      <c r="K2586" t="s">
        <v>2762</v>
      </c>
      <c r="L2586">
        <v>24241</v>
      </c>
      <c r="M2586" t="s">
        <v>233</v>
      </c>
      <c r="O2586" t="s">
        <v>11</v>
      </c>
      <c r="P2586">
        <v>5102</v>
      </c>
      <c r="Q2586">
        <v>3</v>
      </c>
      <c r="R2586">
        <v>12.2</v>
      </c>
      <c r="S2586">
        <v>36.6</v>
      </c>
      <c r="T2586">
        <v>27.78</v>
      </c>
      <c r="U2586">
        <v>24.1</v>
      </c>
      <c r="V2586" t="str">
        <f>VLOOKUP(L2586,'[2]tabela de preços'!$A:$D,4,0)</f>
        <v>ADERE</v>
      </c>
      <c r="W2586" t="str">
        <f>VLOOKUP(L2586,'[2]tabela de preços'!$A:$F,6,0)</f>
        <v>FITA AUTOMOTIVA</v>
      </c>
      <c r="X2586" t="str">
        <f>VLOOKUP(L2586,'[2]tabela de preços'!$A:$G,7,0)</f>
        <v>AUTOMOTIVO</v>
      </c>
    </row>
    <row r="2587" spans="1:24" x14ac:dyDescent="0.3">
      <c r="A2587" t="s">
        <v>2759</v>
      </c>
      <c r="C2587" t="s">
        <v>2760</v>
      </c>
      <c r="D2587" s="1">
        <v>46059</v>
      </c>
      <c r="E2587" t="s">
        <v>2761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66</v>
      </c>
      <c r="K2587" t="s">
        <v>2762</v>
      </c>
      <c r="L2587">
        <v>84020</v>
      </c>
      <c r="M2587" t="s">
        <v>518</v>
      </c>
      <c r="O2587" t="s">
        <v>11</v>
      </c>
      <c r="P2587">
        <v>5102</v>
      </c>
      <c r="Q2587">
        <v>4</v>
      </c>
      <c r="R2587">
        <v>0.96</v>
      </c>
      <c r="S2587">
        <v>3.84</v>
      </c>
      <c r="T2587">
        <v>2.76</v>
      </c>
      <c r="U2587">
        <v>28.13</v>
      </c>
      <c r="V2587" t="str">
        <f>VLOOKUP(L2587,'[2]tabela de preços'!$A:$D,4,0)</f>
        <v>3M</v>
      </c>
      <c r="W2587" t="str">
        <f>VLOOKUP(L2587,'[2]tabela de preços'!$A:$F,6,0)</f>
        <v>LIXA MASSA  /MADEIRA / PAREDE</v>
      </c>
      <c r="X2587" t="str">
        <f>VLOOKUP(L2587,'[2]tabela de preços'!$A:$G,7,0)</f>
        <v>IMOBILIÁRIO</v>
      </c>
    </row>
    <row r="2588" spans="1:24" x14ac:dyDescent="0.3">
      <c r="A2588" t="s">
        <v>2759</v>
      </c>
      <c r="C2588" t="s">
        <v>2760</v>
      </c>
      <c r="D2588" s="1">
        <v>46059</v>
      </c>
      <c r="E2588" t="s">
        <v>2761</v>
      </c>
      <c r="F2588">
        <v>9</v>
      </c>
      <c r="G2588">
        <v>236</v>
      </c>
      <c r="H2588" t="str">
        <f>VLOOKUP(G2588,[1]OPERADORES!$A:$B,2,0)</f>
        <v>DANIEL</v>
      </c>
      <c r="I2588" t="s">
        <v>21</v>
      </c>
      <c r="J2588" t="s">
        <v>66</v>
      </c>
      <c r="K2588" t="s">
        <v>2762</v>
      </c>
      <c r="L2588">
        <v>85139</v>
      </c>
      <c r="M2588" t="s">
        <v>45</v>
      </c>
      <c r="O2588" t="s">
        <v>46</v>
      </c>
      <c r="P2588">
        <v>5403</v>
      </c>
      <c r="Q2588">
        <v>1</v>
      </c>
      <c r="R2588">
        <v>106.91</v>
      </c>
      <c r="S2588">
        <v>106.91</v>
      </c>
      <c r="T2588">
        <v>78.38</v>
      </c>
      <c r="U2588">
        <v>26.69</v>
      </c>
      <c r="V2588" t="str">
        <f>VLOOKUP(L2588,'[2]tabela de preços'!$A:$D,4,0)</f>
        <v>MULTILONA</v>
      </c>
      <c r="W2588" t="str">
        <f>VLOOKUP(L2588,'[2]tabela de preços'!$A:$F,6,0)</f>
        <v>LONAS</v>
      </c>
      <c r="X2588" t="str">
        <f>VLOOKUP(L2588,'[2]tabela de preços'!$A:$G,7,0)</f>
        <v>IMOBILIÁRIO</v>
      </c>
    </row>
    <row r="2589" spans="1:24" x14ac:dyDescent="0.3">
      <c r="A2589" t="s">
        <v>727</v>
      </c>
      <c r="C2589" t="s">
        <v>2606</v>
      </c>
      <c r="D2589" s="1">
        <v>46057</v>
      </c>
      <c r="E2589" t="s">
        <v>2607</v>
      </c>
      <c r="F2589">
        <v>9</v>
      </c>
      <c r="G2589">
        <v>231</v>
      </c>
      <c r="H2589" t="str">
        <f>VLOOKUP(G2589,[1]OPERADORES!$A:$B,2,0)</f>
        <v>EDIJANE</v>
      </c>
      <c r="I2589" t="s">
        <v>21</v>
      </c>
      <c r="J2589" t="s">
        <v>730</v>
      </c>
      <c r="K2589" t="s">
        <v>731</v>
      </c>
      <c r="L2589">
        <v>84113</v>
      </c>
      <c r="M2589" t="s">
        <v>737</v>
      </c>
      <c r="O2589" t="s">
        <v>11</v>
      </c>
      <c r="P2589">
        <v>5403</v>
      </c>
      <c r="Q2589">
        <v>10</v>
      </c>
      <c r="R2589">
        <v>153.99</v>
      </c>
      <c r="S2589" s="2">
        <v>1539.9</v>
      </c>
      <c r="T2589" s="2">
        <v>1168.8</v>
      </c>
      <c r="U2589">
        <v>24.1</v>
      </c>
      <c r="V2589" t="str">
        <f>VLOOKUP(L2589,'[2]tabela de preços'!$A:$D,4,0)</f>
        <v>BRASILUX</v>
      </c>
      <c r="W2589" t="str">
        <f>VLOOKUP(L2589,'[2]tabela de preços'!$A:$F,6,0)</f>
        <v>EPOXI</v>
      </c>
      <c r="X2589" t="str">
        <f>VLOOKUP(L2589,'[2]tabela de preços'!$A:$G,7,0)</f>
        <v>INDUSTRIAL</v>
      </c>
    </row>
    <row r="2590" spans="1:24" x14ac:dyDescent="0.3">
      <c r="A2590" t="s">
        <v>770</v>
      </c>
      <c r="C2590" t="s">
        <v>2608</v>
      </c>
      <c r="D2590" s="1">
        <v>46058</v>
      </c>
      <c r="E2590" t="s">
        <v>2609</v>
      </c>
      <c r="F2590">
        <v>9</v>
      </c>
      <c r="G2590">
        <v>230</v>
      </c>
      <c r="H2590" t="str">
        <f>VLOOKUP(G2590,[1]OPERADORES!$A:$B,2,0)</f>
        <v>SÔNIA</v>
      </c>
      <c r="I2590" t="s">
        <v>21</v>
      </c>
      <c r="J2590" t="s">
        <v>397</v>
      </c>
      <c r="K2590" t="s">
        <v>773</v>
      </c>
      <c r="L2590">
        <v>84557</v>
      </c>
      <c r="M2590" t="s">
        <v>116</v>
      </c>
      <c r="O2590" t="s">
        <v>11</v>
      </c>
      <c r="P2590">
        <v>5102</v>
      </c>
      <c r="Q2590">
        <v>3</v>
      </c>
      <c r="R2590">
        <v>17.489999999999998</v>
      </c>
      <c r="S2590">
        <v>52.47</v>
      </c>
      <c r="T2590">
        <v>41.88</v>
      </c>
      <c r="U2590">
        <v>20.18</v>
      </c>
      <c r="V2590" t="str">
        <f>VLOOKUP(L2590,'[2]tabela de preços'!$A:$D,4,0)</f>
        <v>BRASILUX</v>
      </c>
      <c r="W2590" t="str">
        <f>VLOOKUP(L2590,'[2]tabela de preços'!$A:$F,6,0)</f>
        <v>DILUENTE</v>
      </c>
      <c r="X2590" t="str">
        <f>VLOOKUP(L2590,'[2]tabela de preços'!$A:$G,7,0)</f>
        <v>AUTOMOTIVO</v>
      </c>
    </row>
    <row r="2591" spans="1:24" x14ac:dyDescent="0.3">
      <c r="A2591" t="s">
        <v>770</v>
      </c>
      <c r="C2591" t="s">
        <v>2608</v>
      </c>
      <c r="D2591" s="1">
        <v>46058</v>
      </c>
      <c r="E2591" t="s">
        <v>2609</v>
      </c>
      <c r="F2591">
        <v>9</v>
      </c>
      <c r="G2591">
        <v>230</v>
      </c>
      <c r="H2591" t="str">
        <f>VLOOKUP(G2591,[1]OPERADORES!$A:$B,2,0)</f>
        <v>SÔNIA</v>
      </c>
      <c r="I2591" t="s">
        <v>21</v>
      </c>
      <c r="J2591" t="s">
        <v>397</v>
      </c>
      <c r="K2591" t="s">
        <v>773</v>
      </c>
      <c r="L2591">
        <v>23653</v>
      </c>
      <c r="M2591" t="s">
        <v>644</v>
      </c>
      <c r="O2591" t="s">
        <v>11</v>
      </c>
      <c r="P2591">
        <v>5102</v>
      </c>
      <c r="Q2591">
        <v>2</v>
      </c>
      <c r="R2591">
        <v>67.150000000000006</v>
      </c>
      <c r="S2591">
        <v>134.30000000000001</v>
      </c>
      <c r="T2591">
        <v>101.94</v>
      </c>
      <c r="U2591">
        <v>24.1</v>
      </c>
      <c r="V2591" t="str">
        <f>VLOOKUP(L2591,'[2]tabela de preços'!$A:$D,4,0)</f>
        <v>SIKKENS</v>
      </c>
      <c r="W2591" t="str">
        <f>VLOOKUP(L2591,'[2]tabela de preços'!$A:$F,6,0)</f>
        <v>CATALISADORES INDIVIDUAS</v>
      </c>
      <c r="X2591" t="str">
        <f>VLOOKUP(L2591,'[2]tabela de preços'!$A:$G,7,0)</f>
        <v>AUTOMOTIVO</v>
      </c>
    </row>
    <row r="2592" spans="1:24" x14ac:dyDescent="0.3">
      <c r="A2592" t="s">
        <v>770</v>
      </c>
      <c r="C2592" t="s">
        <v>2608</v>
      </c>
      <c r="D2592" s="1">
        <v>46058</v>
      </c>
      <c r="E2592" t="s">
        <v>2609</v>
      </c>
      <c r="F2592">
        <v>9</v>
      </c>
      <c r="G2592">
        <v>230</v>
      </c>
      <c r="H2592" t="str">
        <f>VLOOKUP(G2592,[1]OPERADORES!$A:$B,2,0)</f>
        <v>SÔNIA</v>
      </c>
      <c r="I2592" t="s">
        <v>21</v>
      </c>
      <c r="J2592" t="s">
        <v>397</v>
      </c>
      <c r="K2592" t="s">
        <v>773</v>
      </c>
      <c r="L2592">
        <v>23926</v>
      </c>
      <c r="M2592" t="s">
        <v>645</v>
      </c>
      <c r="O2592" t="s">
        <v>11</v>
      </c>
      <c r="P2592">
        <v>5403</v>
      </c>
      <c r="Q2592">
        <v>1</v>
      </c>
      <c r="R2592">
        <v>147.1</v>
      </c>
      <c r="S2592">
        <v>147.1</v>
      </c>
      <c r="T2592">
        <v>98.89</v>
      </c>
      <c r="U2592">
        <v>32.770000000000003</v>
      </c>
      <c r="V2592" t="str">
        <f>VLOOKUP(L2592,'[2]tabela de preços'!$A:$D,4,0)</f>
        <v>SIKKENS</v>
      </c>
      <c r="W2592" t="str">
        <f>VLOOKUP(L2592,'[2]tabela de preços'!$A:$F,6,0)</f>
        <v>PRIMER AUTOMOTIVO</v>
      </c>
      <c r="X2592" t="str">
        <f>VLOOKUP(L2592,'[2]tabela de preços'!$A:$G,7,0)</f>
        <v>AUTOMOTIVO</v>
      </c>
    </row>
    <row r="2593" spans="1:24" x14ac:dyDescent="0.3">
      <c r="A2593" t="s">
        <v>2488</v>
      </c>
      <c r="B2593" t="s">
        <v>2489</v>
      </c>
      <c r="C2593" t="s">
        <v>2490</v>
      </c>
      <c r="D2593" s="1">
        <v>46056</v>
      </c>
      <c r="E2593" t="s">
        <v>2491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282</v>
      </c>
      <c r="J2593" t="s">
        <v>2492</v>
      </c>
      <c r="K2593" t="s">
        <v>2493</v>
      </c>
      <c r="L2593">
        <v>85135</v>
      </c>
      <c r="M2593" t="s">
        <v>2494</v>
      </c>
      <c r="O2593" t="s">
        <v>11</v>
      </c>
      <c r="P2593">
        <v>6403</v>
      </c>
      <c r="Q2593">
        <v>16</v>
      </c>
      <c r="R2593">
        <v>147.53</v>
      </c>
      <c r="S2593" s="2">
        <v>2360.48</v>
      </c>
      <c r="T2593" s="2">
        <v>1430.56</v>
      </c>
      <c r="U2593">
        <v>39.4</v>
      </c>
      <c r="V2593" t="str">
        <f>VLOOKUP(L2593,'[2]tabela de preços'!$A:$D,4,0)</f>
        <v>BRASILUX</v>
      </c>
      <c r="W2593" t="str">
        <f>VLOOKUP(L2593,'[2]tabela de preços'!$A:$F,6,0)</f>
        <v>TINTA DE LABORATÓRIO</v>
      </c>
      <c r="X2593" t="str">
        <f>VLOOKUP(L2593,'[2]tabela de preços'!$A:$G,7,0)</f>
        <v>AUTOMOTIVO</v>
      </c>
    </row>
    <row r="2594" spans="1:24" x14ac:dyDescent="0.3">
      <c r="A2594" t="s">
        <v>2488</v>
      </c>
      <c r="B2594" t="s">
        <v>2489</v>
      </c>
      <c r="C2594" t="s">
        <v>2490</v>
      </c>
      <c r="D2594" s="1">
        <v>46056</v>
      </c>
      <c r="E2594" t="s">
        <v>2491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282</v>
      </c>
      <c r="J2594" t="s">
        <v>2492</v>
      </c>
      <c r="K2594" t="s">
        <v>2493</v>
      </c>
      <c r="L2594">
        <v>85280</v>
      </c>
      <c r="M2594" t="s">
        <v>943</v>
      </c>
      <c r="O2594" t="s">
        <v>11</v>
      </c>
      <c r="P2594">
        <v>6102</v>
      </c>
      <c r="Q2594">
        <v>16</v>
      </c>
      <c r="R2594">
        <v>55.72</v>
      </c>
      <c r="S2594">
        <v>891.52</v>
      </c>
      <c r="T2594">
        <v>676.64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CATALISADORES INDIVIDUAIS</v>
      </c>
      <c r="X2594" t="str">
        <f>VLOOKUP(L2594,'[2]tabela de preços'!$A:$G,7,0)</f>
        <v>IMOBILIÁRIO</v>
      </c>
    </row>
    <row r="2595" spans="1:24" x14ac:dyDescent="0.3">
      <c r="A2595" t="s">
        <v>2488</v>
      </c>
      <c r="B2595" t="s">
        <v>2489</v>
      </c>
      <c r="C2595" t="s">
        <v>2490</v>
      </c>
      <c r="D2595" s="1">
        <v>46056</v>
      </c>
      <c r="E2595" t="s">
        <v>2491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282</v>
      </c>
      <c r="J2595" t="s">
        <v>2492</v>
      </c>
      <c r="K2595" t="s">
        <v>2493</v>
      </c>
      <c r="L2595">
        <v>10277</v>
      </c>
      <c r="M2595" t="s">
        <v>135</v>
      </c>
      <c r="O2595" t="s">
        <v>11</v>
      </c>
      <c r="P2595">
        <v>6102</v>
      </c>
      <c r="Q2595">
        <v>30</v>
      </c>
      <c r="R2595">
        <v>15.89</v>
      </c>
      <c r="S2595">
        <v>476.7</v>
      </c>
      <c r="T2595">
        <v>386.4</v>
      </c>
      <c r="U2595">
        <v>18.940000000000001</v>
      </c>
      <c r="V2595" t="str">
        <f>VLOOKUP(L2595,'[2]tabela de preços'!$A:$D,4,0)</f>
        <v>RETOQUE</v>
      </c>
      <c r="W2595" t="str">
        <f>VLOOKUP(L2595,'[2]tabela de preços'!$A:$F,6,0)</f>
        <v xml:space="preserve">COLA  PLÁSTICA </v>
      </c>
      <c r="X2595" t="str">
        <f>VLOOKUP(L2595,'[2]tabela de preços'!$A:$G,7,0)</f>
        <v>AUTOMOTIVO</v>
      </c>
    </row>
    <row r="2596" spans="1:24" x14ac:dyDescent="0.3">
      <c r="A2596" t="s">
        <v>2495</v>
      </c>
      <c r="C2596" t="s">
        <v>2496</v>
      </c>
      <c r="D2596" s="1">
        <v>46056</v>
      </c>
      <c r="E2596" t="s">
        <v>2497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2498</v>
      </c>
      <c r="K2596" t="s">
        <v>2499</v>
      </c>
      <c r="L2596">
        <v>23069</v>
      </c>
      <c r="M2596" t="s">
        <v>2500</v>
      </c>
      <c r="O2596" t="s">
        <v>11</v>
      </c>
      <c r="P2596">
        <v>5403</v>
      </c>
      <c r="Q2596">
        <v>6</v>
      </c>
      <c r="R2596">
        <v>46.54</v>
      </c>
      <c r="S2596">
        <v>279.24</v>
      </c>
      <c r="T2596">
        <v>204.72</v>
      </c>
      <c r="U2596">
        <v>26.69</v>
      </c>
      <c r="V2596" t="str">
        <f>VLOOKUP(L2596,'[2]tabela de preços'!$A:$D,4,0)</f>
        <v>WANDA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2495</v>
      </c>
      <c r="C2597" t="s">
        <v>2764</v>
      </c>
      <c r="D2597" s="1">
        <v>46059</v>
      </c>
      <c r="E2597" t="s">
        <v>2765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2498</v>
      </c>
      <c r="K2597" t="s">
        <v>2499</v>
      </c>
      <c r="L2597">
        <v>84565</v>
      </c>
      <c r="M2597" t="s">
        <v>236</v>
      </c>
      <c r="O2597" t="s">
        <v>11</v>
      </c>
      <c r="P2597">
        <v>5102</v>
      </c>
      <c r="Q2597">
        <v>1</v>
      </c>
      <c r="R2597">
        <v>9.24</v>
      </c>
      <c r="S2597">
        <v>9.24</v>
      </c>
      <c r="T2597">
        <v>7.01</v>
      </c>
      <c r="U2597">
        <v>24.13</v>
      </c>
      <c r="V2597" t="str">
        <f>VLOOKUP(L2597,'[2]tabela de preços'!$A:$D,4,0)</f>
        <v>BRASILUX</v>
      </c>
      <c r="W2597" t="str">
        <f>VLOOKUP(L2597,'[2]tabela de preços'!$A:$F,6,0)</f>
        <v>PRETO FOSCO VINÍLICO</v>
      </c>
      <c r="X2597" t="str">
        <f>VLOOKUP(L2597,'[2]tabela de preços'!$A:$G,7,0)</f>
        <v>AUTOMOTIVO</v>
      </c>
    </row>
    <row r="2598" spans="1:24" x14ac:dyDescent="0.3">
      <c r="A2598" t="s">
        <v>2495</v>
      </c>
      <c r="C2598" t="s">
        <v>2764</v>
      </c>
      <c r="D2598" s="1">
        <v>46059</v>
      </c>
      <c r="E2598" t="s">
        <v>2765</v>
      </c>
      <c r="F2598">
        <v>9</v>
      </c>
      <c r="G2598">
        <v>236</v>
      </c>
      <c r="H2598" t="str">
        <f>VLOOKUP(G2598,[1]OPERADORES!$A:$B,2,0)</f>
        <v>DANIEL</v>
      </c>
      <c r="I2598" t="s">
        <v>21</v>
      </c>
      <c r="J2598" t="s">
        <v>2498</v>
      </c>
      <c r="K2598" t="s">
        <v>2499</v>
      </c>
      <c r="L2598">
        <v>20461</v>
      </c>
      <c r="M2598" t="s">
        <v>1085</v>
      </c>
      <c r="O2598" t="s">
        <v>11</v>
      </c>
      <c r="P2598">
        <v>5102</v>
      </c>
      <c r="Q2598">
        <v>6</v>
      </c>
      <c r="R2598">
        <v>57.23</v>
      </c>
      <c r="S2598">
        <v>343.38</v>
      </c>
      <c r="T2598">
        <v>260.64</v>
      </c>
      <c r="U2598">
        <v>24.1</v>
      </c>
      <c r="V2598" t="str">
        <f>VLOOKUP(L2598,'[2]tabela de preços'!$A:$D,4,0)</f>
        <v>SHERWIN WILLIAMS</v>
      </c>
      <c r="W2598" t="str">
        <f>VLOOKUP(L2598,'[2]tabela de preços'!$A:$F,6,0)</f>
        <v>VERNIZ AUTOMOTIVO</v>
      </c>
      <c r="X2598" t="str">
        <f>VLOOKUP(L2598,'[2]tabela de preços'!$A:$G,7,0)</f>
        <v>AUTOMOTIVO</v>
      </c>
    </row>
    <row r="2599" spans="1:24" x14ac:dyDescent="0.3">
      <c r="A2599" t="s">
        <v>2495</v>
      </c>
      <c r="C2599" t="s">
        <v>2764</v>
      </c>
      <c r="D2599" s="1">
        <v>46059</v>
      </c>
      <c r="E2599" t="s">
        <v>2765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2498</v>
      </c>
      <c r="K2599" t="s">
        <v>2499</v>
      </c>
      <c r="L2599">
        <v>84864</v>
      </c>
      <c r="M2599" t="s">
        <v>2766</v>
      </c>
      <c r="O2599" t="s">
        <v>11</v>
      </c>
      <c r="P2599">
        <v>5403</v>
      </c>
      <c r="Q2599">
        <v>2</v>
      </c>
      <c r="R2599">
        <v>22.04</v>
      </c>
      <c r="S2599">
        <v>44.08</v>
      </c>
      <c r="T2599">
        <v>33.46</v>
      </c>
      <c r="U2599">
        <v>24.09</v>
      </c>
      <c r="V2599" t="str">
        <f>VLOOKUP(L2599,'[2]tabela de preços'!$A:$D,4,0)</f>
        <v>BRASILUX</v>
      </c>
      <c r="W2599" t="str">
        <f>VLOOKUP(L2599,'[2]tabela de preços'!$A:$F,6,0)</f>
        <v>ESMALTES</v>
      </c>
      <c r="X2599" t="str">
        <f>VLOOKUP(L2599,'[2]tabela de preços'!$A:$G,7,0)</f>
        <v>INDUSTRIAL</v>
      </c>
    </row>
    <row r="2600" spans="1:24" x14ac:dyDescent="0.3">
      <c r="A2600" t="s">
        <v>2495</v>
      </c>
      <c r="C2600" t="s">
        <v>2764</v>
      </c>
      <c r="D2600" s="1">
        <v>46059</v>
      </c>
      <c r="E2600" t="s">
        <v>2765</v>
      </c>
      <c r="F2600">
        <v>9</v>
      </c>
      <c r="G2600">
        <v>236</v>
      </c>
      <c r="H2600" t="str">
        <f>VLOOKUP(G2600,[1]OPERADORES!$A:$B,2,0)</f>
        <v>DANIEL</v>
      </c>
      <c r="I2600" t="s">
        <v>21</v>
      </c>
      <c r="J2600" t="s">
        <v>2498</v>
      </c>
      <c r="K2600" t="s">
        <v>2499</v>
      </c>
      <c r="L2600">
        <v>21037</v>
      </c>
      <c r="M2600" t="s">
        <v>108</v>
      </c>
      <c r="O2600" t="s">
        <v>11</v>
      </c>
      <c r="P2600">
        <v>5102</v>
      </c>
      <c r="Q2600">
        <v>4</v>
      </c>
      <c r="R2600">
        <v>17.03</v>
      </c>
      <c r="S2600">
        <v>68.12</v>
      </c>
      <c r="T2600">
        <v>51.68</v>
      </c>
      <c r="U2600">
        <v>24.13</v>
      </c>
      <c r="V2600" t="str">
        <f>VLOOKUP(L2600,'[2]tabela de preços'!$A:$D,4,0)</f>
        <v>SHERWIN WILLIAMS</v>
      </c>
      <c r="W2600" t="str">
        <f>VLOOKUP(L2600,'[2]tabela de preços'!$A:$F,6,0)</f>
        <v>CATALISADORES INDIVIDUAS</v>
      </c>
      <c r="X2600" t="str">
        <f>VLOOKUP(L2600,'[2]tabela de preços'!$A:$G,7,0)</f>
        <v>AUTOMOTIVO</v>
      </c>
    </row>
    <row r="2601" spans="1:24" x14ac:dyDescent="0.3">
      <c r="A2601" t="s">
        <v>2495</v>
      </c>
      <c r="C2601" t="s">
        <v>2764</v>
      </c>
      <c r="D2601" s="1">
        <v>46059</v>
      </c>
      <c r="E2601" t="s">
        <v>2765</v>
      </c>
      <c r="F2601">
        <v>9</v>
      </c>
      <c r="G2601">
        <v>236</v>
      </c>
      <c r="H2601" t="str">
        <f>VLOOKUP(G2601,[1]OPERADORES!$A:$B,2,0)</f>
        <v>DANIEL</v>
      </c>
      <c r="I2601" t="s">
        <v>21</v>
      </c>
      <c r="J2601" t="s">
        <v>2498</v>
      </c>
      <c r="K2601" t="s">
        <v>2499</v>
      </c>
      <c r="L2601">
        <v>20321</v>
      </c>
      <c r="M2601" t="s">
        <v>639</v>
      </c>
      <c r="O2601" t="s">
        <v>11</v>
      </c>
      <c r="P2601">
        <v>5403</v>
      </c>
      <c r="Q2601">
        <v>10</v>
      </c>
      <c r="R2601">
        <v>34.6</v>
      </c>
      <c r="S2601">
        <v>346</v>
      </c>
      <c r="T2601">
        <v>246.7</v>
      </c>
      <c r="U2601">
        <v>28.7</v>
      </c>
      <c r="V2601" t="str">
        <f>VLOOKUP(L2601,'[2]tabela de preços'!$A:$D,4,0)</f>
        <v>SHERWIN WILLIAMS</v>
      </c>
      <c r="W2601" t="str">
        <f>VLOOKUP(L2601,'[2]tabela de preços'!$A:$F,6,0)</f>
        <v>TINTAS POLIÉSTER</v>
      </c>
      <c r="X2601" t="str">
        <f>VLOOKUP(L2601,'[2]tabela de preços'!$A:$G,7,0)</f>
        <v>AUTOMOTIVO</v>
      </c>
    </row>
    <row r="2602" spans="1:24" x14ac:dyDescent="0.3">
      <c r="A2602" t="s">
        <v>2495</v>
      </c>
      <c r="C2602" t="s">
        <v>2764</v>
      </c>
      <c r="D2602" s="1">
        <v>46059</v>
      </c>
      <c r="E2602" t="s">
        <v>2765</v>
      </c>
      <c r="F2602">
        <v>9</v>
      </c>
      <c r="G2602">
        <v>236</v>
      </c>
      <c r="H2602" t="str">
        <f>VLOOKUP(G2602,[1]OPERADORES!$A:$B,2,0)</f>
        <v>DANIEL</v>
      </c>
      <c r="I2602" t="s">
        <v>21</v>
      </c>
      <c r="J2602" t="s">
        <v>2498</v>
      </c>
      <c r="K2602" t="s">
        <v>2499</v>
      </c>
      <c r="L2602">
        <v>87105</v>
      </c>
      <c r="M2602" t="s">
        <v>2767</v>
      </c>
      <c r="O2602" t="s">
        <v>11</v>
      </c>
      <c r="P2602">
        <v>5102</v>
      </c>
      <c r="Q2602">
        <v>4</v>
      </c>
      <c r="R2602">
        <v>35.049999999999997</v>
      </c>
      <c r="S2602">
        <v>140.19999999999999</v>
      </c>
      <c r="T2602">
        <v>106.4</v>
      </c>
      <c r="U2602">
        <v>24.11</v>
      </c>
      <c r="V2602" t="str">
        <f>VLOOKUP(L2602,'[2]tabela de preços'!$A:$D,4,0)</f>
        <v>SHERWIN WILLIAMS</v>
      </c>
      <c r="W2602" t="str">
        <f>VLOOKUP(L2602,'[2]tabela de preços'!$A:$F,6,0)</f>
        <v>TINTAS POLIÉSTER</v>
      </c>
      <c r="X2602" t="str">
        <f>VLOOKUP(L2602,'[2]tabela de preços'!$A:$G,7,0)</f>
        <v>AUTOMOTIVO</v>
      </c>
    </row>
    <row r="2603" spans="1:24" x14ac:dyDescent="0.3">
      <c r="A2603" t="s">
        <v>2495</v>
      </c>
      <c r="C2603" t="s">
        <v>2764</v>
      </c>
      <c r="D2603" s="1">
        <v>46059</v>
      </c>
      <c r="E2603" t="s">
        <v>2765</v>
      </c>
      <c r="F2603">
        <v>9</v>
      </c>
      <c r="G2603">
        <v>236</v>
      </c>
      <c r="H2603" t="str">
        <f>VLOOKUP(G2603,[1]OPERADORES!$A:$B,2,0)</f>
        <v>DANIEL</v>
      </c>
      <c r="I2603" t="s">
        <v>21</v>
      </c>
      <c r="J2603" t="s">
        <v>2498</v>
      </c>
      <c r="K2603" t="s">
        <v>2499</v>
      </c>
      <c r="L2603">
        <v>20454</v>
      </c>
      <c r="M2603" t="s">
        <v>1086</v>
      </c>
      <c r="O2603" t="s">
        <v>11</v>
      </c>
      <c r="P2603">
        <v>5403</v>
      </c>
      <c r="Q2603">
        <v>2</v>
      </c>
      <c r="R2603">
        <v>184.14</v>
      </c>
      <c r="S2603">
        <v>368.28</v>
      </c>
      <c r="T2603">
        <v>279.54000000000002</v>
      </c>
      <c r="U2603">
        <v>24.1</v>
      </c>
      <c r="V2603" t="str">
        <f>VLOOKUP(L2603,'[2]tabela de preços'!$A:$D,4,0)</f>
        <v>SHERWIN WILLIAMS</v>
      </c>
      <c r="W2603" t="str">
        <f>VLOOKUP(L2603,'[2]tabela de preços'!$A:$F,6,0)</f>
        <v>VERNIZ AUTOMOTIVO</v>
      </c>
      <c r="X2603" t="str">
        <f>VLOOKUP(L2603,'[2]tabela de preços'!$A:$G,7,0)</f>
        <v>AUTOMOTIVO</v>
      </c>
    </row>
    <row r="2604" spans="1:24" x14ac:dyDescent="0.3">
      <c r="A2604" t="s">
        <v>2495</v>
      </c>
      <c r="C2604" t="s">
        <v>2764</v>
      </c>
      <c r="D2604" s="1">
        <v>46059</v>
      </c>
      <c r="E2604" t="s">
        <v>2765</v>
      </c>
      <c r="F2604">
        <v>9</v>
      </c>
      <c r="G2604">
        <v>236</v>
      </c>
      <c r="H2604" t="str">
        <f>VLOOKUP(G2604,[1]OPERADORES!$A:$B,2,0)</f>
        <v>DANIEL</v>
      </c>
      <c r="I2604" t="s">
        <v>21</v>
      </c>
      <c r="J2604" t="s">
        <v>2498</v>
      </c>
      <c r="K2604" t="s">
        <v>2499</v>
      </c>
      <c r="L2604">
        <v>85363</v>
      </c>
      <c r="M2604" t="s">
        <v>237</v>
      </c>
      <c r="O2604" t="s">
        <v>11</v>
      </c>
      <c r="P2604">
        <v>5102</v>
      </c>
      <c r="Q2604">
        <v>1</v>
      </c>
      <c r="R2604">
        <v>23.95</v>
      </c>
      <c r="S2604">
        <v>23.95</v>
      </c>
      <c r="T2604">
        <v>18.18</v>
      </c>
      <c r="U2604">
        <v>24.09</v>
      </c>
      <c r="V2604" t="str">
        <f>VLOOKUP(L2604,'[2]tabela de preços'!$A:$D,4,0)</f>
        <v>BRASILUX</v>
      </c>
      <c r="W2604" t="str">
        <f>VLOOKUP(L2604,'[2]tabela de preços'!$A:$F,6,0)</f>
        <v>PRETO FOSCO VINÍLICO</v>
      </c>
      <c r="X2604" t="str">
        <f>VLOOKUP(L2604,'[2]tabela de preços'!$A:$G,7,0)</f>
        <v>AUTOMOTIVO</v>
      </c>
    </row>
    <row r="2605" spans="1:24" x14ac:dyDescent="0.3">
      <c r="A2605" t="s">
        <v>2610</v>
      </c>
      <c r="C2605" t="s">
        <v>2611</v>
      </c>
      <c r="D2605" s="1">
        <v>46057</v>
      </c>
      <c r="E2605" t="s">
        <v>2612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372</v>
      </c>
      <c r="K2605" t="s">
        <v>2613</v>
      </c>
      <c r="L2605">
        <v>84384</v>
      </c>
      <c r="M2605" t="s">
        <v>1529</v>
      </c>
      <c r="O2605" t="s">
        <v>11</v>
      </c>
      <c r="P2605">
        <v>5403</v>
      </c>
      <c r="Q2605">
        <v>6</v>
      </c>
      <c r="R2605">
        <v>159.9</v>
      </c>
      <c r="S2605">
        <v>959.4</v>
      </c>
      <c r="T2605">
        <v>825.66</v>
      </c>
      <c r="U2605">
        <v>13.94</v>
      </c>
      <c r="V2605" t="str">
        <f>VLOOKUP(L2605,'[2]tabela de preços'!$A:$D,4,0)</f>
        <v>BRASILUX</v>
      </c>
      <c r="W2605" t="str">
        <f>VLOOKUP(L2605,'[2]tabela de preços'!$A:$F,6,0)</f>
        <v>TINTA PARA PISO</v>
      </c>
      <c r="X2605" t="str">
        <f>VLOOKUP(L2605,'[2]tabela de preços'!$A:$G,7,0)</f>
        <v>IMOBILIÁRIO</v>
      </c>
    </row>
    <row r="2606" spans="1:24" x14ac:dyDescent="0.3">
      <c r="A2606" t="s">
        <v>2610</v>
      </c>
      <c r="C2606" t="s">
        <v>2768</v>
      </c>
      <c r="D2606" s="1">
        <v>46059</v>
      </c>
      <c r="E2606" t="s">
        <v>2769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372</v>
      </c>
      <c r="K2606" t="s">
        <v>2613</v>
      </c>
      <c r="L2606">
        <v>84382</v>
      </c>
      <c r="M2606" t="s">
        <v>835</v>
      </c>
      <c r="O2606" t="s">
        <v>11</v>
      </c>
      <c r="P2606">
        <v>5403</v>
      </c>
      <c r="Q2606">
        <v>5</v>
      </c>
      <c r="R2606">
        <v>159.9</v>
      </c>
      <c r="S2606">
        <v>799.5</v>
      </c>
      <c r="T2606">
        <v>688.05</v>
      </c>
      <c r="U2606">
        <v>13.94</v>
      </c>
      <c r="V2606" t="str">
        <f>VLOOKUP(L2606,'[2]tabela de preços'!$A:$D,4,0)</f>
        <v>BRASILUX</v>
      </c>
      <c r="W2606" t="str">
        <f>VLOOKUP(L2606,'[2]tabela de preços'!$A:$F,6,0)</f>
        <v>TINTA PARA PISO</v>
      </c>
      <c r="X2606" t="str">
        <f>VLOOKUP(L2606,'[2]tabela de preços'!$A:$G,7,0)</f>
        <v>IMOBILIÁRIO</v>
      </c>
    </row>
    <row r="2607" spans="1:24" x14ac:dyDescent="0.3">
      <c r="A2607" t="s">
        <v>2610</v>
      </c>
      <c r="C2607" t="s">
        <v>2768</v>
      </c>
      <c r="D2607" s="1">
        <v>46059</v>
      </c>
      <c r="E2607" t="s">
        <v>2769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372</v>
      </c>
      <c r="K2607" t="s">
        <v>2613</v>
      </c>
      <c r="L2607">
        <v>84824</v>
      </c>
      <c r="M2607" t="s">
        <v>1242</v>
      </c>
      <c r="O2607" t="s">
        <v>11</v>
      </c>
      <c r="P2607">
        <v>5102</v>
      </c>
      <c r="Q2607">
        <v>3</v>
      </c>
      <c r="R2607">
        <v>335.76</v>
      </c>
      <c r="S2607" s="2">
        <v>1007.28</v>
      </c>
      <c r="T2607">
        <v>738.48</v>
      </c>
      <c r="U2607">
        <v>26.69</v>
      </c>
      <c r="V2607" t="str">
        <f>VLOOKUP(L2607,'[2]tabela de preços'!$A:$D,4,0)</f>
        <v>BRASILUX</v>
      </c>
      <c r="W2607" t="str">
        <f>VLOOKUP(L2607,'[2]tabela de preços'!$A:$F,6,0)</f>
        <v>DILUENTE</v>
      </c>
      <c r="X2607" t="str">
        <f>VLOOKUP(L2607,'[2]tabela de preços'!$A:$G,7,0)</f>
        <v>AUTOMOTIVO</v>
      </c>
    </row>
    <row r="2608" spans="1:24" x14ac:dyDescent="0.3">
      <c r="A2608" t="s">
        <v>2610</v>
      </c>
      <c r="C2608" t="s">
        <v>2768</v>
      </c>
      <c r="D2608" s="1">
        <v>46059</v>
      </c>
      <c r="E2608" t="s">
        <v>2769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372</v>
      </c>
      <c r="K2608" t="s">
        <v>2613</v>
      </c>
      <c r="L2608">
        <v>84928</v>
      </c>
      <c r="M2608" t="s">
        <v>36</v>
      </c>
      <c r="O2608" t="s">
        <v>11</v>
      </c>
      <c r="P2608">
        <v>5102</v>
      </c>
      <c r="Q2608">
        <v>35</v>
      </c>
      <c r="R2608">
        <v>9.7200000000000006</v>
      </c>
      <c r="S2608">
        <v>340.2</v>
      </c>
      <c r="T2608">
        <v>249.55</v>
      </c>
      <c r="U2608">
        <v>26.65</v>
      </c>
      <c r="V2608" t="str">
        <f>VLOOKUP(L2608,'[2]tabela de preços'!$A:$D,4,0)</f>
        <v>ADERE</v>
      </c>
      <c r="W2608" t="str">
        <f>VLOOKUP(L2608,'[2]tabela de preços'!$A:$F,6,0)</f>
        <v xml:space="preserve">FITA DE USO GERAL </v>
      </c>
      <c r="X2608" t="str">
        <f>VLOOKUP(L2608,'[2]tabela de preços'!$A:$G,7,0)</f>
        <v>IMOBILIÁRIO</v>
      </c>
    </row>
    <row r="2609" spans="1:24" x14ac:dyDescent="0.3">
      <c r="A2609" t="s">
        <v>2610</v>
      </c>
      <c r="C2609" t="s">
        <v>2768</v>
      </c>
      <c r="D2609" s="1">
        <v>46059</v>
      </c>
      <c r="E2609" t="s">
        <v>2769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372</v>
      </c>
      <c r="K2609" t="s">
        <v>2613</v>
      </c>
      <c r="L2609">
        <v>23878</v>
      </c>
      <c r="M2609" t="s">
        <v>851</v>
      </c>
      <c r="O2609" t="s">
        <v>11</v>
      </c>
      <c r="P2609">
        <v>5102</v>
      </c>
      <c r="Q2609">
        <v>23</v>
      </c>
      <c r="R2609">
        <v>8.6999999999999993</v>
      </c>
      <c r="S2609">
        <v>200.1</v>
      </c>
      <c r="T2609">
        <v>134.32</v>
      </c>
      <c r="U2609">
        <v>32.869999999999997</v>
      </c>
      <c r="V2609" t="str">
        <f>VLOOKUP(L2609,'[2]tabela de preços'!$A:$D,4,0)</f>
        <v>ATLAS</v>
      </c>
      <c r="W2609" t="str">
        <f>VLOOKUP(L2609,'[2]tabela de preços'!$A:$F,6,0)</f>
        <v>ROLOS / TRINCHAS / PINCÉIS / ESPÁTULAS</v>
      </c>
      <c r="X2609" t="str">
        <f>VLOOKUP(L2609,'[2]tabela de preços'!$A:$G,7,0)</f>
        <v>IMOBILIÁRIO</v>
      </c>
    </row>
    <row r="2610" spans="1:24" x14ac:dyDescent="0.3">
      <c r="A2610" t="s">
        <v>2610</v>
      </c>
      <c r="C2610" t="s">
        <v>2768</v>
      </c>
      <c r="D2610" s="1">
        <v>46059</v>
      </c>
      <c r="E2610" t="s">
        <v>2769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372</v>
      </c>
      <c r="K2610" t="s">
        <v>2613</v>
      </c>
      <c r="L2610">
        <v>84785</v>
      </c>
      <c r="M2610" t="s">
        <v>944</v>
      </c>
      <c r="O2610" t="s">
        <v>11</v>
      </c>
      <c r="P2610">
        <v>5403</v>
      </c>
      <c r="Q2610">
        <v>24</v>
      </c>
      <c r="R2610">
        <v>178.31</v>
      </c>
      <c r="S2610" s="2">
        <v>4279.4399999999996</v>
      </c>
      <c r="T2610" s="2">
        <v>3137.28</v>
      </c>
      <c r="U2610">
        <v>26.69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2610</v>
      </c>
      <c r="C2611" t="s">
        <v>2768</v>
      </c>
      <c r="D2611" s="1">
        <v>46059</v>
      </c>
      <c r="E2611" t="s">
        <v>2769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372</v>
      </c>
      <c r="K2611" t="s">
        <v>2613</v>
      </c>
      <c r="L2611">
        <v>84423</v>
      </c>
      <c r="M2611" t="s">
        <v>1198</v>
      </c>
      <c r="O2611" t="s">
        <v>11</v>
      </c>
      <c r="P2611">
        <v>5102</v>
      </c>
      <c r="Q2611">
        <v>10</v>
      </c>
      <c r="R2611">
        <v>18.440000000000001</v>
      </c>
      <c r="S2611">
        <v>184.4</v>
      </c>
      <c r="T2611">
        <v>135.19999999999999</v>
      </c>
      <c r="U2611">
        <v>26.68</v>
      </c>
      <c r="V2611" t="str">
        <f>VLOOKUP(L2611,'[2]tabela de preços'!$A:$D,4,0)</f>
        <v>ATLAS</v>
      </c>
      <c r="W2611" t="str">
        <f>VLOOKUP(L2611,'[2]tabela de preços'!$A:$F,6,0)</f>
        <v>ROLOS / TRINCHAS / PINCÉIS / ESPÁTULAS</v>
      </c>
      <c r="X2611" t="str">
        <f>VLOOKUP(L2611,'[2]tabela de preços'!$A:$G,7,0)</f>
        <v>IMOBILIÁRIO</v>
      </c>
    </row>
    <row r="2612" spans="1:24" x14ac:dyDescent="0.3">
      <c r="A2612" t="s">
        <v>2610</v>
      </c>
      <c r="C2612" t="s">
        <v>2768</v>
      </c>
      <c r="D2612" s="1">
        <v>46059</v>
      </c>
      <c r="E2612" t="s">
        <v>2769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372</v>
      </c>
      <c r="K2612" t="s">
        <v>2613</v>
      </c>
      <c r="L2612">
        <v>84422</v>
      </c>
      <c r="M2612" t="s">
        <v>569</v>
      </c>
      <c r="O2612" t="s">
        <v>11</v>
      </c>
      <c r="P2612">
        <v>5102</v>
      </c>
      <c r="Q2612">
        <v>4</v>
      </c>
      <c r="R2612">
        <v>9.65</v>
      </c>
      <c r="S2612">
        <v>38.6</v>
      </c>
      <c r="T2612">
        <v>28.32</v>
      </c>
      <c r="U2612">
        <v>26.63</v>
      </c>
      <c r="V2612" t="str">
        <f>VLOOKUP(L2612,'[2]tabela de preços'!$A:$D,4,0)</f>
        <v>ATLAS</v>
      </c>
      <c r="W2612" t="str">
        <f>VLOOKUP(L2612,'[2]tabela de preços'!$A:$F,6,0)</f>
        <v>ROLOS / TRINCHAS / PINCÉIS / ESPÁTULAS</v>
      </c>
      <c r="X2612" t="str">
        <f>VLOOKUP(L2612,'[2]tabela de preços'!$A:$G,7,0)</f>
        <v>IMOBILIÁRIO</v>
      </c>
    </row>
    <row r="2613" spans="1:24" x14ac:dyDescent="0.3">
      <c r="A2613" t="s">
        <v>2610</v>
      </c>
      <c r="C2613" t="s">
        <v>2768</v>
      </c>
      <c r="D2613" s="1">
        <v>46059</v>
      </c>
      <c r="E2613" t="s">
        <v>2769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372</v>
      </c>
      <c r="K2613" t="s">
        <v>2613</v>
      </c>
      <c r="L2613">
        <v>84897</v>
      </c>
      <c r="M2613" t="s">
        <v>852</v>
      </c>
      <c r="O2613" t="s">
        <v>11</v>
      </c>
      <c r="P2613">
        <v>5403</v>
      </c>
      <c r="Q2613">
        <v>6</v>
      </c>
      <c r="R2613">
        <v>239.02</v>
      </c>
      <c r="S2613" s="2">
        <v>1434.12</v>
      </c>
      <c r="T2613" s="2">
        <v>1051.3800000000001</v>
      </c>
      <c r="U2613">
        <v>26.69</v>
      </c>
      <c r="V2613" t="str">
        <f>VLOOKUP(L2613,'[2]tabela de preços'!$A:$D,4,0)</f>
        <v>BRASILUX</v>
      </c>
      <c r="W2613" t="str">
        <f>VLOOKUP(L2613,'[2]tabela de preços'!$A:$F,6,0)</f>
        <v>EPOXI</v>
      </c>
      <c r="X2613" t="str">
        <f>VLOOKUP(L2613,'[2]tabela de preços'!$A:$G,7,0)</f>
        <v>INDUSTRIAL</v>
      </c>
    </row>
    <row r="2614" spans="1:24" x14ac:dyDescent="0.3">
      <c r="A2614" t="s">
        <v>2610</v>
      </c>
      <c r="C2614" t="s">
        <v>2768</v>
      </c>
      <c r="D2614" s="1">
        <v>46059</v>
      </c>
      <c r="E2614" t="s">
        <v>2769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372</v>
      </c>
      <c r="K2614" t="s">
        <v>2613</v>
      </c>
      <c r="L2614">
        <v>84898</v>
      </c>
      <c r="M2614" t="s">
        <v>853</v>
      </c>
      <c r="O2614" t="s">
        <v>11</v>
      </c>
      <c r="P2614">
        <v>5403</v>
      </c>
      <c r="Q2614">
        <v>9</v>
      </c>
      <c r="R2614">
        <v>216.41</v>
      </c>
      <c r="S2614" s="2">
        <v>1947.69</v>
      </c>
      <c r="T2614" s="2">
        <v>1157.1300000000001</v>
      </c>
      <c r="U2614">
        <v>40.590000000000003</v>
      </c>
      <c r="V2614" t="str">
        <f>VLOOKUP(L2614,'[2]tabela de preços'!$A:$D,4,0)</f>
        <v>BRASILUX</v>
      </c>
      <c r="W2614" t="str">
        <f>VLOOKUP(L2614,'[2]tabela de preços'!$A:$F,6,0)</f>
        <v>EPOXI</v>
      </c>
      <c r="X2614" t="str">
        <f>VLOOKUP(L2614,'[2]tabela de preços'!$A:$G,7,0)</f>
        <v>INDUSTRIAL</v>
      </c>
    </row>
    <row r="2615" spans="1:24" x14ac:dyDescent="0.3">
      <c r="A2615" t="s">
        <v>2610</v>
      </c>
      <c r="C2615" t="s">
        <v>2768</v>
      </c>
      <c r="D2615" s="1">
        <v>46059</v>
      </c>
      <c r="E2615" t="s">
        <v>2769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372</v>
      </c>
      <c r="K2615" t="s">
        <v>2613</v>
      </c>
      <c r="L2615">
        <v>84899</v>
      </c>
      <c r="M2615" t="s">
        <v>854</v>
      </c>
      <c r="O2615" t="s">
        <v>11</v>
      </c>
      <c r="P2615">
        <v>5403</v>
      </c>
      <c r="Q2615">
        <v>3</v>
      </c>
      <c r="R2615">
        <v>175.37</v>
      </c>
      <c r="S2615">
        <v>526.11</v>
      </c>
      <c r="T2615">
        <v>385.71</v>
      </c>
      <c r="U2615">
        <v>26.69</v>
      </c>
      <c r="V2615" t="str">
        <f>VLOOKUP(L2615,'[2]tabela de preços'!$A:$D,4,0)</f>
        <v>BRASILUX</v>
      </c>
      <c r="W2615" t="str">
        <f>VLOOKUP(L2615,'[2]tabela de preços'!$A:$F,6,0)</f>
        <v>EPOXI</v>
      </c>
      <c r="X2615" t="str">
        <f>VLOOKUP(L2615,'[2]tabela de preços'!$A:$G,7,0)</f>
        <v>INDUSTRIAL</v>
      </c>
    </row>
    <row r="2616" spans="1:24" x14ac:dyDescent="0.3">
      <c r="A2616" t="s">
        <v>2610</v>
      </c>
      <c r="C2616" t="s">
        <v>2768</v>
      </c>
      <c r="D2616" s="1">
        <v>46059</v>
      </c>
      <c r="E2616" t="s">
        <v>2769</v>
      </c>
      <c r="F2616">
        <v>9</v>
      </c>
      <c r="G2616">
        <v>174</v>
      </c>
      <c r="H2616" t="str">
        <f>VLOOKUP(G2616,[1]OPERADORES!$A:$B,2,0)</f>
        <v>MIRIÃ LOBATO RODRIGUES</v>
      </c>
      <c r="I2616" t="s">
        <v>21</v>
      </c>
      <c r="J2616" t="s">
        <v>372</v>
      </c>
      <c r="K2616" t="s">
        <v>2613</v>
      </c>
      <c r="L2616">
        <v>84900</v>
      </c>
      <c r="M2616" t="s">
        <v>1261</v>
      </c>
      <c r="O2616" t="s">
        <v>11</v>
      </c>
      <c r="P2616">
        <v>5403</v>
      </c>
      <c r="Q2616">
        <v>24</v>
      </c>
      <c r="R2616">
        <v>175.37</v>
      </c>
      <c r="S2616" s="2">
        <v>4208.88</v>
      </c>
      <c r="T2616" s="2">
        <v>3085.68</v>
      </c>
      <c r="U2616">
        <v>26.69</v>
      </c>
      <c r="V2616" t="str">
        <f>VLOOKUP(L2616,'[2]tabela de preços'!$A:$D,4,0)</f>
        <v>BRASILUX</v>
      </c>
      <c r="W2616" t="str">
        <f>VLOOKUP(L2616,'[2]tabela de preços'!$A:$F,6,0)</f>
        <v>EPOXI</v>
      </c>
      <c r="X2616" t="str">
        <f>VLOOKUP(L2616,'[2]tabela de preços'!$A:$G,7,0)</f>
        <v>INDUSTRIAL</v>
      </c>
    </row>
    <row r="2617" spans="1:24" x14ac:dyDescent="0.3">
      <c r="A2617" t="s">
        <v>2610</v>
      </c>
      <c r="C2617" t="s">
        <v>2768</v>
      </c>
      <c r="D2617" s="1">
        <v>46059</v>
      </c>
      <c r="E2617" t="s">
        <v>2769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21</v>
      </c>
      <c r="J2617" t="s">
        <v>372</v>
      </c>
      <c r="K2617" t="s">
        <v>2613</v>
      </c>
      <c r="L2617">
        <v>84901</v>
      </c>
      <c r="M2617" t="s">
        <v>2432</v>
      </c>
      <c r="O2617" t="s">
        <v>11</v>
      </c>
      <c r="P2617">
        <v>5403</v>
      </c>
      <c r="Q2617">
        <v>16</v>
      </c>
      <c r="R2617">
        <v>223.23</v>
      </c>
      <c r="S2617" s="2">
        <v>3571.68</v>
      </c>
      <c r="T2617" s="2">
        <v>2618.56</v>
      </c>
      <c r="U2617">
        <v>26.69</v>
      </c>
      <c r="V2617" t="str">
        <f>VLOOKUP(L2617,'[2]tabela de preços'!$A:$D,4,0)</f>
        <v>BRASILUX</v>
      </c>
      <c r="W2617" t="str">
        <f>VLOOKUP(L2617,'[2]tabela de preços'!$A:$F,6,0)</f>
        <v>EPOXI</v>
      </c>
      <c r="X2617" t="str">
        <f>VLOOKUP(L2617,'[2]tabela de preços'!$A:$G,7,0)</f>
        <v>INDUSTRIAL</v>
      </c>
    </row>
    <row r="2618" spans="1:24" x14ac:dyDescent="0.3">
      <c r="A2618" t="s">
        <v>2610</v>
      </c>
      <c r="C2618" t="s">
        <v>2770</v>
      </c>
      <c r="D2618" s="1">
        <v>46059</v>
      </c>
      <c r="E2618" t="s">
        <v>2771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21</v>
      </c>
      <c r="J2618" t="s">
        <v>372</v>
      </c>
      <c r="K2618" t="s">
        <v>2613</v>
      </c>
      <c r="L2618">
        <v>84382</v>
      </c>
      <c r="M2618" t="s">
        <v>835</v>
      </c>
      <c r="O2618" t="s">
        <v>11</v>
      </c>
      <c r="P2618">
        <v>5403</v>
      </c>
      <c r="Q2618">
        <v>5</v>
      </c>
      <c r="R2618">
        <v>159.9</v>
      </c>
      <c r="S2618">
        <v>799.5</v>
      </c>
      <c r="T2618">
        <v>688.05</v>
      </c>
      <c r="U2618">
        <v>13.94</v>
      </c>
      <c r="V2618" t="str">
        <f>VLOOKUP(L2618,'[2]tabela de preços'!$A:$D,4,0)</f>
        <v>BRASILUX</v>
      </c>
      <c r="W2618" t="str">
        <f>VLOOKUP(L2618,'[2]tabela de preços'!$A:$F,6,0)</f>
        <v>TINTA PARA PISO</v>
      </c>
      <c r="X2618" t="str">
        <f>VLOOKUP(L2618,'[2]tabela de preços'!$A:$G,7,0)</f>
        <v>IMOBILIÁRIO</v>
      </c>
    </row>
    <row r="2619" spans="1:24" x14ac:dyDescent="0.3">
      <c r="A2619" t="s">
        <v>2610</v>
      </c>
      <c r="C2619" t="s">
        <v>2770</v>
      </c>
      <c r="D2619" s="1">
        <v>46059</v>
      </c>
      <c r="E2619" t="s">
        <v>2771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21</v>
      </c>
      <c r="J2619" t="s">
        <v>372</v>
      </c>
      <c r="K2619" t="s">
        <v>2613</v>
      </c>
      <c r="L2619">
        <v>84824</v>
      </c>
      <c r="M2619" t="s">
        <v>1242</v>
      </c>
      <c r="O2619" t="s">
        <v>11</v>
      </c>
      <c r="P2619">
        <v>5102</v>
      </c>
      <c r="Q2619">
        <v>3</v>
      </c>
      <c r="R2619">
        <v>335.76</v>
      </c>
      <c r="S2619" s="2">
        <v>1007.28</v>
      </c>
      <c r="T2619">
        <v>738.48</v>
      </c>
      <c r="U2619">
        <v>26.69</v>
      </c>
      <c r="V2619" t="str">
        <f>VLOOKUP(L2619,'[2]tabela de preços'!$A:$D,4,0)</f>
        <v>BRASILUX</v>
      </c>
      <c r="W2619" t="str">
        <f>VLOOKUP(L2619,'[2]tabela de preços'!$A:$F,6,0)</f>
        <v>DILUENTE</v>
      </c>
      <c r="X2619" t="str">
        <f>VLOOKUP(L2619,'[2]tabela de preços'!$A:$G,7,0)</f>
        <v>AUTOMOTIVO</v>
      </c>
    </row>
    <row r="2620" spans="1:24" x14ac:dyDescent="0.3">
      <c r="A2620" t="s">
        <v>2610</v>
      </c>
      <c r="C2620" t="s">
        <v>2770</v>
      </c>
      <c r="D2620" s="1">
        <v>46059</v>
      </c>
      <c r="E2620" t="s">
        <v>2771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21</v>
      </c>
      <c r="J2620" t="s">
        <v>372</v>
      </c>
      <c r="K2620" t="s">
        <v>2613</v>
      </c>
      <c r="L2620">
        <v>84928</v>
      </c>
      <c r="M2620" t="s">
        <v>36</v>
      </c>
      <c r="O2620" t="s">
        <v>11</v>
      </c>
      <c r="P2620">
        <v>5102</v>
      </c>
      <c r="Q2620">
        <v>35</v>
      </c>
      <c r="R2620">
        <v>9.7200000000000006</v>
      </c>
      <c r="S2620">
        <v>340.2</v>
      </c>
      <c r="T2620">
        <v>249.55</v>
      </c>
      <c r="U2620">
        <v>26.65</v>
      </c>
      <c r="V2620" t="str">
        <f>VLOOKUP(L2620,'[2]tabela de preços'!$A:$D,4,0)</f>
        <v>ADERE</v>
      </c>
      <c r="W2620" t="str">
        <f>VLOOKUP(L2620,'[2]tabela de preços'!$A:$F,6,0)</f>
        <v xml:space="preserve">FITA DE USO GERAL </v>
      </c>
      <c r="X2620" t="str">
        <f>VLOOKUP(L2620,'[2]tabela de preços'!$A:$G,7,0)</f>
        <v>IMOBILIÁRIO</v>
      </c>
    </row>
    <row r="2621" spans="1:24" x14ac:dyDescent="0.3">
      <c r="A2621" t="s">
        <v>2610</v>
      </c>
      <c r="C2621" t="s">
        <v>2770</v>
      </c>
      <c r="D2621" s="1">
        <v>46059</v>
      </c>
      <c r="E2621" t="s">
        <v>2771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21</v>
      </c>
      <c r="J2621" t="s">
        <v>372</v>
      </c>
      <c r="K2621" t="s">
        <v>2613</v>
      </c>
      <c r="L2621">
        <v>23878</v>
      </c>
      <c r="M2621" t="s">
        <v>851</v>
      </c>
      <c r="O2621" t="s">
        <v>11</v>
      </c>
      <c r="P2621">
        <v>5102</v>
      </c>
      <c r="Q2621">
        <v>23</v>
      </c>
      <c r="R2621">
        <v>8.6999999999999993</v>
      </c>
      <c r="S2621">
        <v>200.1</v>
      </c>
      <c r="T2621">
        <v>134.32</v>
      </c>
      <c r="U2621">
        <v>32.869999999999997</v>
      </c>
      <c r="V2621" t="str">
        <f>VLOOKUP(L2621,'[2]tabela de preços'!$A:$D,4,0)</f>
        <v>ATLAS</v>
      </c>
      <c r="W2621" t="str">
        <f>VLOOKUP(L2621,'[2]tabela de preços'!$A:$F,6,0)</f>
        <v>ROLOS / TRINCHAS / PINCÉIS / ESPÁTULAS</v>
      </c>
      <c r="X2621" t="str">
        <f>VLOOKUP(L2621,'[2]tabela de preços'!$A:$G,7,0)</f>
        <v>IMOBILIÁRIO</v>
      </c>
    </row>
    <row r="2622" spans="1:24" x14ac:dyDescent="0.3">
      <c r="A2622" t="s">
        <v>2610</v>
      </c>
      <c r="C2622" t="s">
        <v>2770</v>
      </c>
      <c r="D2622" s="1">
        <v>46059</v>
      </c>
      <c r="E2622" t="s">
        <v>2771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21</v>
      </c>
      <c r="J2622" t="s">
        <v>372</v>
      </c>
      <c r="K2622" t="s">
        <v>2613</v>
      </c>
      <c r="L2622">
        <v>84785</v>
      </c>
      <c r="M2622" t="s">
        <v>944</v>
      </c>
      <c r="O2622" t="s">
        <v>11</v>
      </c>
      <c r="P2622">
        <v>5403</v>
      </c>
      <c r="Q2622">
        <v>24</v>
      </c>
      <c r="R2622">
        <v>178.31</v>
      </c>
      <c r="S2622" s="2">
        <v>4279.4399999999996</v>
      </c>
      <c r="T2622" s="2">
        <v>3137.28</v>
      </c>
      <c r="U2622">
        <v>26.69</v>
      </c>
      <c r="V2622" t="str">
        <f>VLOOKUP(L2622,'[2]tabela de preços'!$A:$D,4,0)</f>
        <v>BRASILUX</v>
      </c>
      <c r="W2622" t="str">
        <f>VLOOKUP(L2622,'[2]tabela de preços'!$A:$F,6,0)</f>
        <v>EPOXI</v>
      </c>
      <c r="X2622" t="str">
        <f>VLOOKUP(L2622,'[2]tabela de preços'!$A:$G,7,0)</f>
        <v>INDUSTRIAL</v>
      </c>
    </row>
    <row r="2623" spans="1:24" x14ac:dyDescent="0.3">
      <c r="A2623" t="s">
        <v>2610</v>
      </c>
      <c r="C2623" t="s">
        <v>2770</v>
      </c>
      <c r="D2623" s="1">
        <v>46059</v>
      </c>
      <c r="E2623" t="s">
        <v>2771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21</v>
      </c>
      <c r="J2623" t="s">
        <v>372</v>
      </c>
      <c r="K2623" t="s">
        <v>2613</v>
      </c>
      <c r="L2623">
        <v>84423</v>
      </c>
      <c r="M2623" t="s">
        <v>1198</v>
      </c>
      <c r="O2623" t="s">
        <v>11</v>
      </c>
      <c r="P2623">
        <v>5102</v>
      </c>
      <c r="Q2623">
        <v>10</v>
      </c>
      <c r="R2623">
        <v>18.440000000000001</v>
      </c>
      <c r="S2623">
        <v>184.4</v>
      </c>
      <c r="T2623">
        <v>135.19999999999999</v>
      </c>
      <c r="U2623">
        <v>26.68</v>
      </c>
      <c r="V2623" t="str">
        <f>VLOOKUP(L2623,'[2]tabela de preços'!$A:$D,4,0)</f>
        <v>ATLAS</v>
      </c>
      <c r="W2623" t="str">
        <f>VLOOKUP(L2623,'[2]tabela de preços'!$A:$F,6,0)</f>
        <v>ROLOS / TRINCHAS / PINCÉIS / ESPÁTULAS</v>
      </c>
      <c r="X2623" t="str">
        <f>VLOOKUP(L2623,'[2]tabela de preços'!$A:$G,7,0)</f>
        <v>IMOBILIÁRIO</v>
      </c>
    </row>
    <row r="2624" spans="1:24" x14ac:dyDescent="0.3">
      <c r="A2624" t="s">
        <v>2610</v>
      </c>
      <c r="C2624" t="s">
        <v>2770</v>
      </c>
      <c r="D2624" s="1">
        <v>46059</v>
      </c>
      <c r="E2624" t="s">
        <v>2771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2613</v>
      </c>
      <c r="L2624">
        <v>84422</v>
      </c>
      <c r="M2624" t="s">
        <v>569</v>
      </c>
      <c r="O2624" t="s">
        <v>11</v>
      </c>
      <c r="P2624">
        <v>5102</v>
      </c>
      <c r="Q2624">
        <v>4</v>
      </c>
      <c r="R2624">
        <v>9.65</v>
      </c>
      <c r="S2624">
        <v>38.6</v>
      </c>
      <c r="T2624">
        <v>28.32</v>
      </c>
      <c r="U2624">
        <v>26.63</v>
      </c>
      <c r="V2624" t="str">
        <f>VLOOKUP(L2624,'[2]tabela de preços'!$A:$D,4,0)</f>
        <v>ATLAS</v>
      </c>
      <c r="W2624" t="str">
        <f>VLOOKUP(L2624,'[2]tabela de preços'!$A:$F,6,0)</f>
        <v>ROLOS / TRINCHAS / PINCÉIS / ESPÁTULAS</v>
      </c>
      <c r="X2624" t="str">
        <f>VLOOKUP(L2624,'[2]tabela de preços'!$A:$G,7,0)</f>
        <v>IMOBILIÁRIO</v>
      </c>
    </row>
    <row r="2625" spans="1:24" x14ac:dyDescent="0.3">
      <c r="A2625" t="s">
        <v>2610</v>
      </c>
      <c r="C2625" t="s">
        <v>2770</v>
      </c>
      <c r="D2625" s="1">
        <v>46059</v>
      </c>
      <c r="E2625" t="s">
        <v>2771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2613</v>
      </c>
      <c r="L2625">
        <v>84897</v>
      </c>
      <c r="M2625" t="s">
        <v>852</v>
      </c>
      <c r="O2625" t="s">
        <v>11</v>
      </c>
      <c r="P2625">
        <v>5403</v>
      </c>
      <c r="Q2625">
        <v>6</v>
      </c>
      <c r="R2625">
        <v>239.02</v>
      </c>
      <c r="S2625" s="2">
        <v>1434.12</v>
      </c>
      <c r="T2625" s="2">
        <v>1051.3800000000001</v>
      </c>
      <c r="U2625">
        <v>26.69</v>
      </c>
      <c r="V2625" t="str">
        <f>VLOOKUP(L2625,'[2]tabela de preços'!$A:$D,4,0)</f>
        <v>BRASILUX</v>
      </c>
      <c r="W2625" t="str">
        <f>VLOOKUP(L2625,'[2]tabela de preços'!$A:$F,6,0)</f>
        <v>EPOXI</v>
      </c>
      <c r="X2625" t="str">
        <f>VLOOKUP(L2625,'[2]tabela de preços'!$A:$G,7,0)</f>
        <v>INDUSTRIAL</v>
      </c>
    </row>
    <row r="2626" spans="1:24" x14ac:dyDescent="0.3">
      <c r="A2626" t="s">
        <v>2610</v>
      </c>
      <c r="C2626" t="s">
        <v>2770</v>
      </c>
      <c r="D2626" s="1">
        <v>46059</v>
      </c>
      <c r="E2626" t="s">
        <v>2771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21</v>
      </c>
      <c r="J2626" t="s">
        <v>372</v>
      </c>
      <c r="K2626" t="s">
        <v>2613</v>
      </c>
      <c r="L2626">
        <v>84898</v>
      </c>
      <c r="M2626" t="s">
        <v>853</v>
      </c>
      <c r="O2626" t="s">
        <v>11</v>
      </c>
      <c r="P2626">
        <v>5403</v>
      </c>
      <c r="Q2626">
        <v>9</v>
      </c>
      <c r="R2626">
        <v>216.41</v>
      </c>
      <c r="S2626" s="2">
        <v>1947.69</v>
      </c>
      <c r="T2626" s="2">
        <v>1157.1300000000001</v>
      </c>
      <c r="U2626">
        <v>40.590000000000003</v>
      </c>
      <c r="V2626" t="str">
        <f>VLOOKUP(L2626,'[2]tabela de preços'!$A:$D,4,0)</f>
        <v>BRASILUX</v>
      </c>
      <c r="W2626" t="str">
        <f>VLOOKUP(L2626,'[2]tabela de preços'!$A:$F,6,0)</f>
        <v>EPOXI</v>
      </c>
      <c r="X2626" t="str">
        <f>VLOOKUP(L2626,'[2]tabela de preços'!$A:$G,7,0)</f>
        <v>INDUSTRIAL</v>
      </c>
    </row>
    <row r="2627" spans="1:24" x14ac:dyDescent="0.3">
      <c r="A2627" t="s">
        <v>2610</v>
      </c>
      <c r="C2627" t="s">
        <v>2770</v>
      </c>
      <c r="D2627" s="1">
        <v>46059</v>
      </c>
      <c r="E2627" t="s">
        <v>2771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21</v>
      </c>
      <c r="J2627" t="s">
        <v>372</v>
      </c>
      <c r="K2627" t="s">
        <v>2613</v>
      </c>
      <c r="L2627">
        <v>84899</v>
      </c>
      <c r="M2627" t="s">
        <v>854</v>
      </c>
      <c r="O2627" t="s">
        <v>11</v>
      </c>
      <c r="P2627">
        <v>5403</v>
      </c>
      <c r="Q2627">
        <v>3</v>
      </c>
      <c r="R2627">
        <v>175.37</v>
      </c>
      <c r="S2627">
        <v>526.11</v>
      </c>
      <c r="T2627">
        <v>385.71</v>
      </c>
      <c r="U2627">
        <v>26.69</v>
      </c>
      <c r="V2627" t="str">
        <f>VLOOKUP(L2627,'[2]tabela de preços'!$A:$D,4,0)</f>
        <v>BRASILUX</v>
      </c>
      <c r="W2627" t="str">
        <f>VLOOKUP(L2627,'[2]tabela de preços'!$A:$F,6,0)</f>
        <v>EPOXI</v>
      </c>
      <c r="X2627" t="str">
        <f>VLOOKUP(L2627,'[2]tabela de preços'!$A:$G,7,0)</f>
        <v>INDUSTRIAL</v>
      </c>
    </row>
    <row r="2628" spans="1:24" x14ac:dyDescent="0.3">
      <c r="A2628" t="s">
        <v>2610</v>
      </c>
      <c r="C2628" t="s">
        <v>2770</v>
      </c>
      <c r="D2628" s="1">
        <v>46059</v>
      </c>
      <c r="E2628" t="s">
        <v>2771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21</v>
      </c>
      <c r="J2628" t="s">
        <v>372</v>
      </c>
      <c r="K2628" t="s">
        <v>2613</v>
      </c>
      <c r="L2628">
        <v>84900</v>
      </c>
      <c r="M2628" t="s">
        <v>1261</v>
      </c>
      <c r="O2628" t="s">
        <v>11</v>
      </c>
      <c r="P2628">
        <v>5403</v>
      </c>
      <c r="Q2628">
        <v>24</v>
      </c>
      <c r="R2628">
        <v>175.37</v>
      </c>
      <c r="S2628" s="2">
        <v>4208.88</v>
      </c>
      <c r="T2628" s="2">
        <v>3085.68</v>
      </c>
      <c r="U2628">
        <v>26.69</v>
      </c>
      <c r="V2628" t="str">
        <f>VLOOKUP(L2628,'[2]tabela de preços'!$A:$D,4,0)</f>
        <v>BRASILUX</v>
      </c>
      <c r="W2628" t="str">
        <f>VLOOKUP(L2628,'[2]tabela de preços'!$A:$F,6,0)</f>
        <v>EPOXI</v>
      </c>
      <c r="X2628" t="str">
        <f>VLOOKUP(L2628,'[2]tabela de preços'!$A:$G,7,0)</f>
        <v>INDUSTRIAL</v>
      </c>
    </row>
    <row r="2629" spans="1:24" x14ac:dyDescent="0.3">
      <c r="A2629" t="s">
        <v>2610</v>
      </c>
      <c r="C2629" t="s">
        <v>2770</v>
      </c>
      <c r="D2629" s="1">
        <v>46059</v>
      </c>
      <c r="E2629" t="s">
        <v>2771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21</v>
      </c>
      <c r="J2629" t="s">
        <v>372</v>
      </c>
      <c r="K2629" t="s">
        <v>2613</v>
      </c>
      <c r="L2629">
        <v>84901</v>
      </c>
      <c r="M2629" t="s">
        <v>2432</v>
      </c>
      <c r="O2629" t="s">
        <v>11</v>
      </c>
      <c r="P2629">
        <v>5403</v>
      </c>
      <c r="Q2629">
        <v>16</v>
      </c>
      <c r="R2629">
        <v>223.23</v>
      </c>
      <c r="S2629" s="2">
        <v>3571.68</v>
      </c>
      <c r="T2629" s="2">
        <v>2618.56</v>
      </c>
      <c r="U2629">
        <v>26.69</v>
      </c>
      <c r="V2629" t="str">
        <f>VLOOKUP(L2629,'[2]tabela de preços'!$A:$D,4,0)</f>
        <v>BRASILUX</v>
      </c>
      <c r="W2629" t="str">
        <f>VLOOKUP(L2629,'[2]tabela de preços'!$A:$F,6,0)</f>
        <v>EPOXI</v>
      </c>
      <c r="X2629" t="str">
        <f>VLOOKUP(L2629,'[2]tabela de preços'!$A:$G,7,0)</f>
        <v>INDUSTRIAL</v>
      </c>
    </row>
    <row r="2630" spans="1:24" x14ac:dyDescent="0.3">
      <c r="A2630" t="s">
        <v>2610</v>
      </c>
      <c r="C2630" t="s">
        <v>2772</v>
      </c>
      <c r="D2630" s="1">
        <v>46059</v>
      </c>
      <c r="E2630" t="s">
        <v>2773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21</v>
      </c>
      <c r="J2630" t="s">
        <v>372</v>
      </c>
      <c r="K2630" t="s">
        <v>2613</v>
      </c>
      <c r="L2630">
        <v>84382</v>
      </c>
      <c r="M2630" t="s">
        <v>835</v>
      </c>
      <c r="O2630" t="s">
        <v>11</v>
      </c>
      <c r="P2630">
        <v>5403</v>
      </c>
      <c r="Q2630">
        <v>5</v>
      </c>
      <c r="R2630">
        <v>159.9</v>
      </c>
      <c r="S2630">
        <v>799.5</v>
      </c>
      <c r="T2630">
        <v>688.05</v>
      </c>
      <c r="U2630">
        <v>13.94</v>
      </c>
      <c r="V2630" t="str">
        <f>VLOOKUP(L2630,'[2]tabela de preços'!$A:$D,4,0)</f>
        <v>BRASILUX</v>
      </c>
      <c r="W2630" t="str">
        <f>VLOOKUP(L2630,'[2]tabela de preços'!$A:$F,6,0)</f>
        <v>TINTA PARA PISO</v>
      </c>
      <c r="X2630" t="str">
        <f>VLOOKUP(L2630,'[2]tabela de preços'!$A:$G,7,0)</f>
        <v>IMOBILIÁRIO</v>
      </c>
    </row>
    <row r="2631" spans="1:24" x14ac:dyDescent="0.3">
      <c r="A2631" t="s">
        <v>2610</v>
      </c>
      <c r="C2631" t="s">
        <v>2772</v>
      </c>
      <c r="D2631" s="1">
        <v>46059</v>
      </c>
      <c r="E2631" t="s">
        <v>2773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21</v>
      </c>
      <c r="J2631" t="s">
        <v>372</v>
      </c>
      <c r="K2631" t="s">
        <v>2613</v>
      </c>
      <c r="L2631">
        <v>84824</v>
      </c>
      <c r="M2631" t="s">
        <v>1242</v>
      </c>
      <c r="O2631" t="s">
        <v>11</v>
      </c>
      <c r="P2631">
        <v>5102</v>
      </c>
      <c r="Q2631">
        <v>3</v>
      </c>
      <c r="R2631">
        <v>335.76</v>
      </c>
      <c r="S2631" s="2">
        <v>1007.28</v>
      </c>
      <c r="T2631">
        <v>738.48</v>
      </c>
      <c r="U2631">
        <v>26.69</v>
      </c>
      <c r="V2631" t="str">
        <f>VLOOKUP(L2631,'[2]tabela de preços'!$A:$D,4,0)</f>
        <v>BRASILUX</v>
      </c>
      <c r="W2631" t="str">
        <f>VLOOKUP(L2631,'[2]tabela de preços'!$A:$F,6,0)</f>
        <v>DILUENTE</v>
      </c>
      <c r="X2631" t="str">
        <f>VLOOKUP(L2631,'[2]tabela de preços'!$A:$G,7,0)</f>
        <v>AUTOMOTIVO</v>
      </c>
    </row>
    <row r="2632" spans="1:24" x14ac:dyDescent="0.3">
      <c r="A2632" t="s">
        <v>2610</v>
      </c>
      <c r="C2632" t="s">
        <v>2772</v>
      </c>
      <c r="D2632" s="1">
        <v>46059</v>
      </c>
      <c r="E2632" t="s">
        <v>2773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21</v>
      </c>
      <c r="J2632" t="s">
        <v>372</v>
      </c>
      <c r="K2632" t="s">
        <v>2613</v>
      </c>
      <c r="L2632">
        <v>84928</v>
      </c>
      <c r="M2632" t="s">
        <v>36</v>
      </c>
      <c r="O2632" t="s">
        <v>11</v>
      </c>
      <c r="P2632">
        <v>5102</v>
      </c>
      <c r="Q2632">
        <v>35</v>
      </c>
      <c r="R2632">
        <v>9.39</v>
      </c>
      <c r="S2632">
        <v>328.65</v>
      </c>
      <c r="T2632">
        <v>249.55</v>
      </c>
      <c r="U2632">
        <v>24.07</v>
      </c>
      <c r="V2632" t="str">
        <f>VLOOKUP(L2632,'[2]tabela de preços'!$A:$D,4,0)</f>
        <v>ADERE</v>
      </c>
      <c r="W2632" t="str">
        <f>VLOOKUP(L2632,'[2]tabela de preços'!$A:$F,6,0)</f>
        <v xml:space="preserve">FITA DE USO GERAL </v>
      </c>
      <c r="X2632" t="str">
        <f>VLOOKUP(L2632,'[2]tabela de preços'!$A:$G,7,0)</f>
        <v>IMOBILIÁRIO</v>
      </c>
    </row>
    <row r="2633" spans="1:24" x14ac:dyDescent="0.3">
      <c r="A2633" t="s">
        <v>2610</v>
      </c>
      <c r="C2633" t="s">
        <v>2772</v>
      </c>
      <c r="D2633" s="1">
        <v>46059</v>
      </c>
      <c r="E2633" t="s">
        <v>2773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21</v>
      </c>
      <c r="J2633" t="s">
        <v>372</v>
      </c>
      <c r="K2633" t="s">
        <v>2613</v>
      </c>
      <c r="L2633">
        <v>23878</v>
      </c>
      <c r="M2633" t="s">
        <v>851</v>
      </c>
      <c r="O2633" t="s">
        <v>11</v>
      </c>
      <c r="P2633">
        <v>5102</v>
      </c>
      <c r="Q2633">
        <v>10</v>
      </c>
      <c r="R2633">
        <v>8.6999999999999993</v>
      </c>
      <c r="S2633">
        <v>87</v>
      </c>
      <c r="T2633">
        <v>58.4</v>
      </c>
      <c r="U2633">
        <v>32.869999999999997</v>
      </c>
      <c r="V2633" t="str">
        <f>VLOOKUP(L2633,'[2]tabela de preços'!$A:$D,4,0)</f>
        <v>ATLAS</v>
      </c>
      <c r="W2633" t="str">
        <f>VLOOKUP(L2633,'[2]tabela de preços'!$A:$F,6,0)</f>
        <v>ROLOS / TRINCHAS / PINCÉIS / ESPÁTULAS</v>
      </c>
      <c r="X2633" t="str">
        <f>VLOOKUP(L2633,'[2]tabela de preços'!$A:$G,7,0)</f>
        <v>IMOBILIÁRIO</v>
      </c>
    </row>
    <row r="2634" spans="1:24" x14ac:dyDescent="0.3">
      <c r="A2634" t="s">
        <v>2610</v>
      </c>
      <c r="C2634" t="s">
        <v>2772</v>
      </c>
      <c r="D2634" s="1">
        <v>46059</v>
      </c>
      <c r="E2634" t="s">
        <v>2773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21</v>
      </c>
      <c r="J2634" t="s">
        <v>372</v>
      </c>
      <c r="K2634" t="s">
        <v>2613</v>
      </c>
      <c r="L2634">
        <v>84785</v>
      </c>
      <c r="M2634" t="s">
        <v>944</v>
      </c>
      <c r="O2634" t="s">
        <v>11</v>
      </c>
      <c r="P2634">
        <v>5403</v>
      </c>
      <c r="Q2634">
        <v>24</v>
      </c>
      <c r="R2634">
        <v>182.36</v>
      </c>
      <c r="S2634" s="2">
        <v>4376.6400000000003</v>
      </c>
      <c r="T2634" s="2">
        <v>3137.28</v>
      </c>
      <c r="U2634">
        <v>28.32</v>
      </c>
      <c r="V2634" t="str">
        <f>VLOOKUP(L2634,'[2]tabela de preços'!$A:$D,4,0)</f>
        <v>BRASILUX</v>
      </c>
      <c r="W2634" t="str">
        <f>VLOOKUP(L2634,'[2]tabela de preços'!$A:$F,6,0)</f>
        <v>EPOXI</v>
      </c>
      <c r="X2634" t="str">
        <f>VLOOKUP(L2634,'[2]tabela de preços'!$A:$G,7,0)</f>
        <v>INDUSTRIAL</v>
      </c>
    </row>
    <row r="2635" spans="1:24" x14ac:dyDescent="0.3">
      <c r="A2635" t="s">
        <v>2610</v>
      </c>
      <c r="C2635" t="s">
        <v>2772</v>
      </c>
      <c r="D2635" s="1">
        <v>46059</v>
      </c>
      <c r="E2635" t="s">
        <v>2773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21</v>
      </c>
      <c r="J2635" t="s">
        <v>372</v>
      </c>
      <c r="K2635" t="s">
        <v>2613</v>
      </c>
      <c r="L2635">
        <v>84423</v>
      </c>
      <c r="M2635" t="s">
        <v>1198</v>
      </c>
      <c r="O2635" t="s">
        <v>11</v>
      </c>
      <c r="P2635">
        <v>5102</v>
      </c>
      <c r="Q2635">
        <v>10</v>
      </c>
      <c r="R2635">
        <v>18.86</v>
      </c>
      <c r="S2635">
        <v>188.6</v>
      </c>
      <c r="T2635">
        <v>135.19999999999999</v>
      </c>
      <c r="U2635">
        <v>28.31</v>
      </c>
      <c r="V2635" t="str">
        <f>VLOOKUP(L2635,'[2]tabela de preços'!$A:$D,4,0)</f>
        <v>ATLAS</v>
      </c>
      <c r="W2635" t="str">
        <f>VLOOKUP(L2635,'[2]tabela de preços'!$A:$F,6,0)</f>
        <v>ROLOS / TRINCHAS / PINCÉIS / ESPÁTULAS</v>
      </c>
      <c r="X2635" t="str">
        <f>VLOOKUP(L2635,'[2]tabela de preços'!$A:$G,7,0)</f>
        <v>IMOBILIÁRIO</v>
      </c>
    </row>
    <row r="2636" spans="1:24" x14ac:dyDescent="0.3">
      <c r="A2636" t="s">
        <v>2610</v>
      </c>
      <c r="C2636" t="s">
        <v>2772</v>
      </c>
      <c r="D2636" s="1">
        <v>46059</v>
      </c>
      <c r="E2636" t="s">
        <v>2773</v>
      </c>
      <c r="F2636">
        <v>9</v>
      </c>
      <c r="G2636">
        <v>174</v>
      </c>
      <c r="H2636" t="str">
        <f>VLOOKUP(G2636,[1]OPERADORES!$A:$B,2,0)</f>
        <v>MIRIÃ LOBATO RODRIGUES</v>
      </c>
      <c r="I2636" t="s">
        <v>21</v>
      </c>
      <c r="J2636" t="s">
        <v>372</v>
      </c>
      <c r="K2636" t="s">
        <v>2613</v>
      </c>
      <c r="L2636">
        <v>84422</v>
      </c>
      <c r="M2636" t="s">
        <v>569</v>
      </c>
      <c r="O2636" t="s">
        <v>11</v>
      </c>
      <c r="P2636">
        <v>5102</v>
      </c>
      <c r="Q2636">
        <v>4</v>
      </c>
      <c r="R2636">
        <v>9.8699999999999992</v>
      </c>
      <c r="S2636">
        <v>39.479999999999997</v>
      </c>
      <c r="T2636">
        <v>28.32</v>
      </c>
      <c r="U2636">
        <v>28.27</v>
      </c>
      <c r="V2636" t="str">
        <f>VLOOKUP(L2636,'[2]tabela de preços'!$A:$D,4,0)</f>
        <v>ATLAS</v>
      </c>
      <c r="W2636" t="str">
        <f>VLOOKUP(L2636,'[2]tabela de preços'!$A:$F,6,0)</f>
        <v>ROLOS / TRINCHAS / PINCÉIS / ESPÁTULAS</v>
      </c>
      <c r="X2636" t="str">
        <f>VLOOKUP(L2636,'[2]tabela de preços'!$A:$G,7,0)</f>
        <v>IMOBILIÁRIO</v>
      </c>
    </row>
    <row r="2637" spans="1:24" x14ac:dyDescent="0.3">
      <c r="A2637" t="s">
        <v>2610</v>
      </c>
      <c r="C2637" t="s">
        <v>2772</v>
      </c>
      <c r="D2637" s="1">
        <v>46059</v>
      </c>
      <c r="E2637" t="s">
        <v>2773</v>
      </c>
      <c r="F2637">
        <v>9</v>
      </c>
      <c r="G2637">
        <v>174</v>
      </c>
      <c r="H2637" t="str">
        <f>VLOOKUP(G2637,[1]OPERADORES!$A:$B,2,0)</f>
        <v>MIRIÃ LOBATO RODRIGUES</v>
      </c>
      <c r="I2637" t="s">
        <v>21</v>
      </c>
      <c r="J2637" t="s">
        <v>372</v>
      </c>
      <c r="K2637" t="s">
        <v>2613</v>
      </c>
      <c r="L2637">
        <v>84897</v>
      </c>
      <c r="M2637" t="s">
        <v>852</v>
      </c>
      <c r="O2637" t="s">
        <v>11</v>
      </c>
      <c r="P2637">
        <v>5403</v>
      </c>
      <c r="Q2637">
        <v>6</v>
      </c>
      <c r="R2637">
        <v>239.02</v>
      </c>
      <c r="S2637" s="2">
        <v>1434.12</v>
      </c>
      <c r="T2637" s="2">
        <v>1051.3800000000001</v>
      </c>
      <c r="U2637">
        <v>26.69</v>
      </c>
      <c r="V2637" t="str">
        <f>VLOOKUP(L2637,'[2]tabela de preços'!$A:$D,4,0)</f>
        <v>BRASILUX</v>
      </c>
      <c r="W2637" t="str">
        <f>VLOOKUP(L2637,'[2]tabela de preços'!$A:$F,6,0)</f>
        <v>EPOXI</v>
      </c>
      <c r="X2637" t="str">
        <f>VLOOKUP(L2637,'[2]tabela de preços'!$A:$G,7,0)</f>
        <v>INDUSTRIAL</v>
      </c>
    </row>
    <row r="2638" spans="1:24" x14ac:dyDescent="0.3">
      <c r="A2638" t="s">
        <v>2610</v>
      </c>
      <c r="C2638" t="s">
        <v>2772</v>
      </c>
      <c r="D2638" s="1">
        <v>46059</v>
      </c>
      <c r="E2638" t="s">
        <v>2773</v>
      </c>
      <c r="F2638">
        <v>9</v>
      </c>
      <c r="G2638">
        <v>174</v>
      </c>
      <c r="H2638" t="str">
        <f>VLOOKUP(G2638,[1]OPERADORES!$A:$B,2,0)</f>
        <v>MIRIÃ LOBATO RODRIGUES</v>
      </c>
      <c r="I2638" t="s">
        <v>21</v>
      </c>
      <c r="J2638" t="s">
        <v>372</v>
      </c>
      <c r="K2638" t="s">
        <v>2613</v>
      </c>
      <c r="L2638">
        <v>84898</v>
      </c>
      <c r="M2638" t="s">
        <v>853</v>
      </c>
      <c r="O2638" t="s">
        <v>11</v>
      </c>
      <c r="P2638">
        <v>5403</v>
      </c>
      <c r="Q2638">
        <v>9</v>
      </c>
      <c r="R2638">
        <v>216.41</v>
      </c>
      <c r="S2638" s="2">
        <v>1947.69</v>
      </c>
      <c r="T2638" s="2">
        <v>1157.1300000000001</v>
      </c>
      <c r="U2638">
        <v>40.590000000000003</v>
      </c>
      <c r="V2638" t="str">
        <f>VLOOKUP(L2638,'[2]tabela de preços'!$A:$D,4,0)</f>
        <v>BRASILUX</v>
      </c>
      <c r="W2638" t="str">
        <f>VLOOKUP(L2638,'[2]tabela de preços'!$A:$F,6,0)</f>
        <v>EPOXI</v>
      </c>
      <c r="X2638" t="str">
        <f>VLOOKUP(L2638,'[2]tabela de preços'!$A:$G,7,0)</f>
        <v>INDUSTRIAL</v>
      </c>
    </row>
    <row r="2639" spans="1:24" x14ac:dyDescent="0.3">
      <c r="A2639" t="s">
        <v>2610</v>
      </c>
      <c r="C2639" t="s">
        <v>2772</v>
      </c>
      <c r="D2639" s="1">
        <v>46059</v>
      </c>
      <c r="E2639" t="s">
        <v>2773</v>
      </c>
      <c r="F2639">
        <v>9</v>
      </c>
      <c r="G2639">
        <v>174</v>
      </c>
      <c r="H2639" t="str">
        <f>VLOOKUP(G2639,[1]OPERADORES!$A:$B,2,0)</f>
        <v>MIRIÃ LOBATO RODRIGUES</v>
      </c>
      <c r="I2639" t="s">
        <v>21</v>
      </c>
      <c r="J2639" t="s">
        <v>372</v>
      </c>
      <c r="K2639" t="s">
        <v>2613</v>
      </c>
      <c r="L2639">
        <v>84899</v>
      </c>
      <c r="M2639" t="s">
        <v>854</v>
      </c>
      <c r="O2639" t="s">
        <v>11</v>
      </c>
      <c r="P2639">
        <v>5403</v>
      </c>
      <c r="Q2639">
        <v>3</v>
      </c>
      <c r="R2639">
        <v>175.37</v>
      </c>
      <c r="S2639">
        <v>526.11</v>
      </c>
      <c r="T2639">
        <v>385.71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EPOXI</v>
      </c>
      <c r="X2639" t="str">
        <f>VLOOKUP(L2639,'[2]tabela de preços'!$A:$G,7,0)</f>
        <v>INDUSTRIAL</v>
      </c>
    </row>
    <row r="2640" spans="1:24" x14ac:dyDescent="0.3">
      <c r="A2640" t="s">
        <v>2610</v>
      </c>
      <c r="C2640" t="s">
        <v>2772</v>
      </c>
      <c r="D2640" s="1">
        <v>46059</v>
      </c>
      <c r="E2640" t="s">
        <v>2773</v>
      </c>
      <c r="F2640">
        <v>9</v>
      </c>
      <c r="G2640">
        <v>174</v>
      </c>
      <c r="H2640" t="str">
        <f>VLOOKUP(G2640,[1]OPERADORES!$A:$B,2,0)</f>
        <v>MIRIÃ LOBATO RODRIGUES</v>
      </c>
      <c r="I2640" t="s">
        <v>21</v>
      </c>
      <c r="J2640" t="s">
        <v>372</v>
      </c>
      <c r="K2640" t="s">
        <v>2613</v>
      </c>
      <c r="L2640">
        <v>84900</v>
      </c>
      <c r="M2640" t="s">
        <v>1261</v>
      </c>
      <c r="O2640" t="s">
        <v>11</v>
      </c>
      <c r="P2640">
        <v>5403</v>
      </c>
      <c r="Q2640">
        <v>24</v>
      </c>
      <c r="R2640">
        <v>175.37</v>
      </c>
      <c r="S2640" s="2">
        <v>4208.88</v>
      </c>
      <c r="T2640" s="2">
        <v>3085.68</v>
      </c>
      <c r="U2640">
        <v>26.69</v>
      </c>
      <c r="V2640" t="str">
        <f>VLOOKUP(L2640,'[2]tabela de preços'!$A:$D,4,0)</f>
        <v>BRASILUX</v>
      </c>
      <c r="W2640" t="str">
        <f>VLOOKUP(L2640,'[2]tabela de preços'!$A:$F,6,0)</f>
        <v>EPOXI</v>
      </c>
      <c r="X2640" t="str">
        <f>VLOOKUP(L2640,'[2]tabela de preços'!$A:$G,7,0)</f>
        <v>INDUSTRIAL</v>
      </c>
    </row>
    <row r="2641" spans="1:24" x14ac:dyDescent="0.3">
      <c r="A2641" t="s">
        <v>2610</v>
      </c>
      <c r="C2641" t="s">
        <v>2772</v>
      </c>
      <c r="D2641" s="1">
        <v>46059</v>
      </c>
      <c r="E2641" t="s">
        <v>2773</v>
      </c>
      <c r="F2641">
        <v>9</v>
      </c>
      <c r="G2641">
        <v>174</v>
      </c>
      <c r="H2641" t="str">
        <f>VLOOKUP(G2641,[1]OPERADORES!$A:$B,2,0)</f>
        <v>MIRIÃ LOBATO RODRIGUES</v>
      </c>
      <c r="I2641" t="s">
        <v>21</v>
      </c>
      <c r="J2641" t="s">
        <v>372</v>
      </c>
      <c r="K2641" t="s">
        <v>2613</v>
      </c>
      <c r="L2641">
        <v>84901</v>
      </c>
      <c r="M2641" t="s">
        <v>2432</v>
      </c>
      <c r="O2641" t="s">
        <v>11</v>
      </c>
      <c r="P2641">
        <v>5403</v>
      </c>
      <c r="Q2641">
        <v>16</v>
      </c>
      <c r="R2641">
        <v>223.23</v>
      </c>
      <c r="S2641" s="2">
        <v>3571.68</v>
      </c>
      <c r="T2641" s="2">
        <v>2618.56</v>
      </c>
      <c r="U2641">
        <v>26.69</v>
      </c>
      <c r="V2641" t="str">
        <f>VLOOKUP(L2641,'[2]tabela de preços'!$A:$D,4,0)</f>
        <v>BRASILUX</v>
      </c>
      <c r="W2641" t="str">
        <f>VLOOKUP(L2641,'[2]tabela de preços'!$A:$F,6,0)</f>
        <v>EPOXI</v>
      </c>
      <c r="X2641" t="str">
        <f>VLOOKUP(L2641,'[2]tabela de preços'!$A:$G,7,0)</f>
        <v>INDUSTRIAL</v>
      </c>
    </row>
    <row r="2642" spans="1:24" x14ac:dyDescent="0.3">
      <c r="A2642" t="s">
        <v>846</v>
      </c>
      <c r="C2642" t="s">
        <v>2429</v>
      </c>
      <c r="D2642" s="1">
        <v>46055</v>
      </c>
      <c r="F2642">
        <v>9</v>
      </c>
      <c r="G2642">
        <v>174</v>
      </c>
      <c r="H2642" t="str">
        <f>VLOOKUP(G2642,[1]OPERADORES!$A:$B,2,0)</f>
        <v>MIRIÃ LOBATO RODRIGUES</v>
      </c>
      <c r="I2642" t="s">
        <v>21</v>
      </c>
      <c r="J2642" t="s">
        <v>339</v>
      </c>
      <c r="K2642" t="s">
        <v>849</v>
      </c>
      <c r="L2642">
        <v>84898</v>
      </c>
      <c r="M2642" t="s">
        <v>853</v>
      </c>
      <c r="N2642" t="s">
        <v>857</v>
      </c>
      <c r="O2642" t="s">
        <v>11</v>
      </c>
      <c r="P2642">
        <v>1411</v>
      </c>
      <c r="Q2642">
        <v>-2</v>
      </c>
      <c r="R2642">
        <v>209.03</v>
      </c>
      <c r="S2642">
        <v>-418.06</v>
      </c>
      <c r="T2642">
        <v>-317.32</v>
      </c>
      <c r="U2642">
        <v>24.1</v>
      </c>
      <c r="V2642" t="str">
        <f>VLOOKUP(L2642,'[2]tabela de preços'!$A:$D,4,0)</f>
        <v>BRASILUX</v>
      </c>
      <c r="W2642" t="str">
        <f>VLOOKUP(L2642,'[2]tabela de preços'!$A:$F,6,0)</f>
        <v>EPOXI</v>
      </c>
      <c r="X2642" t="str">
        <f>VLOOKUP(L2642,'[2]tabela de preços'!$A:$G,7,0)</f>
        <v>INDUSTRIAL</v>
      </c>
    </row>
    <row r="2643" spans="1:24" x14ac:dyDescent="0.3">
      <c r="A2643" t="s">
        <v>846</v>
      </c>
      <c r="C2643" t="s">
        <v>2430</v>
      </c>
      <c r="D2643" s="1">
        <v>46055</v>
      </c>
      <c r="E2643" t="s">
        <v>2431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21</v>
      </c>
      <c r="J2643" t="s">
        <v>339</v>
      </c>
      <c r="K2643" t="s">
        <v>849</v>
      </c>
      <c r="L2643">
        <v>84328</v>
      </c>
      <c r="M2643" t="s">
        <v>496</v>
      </c>
      <c r="O2643" t="s">
        <v>11</v>
      </c>
      <c r="P2643">
        <v>5403</v>
      </c>
      <c r="Q2643">
        <v>3</v>
      </c>
      <c r="R2643">
        <v>60.85</v>
      </c>
      <c r="S2643">
        <v>182.55</v>
      </c>
      <c r="T2643">
        <v>138.57</v>
      </c>
      <c r="U2643">
        <v>24.09</v>
      </c>
      <c r="V2643" t="str">
        <f>VLOOKUP(L2643,'[2]tabela de preços'!$A:$D,4,0)</f>
        <v>BRASILUX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846</v>
      </c>
      <c r="C2644" t="s">
        <v>2430</v>
      </c>
      <c r="D2644" s="1">
        <v>46055</v>
      </c>
      <c r="E2644" t="s">
        <v>2431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21</v>
      </c>
      <c r="J2644" t="s">
        <v>339</v>
      </c>
      <c r="K2644" t="s">
        <v>849</v>
      </c>
      <c r="L2644">
        <v>86627</v>
      </c>
      <c r="M2644" t="s">
        <v>1419</v>
      </c>
      <c r="O2644" t="s">
        <v>11</v>
      </c>
      <c r="P2644">
        <v>5403</v>
      </c>
      <c r="Q2644">
        <v>2</v>
      </c>
      <c r="R2644">
        <v>285.87</v>
      </c>
      <c r="S2644">
        <v>571.74</v>
      </c>
      <c r="T2644">
        <v>433.96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846</v>
      </c>
      <c r="C2645" t="s">
        <v>2430</v>
      </c>
      <c r="D2645" s="1">
        <v>46055</v>
      </c>
      <c r="E2645" t="s">
        <v>2431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21</v>
      </c>
      <c r="J2645" t="s">
        <v>339</v>
      </c>
      <c r="K2645" t="s">
        <v>849</v>
      </c>
      <c r="L2645">
        <v>84823</v>
      </c>
      <c r="M2645" t="s">
        <v>331</v>
      </c>
      <c r="O2645" t="s">
        <v>11</v>
      </c>
      <c r="P2645">
        <v>5102</v>
      </c>
      <c r="Q2645">
        <v>2</v>
      </c>
      <c r="R2645">
        <v>94.64</v>
      </c>
      <c r="S2645">
        <v>189.28</v>
      </c>
      <c r="T2645">
        <v>143.66</v>
      </c>
      <c r="U2645">
        <v>24.1</v>
      </c>
      <c r="V2645" t="str">
        <f>VLOOKUP(L2645,'[2]tabela de preços'!$A:$D,4,0)</f>
        <v>BRASILUX</v>
      </c>
      <c r="W2645" t="str">
        <f>VLOOKUP(L2645,'[2]tabela de preços'!$A:$F,6,0)</f>
        <v>DILUENTE</v>
      </c>
      <c r="X2645" t="str">
        <f>VLOOKUP(L2645,'[2]tabela de preços'!$A:$G,7,0)</f>
        <v>AUTOMOTIVO</v>
      </c>
    </row>
    <row r="2646" spans="1:24" x14ac:dyDescent="0.3">
      <c r="A2646" t="s">
        <v>846</v>
      </c>
      <c r="C2646" t="s">
        <v>2430</v>
      </c>
      <c r="D2646" s="1">
        <v>46055</v>
      </c>
      <c r="E2646" t="s">
        <v>2431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21</v>
      </c>
      <c r="J2646" t="s">
        <v>339</v>
      </c>
      <c r="K2646" t="s">
        <v>849</v>
      </c>
      <c r="L2646">
        <v>5</v>
      </c>
      <c r="M2646" t="s">
        <v>147</v>
      </c>
      <c r="O2646" t="s">
        <v>11</v>
      </c>
      <c r="P2646">
        <v>5102</v>
      </c>
      <c r="Q2646">
        <v>2</v>
      </c>
      <c r="R2646">
        <v>5.15</v>
      </c>
      <c r="S2646">
        <v>10.3</v>
      </c>
      <c r="T2646">
        <v>7.82</v>
      </c>
      <c r="U2646">
        <v>24.08</v>
      </c>
      <c r="V2646" t="str">
        <f>VLOOKUP(L2646,'[2]tabela de preços'!$A:$D,4,0)</f>
        <v>BRILHO ESTOPA</v>
      </c>
      <c r="W2646" t="str">
        <f>VLOOKUP(L2646,'[2]tabela de preços'!$A:$F,6,0)</f>
        <v>ESTOPAS</v>
      </c>
      <c r="X2646" t="str">
        <f>VLOOKUP(L2646,'[2]tabela de preços'!$A:$G,7,0)</f>
        <v>AUTOMOTIVO</v>
      </c>
    </row>
    <row r="2647" spans="1:24" x14ac:dyDescent="0.3">
      <c r="A2647" t="s">
        <v>846</v>
      </c>
      <c r="C2647" t="s">
        <v>2430</v>
      </c>
      <c r="D2647" s="1">
        <v>46055</v>
      </c>
      <c r="E2647" t="s">
        <v>2431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21</v>
      </c>
      <c r="J2647" t="s">
        <v>339</v>
      </c>
      <c r="K2647" t="s">
        <v>849</v>
      </c>
      <c r="L2647">
        <v>84411</v>
      </c>
      <c r="M2647" t="s">
        <v>35</v>
      </c>
      <c r="O2647" t="s">
        <v>11</v>
      </c>
      <c r="P2647">
        <v>5102</v>
      </c>
      <c r="Q2647">
        <v>6</v>
      </c>
      <c r="R2647">
        <v>4.67</v>
      </c>
      <c r="S2647">
        <v>28.02</v>
      </c>
      <c r="T2647">
        <v>21.24</v>
      </c>
      <c r="U2647">
        <v>24.2</v>
      </c>
      <c r="V2647" t="str">
        <f>VLOOKUP(L2647,'[2]tabela de preços'!$A:$D,4,0)</f>
        <v>ADERE</v>
      </c>
      <c r="W2647" t="str">
        <f>VLOOKUP(L2647,'[2]tabela de preços'!$A:$F,6,0)</f>
        <v xml:space="preserve">FITA DE USO GERAL </v>
      </c>
      <c r="X2647" t="str">
        <f>VLOOKUP(L2647,'[2]tabela de preços'!$A:$G,7,0)</f>
        <v>IMOBILIÁRIO</v>
      </c>
    </row>
    <row r="2648" spans="1:24" x14ac:dyDescent="0.3">
      <c r="A2648" t="s">
        <v>846</v>
      </c>
      <c r="C2648" t="s">
        <v>2430</v>
      </c>
      <c r="D2648" s="1">
        <v>46055</v>
      </c>
      <c r="E2648" t="s">
        <v>2431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21</v>
      </c>
      <c r="J2648" t="s">
        <v>339</v>
      </c>
      <c r="K2648" t="s">
        <v>849</v>
      </c>
      <c r="L2648">
        <v>84928</v>
      </c>
      <c r="M2648" t="s">
        <v>36</v>
      </c>
      <c r="O2648" t="s">
        <v>11</v>
      </c>
      <c r="P2648">
        <v>5102</v>
      </c>
      <c r="Q2648">
        <v>3</v>
      </c>
      <c r="R2648">
        <v>9.39</v>
      </c>
      <c r="S2648">
        <v>28.17</v>
      </c>
      <c r="T2648">
        <v>21.39</v>
      </c>
      <c r="U2648">
        <v>24.07</v>
      </c>
      <c r="V2648" t="str">
        <f>VLOOKUP(L2648,'[2]tabela de preços'!$A:$D,4,0)</f>
        <v>ADERE</v>
      </c>
      <c r="W2648" t="str">
        <f>VLOOKUP(L2648,'[2]tabela de preços'!$A:$F,6,0)</f>
        <v xml:space="preserve">FITA DE USO GERAL </v>
      </c>
      <c r="X2648" t="str">
        <f>VLOOKUP(L2648,'[2]tabela de preços'!$A:$G,7,0)</f>
        <v>IMOBILIÁRIO</v>
      </c>
    </row>
    <row r="2649" spans="1:24" x14ac:dyDescent="0.3">
      <c r="A2649" t="s">
        <v>846</v>
      </c>
      <c r="C2649" t="s">
        <v>2430</v>
      </c>
      <c r="D2649" s="1">
        <v>46055</v>
      </c>
      <c r="E2649" t="s">
        <v>2431</v>
      </c>
      <c r="F2649">
        <v>9</v>
      </c>
      <c r="G2649">
        <v>174</v>
      </c>
      <c r="H2649" t="str">
        <f>VLOOKUP(G2649,[1]OPERADORES!$A:$B,2,0)</f>
        <v>MIRIÃ LOBATO RODRIGUES</v>
      </c>
      <c r="I2649" t="s">
        <v>21</v>
      </c>
      <c r="J2649" t="s">
        <v>339</v>
      </c>
      <c r="K2649" t="s">
        <v>849</v>
      </c>
      <c r="L2649">
        <v>23878</v>
      </c>
      <c r="M2649" t="s">
        <v>851</v>
      </c>
      <c r="O2649" t="s">
        <v>11</v>
      </c>
      <c r="P2649">
        <v>5102</v>
      </c>
      <c r="Q2649">
        <v>5</v>
      </c>
      <c r="R2649">
        <v>7.69</v>
      </c>
      <c r="S2649">
        <v>38.450000000000003</v>
      </c>
      <c r="T2649">
        <v>29.2</v>
      </c>
      <c r="U2649">
        <v>24.06</v>
      </c>
      <c r="V2649" t="str">
        <f>VLOOKUP(L2649,'[2]tabela de preços'!$A:$D,4,0)</f>
        <v>ATLAS</v>
      </c>
      <c r="W2649" t="str">
        <f>VLOOKUP(L2649,'[2]tabela de preços'!$A:$F,6,0)</f>
        <v>ROLOS / TRINCHAS / PINCÉIS / ESPÁTULAS</v>
      </c>
      <c r="X2649" t="str">
        <f>VLOOKUP(L2649,'[2]tabela de preços'!$A:$G,7,0)</f>
        <v>IMOBILIÁRIO</v>
      </c>
    </row>
    <row r="2650" spans="1:24" x14ac:dyDescent="0.3">
      <c r="A2650" t="s">
        <v>846</v>
      </c>
      <c r="C2650" t="s">
        <v>2430</v>
      </c>
      <c r="D2650" s="1">
        <v>46055</v>
      </c>
      <c r="E2650" t="s">
        <v>2431</v>
      </c>
      <c r="F2650">
        <v>9</v>
      </c>
      <c r="G2650">
        <v>174</v>
      </c>
      <c r="H2650" t="str">
        <f>VLOOKUP(G2650,[1]OPERADORES!$A:$B,2,0)</f>
        <v>MIRIÃ LOBATO RODRIGUES</v>
      </c>
      <c r="I2650" t="s">
        <v>21</v>
      </c>
      <c r="J2650" t="s">
        <v>339</v>
      </c>
      <c r="K2650" t="s">
        <v>849</v>
      </c>
      <c r="L2650">
        <v>84785</v>
      </c>
      <c r="M2650" t="s">
        <v>944</v>
      </c>
      <c r="O2650" t="s">
        <v>11</v>
      </c>
      <c r="P2650">
        <v>5403</v>
      </c>
      <c r="Q2650">
        <v>2</v>
      </c>
      <c r="R2650">
        <v>172.23</v>
      </c>
      <c r="S2650">
        <v>344.46</v>
      </c>
      <c r="T2650">
        <v>261.44</v>
      </c>
      <c r="U2650">
        <v>24.1</v>
      </c>
      <c r="V2650" t="str">
        <f>VLOOKUP(L2650,'[2]tabela de preços'!$A:$D,4,0)</f>
        <v>BRASILUX</v>
      </c>
      <c r="W2650" t="str">
        <f>VLOOKUP(L2650,'[2]tabela de preços'!$A:$F,6,0)</f>
        <v>EPOXI</v>
      </c>
      <c r="X2650" t="str">
        <f>VLOOKUP(L2650,'[2]tabela de preços'!$A:$G,7,0)</f>
        <v>INDUSTRIAL</v>
      </c>
    </row>
    <row r="2651" spans="1:24" x14ac:dyDescent="0.3">
      <c r="A2651" t="s">
        <v>846</v>
      </c>
      <c r="C2651" t="s">
        <v>2430</v>
      </c>
      <c r="D2651" s="1">
        <v>46055</v>
      </c>
      <c r="E2651" t="s">
        <v>2431</v>
      </c>
      <c r="F2651">
        <v>9</v>
      </c>
      <c r="G2651">
        <v>174</v>
      </c>
      <c r="H2651" t="str">
        <f>VLOOKUP(G2651,[1]OPERADORES!$A:$B,2,0)</f>
        <v>MIRIÃ LOBATO RODRIGUES</v>
      </c>
      <c r="I2651" t="s">
        <v>21</v>
      </c>
      <c r="J2651" t="s">
        <v>339</v>
      </c>
      <c r="K2651" t="s">
        <v>849</v>
      </c>
      <c r="L2651">
        <v>85139</v>
      </c>
      <c r="M2651" t="s">
        <v>45</v>
      </c>
      <c r="O2651" t="s">
        <v>46</v>
      </c>
      <c r="P2651">
        <v>5403</v>
      </c>
      <c r="Q2651">
        <v>1</v>
      </c>
      <c r="R2651">
        <v>103.27</v>
      </c>
      <c r="S2651">
        <v>103.27</v>
      </c>
      <c r="T2651">
        <v>78.38</v>
      </c>
      <c r="U2651">
        <v>24.1</v>
      </c>
      <c r="V2651" t="str">
        <f>VLOOKUP(L2651,'[2]tabela de preços'!$A:$D,4,0)</f>
        <v>MULTILONA</v>
      </c>
      <c r="W2651" t="str">
        <f>VLOOKUP(L2651,'[2]tabela de preços'!$A:$F,6,0)</f>
        <v>LONAS</v>
      </c>
      <c r="X2651" t="str">
        <f>VLOOKUP(L2651,'[2]tabela de preços'!$A:$G,7,0)</f>
        <v>IMOBILIÁRIO</v>
      </c>
    </row>
    <row r="2652" spans="1:24" x14ac:dyDescent="0.3">
      <c r="A2652" t="s">
        <v>846</v>
      </c>
      <c r="C2652" t="s">
        <v>2430</v>
      </c>
      <c r="D2652" s="1">
        <v>46055</v>
      </c>
      <c r="E2652" t="s">
        <v>2431</v>
      </c>
      <c r="F2652">
        <v>9</v>
      </c>
      <c r="G2652">
        <v>174</v>
      </c>
      <c r="H2652" t="str">
        <f>VLOOKUP(G2652,[1]OPERADORES!$A:$B,2,0)</f>
        <v>MIRIÃ LOBATO RODRIGUES</v>
      </c>
      <c r="I2652" t="s">
        <v>21</v>
      </c>
      <c r="J2652" t="s">
        <v>339</v>
      </c>
      <c r="K2652" t="s">
        <v>849</v>
      </c>
      <c r="L2652">
        <v>84423</v>
      </c>
      <c r="M2652" t="s">
        <v>1198</v>
      </c>
      <c r="O2652" t="s">
        <v>11</v>
      </c>
      <c r="P2652">
        <v>5102</v>
      </c>
      <c r="Q2652">
        <v>4</v>
      </c>
      <c r="R2652">
        <v>17.82</v>
      </c>
      <c r="S2652">
        <v>71.28</v>
      </c>
      <c r="T2652">
        <v>54.08</v>
      </c>
      <c r="U2652">
        <v>24.13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846</v>
      </c>
      <c r="C2653" t="s">
        <v>2430</v>
      </c>
      <c r="D2653" s="1">
        <v>46055</v>
      </c>
      <c r="E2653" t="s">
        <v>2431</v>
      </c>
      <c r="F2653">
        <v>9</v>
      </c>
      <c r="G2653">
        <v>174</v>
      </c>
      <c r="H2653" t="str">
        <f>VLOOKUP(G2653,[1]OPERADORES!$A:$B,2,0)</f>
        <v>MIRIÃ LOBATO RODRIGUES</v>
      </c>
      <c r="I2653" t="s">
        <v>21</v>
      </c>
      <c r="J2653" t="s">
        <v>339</v>
      </c>
      <c r="K2653" t="s">
        <v>849</v>
      </c>
      <c r="L2653">
        <v>84421</v>
      </c>
      <c r="M2653" t="s">
        <v>568</v>
      </c>
      <c r="O2653" t="s">
        <v>11</v>
      </c>
      <c r="P2653">
        <v>5102</v>
      </c>
      <c r="Q2653">
        <v>2</v>
      </c>
      <c r="R2653">
        <v>6.35</v>
      </c>
      <c r="S2653">
        <v>12.7</v>
      </c>
      <c r="T2653">
        <v>9.64</v>
      </c>
      <c r="U2653">
        <v>24.09</v>
      </c>
      <c r="V2653" t="str">
        <f>VLOOKUP(L2653,'[2]tabela de preços'!$A:$D,4,0)</f>
        <v>ATLAS</v>
      </c>
      <c r="W2653" t="str">
        <f>VLOOKUP(L2653,'[2]tabela de preços'!$A:$F,6,0)</f>
        <v>ROLOS / TRINCHAS / PINCÉIS / ESPÁTULAS</v>
      </c>
      <c r="X2653" t="str">
        <f>VLOOKUP(L2653,'[2]tabela de preços'!$A:$G,7,0)</f>
        <v>IMOBILIÁRIO</v>
      </c>
    </row>
    <row r="2654" spans="1:24" x14ac:dyDescent="0.3">
      <c r="A2654" t="s">
        <v>846</v>
      </c>
      <c r="C2654" t="s">
        <v>2430</v>
      </c>
      <c r="D2654" s="1">
        <v>46055</v>
      </c>
      <c r="E2654" t="s">
        <v>2431</v>
      </c>
      <c r="F2654">
        <v>9</v>
      </c>
      <c r="G2654">
        <v>174</v>
      </c>
      <c r="H2654" t="str">
        <f>VLOOKUP(G2654,[1]OPERADORES!$A:$B,2,0)</f>
        <v>MIRIÃ LOBATO RODRIGUES</v>
      </c>
      <c r="I2654" t="s">
        <v>21</v>
      </c>
      <c r="J2654" t="s">
        <v>339</v>
      </c>
      <c r="K2654" t="s">
        <v>849</v>
      </c>
      <c r="L2654">
        <v>86939</v>
      </c>
      <c r="M2654" t="s">
        <v>346</v>
      </c>
      <c r="O2654" t="s">
        <v>11</v>
      </c>
      <c r="P2654">
        <v>5102</v>
      </c>
      <c r="Q2654">
        <v>1</v>
      </c>
      <c r="R2654">
        <v>52.92</v>
      </c>
      <c r="S2654">
        <v>52.92</v>
      </c>
      <c r="T2654">
        <v>40.17</v>
      </c>
      <c r="U2654">
        <v>24.09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846</v>
      </c>
      <c r="C2655" t="s">
        <v>2430</v>
      </c>
      <c r="D2655" s="1">
        <v>46055</v>
      </c>
      <c r="E2655" t="s">
        <v>2431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339</v>
      </c>
      <c r="K2655" t="s">
        <v>849</v>
      </c>
      <c r="L2655">
        <v>84703</v>
      </c>
      <c r="M2655" t="s">
        <v>1423</v>
      </c>
      <c r="O2655" t="s">
        <v>11</v>
      </c>
      <c r="P2655">
        <v>5102</v>
      </c>
      <c r="Q2655">
        <v>1</v>
      </c>
      <c r="R2655">
        <v>16.03</v>
      </c>
      <c r="S2655">
        <v>16.03</v>
      </c>
      <c r="T2655">
        <v>12.17</v>
      </c>
      <c r="U2655">
        <v>24.08</v>
      </c>
      <c r="V2655" t="str">
        <f>VLOOKUP(L2655,'[2]tabela de preços'!$A:$D,4,0)</f>
        <v>ATLAS</v>
      </c>
      <c r="W2655" t="str">
        <f>VLOOKUP(L2655,'[2]tabela de preços'!$A:$F,6,0)</f>
        <v>ROLOS / TRINCHAS / PINCÉIS / ESPÁTULAS</v>
      </c>
      <c r="X2655" t="str">
        <f>VLOOKUP(L2655,'[2]tabela de preços'!$A:$G,7,0)</f>
        <v>IMOBILIÁRIO</v>
      </c>
    </row>
    <row r="2656" spans="1:24" x14ac:dyDescent="0.3">
      <c r="A2656" t="s">
        <v>846</v>
      </c>
      <c r="C2656" t="s">
        <v>2430</v>
      </c>
      <c r="D2656" s="1">
        <v>46055</v>
      </c>
      <c r="E2656" t="s">
        <v>2431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84898</v>
      </c>
      <c r="M2656" t="s">
        <v>853</v>
      </c>
      <c r="O2656" t="s">
        <v>11</v>
      </c>
      <c r="P2656">
        <v>5403</v>
      </c>
      <c r="Q2656">
        <v>2</v>
      </c>
      <c r="R2656">
        <v>169.39</v>
      </c>
      <c r="S2656">
        <v>338.78</v>
      </c>
      <c r="T2656">
        <v>257.14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EPOXI</v>
      </c>
      <c r="X2656" t="str">
        <f>VLOOKUP(L2656,'[2]tabela de preços'!$A:$G,7,0)</f>
        <v>INDUSTRIAL</v>
      </c>
    </row>
    <row r="2657" spans="1:24" x14ac:dyDescent="0.3">
      <c r="A2657" t="s">
        <v>846</v>
      </c>
      <c r="C2657" t="s">
        <v>2430</v>
      </c>
      <c r="D2657" s="1">
        <v>46055</v>
      </c>
      <c r="E2657" t="s">
        <v>2431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84899</v>
      </c>
      <c r="M2657" t="s">
        <v>854</v>
      </c>
      <c r="O2657" t="s">
        <v>11</v>
      </c>
      <c r="P2657">
        <v>5403</v>
      </c>
      <c r="Q2657">
        <v>1</v>
      </c>
      <c r="R2657">
        <v>169.39</v>
      </c>
      <c r="S2657">
        <v>169.39</v>
      </c>
      <c r="T2657">
        <v>128.57</v>
      </c>
      <c r="U2657">
        <v>24.1</v>
      </c>
      <c r="V2657" t="str">
        <f>VLOOKUP(L2657,'[2]tabela de preços'!$A:$D,4,0)</f>
        <v>BRASILUX</v>
      </c>
      <c r="W2657" t="str">
        <f>VLOOKUP(L2657,'[2]tabela de preços'!$A:$F,6,0)</f>
        <v>EPOXI</v>
      </c>
      <c r="X2657" t="str">
        <f>VLOOKUP(L2657,'[2]tabela de preços'!$A:$G,7,0)</f>
        <v>INDUSTRIAL</v>
      </c>
    </row>
    <row r="2658" spans="1:24" x14ac:dyDescent="0.3">
      <c r="A2658" t="s">
        <v>846</v>
      </c>
      <c r="C2658" t="s">
        <v>2430</v>
      </c>
      <c r="D2658" s="1">
        <v>46055</v>
      </c>
      <c r="E2658" t="s">
        <v>2431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84901</v>
      </c>
      <c r="M2658" t="s">
        <v>2432</v>
      </c>
      <c r="O2658" t="s">
        <v>11</v>
      </c>
      <c r="P2658">
        <v>5403</v>
      </c>
      <c r="Q2658">
        <v>5</v>
      </c>
      <c r="R2658">
        <v>215.62</v>
      </c>
      <c r="S2658" s="2">
        <v>1078.0999999999999</v>
      </c>
      <c r="T2658">
        <v>818.3</v>
      </c>
      <c r="U2658">
        <v>24.1</v>
      </c>
      <c r="V2658" t="str">
        <f>VLOOKUP(L2658,'[2]tabela de preços'!$A:$D,4,0)</f>
        <v>BRASILUX</v>
      </c>
      <c r="W2658" t="str">
        <f>VLOOKUP(L2658,'[2]tabela de preços'!$A:$F,6,0)</f>
        <v>EPOXI</v>
      </c>
      <c r="X2658" t="str">
        <f>VLOOKUP(L2658,'[2]tabela de preços'!$A:$G,7,0)</f>
        <v>INDUSTRIAL</v>
      </c>
    </row>
    <row r="2659" spans="1:24" x14ac:dyDescent="0.3">
      <c r="A2659" t="s">
        <v>846</v>
      </c>
      <c r="C2659" t="s">
        <v>2430</v>
      </c>
      <c r="D2659" s="1">
        <v>46055</v>
      </c>
      <c r="E2659" t="s">
        <v>2431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10118</v>
      </c>
      <c r="M2659" t="s">
        <v>572</v>
      </c>
      <c r="O2659" t="s">
        <v>11</v>
      </c>
      <c r="P2659">
        <v>5102</v>
      </c>
      <c r="Q2659">
        <v>4</v>
      </c>
      <c r="R2659">
        <v>5.0199999999999996</v>
      </c>
      <c r="S2659">
        <v>20.079999999999998</v>
      </c>
      <c r="T2659">
        <v>15.24</v>
      </c>
      <c r="U2659">
        <v>24.1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868</v>
      </c>
      <c r="B2660" t="s">
        <v>869</v>
      </c>
      <c r="C2660" t="s">
        <v>2433</v>
      </c>
      <c r="D2660" s="1">
        <v>46055</v>
      </c>
      <c r="E2660" t="s">
        <v>2434</v>
      </c>
      <c r="F2660">
        <v>9</v>
      </c>
      <c r="G2660">
        <v>197</v>
      </c>
      <c r="H2660" t="str">
        <f>VLOOKUP(G2660,[1]OPERADORES!$A:$B,2,0)</f>
        <v xml:space="preserve">POLIANA LORRANE DE AMORIM </v>
      </c>
      <c r="I2660" t="s">
        <v>21</v>
      </c>
      <c r="J2660" t="s">
        <v>872</v>
      </c>
      <c r="K2660" t="s">
        <v>873</v>
      </c>
      <c r="L2660">
        <v>10298</v>
      </c>
      <c r="M2660" t="s">
        <v>85</v>
      </c>
      <c r="O2660" t="s">
        <v>11</v>
      </c>
      <c r="P2660">
        <v>5102</v>
      </c>
      <c r="Q2660">
        <v>40</v>
      </c>
      <c r="R2660">
        <v>54.9</v>
      </c>
      <c r="S2660" s="2">
        <v>2196</v>
      </c>
      <c r="T2660" s="2">
        <v>1895.2</v>
      </c>
      <c r="U2660">
        <v>13.7</v>
      </c>
      <c r="V2660" t="str">
        <f>VLOOKUP(L2660,'[2]tabela de preços'!$A:$D,4,0)</f>
        <v>ANJO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868</v>
      </c>
      <c r="B2661" t="s">
        <v>869</v>
      </c>
      <c r="C2661" t="s">
        <v>2433</v>
      </c>
      <c r="D2661" s="1">
        <v>46055</v>
      </c>
      <c r="E2661" t="s">
        <v>2434</v>
      </c>
      <c r="F2661">
        <v>9</v>
      </c>
      <c r="G2661">
        <v>197</v>
      </c>
      <c r="H2661" t="str">
        <f>VLOOKUP(G2661,[1]OPERADORES!$A:$B,2,0)</f>
        <v xml:space="preserve">POLIANA LORRANE DE AMORIM </v>
      </c>
      <c r="I2661" t="s">
        <v>21</v>
      </c>
      <c r="J2661" t="s">
        <v>872</v>
      </c>
      <c r="K2661" t="s">
        <v>873</v>
      </c>
      <c r="L2661">
        <v>10297</v>
      </c>
      <c r="M2661" t="s">
        <v>41</v>
      </c>
      <c r="O2661" t="s">
        <v>11</v>
      </c>
      <c r="P2661">
        <v>5102</v>
      </c>
      <c r="Q2661">
        <v>36</v>
      </c>
      <c r="R2661">
        <v>10.49</v>
      </c>
      <c r="S2661">
        <v>377.64</v>
      </c>
      <c r="T2661">
        <v>330.12</v>
      </c>
      <c r="U2661">
        <v>12.58</v>
      </c>
      <c r="V2661" t="str">
        <f>VLOOKUP(L2661,'[2]tabela de preços'!$A:$D,4,0)</f>
        <v>ANJO</v>
      </c>
      <c r="W2661" t="str">
        <f>VLOOKUP(L2661,'[2]tabela de preços'!$A:$F,6,0)</f>
        <v>THINNER DE LIMPEZA</v>
      </c>
      <c r="X2661" t="str">
        <f>VLOOKUP(L2661,'[2]tabela de preços'!$A:$G,7,0)</f>
        <v>THINNER</v>
      </c>
    </row>
    <row r="2662" spans="1:24" x14ac:dyDescent="0.3">
      <c r="A2662" t="s">
        <v>868</v>
      </c>
      <c r="B2662" t="s">
        <v>869</v>
      </c>
      <c r="C2662" t="s">
        <v>2614</v>
      </c>
      <c r="D2662" s="1">
        <v>46058</v>
      </c>
      <c r="E2662" t="s">
        <v>2615</v>
      </c>
      <c r="F2662">
        <v>9</v>
      </c>
      <c r="G2662">
        <v>197</v>
      </c>
      <c r="H2662" t="str">
        <f>VLOOKUP(G2662,[1]OPERADORES!$A:$B,2,0)</f>
        <v xml:space="preserve">POLIANA LORRANE DE AMORIM </v>
      </c>
      <c r="I2662" t="s">
        <v>21</v>
      </c>
      <c r="J2662" t="s">
        <v>872</v>
      </c>
      <c r="K2662" t="s">
        <v>873</v>
      </c>
      <c r="L2662">
        <v>84217</v>
      </c>
      <c r="M2662" t="s">
        <v>882</v>
      </c>
      <c r="O2662" t="s">
        <v>11</v>
      </c>
      <c r="P2662">
        <v>5403</v>
      </c>
      <c r="Q2662">
        <v>4</v>
      </c>
      <c r="R2662">
        <v>51.16</v>
      </c>
      <c r="S2662">
        <v>204.64</v>
      </c>
      <c r="T2662">
        <v>155.32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ESMALTES</v>
      </c>
      <c r="X2662" t="str">
        <f>VLOOKUP(L2662,'[2]tabela de preços'!$A:$G,7,0)</f>
        <v>INDUSTRIAL</v>
      </c>
    </row>
    <row r="2663" spans="1:24" x14ac:dyDescent="0.3">
      <c r="A2663" t="s">
        <v>868</v>
      </c>
      <c r="B2663" t="s">
        <v>869</v>
      </c>
      <c r="C2663" t="s">
        <v>2614</v>
      </c>
      <c r="D2663" s="1">
        <v>46058</v>
      </c>
      <c r="E2663" t="s">
        <v>2615</v>
      </c>
      <c r="F2663">
        <v>9</v>
      </c>
      <c r="G2663">
        <v>197</v>
      </c>
      <c r="H2663" t="str">
        <f>VLOOKUP(G2663,[1]OPERADORES!$A:$B,2,0)</f>
        <v xml:space="preserve">POLIANA LORRANE DE AMORIM </v>
      </c>
      <c r="I2663" t="s">
        <v>21</v>
      </c>
      <c r="J2663" t="s">
        <v>872</v>
      </c>
      <c r="K2663" t="s">
        <v>873</v>
      </c>
      <c r="L2663">
        <v>84331</v>
      </c>
      <c r="M2663" t="s">
        <v>497</v>
      </c>
      <c r="O2663" t="s">
        <v>11</v>
      </c>
      <c r="P2663">
        <v>5403</v>
      </c>
      <c r="Q2663">
        <v>8</v>
      </c>
      <c r="R2663">
        <v>59.98</v>
      </c>
      <c r="S2663">
        <v>479.84</v>
      </c>
      <c r="T2663">
        <v>416</v>
      </c>
      <c r="U2663">
        <v>13.3</v>
      </c>
      <c r="V2663" t="str">
        <f>VLOOKUP(L2663,'[2]tabela de preços'!$A:$D,4,0)</f>
        <v>BRASILUX</v>
      </c>
      <c r="W2663" t="str">
        <f>VLOOKUP(L2663,'[2]tabela de preços'!$A:$F,6,0)</f>
        <v>ESMALTES</v>
      </c>
      <c r="X2663" t="str">
        <f>VLOOKUP(L2663,'[2]tabela de preços'!$A:$G,7,0)</f>
        <v>INDUSTRIAL</v>
      </c>
    </row>
    <row r="2664" spans="1:24" x14ac:dyDescent="0.3">
      <c r="A2664" t="s">
        <v>868</v>
      </c>
      <c r="B2664" t="s">
        <v>869</v>
      </c>
      <c r="C2664" t="s">
        <v>2614</v>
      </c>
      <c r="D2664" s="1">
        <v>46058</v>
      </c>
      <c r="E2664" t="s">
        <v>2615</v>
      </c>
      <c r="F2664">
        <v>9</v>
      </c>
      <c r="G2664">
        <v>197</v>
      </c>
      <c r="H2664" t="str">
        <f>VLOOKUP(G2664,[1]OPERADORES!$A:$B,2,0)</f>
        <v xml:space="preserve">POLIANA LORRANE DE AMORIM </v>
      </c>
      <c r="I2664" t="s">
        <v>21</v>
      </c>
      <c r="J2664" t="s">
        <v>872</v>
      </c>
      <c r="K2664" t="s">
        <v>873</v>
      </c>
      <c r="L2664">
        <v>23076</v>
      </c>
      <c r="M2664" t="s">
        <v>97</v>
      </c>
      <c r="O2664" t="s">
        <v>11</v>
      </c>
      <c r="P2664">
        <v>5403</v>
      </c>
      <c r="Q2664">
        <v>10</v>
      </c>
      <c r="R2664">
        <v>34.89</v>
      </c>
      <c r="S2664">
        <v>348.9</v>
      </c>
      <c r="T2664">
        <v>265.3</v>
      </c>
      <c r="U2664">
        <v>23.96</v>
      </c>
      <c r="V2664" t="str">
        <f>VLOOKUP(L2664,'[2]tabela de preços'!$A:$D,4,0)</f>
        <v>WANDA</v>
      </c>
      <c r="W2664" t="str">
        <f>VLOOKUP(L2664,'[2]tabela de preços'!$A:$F,6,0)</f>
        <v>PRIMER AUTOMOTIVO</v>
      </c>
      <c r="X2664" t="str">
        <f>VLOOKUP(L2664,'[2]tabela de preços'!$A:$G,7,0)</f>
        <v>AUTOMOTIVO</v>
      </c>
    </row>
    <row r="2665" spans="1:24" x14ac:dyDescent="0.3">
      <c r="A2665" t="s">
        <v>868</v>
      </c>
      <c r="B2665" t="s">
        <v>869</v>
      </c>
      <c r="C2665" t="s">
        <v>2614</v>
      </c>
      <c r="D2665" s="1">
        <v>46058</v>
      </c>
      <c r="E2665" t="s">
        <v>2615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84034</v>
      </c>
      <c r="M2665" t="s">
        <v>890</v>
      </c>
      <c r="O2665" t="s">
        <v>11</v>
      </c>
      <c r="P2665">
        <v>5102</v>
      </c>
      <c r="Q2665">
        <v>4</v>
      </c>
      <c r="R2665">
        <v>26</v>
      </c>
      <c r="S2665">
        <v>104</v>
      </c>
      <c r="T2665">
        <v>76.239999999999995</v>
      </c>
      <c r="U2665">
        <v>26.69</v>
      </c>
      <c r="V2665" t="str">
        <f>VLOOKUP(L2665,'[2]tabela de preços'!$A:$D,4,0)</f>
        <v>BRASILUX</v>
      </c>
      <c r="W2665" t="str">
        <f>VLOOKUP(L2665,'[2]tabela de preços'!$A:$F,6,0)</f>
        <v>MASSA CORRIDA / ACRÍLICA</v>
      </c>
      <c r="X2665" t="str">
        <f>VLOOKUP(L2665,'[2]tabela de preços'!$A:$G,7,0)</f>
        <v>IMOBILIÁRIO</v>
      </c>
    </row>
    <row r="2666" spans="1:24" x14ac:dyDescent="0.3">
      <c r="A2666" t="s">
        <v>868</v>
      </c>
      <c r="B2666" t="s">
        <v>869</v>
      </c>
      <c r="C2666" t="s">
        <v>2614</v>
      </c>
      <c r="D2666" s="1">
        <v>46058</v>
      </c>
      <c r="E2666" t="s">
        <v>2615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84039</v>
      </c>
      <c r="M2666" t="s">
        <v>594</v>
      </c>
      <c r="O2666" t="s">
        <v>11</v>
      </c>
      <c r="P2666">
        <v>5102</v>
      </c>
      <c r="Q2666">
        <v>6</v>
      </c>
      <c r="R2666">
        <v>6.55</v>
      </c>
      <c r="S2666">
        <v>39.299999999999997</v>
      </c>
      <c r="T2666">
        <v>28.8</v>
      </c>
      <c r="U2666">
        <v>26.72</v>
      </c>
      <c r="V2666" t="str">
        <f>VLOOKUP(L2666,'[2]tabela de preços'!$A:$D,4,0)</f>
        <v>BRASILUX</v>
      </c>
      <c r="W2666" t="str">
        <f>VLOOKUP(L2666,'[2]tabela de preços'!$A:$F,6,0)</f>
        <v>MASSA CORRIDA / ACRÍLICA</v>
      </c>
      <c r="X2666" t="str">
        <f>VLOOKUP(L2666,'[2]tabela de preços'!$A:$G,7,0)</f>
        <v>IMOBILIÁRIO</v>
      </c>
    </row>
    <row r="2667" spans="1:24" x14ac:dyDescent="0.3">
      <c r="A2667" t="s">
        <v>2501</v>
      </c>
      <c r="C2667" t="s">
        <v>2502</v>
      </c>
      <c r="D2667" s="1">
        <v>46056</v>
      </c>
      <c r="E2667" t="s">
        <v>2503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2504</v>
      </c>
      <c r="J2667" t="s">
        <v>2505</v>
      </c>
      <c r="K2667" t="s">
        <v>2506</v>
      </c>
      <c r="L2667">
        <v>85324</v>
      </c>
      <c r="M2667" t="s">
        <v>1846</v>
      </c>
      <c r="O2667" t="s">
        <v>11</v>
      </c>
      <c r="P2667">
        <v>5102</v>
      </c>
      <c r="Q2667">
        <v>2</v>
      </c>
      <c r="R2667">
        <v>550</v>
      </c>
      <c r="S2667" s="2">
        <v>1100</v>
      </c>
      <c r="T2667">
        <v>733.3</v>
      </c>
      <c r="U2667">
        <v>33.340000000000003</v>
      </c>
      <c r="V2667" t="str">
        <f>VLOOKUP(L2667,'[2]tabela de preços'!$A:$D,4,0)</f>
        <v>BRASILUX</v>
      </c>
      <c r="W2667" t="str">
        <f>VLOOKUP(L2667,'[2]tabela de preços'!$A:$F,6,0)</f>
        <v>TINTA EM PÓ</v>
      </c>
      <c r="X2667" t="str">
        <f>VLOOKUP(L2667,'[2]tabela de preços'!$A:$G,7,0)</f>
        <v>INDUSTRIAL</v>
      </c>
    </row>
    <row r="2668" spans="1:24" x14ac:dyDescent="0.3">
      <c r="A2668" t="s">
        <v>2774</v>
      </c>
      <c r="C2668" t="s">
        <v>2775</v>
      </c>
      <c r="D2668" s="1">
        <v>46059</v>
      </c>
      <c r="E2668" t="s">
        <v>2776</v>
      </c>
      <c r="F2668">
        <v>9</v>
      </c>
      <c r="G2668">
        <v>231</v>
      </c>
      <c r="H2668" t="str">
        <f>VLOOKUP(G2668,[1]OPERADORES!$A:$B,2,0)</f>
        <v>EDIJANE</v>
      </c>
      <c r="I2668" t="s">
        <v>21</v>
      </c>
      <c r="J2668" t="s">
        <v>531</v>
      </c>
      <c r="K2668" t="s">
        <v>2777</v>
      </c>
      <c r="L2668">
        <v>10298</v>
      </c>
      <c r="M2668" t="s">
        <v>85</v>
      </c>
      <c r="O2668" t="s">
        <v>11</v>
      </c>
      <c r="P2668">
        <v>5102</v>
      </c>
      <c r="Q2668">
        <v>1</v>
      </c>
      <c r="R2668">
        <v>56.89</v>
      </c>
      <c r="S2668">
        <v>56.89</v>
      </c>
      <c r="T2668">
        <v>47.38</v>
      </c>
      <c r="U2668">
        <v>16.72</v>
      </c>
      <c r="V2668" t="str">
        <f>VLOOKUP(L2668,'[2]tabela de preços'!$A:$D,4,0)</f>
        <v>ANJO</v>
      </c>
      <c r="W2668" t="str">
        <f>VLOOKUP(L2668,'[2]tabela de preços'!$A:$F,6,0)</f>
        <v>THINNER DE LIMPEZA</v>
      </c>
      <c r="X2668" t="str">
        <f>VLOOKUP(L2668,'[2]tabela de preços'!$A:$G,7,0)</f>
        <v>THINNER</v>
      </c>
    </row>
    <row r="2669" spans="1:24" x14ac:dyDescent="0.3">
      <c r="A2669" t="s">
        <v>2774</v>
      </c>
      <c r="C2669" t="s">
        <v>2775</v>
      </c>
      <c r="D2669" s="1">
        <v>46059</v>
      </c>
      <c r="E2669" t="s">
        <v>2776</v>
      </c>
      <c r="F2669">
        <v>9</v>
      </c>
      <c r="G2669">
        <v>231</v>
      </c>
      <c r="H2669" t="str">
        <f>VLOOKUP(G2669,[1]OPERADORES!$A:$B,2,0)</f>
        <v>EDIJANE</v>
      </c>
      <c r="I2669" t="s">
        <v>21</v>
      </c>
      <c r="J2669" t="s">
        <v>531</v>
      </c>
      <c r="K2669" t="s">
        <v>2777</v>
      </c>
      <c r="L2669">
        <v>85424</v>
      </c>
      <c r="M2669" t="s">
        <v>2644</v>
      </c>
      <c r="O2669" t="s">
        <v>11</v>
      </c>
      <c r="P2669">
        <v>5102</v>
      </c>
      <c r="Q2669">
        <v>1</v>
      </c>
      <c r="R2669">
        <v>530.51</v>
      </c>
      <c r="S2669">
        <v>530.51</v>
      </c>
      <c r="T2669">
        <v>378.26</v>
      </c>
      <c r="U2669">
        <v>28.7</v>
      </c>
      <c r="V2669" t="str">
        <f>VLOOKUP(L2669,'[2]tabela de preços'!$A:$D,4,0)</f>
        <v>BRASILUX</v>
      </c>
      <c r="W2669" t="str">
        <f>VLOOKUP(L2669,'[2]tabela de preços'!$A:$F,6,0)</f>
        <v>TINTA EM PÓ</v>
      </c>
      <c r="X2669" t="str">
        <f>VLOOKUP(L2669,'[2]tabela de preços'!$A:$G,7,0)</f>
        <v>INDUSTRIAL</v>
      </c>
    </row>
    <row r="2670" spans="1:24" x14ac:dyDescent="0.3">
      <c r="A2670" t="s">
        <v>923</v>
      </c>
      <c r="C2670" t="s">
        <v>2778</v>
      </c>
      <c r="D2670" s="1">
        <v>46059</v>
      </c>
      <c r="E2670" t="s">
        <v>2779</v>
      </c>
      <c r="F2670">
        <v>9</v>
      </c>
      <c r="G2670">
        <v>236</v>
      </c>
      <c r="H2670" t="str">
        <f>VLOOKUP(G2670,[1]OPERADORES!$A:$B,2,0)</f>
        <v>DANIEL</v>
      </c>
      <c r="I2670" t="s">
        <v>21</v>
      </c>
      <c r="J2670" t="s">
        <v>211</v>
      </c>
      <c r="K2670" t="s">
        <v>926</v>
      </c>
      <c r="L2670">
        <v>23926</v>
      </c>
      <c r="M2670" t="s">
        <v>645</v>
      </c>
      <c r="O2670" t="s">
        <v>11</v>
      </c>
      <c r="P2670">
        <v>5403</v>
      </c>
      <c r="Q2670">
        <v>1</v>
      </c>
      <c r="R2670">
        <v>159.22</v>
      </c>
      <c r="S2670">
        <v>159.22</v>
      </c>
      <c r="T2670">
        <v>98.89</v>
      </c>
      <c r="U2670">
        <v>37.89</v>
      </c>
      <c r="V2670" t="str">
        <f>VLOOKUP(L2670,'[2]tabela de preços'!$A:$D,4,0)</f>
        <v>SIKKENS</v>
      </c>
      <c r="W2670" t="str">
        <f>VLOOKUP(L2670,'[2]tabela de preços'!$A:$F,6,0)</f>
        <v>PRIMER AUTOMOTIVO</v>
      </c>
      <c r="X2670" t="str">
        <f>VLOOKUP(L2670,'[2]tabela de preços'!$A:$G,7,0)</f>
        <v>AUTOMOTIVO</v>
      </c>
    </row>
    <row r="2671" spans="1:24" x14ac:dyDescent="0.3">
      <c r="A2671" t="s">
        <v>923</v>
      </c>
      <c r="C2671" t="s">
        <v>2778</v>
      </c>
      <c r="D2671" s="1">
        <v>46059</v>
      </c>
      <c r="E2671" t="s">
        <v>2779</v>
      </c>
      <c r="F2671">
        <v>9</v>
      </c>
      <c r="G2671">
        <v>236</v>
      </c>
      <c r="H2671" t="str">
        <f>VLOOKUP(G2671,[1]OPERADORES!$A:$B,2,0)</f>
        <v>DANIEL</v>
      </c>
      <c r="I2671" t="s">
        <v>21</v>
      </c>
      <c r="J2671" t="s">
        <v>211</v>
      </c>
      <c r="K2671" t="s">
        <v>926</v>
      </c>
      <c r="L2671">
        <v>20414</v>
      </c>
      <c r="M2671" t="s">
        <v>112</v>
      </c>
      <c r="O2671" t="s">
        <v>11</v>
      </c>
      <c r="P2671">
        <v>5102</v>
      </c>
      <c r="Q2671">
        <v>5</v>
      </c>
      <c r="R2671">
        <v>21.89</v>
      </c>
      <c r="S2671">
        <v>109.45</v>
      </c>
      <c r="T2671">
        <v>90</v>
      </c>
      <c r="U2671">
        <v>17.77</v>
      </c>
      <c r="V2671" t="str">
        <f>VLOOKUP(L2671,'[2]tabela de preços'!$A:$D,4,0)</f>
        <v>SHERWIN WILLIAMS</v>
      </c>
      <c r="W2671" t="str">
        <f>VLOOKUP(L2671,'[2]tabela de preços'!$A:$F,6,0)</f>
        <v>DILUENTE</v>
      </c>
      <c r="X2671" t="str">
        <f>VLOOKUP(L2671,'[2]tabela de preços'!$A:$G,7,0)</f>
        <v>AUTOMOTIVO</v>
      </c>
    </row>
    <row r="2672" spans="1:24" x14ac:dyDescent="0.3">
      <c r="A2672" t="s">
        <v>2616</v>
      </c>
      <c r="C2672" t="s">
        <v>2617</v>
      </c>
      <c r="D2672" s="1">
        <v>46057</v>
      </c>
      <c r="E2672" t="s">
        <v>2618</v>
      </c>
      <c r="F2672">
        <v>9</v>
      </c>
      <c r="G2672">
        <v>236</v>
      </c>
      <c r="H2672" t="str">
        <f>VLOOKUP(G2672,[1]OPERADORES!$A:$B,2,0)</f>
        <v>DANIEL</v>
      </c>
      <c r="I2672" t="s">
        <v>21</v>
      </c>
      <c r="J2672" t="s">
        <v>1868</v>
      </c>
      <c r="K2672" t="s">
        <v>2619</v>
      </c>
      <c r="L2672">
        <v>86995</v>
      </c>
      <c r="M2672" t="s">
        <v>37</v>
      </c>
      <c r="O2672" t="s">
        <v>11</v>
      </c>
      <c r="P2672">
        <v>5102</v>
      </c>
      <c r="Q2672">
        <v>30</v>
      </c>
      <c r="R2672">
        <v>8</v>
      </c>
      <c r="S2672">
        <v>240</v>
      </c>
      <c r="T2672">
        <v>174.9</v>
      </c>
      <c r="U2672">
        <v>27.13</v>
      </c>
      <c r="V2672" t="str">
        <f>VLOOKUP(L2672,'[2]tabela de preços'!$A:$D,4,0)</f>
        <v>AUTOAMERICA</v>
      </c>
      <c r="W2672" t="str">
        <f>VLOOKUP(L2672,'[2]tabela de preços'!$A:$F,6,0)</f>
        <v>FLANELAS / PANOS</v>
      </c>
      <c r="X2672" t="str">
        <f>VLOOKUP(L2672,'[2]tabela de preços'!$A:$G,7,0)</f>
        <v>AUTOMOTIVO</v>
      </c>
    </row>
    <row r="2673" spans="1:24" x14ac:dyDescent="0.3">
      <c r="A2673" t="s">
        <v>2616</v>
      </c>
      <c r="C2673" t="s">
        <v>2620</v>
      </c>
      <c r="D2673" s="1">
        <v>46057</v>
      </c>
      <c r="E2673" t="s">
        <v>2621</v>
      </c>
      <c r="F2673">
        <v>9</v>
      </c>
      <c r="G2673">
        <v>236</v>
      </c>
      <c r="H2673" t="str">
        <f>VLOOKUP(G2673,[1]OPERADORES!$A:$B,2,0)</f>
        <v>DANIEL</v>
      </c>
      <c r="I2673" t="s">
        <v>21</v>
      </c>
      <c r="J2673" t="s">
        <v>1868</v>
      </c>
      <c r="K2673" t="s">
        <v>2619</v>
      </c>
      <c r="L2673">
        <v>86995</v>
      </c>
      <c r="M2673" t="s">
        <v>37</v>
      </c>
      <c r="O2673" t="s">
        <v>11</v>
      </c>
      <c r="P2673">
        <v>5102</v>
      </c>
      <c r="Q2673">
        <v>10</v>
      </c>
      <c r="R2673">
        <v>8</v>
      </c>
      <c r="S2673">
        <v>80</v>
      </c>
      <c r="T2673">
        <v>58.3</v>
      </c>
      <c r="U2673">
        <v>27.13</v>
      </c>
      <c r="V2673" t="str">
        <f>VLOOKUP(L2673,'[2]tabela de preços'!$A:$D,4,0)</f>
        <v>AUTOAMERICA</v>
      </c>
      <c r="W2673" t="str">
        <f>VLOOKUP(L2673,'[2]tabela de preços'!$A:$F,6,0)</f>
        <v>FLANELAS / PANOS</v>
      </c>
      <c r="X2673" t="str">
        <f>VLOOKUP(L2673,'[2]tabela de preços'!$A:$G,7,0)</f>
        <v>AUTOMOTIVO</v>
      </c>
    </row>
    <row r="2674" spans="1:24" x14ac:dyDescent="0.3">
      <c r="A2674" t="s">
        <v>974</v>
      </c>
      <c r="C2674" t="s">
        <v>2507</v>
      </c>
      <c r="D2674" s="1">
        <v>46056</v>
      </c>
      <c r="E2674" t="s">
        <v>2508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84565</v>
      </c>
      <c r="M2674" t="s">
        <v>236</v>
      </c>
      <c r="O2674" t="s">
        <v>11</v>
      </c>
      <c r="P2674">
        <v>5102</v>
      </c>
      <c r="Q2674">
        <v>4</v>
      </c>
      <c r="R2674">
        <v>9.57</v>
      </c>
      <c r="S2674">
        <v>38.28</v>
      </c>
      <c r="T2674">
        <v>28.04</v>
      </c>
      <c r="U2674">
        <v>26.75</v>
      </c>
      <c r="V2674" t="str">
        <f>VLOOKUP(L2674,'[2]tabela de preços'!$A:$D,4,0)</f>
        <v>BRASILUX</v>
      </c>
      <c r="W2674" t="str">
        <f>VLOOKUP(L2674,'[2]tabela de preços'!$A:$F,6,0)</f>
        <v>PRETO FOSCO VINÍLICO</v>
      </c>
      <c r="X2674" t="str">
        <f>VLOOKUP(L2674,'[2]tabela de preços'!$A:$G,7,0)</f>
        <v>AUTOMOTIVO</v>
      </c>
    </row>
    <row r="2675" spans="1:24" x14ac:dyDescent="0.3">
      <c r="A2675" t="s">
        <v>974</v>
      </c>
      <c r="C2675" t="s">
        <v>2507</v>
      </c>
      <c r="D2675" s="1">
        <v>46056</v>
      </c>
      <c r="E2675" t="s">
        <v>2508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84111</v>
      </c>
      <c r="M2675" t="s">
        <v>1393</v>
      </c>
      <c r="O2675" t="s">
        <v>11</v>
      </c>
      <c r="P2675">
        <v>5403</v>
      </c>
      <c r="Q2675">
        <v>1</v>
      </c>
      <c r="R2675">
        <v>153.99</v>
      </c>
      <c r="S2675">
        <v>153.99</v>
      </c>
      <c r="T2675">
        <v>116.88</v>
      </c>
      <c r="U2675">
        <v>24.1</v>
      </c>
      <c r="V2675" t="str">
        <f>VLOOKUP(L2675,'[2]tabela de preços'!$A:$D,4,0)</f>
        <v>BRASILUX</v>
      </c>
      <c r="W2675" t="str">
        <f>VLOOKUP(L2675,'[2]tabela de preços'!$A:$F,6,0)</f>
        <v>EPOXI</v>
      </c>
      <c r="X2675" t="str">
        <f>VLOOKUP(L2675,'[2]tabela de preços'!$A:$G,7,0)</f>
        <v>INDUSTRIAL</v>
      </c>
    </row>
    <row r="2676" spans="1:24" x14ac:dyDescent="0.3">
      <c r="A2676" t="s">
        <v>974</v>
      </c>
      <c r="C2676" t="s">
        <v>2507</v>
      </c>
      <c r="D2676" s="1">
        <v>46056</v>
      </c>
      <c r="E2676" t="s">
        <v>2508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85363</v>
      </c>
      <c r="M2676" t="s">
        <v>237</v>
      </c>
      <c r="O2676" t="s">
        <v>11</v>
      </c>
      <c r="P2676">
        <v>5102</v>
      </c>
      <c r="Q2676">
        <v>4</v>
      </c>
      <c r="R2676">
        <v>24.8</v>
      </c>
      <c r="S2676">
        <v>99.2</v>
      </c>
      <c r="T2676">
        <v>72.72</v>
      </c>
      <c r="U2676">
        <v>26.69</v>
      </c>
      <c r="V2676" t="str">
        <f>VLOOKUP(L2676,'[2]tabela de preços'!$A:$D,4,0)</f>
        <v>BRASILUX</v>
      </c>
      <c r="W2676" t="str">
        <f>VLOOKUP(L2676,'[2]tabela de preços'!$A:$F,6,0)</f>
        <v>PRETO FOSCO VINÍLICO</v>
      </c>
      <c r="X2676" t="str">
        <f>VLOOKUP(L2676,'[2]tabela de preços'!$A:$G,7,0)</f>
        <v>AUTOMOTIVO</v>
      </c>
    </row>
    <row r="2677" spans="1:24" x14ac:dyDescent="0.3">
      <c r="A2677" t="s">
        <v>974</v>
      </c>
      <c r="C2677" t="s">
        <v>2780</v>
      </c>
      <c r="D2677" s="1">
        <v>46059</v>
      </c>
      <c r="E2677" t="s">
        <v>2781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84325</v>
      </c>
      <c r="M2677" t="s">
        <v>678</v>
      </c>
      <c r="O2677" t="s">
        <v>11</v>
      </c>
      <c r="P2677">
        <v>5403</v>
      </c>
      <c r="Q2677">
        <v>6</v>
      </c>
      <c r="R2677">
        <v>59.98</v>
      </c>
      <c r="S2677">
        <v>359.88</v>
      </c>
      <c r="T2677">
        <v>312</v>
      </c>
      <c r="U2677">
        <v>13.3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974</v>
      </c>
      <c r="C2678" t="s">
        <v>2780</v>
      </c>
      <c r="D2678" s="1">
        <v>46059</v>
      </c>
      <c r="E2678" t="s">
        <v>2781</v>
      </c>
      <c r="F2678">
        <v>9</v>
      </c>
      <c r="G2678">
        <v>197</v>
      </c>
      <c r="H2678" t="str">
        <f>VLOOKUP(G2678,[1]OPERADORES!$A:$B,2,0)</f>
        <v xml:space="preserve">POLIANA LORRANE DE AMORIM </v>
      </c>
      <c r="I2678" t="s">
        <v>21</v>
      </c>
      <c r="J2678" t="s">
        <v>397</v>
      </c>
      <c r="K2678" t="s">
        <v>977</v>
      </c>
      <c r="L2678">
        <v>84354</v>
      </c>
      <c r="M2678" t="s">
        <v>2782</v>
      </c>
      <c r="O2678" t="s">
        <v>11</v>
      </c>
      <c r="P2678">
        <v>5403</v>
      </c>
      <c r="Q2678">
        <v>4</v>
      </c>
      <c r="R2678">
        <v>17.100000000000001</v>
      </c>
      <c r="S2678">
        <v>68.400000000000006</v>
      </c>
      <c r="T2678">
        <v>51.92</v>
      </c>
      <c r="U2678">
        <v>24.09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974</v>
      </c>
      <c r="C2679" t="s">
        <v>2780</v>
      </c>
      <c r="D2679" s="1">
        <v>46059</v>
      </c>
      <c r="E2679" t="s">
        <v>2781</v>
      </c>
      <c r="F2679">
        <v>9</v>
      </c>
      <c r="G2679">
        <v>197</v>
      </c>
      <c r="H2679" t="str">
        <f>VLOOKUP(G2679,[1]OPERADORES!$A:$B,2,0)</f>
        <v xml:space="preserve">POLIANA LORRANE DE AMORIM </v>
      </c>
      <c r="I2679" t="s">
        <v>21</v>
      </c>
      <c r="J2679" t="s">
        <v>397</v>
      </c>
      <c r="K2679" t="s">
        <v>977</v>
      </c>
      <c r="L2679">
        <v>84331</v>
      </c>
      <c r="M2679" t="s">
        <v>497</v>
      </c>
      <c r="O2679" t="s">
        <v>11</v>
      </c>
      <c r="P2679">
        <v>5403</v>
      </c>
      <c r="Q2679">
        <v>3</v>
      </c>
      <c r="R2679">
        <v>59.98</v>
      </c>
      <c r="S2679">
        <v>179.94</v>
      </c>
      <c r="T2679">
        <v>156</v>
      </c>
      <c r="U2679">
        <v>13.3</v>
      </c>
      <c r="V2679" t="str">
        <f>VLOOKUP(L2679,'[2]tabela de preços'!$A:$D,4,0)</f>
        <v>BRASILUX</v>
      </c>
      <c r="W2679" t="str">
        <f>VLOOKUP(L2679,'[2]tabela de preços'!$A:$F,6,0)</f>
        <v>ESMALTES</v>
      </c>
      <c r="X2679" t="str">
        <f>VLOOKUP(L2679,'[2]tabela de preços'!$A:$G,7,0)</f>
        <v>INDUSTRIAL</v>
      </c>
    </row>
    <row r="2680" spans="1:24" x14ac:dyDescent="0.3">
      <c r="A2680" t="s">
        <v>974</v>
      </c>
      <c r="C2680" t="s">
        <v>2780</v>
      </c>
      <c r="D2680" s="1">
        <v>46059</v>
      </c>
      <c r="E2680" t="s">
        <v>2781</v>
      </c>
      <c r="F2680">
        <v>9</v>
      </c>
      <c r="G2680">
        <v>197</v>
      </c>
      <c r="H2680" t="str">
        <f>VLOOKUP(G2680,[1]OPERADORES!$A:$B,2,0)</f>
        <v xml:space="preserve">POLIANA LORRANE DE AMORIM </v>
      </c>
      <c r="I2680" t="s">
        <v>21</v>
      </c>
      <c r="J2680" t="s">
        <v>397</v>
      </c>
      <c r="K2680" t="s">
        <v>977</v>
      </c>
      <c r="L2680">
        <v>84335</v>
      </c>
      <c r="M2680" t="s">
        <v>269</v>
      </c>
      <c r="O2680" t="s">
        <v>11</v>
      </c>
      <c r="P2680">
        <v>5403</v>
      </c>
      <c r="Q2680">
        <v>2</v>
      </c>
      <c r="R2680">
        <v>59.98</v>
      </c>
      <c r="S2680">
        <v>119.96</v>
      </c>
      <c r="T2680">
        <v>101.3</v>
      </c>
      <c r="U2680">
        <v>15.56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974</v>
      </c>
      <c r="C2681" t="s">
        <v>2780</v>
      </c>
      <c r="D2681" s="1">
        <v>46059</v>
      </c>
      <c r="E2681" t="s">
        <v>2781</v>
      </c>
      <c r="F2681">
        <v>9</v>
      </c>
      <c r="G2681">
        <v>197</v>
      </c>
      <c r="H2681" t="str">
        <f>VLOOKUP(G2681,[1]OPERADORES!$A:$B,2,0)</f>
        <v xml:space="preserve">POLIANA LORRANE DE AMORIM </v>
      </c>
      <c r="I2681" t="s">
        <v>21</v>
      </c>
      <c r="J2681" t="s">
        <v>397</v>
      </c>
      <c r="K2681" t="s">
        <v>977</v>
      </c>
      <c r="L2681">
        <v>84145</v>
      </c>
      <c r="M2681" t="s">
        <v>301</v>
      </c>
      <c r="O2681" t="s">
        <v>11</v>
      </c>
      <c r="P2681">
        <v>5403</v>
      </c>
      <c r="Q2681">
        <v>2</v>
      </c>
      <c r="R2681">
        <v>59.98</v>
      </c>
      <c r="S2681">
        <v>119.96</v>
      </c>
      <c r="T2681">
        <v>104.02</v>
      </c>
      <c r="U2681">
        <v>13.29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974</v>
      </c>
      <c r="C2682" t="s">
        <v>2780</v>
      </c>
      <c r="D2682" s="1">
        <v>46059</v>
      </c>
      <c r="E2682" t="s">
        <v>2781</v>
      </c>
      <c r="F2682">
        <v>9</v>
      </c>
      <c r="G2682">
        <v>197</v>
      </c>
      <c r="H2682" t="str">
        <f>VLOOKUP(G2682,[1]OPERADORES!$A:$B,2,0)</f>
        <v xml:space="preserve">POLIANA LORRANE DE AMORIM </v>
      </c>
      <c r="I2682" t="s">
        <v>21</v>
      </c>
      <c r="J2682" t="s">
        <v>397</v>
      </c>
      <c r="K2682" t="s">
        <v>977</v>
      </c>
      <c r="L2682">
        <v>84344</v>
      </c>
      <c r="M2682" t="s">
        <v>1000</v>
      </c>
      <c r="O2682" t="s">
        <v>11</v>
      </c>
      <c r="P2682">
        <v>5403</v>
      </c>
      <c r="Q2682">
        <v>2</v>
      </c>
      <c r="R2682">
        <v>59.98</v>
      </c>
      <c r="S2682">
        <v>119.96</v>
      </c>
      <c r="T2682">
        <v>99.32</v>
      </c>
      <c r="U2682">
        <v>17.21</v>
      </c>
      <c r="V2682" t="str">
        <f>VLOOKUP(L2682,'[2]tabela de preços'!$A:$D,4,0)</f>
        <v>BRASILUX</v>
      </c>
      <c r="W2682" t="str">
        <f>VLOOKUP(L2682,'[2]tabela de preços'!$A:$F,6,0)</f>
        <v>ESMALTES</v>
      </c>
      <c r="X2682" t="str">
        <f>VLOOKUP(L2682,'[2]tabela de preços'!$A:$G,7,0)</f>
        <v>INDUSTRIAL</v>
      </c>
    </row>
    <row r="2683" spans="1:24" x14ac:dyDescent="0.3">
      <c r="A2683" t="s">
        <v>974</v>
      </c>
      <c r="C2683" t="s">
        <v>2780</v>
      </c>
      <c r="D2683" s="1">
        <v>46059</v>
      </c>
      <c r="E2683" t="s">
        <v>2781</v>
      </c>
      <c r="F2683">
        <v>9</v>
      </c>
      <c r="G2683">
        <v>197</v>
      </c>
      <c r="H2683" t="str">
        <f>VLOOKUP(G2683,[1]OPERADORES!$A:$B,2,0)</f>
        <v xml:space="preserve">POLIANA LORRANE DE AMORIM </v>
      </c>
      <c r="I2683" t="s">
        <v>21</v>
      </c>
      <c r="J2683" t="s">
        <v>397</v>
      </c>
      <c r="K2683" t="s">
        <v>977</v>
      </c>
      <c r="L2683">
        <v>84347</v>
      </c>
      <c r="M2683" t="s">
        <v>1150</v>
      </c>
      <c r="O2683" t="s">
        <v>11</v>
      </c>
      <c r="P2683">
        <v>5403</v>
      </c>
      <c r="Q2683">
        <v>2</v>
      </c>
      <c r="R2683">
        <v>59.98</v>
      </c>
      <c r="S2683">
        <v>119.96</v>
      </c>
      <c r="T2683">
        <v>104</v>
      </c>
      <c r="U2683">
        <v>13.3</v>
      </c>
      <c r="V2683" t="str">
        <f>VLOOKUP(L2683,'[2]tabela de preços'!$A:$D,4,0)</f>
        <v>BRASILUX</v>
      </c>
      <c r="W2683" t="str">
        <f>VLOOKUP(L2683,'[2]tabela de preços'!$A:$F,6,0)</f>
        <v>ESMALTES</v>
      </c>
      <c r="X2683" t="str">
        <f>VLOOKUP(L2683,'[2]tabela de preços'!$A:$G,7,0)</f>
        <v>INDUSTRIAL</v>
      </c>
    </row>
    <row r="2684" spans="1:24" x14ac:dyDescent="0.3">
      <c r="A2684" t="s">
        <v>974</v>
      </c>
      <c r="C2684" t="s">
        <v>2780</v>
      </c>
      <c r="D2684" s="1">
        <v>46059</v>
      </c>
      <c r="E2684" t="s">
        <v>2781</v>
      </c>
      <c r="F2684">
        <v>9</v>
      </c>
      <c r="G2684">
        <v>197</v>
      </c>
      <c r="H2684" t="str">
        <f>VLOOKUP(G2684,[1]OPERADORES!$A:$B,2,0)</f>
        <v xml:space="preserve">POLIANA LORRANE DE AMORIM </v>
      </c>
      <c r="I2684" t="s">
        <v>21</v>
      </c>
      <c r="J2684" t="s">
        <v>397</v>
      </c>
      <c r="K2684" t="s">
        <v>977</v>
      </c>
      <c r="L2684">
        <v>84250</v>
      </c>
      <c r="M2684" t="s">
        <v>922</v>
      </c>
      <c r="O2684" t="s">
        <v>11</v>
      </c>
      <c r="P2684">
        <v>5403</v>
      </c>
      <c r="Q2684">
        <v>6</v>
      </c>
      <c r="R2684">
        <v>112.9</v>
      </c>
      <c r="S2684">
        <v>677.4</v>
      </c>
      <c r="T2684">
        <v>567.96</v>
      </c>
      <c r="U2684">
        <v>16.16</v>
      </c>
      <c r="V2684" t="str">
        <f>VLOOKUP(L2684,'[2]tabela de preços'!$A:$D,4,0)</f>
        <v>BRASILUX</v>
      </c>
      <c r="W2684" t="str">
        <f>VLOOKUP(L2684,'[2]tabela de preços'!$A:$F,6,0)</f>
        <v>TINTA PAREDE</v>
      </c>
      <c r="X2684" t="str">
        <f>VLOOKUP(L2684,'[2]tabela de preços'!$A:$G,7,0)</f>
        <v>IMOBILIÁRIO</v>
      </c>
    </row>
    <row r="2685" spans="1:24" x14ac:dyDescent="0.3">
      <c r="A2685" t="s">
        <v>974</v>
      </c>
      <c r="C2685" t="s">
        <v>2780</v>
      </c>
      <c r="D2685" s="1">
        <v>46059</v>
      </c>
      <c r="E2685" t="s">
        <v>2781</v>
      </c>
      <c r="F2685">
        <v>9</v>
      </c>
      <c r="G2685">
        <v>197</v>
      </c>
      <c r="H2685" t="str">
        <f>VLOOKUP(G2685,[1]OPERADORES!$A:$B,2,0)</f>
        <v xml:space="preserve">POLIANA LORRANE DE AMORIM </v>
      </c>
      <c r="I2685" t="s">
        <v>21</v>
      </c>
      <c r="J2685" t="s">
        <v>397</v>
      </c>
      <c r="K2685" t="s">
        <v>977</v>
      </c>
      <c r="L2685">
        <v>84557</v>
      </c>
      <c r="M2685" t="s">
        <v>116</v>
      </c>
      <c r="O2685" t="s">
        <v>11</v>
      </c>
      <c r="P2685">
        <v>5102</v>
      </c>
      <c r="Q2685">
        <v>8</v>
      </c>
      <c r="R2685">
        <v>17.489999999999998</v>
      </c>
      <c r="S2685">
        <v>139.91999999999999</v>
      </c>
      <c r="T2685">
        <v>111.68</v>
      </c>
      <c r="U2685">
        <v>20.18</v>
      </c>
      <c r="V2685" t="str">
        <f>VLOOKUP(L2685,'[2]tabela de preços'!$A:$D,4,0)</f>
        <v>BRASILUX</v>
      </c>
      <c r="W2685" t="str">
        <f>VLOOKUP(L2685,'[2]tabela de preços'!$A:$F,6,0)</f>
        <v>DILUENTE</v>
      </c>
      <c r="X2685" t="str">
        <f>VLOOKUP(L2685,'[2]tabela de preços'!$A:$G,7,0)</f>
        <v>AUTOMOTIVO</v>
      </c>
    </row>
    <row r="2686" spans="1:24" x14ac:dyDescent="0.3">
      <c r="A2686" t="s">
        <v>974</v>
      </c>
      <c r="C2686" t="s">
        <v>2780</v>
      </c>
      <c r="D2686" s="1">
        <v>46059</v>
      </c>
      <c r="E2686" t="s">
        <v>2781</v>
      </c>
      <c r="F2686">
        <v>9</v>
      </c>
      <c r="G2686">
        <v>197</v>
      </c>
      <c r="H2686" t="str">
        <f>VLOOKUP(G2686,[1]OPERADORES!$A:$B,2,0)</f>
        <v xml:space="preserve">POLIANA LORRANE DE AMORIM </v>
      </c>
      <c r="I2686" t="s">
        <v>21</v>
      </c>
      <c r="J2686" t="s">
        <v>397</v>
      </c>
      <c r="K2686" t="s">
        <v>977</v>
      </c>
      <c r="L2686">
        <v>84047</v>
      </c>
      <c r="M2686" t="s">
        <v>222</v>
      </c>
      <c r="O2686" t="s">
        <v>11</v>
      </c>
      <c r="P2686">
        <v>5102</v>
      </c>
      <c r="Q2686">
        <v>2</v>
      </c>
      <c r="R2686">
        <v>20.149999999999999</v>
      </c>
      <c r="S2686">
        <v>40.299999999999997</v>
      </c>
      <c r="T2686">
        <v>30.6</v>
      </c>
      <c r="U2686">
        <v>24.07</v>
      </c>
      <c r="V2686" t="str">
        <f>VLOOKUP(L2686,'[2]tabela de preços'!$A:$D,4,0)</f>
        <v>BRASILUX</v>
      </c>
      <c r="W2686" t="str">
        <f>VLOOKUP(L2686,'[2]tabela de preços'!$A:$F,6,0)</f>
        <v>MASSA DE POLIR</v>
      </c>
      <c r="X2686" t="str">
        <f>VLOOKUP(L2686,'[2]tabela de preços'!$A:$G,7,0)</f>
        <v>AUTOMOTIVO</v>
      </c>
    </row>
    <row r="2687" spans="1:24" x14ac:dyDescent="0.3">
      <c r="A2687" t="s">
        <v>974</v>
      </c>
      <c r="C2687" t="s">
        <v>2780</v>
      </c>
      <c r="D2687" s="1">
        <v>46059</v>
      </c>
      <c r="E2687" t="s">
        <v>2781</v>
      </c>
      <c r="F2687">
        <v>9</v>
      </c>
      <c r="G2687">
        <v>197</v>
      </c>
      <c r="H2687" t="str">
        <f>VLOOKUP(G2687,[1]OPERADORES!$A:$B,2,0)</f>
        <v xml:space="preserve">POLIANA LORRANE DE AMORIM </v>
      </c>
      <c r="I2687" t="s">
        <v>21</v>
      </c>
      <c r="J2687" t="s">
        <v>397</v>
      </c>
      <c r="K2687" t="s">
        <v>977</v>
      </c>
      <c r="L2687">
        <v>85164</v>
      </c>
      <c r="M2687" t="s">
        <v>278</v>
      </c>
      <c r="O2687" t="s">
        <v>11</v>
      </c>
      <c r="P2687">
        <v>5102</v>
      </c>
      <c r="Q2687">
        <v>8</v>
      </c>
      <c r="R2687">
        <v>13.29</v>
      </c>
      <c r="S2687">
        <v>106.32</v>
      </c>
      <c r="T2687">
        <v>80.72</v>
      </c>
      <c r="U2687">
        <v>24.08</v>
      </c>
      <c r="V2687" t="str">
        <f>VLOOKUP(L2687,'[2]tabela de preços'!$A:$D,4,0)</f>
        <v>BRASILUX</v>
      </c>
      <c r="W2687" t="str">
        <f>VLOOKUP(L2687,'[2]tabela de preços'!$A:$F,6,0)</f>
        <v>QUEROSENE</v>
      </c>
      <c r="X2687" t="str">
        <f>VLOOKUP(L2687,'[2]tabela de preços'!$A:$G,7,0)</f>
        <v>AUTOMOTIVO</v>
      </c>
    </row>
    <row r="2688" spans="1:24" x14ac:dyDescent="0.3">
      <c r="A2688" t="s">
        <v>1015</v>
      </c>
      <c r="C2688" t="s">
        <v>2509</v>
      </c>
      <c r="D2688" s="1">
        <v>46056</v>
      </c>
      <c r="E2688" t="s">
        <v>2510</v>
      </c>
      <c r="F2688">
        <v>9</v>
      </c>
      <c r="G2688">
        <v>197</v>
      </c>
      <c r="H2688" t="str">
        <f>VLOOKUP(G2688,[1]OPERADORES!$A:$B,2,0)</f>
        <v xml:space="preserve">POLIANA LORRANE DE AMORIM </v>
      </c>
      <c r="I2688" t="s">
        <v>21</v>
      </c>
      <c r="J2688" t="s">
        <v>1018</v>
      </c>
      <c r="K2688" t="s">
        <v>1019</v>
      </c>
      <c r="L2688">
        <v>84487</v>
      </c>
      <c r="M2688" t="s">
        <v>633</v>
      </c>
      <c r="O2688" t="s">
        <v>11</v>
      </c>
      <c r="P2688">
        <v>5403</v>
      </c>
      <c r="Q2688">
        <v>2</v>
      </c>
      <c r="R2688">
        <v>28.84</v>
      </c>
      <c r="S2688">
        <v>57.68</v>
      </c>
      <c r="T2688">
        <v>43.78</v>
      </c>
      <c r="U2688">
        <v>24.1</v>
      </c>
      <c r="V2688" t="str">
        <f>VLOOKUP(L2688,'[2]tabela de preços'!$A:$D,4,0)</f>
        <v>BRASILUX</v>
      </c>
      <c r="W2688" t="str">
        <f>VLOOKUP(L2688,'[2]tabela de preços'!$A:$F,6,0)</f>
        <v>TINTAS LACA</v>
      </c>
      <c r="X2688" t="str">
        <f>VLOOKUP(L2688,'[2]tabela de preços'!$A:$G,7,0)</f>
        <v>AUTOMOTIVO</v>
      </c>
    </row>
    <row r="2689" spans="1:24" x14ac:dyDescent="0.3">
      <c r="A2689" t="s">
        <v>1015</v>
      </c>
      <c r="C2689" t="s">
        <v>2509</v>
      </c>
      <c r="D2689" s="1">
        <v>46056</v>
      </c>
      <c r="E2689" t="s">
        <v>2510</v>
      </c>
      <c r="F2689">
        <v>9</v>
      </c>
      <c r="G2689">
        <v>197</v>
      </c>
      <c r="H2689" t="str">
        <f>VLOOKUP(G2689,[1]OPERADORES!$A:$B,2,0)</f>
        <v xml:space="preserve">POLIANA LORRANE DE AMORIM </v>
      </c>
      <c r="I2689" t="s">
        <v>21</v>
      </c>
      <c r="J2689" t="s">
        <v>1018</v>
      </c>
      <c r="K2689" t="s">
        <v>1019</v>
      </c>
      <c r="L2689">
        <v>24248</v>
      </c>
      <c r="M2689" t="s">
        <v>107</v>
      </c>
      <c r="O2689" t="s">
        <v>11</v>
      </c>
      <c r="P2689">
        <v>5102</v>
      </c>
      <c r="Q2689">
        <v>6</v>
      </c>
      <c r="R2689">
        <v>9</v>
      </c>
      <c r="S2689">
        <v>54</v>
      </c>
      <c r="T2689">
        <v>39</v>
      </c>
      <c r="U2689">
        <v>27.78</v>
      </c>
      <c r="V2689" t="str">
        <f>VLOOKUP(L2689,'[2]tabela de preços'!$A:$D,4,0)</f>
        <v>SHERWIN WILLIAMS</v>
      </c>
      <c r="W2689" t="str">
        <f>VLOOKUP(L2689,'[2]tabela de preços'!$A:$F,6,0)</f>
        <v>PRIMER AUTOMOTIVO</v>
      </c>
      <c r="X2689" t="str">
        <f>VLOOKUP(L2689,'[2]tabela de preços'!$A:$G,7,0)</f>
        <v>AUTOMOTIVO</v>
      </c>
    </row>
    <row r="2690" spans="1:24" x14ac:dyDescent="0.3">
      <c r="A2690" t="s">
        <v>1015</v>
      </c>
      <c r="C2690" t="s">
        <v>2509</v>
      </c>
      <c r="D2690" s="1">
        <v>46056</v>
      </c>
      <c r="E2690" t="s">
        <v>2510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21</v>
      </c>
      <c r="J2690" t="s">
        <v>1018</v>
      </c>
      <c r="K2690" t="s">
        <v>1019</v>
      </c>
      <c r="L2690">
        <v>24240</v>
      </c>
      <c r="M2690" t="s">
        <v>240</v>
      </c>
      <c r="O2690" t="s">
        <v>11</v>
      </c>
      <c r="P2690">
        <v>5102</v>
      </c>
      <c r="Q2690">
        <v>32</v>
      </c>
      <c r="R2690">
        <v>3.81</v>
      </c>
      <c r="S2690">
        <v>121.92</v>
      </c>
      <c r="T2690">
        <v>104.96</v>
      </c>
      <c r="U2690">
        <v>13.91</v>
      </c>
      <c r="V2690" t="str">
        <f>VLOOKUP(L2690,'[2]tabela de preços'!$A:$D,4,0)</f>
        <v>ADERE</v>
      </c>
      <c r="W2690" t="str">
        <f>VLOOKUP(L2690,'[2]tabela de preços'!$A:$F,6,0)</f>
        <v>FITA AUTOMOTIVA</v>
      </c>
      <c r="X2690" t="str">
        <f>VLOOKUP(L2690,'[2]tabela de preços'!$A:$G,7,0)</f>
        <v>AUTOMOTIVO</v>
      </c>
    </row>
    <row r="2691" spans="1:24" x14ac:dyDescent="0.3">
      <c r="A2691" t="s">
        <v>1015</v>
      </c>
      <c r="C2691" t="s">
        <v>2509</v>
      </c>
      <c r="D2691" s="1">
        <v>46056</v>
      </c>
      <c r="E2691" t="s">
        <v>2510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21</v>
      </c>
      <c r="J2691" t="s">
        <v>1018</v>
      </c>
      <c r="K2691" t="s">
        <v>1019</v>
      </c>
      <c r="L2691">
        <v>87043</v>
      </c>
      <c r="M2691" t="s">
        <v>217</v>
      </c>
      <c r="O2691" t="s">
        <v>11</v>
      </c>
      <c r="P2691">
        <v>5102</v>
      </c>
      <c r="Q2691">
        <v>8</v>
      </c>
      <c r="R2691">
        <v>21.95</v>
      </c>
      <c r="S2691">
        <v>175.6</v>
      </c>
      <c r="T2691">
        <v>144.16</v>
      </c>
      <c r="U2691">
        <v>17.899999999999999</v>
      </c>
      <c r="V2691" t="str">
        <f>VLOOKUP(L2691,'[2]tabela de preços'!$A:$D,4,0)</f>
        <v>ROBERLO</v>
      </c>
      <c r="W2691" t="str">
        <f>VLOOKUP(L2691,'[2]tabela de preços'!$A:$F,6,0)</f>
        <v>MASSA POLIÉSTER</v>
      </c>
      <c r="X2691" t="str">
        <f>VLOOKUP(L2691,'[2]tabela de preços'!$A:$G,7,0)</f>
        <v>AUTOMOTIVO</v>
      </c>
    </row>
    <row r="2692" spans="1:24" x14ac:dyDescent="0.3">
      <c r="A2692" t="s">
        <v>1015</v>
      </c>
      <c r="C2692" t="s">
        <v>2509</v>
      </c>
      <c r="D2692" s="1">
        <v>46056</v>
      </c>
      <c r="E2692" t="s">
        <v>2510</v>
      </c>
      <c r="F2692">
        <v>9</v>
      </c>
      <c r="G2692">
        <v>197</v>
      </c>
      <c r="H2692" t="str">
        <f>VLOOKUP(G2692,[1]OPERADORES!$A:$B,2,0)</f>
        <v xml:space="preserve">POLIANA LORRANE DE AMORIM </v>
      </c>
      <c r="I2692" t="s">
        <v>21</v>
      </c>
      <c r="J2692" t="s">
        <v>1018</v>
      </c>
      <c r="K2692" t="s">
        <v>1019</v>
      </c>
      <c r="L2692">
        <v>24247</v>
      </c>
      <c r="M2692" t="s">
        <v>160</v>
      </c>
      <c r="O2692" t="s">
        <v>11</v>
      </c>
      <c r="P2692">
        <v>5403</v>
      </c>
      <c r="Q2692">
        <v>6</v>
      </c>
      <c r="R2692">
        <v>20</v>
      </c>
      <c r="S2692">
        <v>120</v>
      </c>
      <c r="T2692">
        <v>101.22</v>
      </c>
      <c r="U2692">
        <v>15.65</v>
      </c>
      <c r="V2692" t="str">
        <f>VLOOKUP(L2692,'[2]tabela de preços'!$A:$D,4,0)</f>
        <v>SHERWIN WILLIAMS</v>
      </c>
      <c r="W2692" t="str">
        <f>VLOOKUP(L2692,'[2]tabela de preços'!$A:$F,6,0)</f>
        <v>PRIMER AUTOMOTIVO</v>
      </c>
      <c r="X2692" t="str">
        <f>VLOOKUP(L2692,'[2]tabela de preços'!$A:$G,7,0)</f>
        <v>AUTOMOTIVO</v>
      </c>
    </row>
    <row r="2693" spans="1:24" x14ac:dyDescent="0.3">
      <c r="A2693" t="s">
        <v>1015</v>
      </c>
      <c r="C2693" t="s">
        <v>2509</v>
      </c>
      <c r="D2693" s="1">
        <v>46056</v>
      </c>
      <c r="E2693" t="s">
        <v>2510</v>
      </c>
      <c r="F2693">
        <v>9</v>
      </c>
      <c r="G2693">
        <v>197</v>
      </c>
      <c r="H2693" t="str">
        <f>VLOOKUP(G2693,[1]OPERADORES!$A:$B,2,0)</f>
        <v xml:space="preserve">POLIANA LORRANE DE AMORIM </v>
      </c>
      <c r="I2693" t="s">
        <v>21</v>
      </c>
      <c r="J2693" t="s">
        <v>1018</v>
      </c>
      <c r="K2693" t="s">
        <v>1019</v>
      </c>
      <c r="L2693">
        <v>10298</v>
      </c>
      <c r="M2693" t="s">
        <v>85</v>
      </c>
      <c r="O2693" t="s">
        <v>11</v>
      </c>
      <c r="P2693">
        <v>5102</v>
      </c>
      <c r="Q2693">
        <v>2</v>
      </c>
      <c r="R2693">
        <v>56.89</v>
      </c>
      <c r="S2693">
        <v>113.78</v>
      </c>
      <c r="T2693">
        <v>94.76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1015</v>
      </c>
      <c r="C2694" t="s">
        <v>2509</v>
      </c>
      <c r="D2694" s="1">
        <v>46056</v>
      </c>
      <c r="E2694" t="s">
        <v>2510</v>
      </c>
      <c r="F2694">
        <v>9</v>
      </c>
      <c r="G2694">
        <v>197</v>
      </c>
      <c r="H2694" t="str">
        <f>VLOOKUP(G2694,[1]OPERADORES!$A:$B,2,0)</f>
        <v xml:space="preserve">POLIANA LORRANE DE AMORIM </v>
      </c>
      <c r="I2694" t="s">
        <v>21</v>
      </c>
      <c r="J2694" t="s">
        <v>1018</v>
      </c>
      <c r="K2694" t="s">
        <v>1019</v>
      </c>
      <c r="L2694">
        <v>10297</v>
      </c>
      <c r="M2694" t="s">
        <v>41</v>
      </c>
      <c r="O2694" t="s">
        <v>11</v>
      </c>
      <c r="P2694">
        <v>5102</v>
      </c>
      <c r="Q2694">
        <v>12</v>
      </c>
      <c r="R2694">
        <v>10.89</v>
      </c>
      <c r="S2694">
        <v>130.68</v>
      </c>
      <c r="T2694">
        <v>110.04</v>
      </c>
      <c r="U2694">
        <v>15.79</v>
      </c>
      <c r="V2694" t="str">
        <f>VLOOKUP(L2694,'[2]tabela de preços'!$A:$D,4,0)</f>
        <v>ANJO</v>
      </c>
      <c r="W2694" t="str">
        <f>VLOOKUP(L2694,'[2]tabela de preços'!$A:$F,6,0)</f>
        <v>THINNER DE LIMPEZA</v>
      </c>
      <c r="X2694" t="str">
        <f>VLOOKUP(L2694,'[2]tabela de preços'!$A:$G,7,0)</f>
        <v>THINNER</v>
      </c>
    </row>
    <row r="2695" spans="1:24" x14ac:dyDescent="0.3">
      <c r="A2695" t="s">
        <v>1031</v>
      </c>
      <c r="C2695" t="s">
        <v>2511</v>
      </c>
      <c r="D2695" s="1">
        <v>46056</v>
      </c>
      <c r="E2695" t="s">
        <v>2512</v>
      </c>
      <c r="F2695">
        <v>9</v>
      </c>
      <c r="G2695">
        <v>230</v>
      </c>
      <c r="H2695" t="str">
        <f>VLOOKUP(G2695,[1]OPERADORES!$A:$B,2,0)</f>
        <v>SÔNIA</v>
      </c>
      <c r="I2695" t="s">
        <v>168</v>
      </c>
      <c r="J2695" t="s">
        <v>1034</v>
      </c>
      <c r="K2695" t="s">
        <v>1035</v>
      </c>
      <c r="L2695">
        <v>84030</v>
      </c>
      <c r="M2695" t="s">
        <v>900</v>
      </c>
      <c r="O2695" t="s">
        <v>11</v>
      </c>
      <c r="P2695">
        <v>6108</v>
      </c>
      <c r="Q2695">
        <v>1</v>
      </c>
      <c r="R2695">
        <v>55.81</v>
      </c>
      <c r="S2695">
        <v>55.81</v>
      </c>
      <c r="T2695">
        <v>42.36</v>
      </c>
      <c r="U2695">
        <v>24.1</v>
      </c>
      <c r="V2695" t="str">
        <f>VLOOKUP(L2695,'[2]tabela de preços'!$A:$D,4,0)</f>
        <v>BRASILUX</v>
      </c>
      <c r="W2695" t="str">
        <f>VLOOKUP(L2695,'[2]tabela de preços'!$A:$F,6,0)</f>
        <v>AGUARRAS</v>
      </c>
      <c r="X2695" t="str">
        <f>VLOOKUP(L2695,'[2]tabela de preços'!$A:$G,7,0)</f>
        <v>IMOBILIÁRIO</v>
      </c>
    </row>
    <row r="2696" spans="1:24" x14ac:dyDescent="0.3">
      <c r="A2696" t="s">
        <v>1031</v>
      </c>
      <c r="C2696" t="s">
        <v>2511</v>
      </c>
      <c r="D2696" s="1">
        <v>46056</v>
      </c>
      <c r="E2696" t="s">
        <v>2512</v>
      </c>
      <c r="F2696">
        <v>9</v>
      </c>
      <c r="G2696">
        <v>230</v>
      </c>
      <c r="H2696" t="str">
        <f>VLOOKUP(G2696,[1]OPERADORES!$A:$B,2,0)</f>
        <v>SÔNIA</v>
      </c>
      <c r="I2696" t="s">
        <v>168</v>
      </c>
      <c r="J2696" t="s">
        <v>1034</v>
      </c>
      <c r="K2696" t="s">
        <v>1035</v>
      </c>
      <c r="L2696">
        <v>84331</v>
      </c>
      <c r="M2696" t="s">
        <v>497</v>
      </c>
      <c r="O2696" t="s">
        <v>11</v>
      </c>
      <c r="P2696">
        <v>6108</v>
      </c>
      <c r="Q2696">
        <v>2</v>
      </c>
      <c r="R2696">
        <v>59.98</v>
      </c>
      <c r="S2696">
        <v>119.96</v>
      </c>
      <c r="T2696">
        <v>104</v>
      </c>
      <c r="U2696">
        <v>13.3</v>
      </c>
      <c r="V2696" t="str">
        <f>VLOOKUP(L2696,'[2]tabela de preços'!$A:$D,4,0)</f>
        <v>BRASILUX</v>
      </c>
      <c r="W2696" t="str">
        <f>VLOOKUP(L2696,'[2]tabela de preços'!$A:$F,6,0)</f>
        <v>ESMALTES</v>
      </c>
      <c r="X2696" t="str">
        <f>VLOOKUP(L2696,'[2]tabela de preços'!$A:$G,7,0)</f>
        <v>INDUSTRIAL</v>
      </c>
    </row>
    <row r="2697" spans="1:24" x14ac:dyDescent="0.3">
      <c r="A2697" t="s">
        <v>1031</v>
      </c>
      <c r="C2697" t="s">
        <v>2511</v>
      </c>
      <c r="D2697" s="1">
        <v>46056</v>
      </c>
      <c r="E2697" t="s">
        <v>2512</v>
      </c>
      <c r="F2697">
        <v>9</v>
      </c>
      <c r="G2697">
        <v>230</v>
      </c>
      <c r="H2697" t="str">
        <f>VLOOKUP(G2697,[1]OPERADORES!$A:$B,2,0)</f>
        <v>SÔNIA</v>
      </c>
      <c r="I2697" t="s">
        <v>168</v>
      </c>
      <c r="J2697" t="s">
        <v>1034</v>
      </c>
      <c r="K2697" t="s">
        <v>1035</v>
      </c>
      <c r="L2697">
        <v>23602</v>
      </c>
      <c r="M2697" t="s">
        <v>215</v>
      </c>
      <c r="O2697" t="s">
        <v>11</v>
      </c>
      <c r="P2697">
        <v>6108</v>
      </c>
      <c r="Q2697">
        <v>1</v>
      </c>
      <c r="R2697">
        <v>35.89</v>
      </c>
      <c r="S2697">
        <v>35.89</v>
      </c>
      <c r="T2697">
        <v>29.25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1031</v>
      </c>
      <c r="C2698" t="s">
        <v>2511</v>
      </c>
      <c r="D2698" s="1">
        <v>46056</v>
      </c>
      <c r="E2698" t="s">
        <v>2512</v>
      </c>
      <c r="F2698">
        <v>9</v>
      </c>
      <c r="G2698">
        <v>230</v>
      </c>
      <c r="H2698" t="str">
        <f>VLOOKUP(G2698,[1]OPERADORES!$A:$B,2,0)</f>
        <v>SÔNIA</v>
      </c>
      <c r="I2698" t="s">
        <v>168</v>
      </c>
      <c r="J2698" t="s">
        <v>1034</v>
      </c>
      <c r="K2698" t="s">
        <v>1035</v>
      </c>
      <c r="L2698">
        <v>84014</v>
      </c>
      <c r="M2698" t="s">
        <v>1152</v>
      </c>
      <c r="O2698" t="s">
        <v>11</v>
      </c>
      <c r="P2698">
        <v>6108</v>
      </c>
      <c r="Q2698">
        <v>4</v>
      </c>
      <c r="R2698">
        <v>2.2000000000000002</v>
      </c>
      <c r="S2698">
        <v>8.8000000000000007</v>
      </c>
      <c r="T2698">
        <v>6.68</v>
      </c>
      <c r="U2698">
        <v>24.09</v>
      </c>
      <c r="V2698" t="str">
        <f>VLOOKUP(L2698,'[2]tabela de preços'!$A:$D,4,0)</f>
        <v>3M</v>
      </c>
      <c r="W2698" t="str">
        <f>VLOOKUP(L2698,'[2]tabela de preços'!$A:$F,6,0)</f>
        <v>LIXA FERRO</v>
      </c>
      <c r="X2698" t="str">
        <f>VLOOKUP(L2698,'[2]tabela de preços'!$A:$G,7,0)</f>
        <v>IMOBILIÁRIO</v>
      </c>
    </row>
    <row r="2699" spans="1:24" x14ac:dyDescent="0.3">
      <c r="A2699" t="s">
        <v>1031</v>
      </c>
      <c r="C2699" t="s">
        <v>2622</v>
      </c>
      <c r="D2699" s="1">
        <v>46058</v>
      </c>
      <c r="E2699" t="s">
        <v>2623</v>
      </c>
      <c r="F2699">
        <v>9</v>
      </c>
      <c r="G2699">
        <v>236</v>
      </c>
      <c r="H2699" t="str">
        <f>VLOOKUP(G2699,[1]OPERADORES!$A:$B,2,0)</f>
        <v>DANIEL</v>
      </c>
      <c r="I2699" t="s">
        <v>168</v>
      </c>
      <c r="J2699" t="s">
        <v>1034</v>
      </c>
      <c r="K2699" t="s">
        <v>1035</v>
      </c>
      <c r="L2699">
        <v>85448</v>
      </c>
      <c r="M2699" t="s">
        <v>1259</v>
      </c>
      <c r="O2699" t="s">
        <v>11</v>
      </c>
      <c r="P2699">
        <v>6108</v>
      </c>
      <c r="Q2699">
        <v>1</v>
      </c>
      <c r="R2699">
        <v>98.77</v>
      </c>
      <c r="S2699">
        <v>98.77</v>
      </c>
      <c r="T2699">
        <v>72.41</v>
      </c>
      <c r="U2699">
        <v>26.69</v>
      </c>
      <c r="V2699" t="str">
        <f>VLOOKUP(L2699,'[2]tabela de preços'!$A:$D,4,0)</f>
        <v>BRASILUX</v>
      </c>
      <c r="W2699" t="str">
        <f>VLOOKUP(L2699,'[2]tabela de preços'!$A:$F,6,0)</f>
        <v>TINTAS LACA</v>
      </c>
      <c r="X2699" t="str">
        <f>VLOOKUP(L2699,'[2]tabela de preços'!$A:$G,7,0)</f>
        <v>AUTOMOTIVO</v>
      </c>
    </row>
    <row r="2700" spans="1:24" x14ac:dyDescent="0.3">
      <c r="A2700" t="s">
        <v>1031</v>
      </c>
      <c r="C2700" t="s">
        <v>2622</v>
      </c>
      <c r="D2700" s="1">
        <v>46058</v>
      </c>
      <c r="E2700" t="s">
        <v>2623</v>
      </c>
      <c r="F2700">
        <v>9</v>
      </c>
      <c r="G2700">
        <v>236</v>
      </c>
      <c r="H2700" t="str">
        <f>VLOOKUP(G2700,[1]OPERADORES!$A:$B,2,0)</f>
        <v>DANIEL</v>
      </c>
      <c r="I2700" t="s">
        <v>168</v>
      </c>
      <c r="J2700" t="s">
        <v>1034</v>
      </c>
      <c r="K2700" t="s">
        <v>1035</v>
      </c>
      <c r="L2700">
        <v>23105</v>
      </c>
      <c r="M2700" t="s">
        <v>402</v>
      </c>
      <c r="O2700" t="s">
        <v>11</v>
      </c>
      <c r="P2700">
        <v>6108</v>
      </c>
      <c r="Q2700">
        <v>50</v>
      </c>
      <c r="R2700">
        <v>2.35</v>
      </c>
      <c r="S2700">
        <v>117.5</v>
      </c>
      <c r="T2700">
        <v>96</v>
      </c>
      <c r="U2700">
        <v>18.3</v>
      </c>
      <c r="V2700" t="str">
        <f>VLOOKUP(L2700,'[2]tabela de preços'!$A:$D,4,0)</f>
        <v>3M</v>
      </c>
      <c r="W2700" t="str">
        <f>VLOOKUP(L2700,'[2]tabela de preços'!$A:$F,6,0)</f>
        <v xml:space="preserve">DISCOS / LIXAS / ABRASIVOS </v>
      </c>
      <c r="X2700" t="str">
        <f>VLOOKUP(L2700,'[2]tabela de preços'!$A:$G,7,0)</f>
        <v>AUTOMOTIVO</v>
      </c>
    </row>
    <row r="2701" spans="1:24" x14ac:dyDescent="0.3">
      <c r="A2701" t="s">
        <v>1031</v>
      </c>
      <c r="C2701" t="s">
        <v>2622</v>
      </c>
      <c r="D2701" s="1">
        <v>46058</v>
      </c>
      <c r="E2701" t="s">
        <v>2623</v>
      </c>
      <c r="F2701">
        <v>9</v>
      </c>
      <c r="G2701">
        <v>236</v>
      </c>
      <c r="H2701" t="str">
        <f>VLOOKUP(G2701,[1]OPERADORES!$A:$B,2,0)</f>
        <v>DANIEL</v>
      </c>
      <c r="I2701" t="s">
        <v>168</v>
      </c>
      <c r="J2701" t="s">
        <v>1034</v>
      </c>
      <c r="K2701" t="s">
        <v>1035</v>
      </c>
      <c r="L2701">
        <v>23602</v>
      </c>
      <c r="M2701" t="s">
        <v>215</v>
      </c>
      <c r="O2701" t="s">
        <v>11</v>
      </c>
      <c r="P2701">
        <v>6108</v>
      </c>
      <c r="Q2701">
        <v>2</v>
      </c>
      <c r="R2701">
        <v>35.89</v>
      </c>
      <c r="S2701">
        <v>71.78</v>
      </c>
      <c r="T2701">
        <v>58.5</v>
      </c>
      <c r="U2701">
        <v>18.5</v>
      </c>
      <c r="V2701" t="str">
        <f>VLOOKUP(L2701,'[2]tabela de preços'!$A:$D,4,0)</f>
        <v>SHERWIN WILLIAMS</v>
      </c>
      <c r="W2701" t="str">
        <f>VLOOKUP(L2701,'[2]tabela de preços'!$A:$F,6,0)</f>
        <v>VERNIZ AUTOMOTIVO</v>
      </c>
      <c r="X2701" t="str">
        <f>VLOOKUP(L2701,'[2]tabela de preços'!$A:$G,7,0)</f>
        <v>AUTOMOTIVO</v>
      </c>
    </row>
    <row r="2702" spans="1:24" x14ac:dyDescent="0.3">
      <c r="A2702" t="s">
        <v>1031</v>
      </c>
      <c r="C2702" t="s">
        <v>2622</v>
      </c>
      <c r="D2702" s="1">
        <v>46058</v>
      </c>
      <c r="E2702" t="s">
        <v>2623</v>
      </c>
      <c r="F2702">
        <v>9</v>
      </c>
      <c r="G2702">
        <v>236</v>
      </c>
      <c r="H2702" t="str">
        <f>VLOOKUP(G2702,[1]OPERADORES!$A:$B,2,0)</f>
        <v>DANIEL</v>
      </c>
      <c r="I2702" t="s">
        <v>168</v>
      </c>
      <c r="J2702" t="s">
        <v>1034</v>
      </c>
      <c r="K2702" t="s">
        <v>1035</v>
      </c>
      <c r="L2702">
        <v>10396</v>
      </c>
      <c r="M2702" t="s">
        <v>2624</v>
      </c>
      <c r="O2702" t="s">
        <v>11</v>
      </c>
      <c r="P2702">
        <v>6108</v>
      </c>
      <c r="Q2702">
        <v>1</v>
      </c>
      <c r="R2702">
        <v>31.47</v>
      </c>
      <c r="S2702">
        <v>31.47</v>
      </c>
      <c r="T2702">
        <v>23.07</v>
      </c>
      <c r="U2702">
        <v>26.69</v>
      </c>
      <c r="V2702" t="str">
        <f>VLOOKUP(L2702,'[2]tabela de preços'!$A:$D,4,0)</f>
        <v>MAXI RUBBER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1031</v>
      </c>
      <c r="C2703" t="s">
        <v>2622</v>
      </c>
      <c r="D2703" s="1">
        <v>46058</v>
      </c>
      <c r="E2703" t="s">
        <v>2623</v>
      </c>
      <c r="F2703">
        <v>9</v>
      </c>
      <c r="G2703">
        <v>236</v>
      </c>
      <c r="H2703" t="str">
        <f>VLOOKUP(G2703,[1]OPERADORES!$A:$B,2,0)</f>
        <v>DANIEL</v>
      </c>
      <c r="I2703" t="s">
        <v>168</v>
      </c>
      <c r="J2703" t="s">
        <v>1034</v>
      </c>
      <c r="K2703" t="s">
        <v>1035</v>
      </c>
      <c r="L2703">
        <v>84560</v>
      </c>
      <c r="M2703" t="s">
        <v>118</v>
      </c>
      <c r="O2703" t="s">
        <v>11</v>
      </c>
      <c r="P2703">
        <v>6108</v>
      </c>
      <c r="Q2703">
        <v>4</v>
      </c>
      <c r="R2703">
        <v>47.89</v>
      </c>
      <c r="S2703">
        <v>191.56</v>
      </c>
      <c r="T2703">
        <v>156.63999999999999</v>
      </c>
      <c r="U2703">
        <v>18.23</v>
      </c>
      <c r="V2703" t="str">
        <f>VLOOKUP(L2703,'[2]tabela de preços'!$A:$D,4,0)</f>
        <v>BRASILUX</v>
      </c>
      <c r="W2703" t="str">
        <f>VLOOKUP(L2703,'[2]tabela de preços'!$A:$F,6,0)</f>
        <v>THINNER DE LIMPEZA</v>
      </c>
      <c r="X2703" t="str">
        <f>VLOOKUP(L2703,'[2]tabela de preços'!$A:$G,7,0)</f>
        <v>THINNER</v>
      </c>
    </row>
    <row r="2704" spans="1:24" x14ac:dyDescent="0.3">
      <c r="A2704" t="s">
        <v>1031</v>
      </c>
      <c r="C2704" t="s">
        <v>2622</v>
      </c>
      <c r="D2704" s="1">
        <v>46058</v>
      </c>
      <c r="E2704" t="s">
        <v>2623</v>
      </c>
      <c r="F2704">
        <v>9</v>
      </c>
      <c r="G2704">
        <v>236</v>
      </c>
      <c r="H2704" t="str">
        <f>VLOOKUP(G2704,[1]OPERADORES!$A:$B,2,0)</f>
        <v>DANIEL</v>
      </c>
      <c r="I2704" t="s">
        <v>168</v>
      </c>
      <c r="J2704" t="s">
        <v>1034</v>
      </c>
      <c r="K2704" t="s">
        <v>1035</v>
      </c>
      <c r="L2704">
        <v>84899</v>
      </c>
      <c r="M2704" t="s">
        <v>854</v>
      </c>
      <c r="O2704" t="s">
        <v>11</v>
      </c>
      <c r="P2704">
        <v>6108</v>
      </c>
      <c r="Q2704">
        <v>1</v>
      </c>
      <c r="R2704">
        <v>175.37</v>
      </c>
      <c r="S2704">
        <v>175.37</v>
      </c>
      <c r="T2704">
        <v>128.57</v>
      </c>
      <c r="U2704">
        <v>26.69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1090</v>
      </c>
      <c r="C2705" t="s">
        <v>2625</v>
      </c>
      <c r="D2705" s="1">
        <v>46057</v>
      </c>
      <c r="E2705" t="s">
        <v>2626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450</v>
      </c>
      <c r="K2705" t="s">
        <v>1093</v>
      </c>
      <c r="L2705">
        <v>84030</v>
      </c>
      <c r="M2705" t="s">
        <v>900</v>
      </c>
      <c r="O2705" t="s">
        <v>11</v>
      </c>
      <c r="P2705">
        <v>5102</v>
      </c>
      <c r="Q2705">
        <v>2</v>
      </c>
      <c r="R2705">
        <v>57.12</v>
      </c>
      <c r="S2705">
        <v>114.24</v>
      </c>
      <c r="T2705">
        <v>84.72</v>
      </c>
      <c r="U2705">
        <v>25.84</v>
      </c>
      <c r="V2705" t="str">
        <f>VLOOKUP(L2705,'[2]tabela de preços'!$A:$D,4,0)</f>
        <v>BRASILUX</v>
      </c>
      <c r="W2705" t="str">
        <f>VLOOKUP(L2705,'[2]tabela de preços'!$A:$F,6,0)</f>
        <v>AGUARRAS</v>
      </c>
      <c r="X2705" t="str">
        <f>VLOOKUP(L2705,'[2]tabela de preços'!$A:$G,7,0)</f>
        <v>IMOBILIÁRIO</v>
      </c>
    </row>
    <row r="2706" spans="1:24" x14ac:dyDescent="0.3">
      <c r="A2706" t="s">
        <v>1090</v>
      </c>
      <c r="C2706" t="s">
        <v>2625</v>
      </c>
      <c r="D2706" s="1">
        <v>46057</v>
      </c>
      <c r="E2706" t="s">
        <v>2626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450</v>
      </c>
      <c r="K2706" t="s">
        <v>1093</v>
      </c>
      <c r="L2706">
        <v>10298</v>
      </c>
      <c r="M2706" t="s">
        <v>85</v>
      </c>
      <c r="O2706" t="s">
        <v>11</v>
      </c>
      <c r="P2706">
        <v>5102</v>
      </c>
      <c r="Q2706">
        <v>1</v>
      </c>
      <c r="R2706">
        <v>56.89</v>
      </c>
      <c r="S2706">
        <v>56.89</v>
      </c>
      <c r="T2706">
        <v>47.38</v>
      </c>
      <c r="U2706">
        <v>16.72</v>
      </c>
      <c r="V2706" t="str">
        <f>VLOOKUP(L2706,'[2]tabela de preços'!$A:$D,4,0)</f>
        <v>ANJO</v>
      </c>
      <c r="W2706" t="str">
        <f>VLOOKUP(L2706,'[2]tabela de preços'!$A:$F,6,0)</f>
        <v>THINNER DE LIMPEZA</v>
      </c>
      <c r="X2706" t="str">
        <f>VLOOKUP(L2706,'[2]tabela de preços'!$A:$G,7,0)</f>
        <v>THINNER</v>
      </c>
    </row>
    <row r="2707" spans="1:24" x14ac:dyDescent="0.3">
      <c r="A2707" t="s">
        <v>1112</v>
      </c>
      <c r="C2707" t="s">
        <v>2435</v>
      </c>
      <c r="D2707" s="1">
        <v>46055</v>
      </c>
      <c r="E2707" t="s">
        <v>2436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211</v>
      </c>
      <c r="K2707" t="s">
        <v>1115</v>
      </c>
      <c r="L2707">
        <v>21627</v>
      </c>
      <c r="M2707" t="s">
        <v>1142</v>
      </c>
      <c r="O2707" t="s">
        <v>11</v>
      </c>
      <c r="P2707">
        <v>5102</v>
      </c>
      <c r="Q2707">
        <v>3</v>
      </c>
      <c r="R2707">
        <v>34.369999999999997</v>
      </c>
      <c r="S2707">
        <v>103.11</v>
      </c>
      <c r="T2707">
        <v>76.47</v>
      </c>
      <c r="U2707">
        <v>25.84</v>
      </c>
      <c r="V2707" t="str">
        <f>VLOOKUP(L2707,'[2]tabela de preços'!$A:$D,4,0)</f>
        <v>SHERWIN WILLIAMS</v>
      </c>
      <c r="W2707" t="str">
        <f>VLOOKUP(L2707,'[2]tabela de preços'!$A:$F,6,0)</f>
        <v>VERNIZ AUTOMOTIVO</v>
      </c>
      <c r="X2707" t="str">
        <f>VLOOKUP(L2707,'[2]tabela de preços'!$A:$G,7,0)</f>
        <v>AUTOMOTIVO</v>
      </c>
    </row>
    <row r="2708" spans="1:24" x14ac:dyDescent="0.3">
      <c r="A2708" t="s">
        <v>1112</v>
      </c>
      <c r="C2708" t="s">
        <v>2435</v>
      </c>
      <c r="D2708" s="1">
        <v>46055</v>
      </c>
      <c r="E2708" t="s">
        <v>2436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211</v>
      </c>
      <c r="K2708" t="s">
        <v>1115</v>
      </c>
      <c r="L2708">
        <v>23602</v>
      </c>
      <c r="M2708" t="s">
        <v>215</v>
      </c>
      <c r="O2708" t="s">
        <v>11</v>
      </c>
      <c r="P2708">
        <v>5403</v>
      </c>
      <c r="Q2708">
        <v>9</v>
      </c>
      <c r="R2708">
        <v>35.89</v>
      </c>
      <c r="S2708">
        <v>323.01</v>
      </c>
      <c r="T2708">
        <v>263.25</v>
      </c>
      <c r="U2708">
        <v>18.5</v>
      </c>
      <c r="V2708" t="str">
        <f>VLOOKUP(L2708,'[2]tabela de preços'!$A:$D,4,0)</f>
        <v>SHERWIN WILLIAMS</v>
      </c>
      <c r="W2708" t="str">
        <f>VLOOKUP(L2708,'[2]tabela de preços'!$A:$F,6,0)</f>
        <v>VERNIZ AUTOMOTIVO</v>
      </c>
      <c r="X2708" t="str">
        <f>VLOOKUP(L2708,'[2]tabela de preços'!$A:$G,7,0)</f>
        <v>AUTOMOTIVO</v>
      </c>
    </row>
    <row r="2709" spans="1:24" x14ac:dyDescent="0.3">
      <c r="A2709" t="s">
        <v>1112</v>
      </c>
      <c r="C2709" t="s">
        <v>2435</v>
      </c>
      <c r="D2709" s="1">
        <v>46055</v>
      </c>
      <c r="E2709" t="s">
        <v>2436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211</v>
      </c>
      <c r="K2709" t="s">
        <v>1115</v>
      </c>
      <c r="L2709">
        <v>10298</v>
      </c>
      <c r="M2709" t="s">
        <v>85</v>
      </c>
      <c r="O2709" t="s">
        <v>11</v>
      </c>
      <c r="P2709">
        <v>5102</v>
      </c>
      <c r="Q2709">
        <v>2</v>
      </c>
      <c r="R2709">
        <v>56.89</v>
      </c>
      <c r="S2709">
        <v>113.78</v>
      </c>
      <c r="T2709">
        <v>94.76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2435</v>
      </c>
      <c r="D2710" s="1">
        <v>46055</v>
      </c>
      <c r="E2710" t="s">
        <v>2436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10297</v>
      </c>
      <c r="M2710" t="s">
        <v>41</v>
      </c>
      <c r="O2710" t="s">
        <v>11</v>
      </c>
      <c r="P2710">
        <v>5102</v>
      </c>
      <c r="Q2710">
        <v>6</v>
      </c>
      <c r="R2710">
        <v>10.89</v>
      </c>
      <c r="S2710">
        <v>65.34</v>
      </c>
      <c r="T2710">
        <v>55.02</v>
      </c>
      <c r="U2710">
        <v>15.79</v>
      </c>
      <c r="V2710" t="str">
        <f>VLOOKUP(L2710,'[2]tabela de preços'!$A:$D,4,0)</f>
        <v>ANJO</v>
      </c>
      <c r="W2710" t="str">
        <f>VLOOKUP(L2710,'[2]tabela de preços'!$A:$F,6,0)</f>
        <v>THINNER DE LIMPEZA</v>
      </c>
      <c r="X2710" t="str">
        <f>VLOOKUP(L2710,'[2]tabela de preços'!$A:$G,7,0)</f>
        <v>THINNER</v>
      </c>
    </row>
    <row r="2711" spans="1:24" x14ac:dyDescent="0.3">
      <c r="A2711" t="s">
        <v>1112</v>
      </c>
      <c r="C2711" t="s">
        <v>2435</v>
      </c>
      <c r="D2711" s="1">
        <v>46055</v>
      </c>
      <c r="E2711" t="s">
        <v>2436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20399</v>
      </c>
      <c r="M2711" t="s">
        <v>465</v>
      </c>
      <c r="O2711" t="s">
        <v>11</v>
      </c>
      <c r="P2711">
        <v>5403</v>
      </c>
      <c r="Q2711">
        <v>3</v>
      </c>
      <c r="R2711">
        <v>36.090000000000003</v>
      </c>
      <c r="S2711">
        <v>108.27</v>
      </c>
      <c r="T2711">
        <v>80.34</v>
      </c>
      <c r="U2711">
        <v>25.8</v>
      </c>
      <c r="V2711" t="str">
        <f>VLOOKUP(L2711,'[2]tabela de preços'!$A:$D,4,0)</f>
        <v>SHERWIN WILLIAMS</v>
      </c>
      <c r="W2711" t="str">
        <f>VLOOKUP(L2711,'[2]tabela de preços'!$A:$F,6,0)</f>
        <v>VERNIZ AUTOMOTIVO</v>
      </c>
      <c r="X2711" t="str">
        <f>VLOOKUP(L2711,'[2]tabela de preços'!$A:$G,7,0)</f>
        <v>AUTOMOTIVO</v>
      </c>
    </row>
    <row r="2712" spans="1:24" x14ac:dyDescent="0.3">
      <c r="A2712" t="s">
        <v>1112</v>
      </c>
      <c r="C2712" t="s">
        <v>2627</v>
      </c>
      <c r="D2712" s="1">
        <v>46057</v>
      </c>
      <c r="E2712" t="s">
        <v>2628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211</v>
      </c>
      <c r="K2712" t="s">
        <v>1115</v>
      </c>
      <c r="L2712">
        <v>21078</v>
      </c>
      <c r="M2712" t="s">
        <v>141</v>
      </c>
      <c r="O2712" t="s">
        <v>11</v>
      </c>
      <c r="P2712">
        <v>5102</v>
      </c>
      <c r="Q2712">
        <v>6</v>
      </c>
      <c r="R2712">
        <v>22.89</v>
      </c>
      <c r="S2712">
        <v>137.34</v>
      </c>
      <c r="T2712">
        <v>111.96</v>
      </c>
      <c r="U2712">
        <v>18.48</v>
      </c>
      <c r="V2712" t="str">
        <f>VLOOKUP(L2712,'[2]tabela de preços'!$A:$D,4,0)</f>
        <v>SHERWIN WILLIAMS</v>
      </c>
      <c r="W2712" t="str">
        <f>VLOOKUP(L2712,'[2]tabela de preços'!$A:$F,6,0)</f>
        <v>MASSA POLIÉSTER</v>
      </c>
      <c r="X2712" t="str">
        <f>VLOOKUP(L2712,'[2]tabela de preços'!$A:$G,7,0)</f>
        <v>AUTOMOTIVO</v>
      </c>
    </row>
    <row r="2713" spans="1:24" x14ac:dyDescent="0.3">
      <c r="A2713" t="s">
        <v>1112</v>
      </c>
      <c r="C2713" t="s">
        <v>2627</v>
      </c>
      <c r="D2713" s="1">
        <v>46057</v>
      </c>
      <c r="E2713" t="s">
        <v>2628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211</v>
      </c>
      <c r="K2713" t="s">
        <v>1115</v>
      </c>
      <c r="L2713">
        <v>23267</v>
      </c>
      <c r="M2713" t="s">
        <v>164</v>
      </c>
      <c r="O2713" t="s">
        <v>11</v>
      </c>
      <c r="P2713">
        <v>5102</v>
      </c>
      <c r="Q2713">
        <v>6</v>
      </c>
      <c r="R2713">
        <v>22.89</v>
      </c>
      <c r="S2713">
        <v>137.34</v>
      </c>
      <c r="T2713">
        <v>117.24</v>
      </c>
      <c r="U2713">
        <v>14.64</v>
      </c>
      <c r="V2713" t="str">
        <f>VLOOKUP(L2713,'[2]tabela de preços'!$A:$D,4,0)</f>
        <v>ANJO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1135</v>
      </c>
      <c r="C2714" t="s">
        <v>2437</v>
      </c>
      <c r="D2714" s="1">
        <v>46055</v>
      </c>
      <c r="E2714" t="s">
        <v>2438</v>
      </c>
      <c r="F2714">
        <v>9</v>
      </c>
      <c r="G2714">
        <v>230</v>
      </c>
      <c r="H2714" t="str">
        <f>VLOOKUP(G2714,[1]OPERADORES!$A:$B,2,0)</f>
        <v>SÔNIA</v>
      </c>
      <c r="I2714" t="s">
        <v>1138</v>
      </c>
      <c r="J2714" t="s">
        <v>1139</v>
      </c>
      <c r="K2714" t="s">
        <v>1140</v>
      </c>
      <c r="L2714">
        <v>84325</v>
      </c>
      <c r="M2714" t="s">
        <v>678</v>
      </c>
      <c r="O2714" t="s">
        <v>11</v>
      </c>
      <c r="P2714">
        <v>6403</v>
      </c>
      <c r="Q2714">
        <v>1</v>
      </c>
      <c r="R2714">
        <v>85.8</v>
      </c>
      <c r="S2714">
        <v>85.8</v>
      </c>
      <c r="T2714">
        <v>52</v>
      </c>
      <c r="U2714">
        <v>39.39</v>
      </c>
      <c r="V2714" t="str">
        <f>VLOOKUP(L2714,'[2]tabela de preços'!$A:$D,4,0)</f>
        <v>BRASILUX</v>
      </c>
      <c r="W2714" t="str">
        <f>VLOOKUP(L2714,'[2]tabela de preços'!$A:$F,6,0)</f>
        <v>ESMALTES</v>
      </c>
      <c r="X2714" t="str">
        <f>VLOOKUP(L2714,'[2]tabela de preços'!$A:$G,7,0)</f>
        <v>INDUSTRIAL</v>
      </c>
    </row>
    <row r="2715" spans="1:24" x14ac:dyDescent="0.3">
      <c r="A2715" t="s">
        <v>1135</v>
      </c>
      <c r="C2715" t="s">
        <v>2437</v>
      </c>
      <c r="D2715" s="1">
        <v>46055</v>
      </c>
      <c r="E2715" t="s">
        <v>2438</v>
      </c>
      <c r="F2715">
        <v>9</v>
      </c>
      <c r="G2715">
        <v>230</v>
      </c>
      <c r="H2715" t="str">
        <f>VLOOKUP(G2715,[1]OPERADORES!$A:$B,2,0)</f>
        <v>SÔNIA</v>
      </c>
      <c r="I2715" t="s">
        <v>1138</v>
      </c>
      <c r="J2715" t="s">
        <v>1139</v>
      </c>
      <c r="K2715" t="s">
        <v>1140</v>
      </c>
      <c r="L2715">
        <v>84329</v>
      </c>
      <c r="M2715" t="s">
        <v>285</v>
      </c>
      <c r="O2715" t="s">
        <v>11</v>
      </c>
      <c r="P2715">
        <v>6403</v>
      </c>
      <c r="Q2715">
        <v>1</v>
      </c>
      <c r="R2715">
        <v>79.650000000000006</v>
      </c>
      <c r="S2715">
        <v>79.650000000000006</v>
      </c>
      <c r="T2715">
        <v>48.27</v>
      </c>
      <c r="U2715">
        <v>39.4</v>
      </c>
      <c r="V2715" t="str">
        <f>VLOOKUP(L2715,'[2]tabela de preços'!$A:$D,4,0)</f>
        <v>BRASILUX</v>
      </c>
      <c r="W2715" t="str">
        <f>VLOOKUP(L2715,'[2]tabela de preços'!$A:$F,6,0)</f>
        <v>ESMALTES</v>
      </c>
      <c r="X2715" t="str">
        <f>VLOOKUP(L2715,'[2]tabela de preços'!$A:$G,7,0)</f>
        <v>INDUSTRIAL</v>
      </c>
    </row>
    <row r="2716" spans="1:24" x14ac:dyDescent="0.3">
      <c r="A2716" t="s">
        <v>1135</v>
      </c>
      <c r="C2716" t="s">
        <v>2437</v>
      </c>
      <c r="D2716" s="1">
        <v>46055</v>
      </c>
      <c r="E2716" t="s">
        <v>2438</v>
      </c>
      <c r="F2716">
        <v>9</v>
      </c>
      <c r="G2716">
        <v>230</v>
      </c>
      <c r="H2716" t="str">
        <f>VLOOKUP(G2716,[1]OPERADORES!$A:$B,2,0)</f>
        <v>SÔNIA</v>
      </c>
      <c r="I2716" t="s">
        <v>1138</v>
      </c>
      <c r="J2716" t="s">
        <v>1139</v>
      </c>
      <c r="K2716" t="s">
        <v>1140</v>
      </c>
      <c r="L2716">
        <v>85499</v>
      </c>
      <c r="M2716" t="s">
        <v>1149</v>
      </c>
      <c r="O2716" t="s">
        <v>11</v>
      </c>
      <c r="P2716">
        <v>6403</v>
      </c>
      <c r="Q2716">
        <v>1</v>
      </c>
      <c r="R2716">
        <v>66.97</v>
      </c>
      <c r="S2716">
        <v>66.97</v>
      </c>
      <c r="T2716">
        <v>47.75</v>
      </c>
      <c r="U2716">
        <v>28.7</v>
      </c>
      <c r="V2716" t="str">
        <f>VLOOKUP(L2716,'[2]tabela de preços'!$A:$D,4,0)</f>
        <v>BRASILUX</v>
      </c>
      <c r="W2716" t="str">
        <f>VLOOKUP(L2716,'[2]tabela de preços'!$A:$F,6,0)</f>
        <v>ESMALTES</v>
      </c>
      <c r="X2716" t="str">
        <f>VLOOKUP(L2716,'[2]tabela de preços'!$A:$G,7,0)</f>
        <v>INDUSTRIAL</v>
      </c>
    </row>
    <row r="2717" spans="1:24" x14ac:dyDescent="0.3">
      <c r="A2717" t="s">
        <v>1135</v>
      </c>
      <c r="C2717" t="s">
        <v>2437</v>
      </c>
      <c r="D2717" s="1">
        <v>46055</v>
      </c>
      <c r="E2717" t="s">
        <v>2438</v>
      </c>
      <c r="F2717">
        <v>9</v>
      </c>
      <c r="G2717">
        <v>230</v>
      </c>
      <c r="H2717" t="str">
        <f>VLOOKUP(G2717,[1]OPERADORES!$A:$B,2,0)</f>
        <v>SÔNIA</v>
      </c>
      <c r="I2717" t="s">
        <v>1138</v>
      </c>
      <c r="J2717" t="s">
        <v>1139</v>
      </c>
      <c r="K2717" t="s">
        <v>1140</v>
      </c>
      <c r="L2717">
        <v>84347</v>
      </c>
      <c r="M2717" t="s">
        <v>1150</v>
      </c>
      <c r="O2717" t="s">
        <v>11</v>
      </c>
      <c r="P2717">
        <v>6403</v>
      </c>
      <c r="Q2717">
        <v>1</v>
      </c>
      <c r="R2717">
        <v>85.81</v>
      </c>
      <c r="S2717">
        <v>85.81</v>
      </c>
      <c r="T2717">
        <v>52</v>
      </c>
      <c r="U2717">
        <v>39.4</v>
      </c>
      <c r="V2717" t="str">
        <f>VLOOKUP(L2717,'[2]tabela de preços'!$A:$D,4,0)</f>
        <v>BRASILUX</v>
      </c>
      <c r="W2717" t="str">
        <f>VLOOKUP(L2717,'[2]tabela de preços'!$A:$F,6,0)</f>
        <v>ESMALTES</v>
      </c>
      <c r="X2717" t="str">
        <f>VLOOKUP(L2717,'[2]tabela de preços'!$A:$G,7,0)</f>
        <v>INDUSTRIAL</v>
      </c>
    </row>
    <row r="2718" spans="1:24" x14ac:dyDescent="0.3">
      <c r="A2718" t="s">
        <v>1135</v>
      </c>
      <c r="C2718" t="s">
        <v>2437</v>
      </c>
      <c r="D2718" s="1">
        <v>46055</v>
      </c>
      <c r="E2718" t="s">
        <v>2438</v>
      </c>
      <c r="F2718">
        <v>9</v>
      </c>
      <c r="G2718">
        <v>230</v>
      </c>
      <c r="H2718" t="str">
        <f>VLOOKUP(G2718,[1]OPERADORES!$A:$B,2,0)</f>
        <v>SÔNIA</v>
      </c>
      <c r="I2718" t="s">
        <v>1138</v>
      </c>
      <c r="J2718" t="s">
        <v>1139</v>
      </c>
      <c r="K2718" t="s">
        <v>1140</v>
      </c>
      <c r="L2718">
        <v>84014</v>
      </c>
      <c r="M2718" t="s">
        <v>1152</v>
      </c>
      <c r="O2718" t="s">
        <v>11</v>
      </c>
      <c r="P2718">
        <v>6102</v>
      </c>
      <c r="Q2718">
        <v>10</v>
      </c>
      <c r="R2718">
        <v>2.2000000000000002</v>
      </c>
      <c r="S2718">
        <v>22</v>
      </c>
      <c r="T2718">
        <v>16.7</v>
      </c>
      <c r="U2718">
        <v>24.09</v>
      </c>
      <c r="V2718" t="str">
        <f>VLOOKUP(L2718,'[2]tabela de preços'!$A:$D,4,0)</f>
        <v>3M</v>
      </c>
      <c r="W2718" t="str">
        <f>VLOOKUP(L2718,'[2]tabela de preços'!$A:$F,6,0)</f>
        <v>LIXA FERRO</v>
      </c>
      <c r="X2718" t="str">
        <f>VLOOKUP(L2718,'[2]tabela de preços'!$A:$G,7,0)</f>
        <v>IMOBILIÁRIO</v>
      </c>
    </row>
    <row r="2719" spans="1:24" x14ac:dyDescent="0.3">
      <c r="A2719" t="s">
        <v>1135</v>
      </c>
      <c r="C2719" t="s">
        <v>2437</v>
      </c>
      <c r="D2719" s="1">
        <v>46055</v>
      </c>
      <c r="E2719" t="s">
        <v>2438</v>
      </c>
      <c r="F2719">
        <v>9</v>
      </c>
      <c r="G2719">
        <v>230</v>
      </c>
      <c r="H2719" t="str">
        <f>VLOOKUP(G2719,[1]OPERADORES!$A:$B,2,0)</f>
        <v>SÔNIA</v>
      </c>
      <c r="I2719" t="s">
        <v>1138</v>
      </c>
      <c r="J2719" t="s">
        <v>1139</v>
      </c>
      <c r="K2719" t="s">
        <v>1140</v>
      </c>
      <c r="L2719">
        <v>10298</v>
      </c>
      <c r="M2719" t="s">
        <v>85</v>
      </c>
      <c r="O2719" t="s">
        <v>11</v>
      </c>
      <c r="P2719">
        <v>6102</v>
      </c>
      <c r="Q2719">
        <v>2</v>
      </c>
      <c r="R2719">
        <v>73.44</v>
      </c>
      <c r="S2719">
        <v>146.88</v>
      </c>
      <c r="T2719">
        <v>94.76</v>
      </c>
      <c r="U2719">
        <v>35.479999999999997</v>
      </c>
      <c r="V2719" t="str">
        <f>VLOOKUP(L2719,'[2]tabela de preços'!$A:$D,4,0)</f>
        <v>ANJO</v>
      </c>
      <c r="W2719" t="str">
        <f>VLOOKUP(L2719,'[2]tabela de preços'!$A:$F,6,0)</f>
        <v>THINNER DE LIMPEZA</v>
      </c>
      <c r="X2719" t="str">
        <f>VLOOKUP(L2719,'[2]tabela de preços'!$A:$G,7,0)</f>
        <v>THINNER</v>
      </c>
    </row>
    <row r="2720" spans="1:24" x14ac:dyDescent="0.3">
      <c r="A2720" t="s">
        <v>1135</v>
      </c>
      <c r="C2720" t="s">
        <v>2439</v>
      </c>
      <c r="D2720" s="1">
        <v>46055</v>
      </c>
      <c r="E2720" t="s">
        <v>2440</v>
      </c>
      <c r="F2720">
        <v>9</v>
      </c>
      <c r="G2720">
        <v>230</v>
      </c>
      <c r="H2720" t="str">
        <f>VLOOKUP(G2720,[1]OPERADORES!$A:$B,2,0)</f>
        <v>SÔNIA</v>
      </c>
      <c r="I2720" t="s">
        <v>1138</v>
      </c>
      <c r="J2720" t="s">
        <v>1139</v>
      </c>
      <c r="K2720" t="s">
        <v>1140</v>
      </c>
      <c r="L2720">
        <v>85135</v>
      </c>
      <c r="M2720" t="s">
        <v>1141</v>
      </c>
      <c r="O2720" t="s">
        <v>11</v>
      </c>
      <c r="P2720">
        <v>6403</v>
      </c>
      <c r="Q2720">
        <v>10</v>
      </c>
      <c r="R2720">
        <v>174.83</v>
      </c>
      <c r="S2720" s="2">
        <v>1748.3</v>
      </c>
      <c r="T2720">
        <v>934.91</v>
      </c>
      <c r="U2720">
        <v>46.52</v>
      </c>
      <c r="V2720" t="str">
        <f>VLOOKUP(L2720,'[2]tabela de preços'!$A:$D,4,0)</f>
        <v>BRASILUX</v>
      </c>
      <c r="W2720" t="str">
        <f>VLOOKUP(L2720,'[2]tabela de preços'!$A:$F,6,0)</f>
        <v>TINTA DE LABORATÓRIO</v>
      </c>
      <c r="X2720" t="str">
        <f>VLOOKUP(L2720,'[2]tabela de preços'!$A:$G,7,0)</f>
        <v>AUTOMOTIVO</v>
      </c>
    </row>
    <row r="2721" spans="1:24" x14ac:dyDescent="0.3">
      <c r="A2721" t="s">
        <v>1135</v>
      </c>
      <c r="C2721" t="s">
        <v>2439</v>
      </c>
      <c r="D2721" s="1">
        <v>46055</v>
      </c>
      <c r="E2721" t="s">
        <v>2440</v>
      </c>
      <c r="F2721">
        <v>9</v>
      </c>
      <c r="G2721">
        <v>230</v>
      </c>
      <c r="H2721" t="str">
        <f>VLOOKUP(G2721,[1]OPERADORES!$A:$B,2,0)</f>
        <v>SÔNIA</v>
      </c>
      <c r="I2721" t="s">
        <v>1138</v>
      </c>
      <c r="J2721" t="s">
        <v>1139</v>
      </c>
      <c r="K2721" t="s">
        <v>1140</v>
      </c>
      <c r="L2721">
        <v>85280</v>
      </c>
      <c r="M2721" t="s">
        <v>943</v>
      </c>
      <c r="O2721" t="s">
        <v>11</v>
      </c>
      <c r="P2721">
        <v>6102</v>
      </c>
      <c r="Q2721">
        <v>10</v>
      </c>
      <c r="R2721">
        <v>55.72</v>
      </c>
      <c r="S2721">
        <v>557.20000000000005</v>
      </c>
      <c r="T2721">
        <v>422.9</v>
      </c>
      <c r="U2721">
        <v>24.1</v>
      </c>
      <c r="V2721" t="str">
        <f>VLOOKUP(L2721,'[2]tabela de preços'!$A:$D,4,0)</f>
        <v>BRASILUX</v>
      </c>
      <c r="W2721" t="str">
        <f>VLOOKUP(L2721,'[2]tabela de preços'!$A:$F,6,0)</f>
        <v>CATALISADORES INDIVIDUAIS</v>
      </c>
      <c r="X2721" t="str">
        <f>VLOOKUP(L2721,'[2]tabela de preços'!$A:$G,7,0)</f>
        <v>IMOBILIÁRIO</v>
      </c>
    </row>
    <row r="2722" spans="1:24" x14ac:dyDescent="0.3">
      <c r="A2722" t="s">
        <v>1155</v>
      </c>
      <c r="C2722" t="s">
        <v>2629</v>
      </c>
      <c r="D2722" s="1">
        <v>46058</v>
      </c>
      <c r="E2722" t="s">
        <v>2630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211</v>
      </c>
      <c r="K2722" t="s">
        <v>1158</v>
      </c>
      <c r="L2722">
        <v>84385</v>
      </c>
      <c r="M2722" t="s">
        <v>2012</v>
      </c>
      <c r="O2722" t="s">
        <v>11</v>
      </c>
      <c r="P2722">
        <v>5403</v>
      </c>
      <c r="Q2722">
        <v>1</v>
      </c>
      <c r="R2722">
        <v>159.9</v>
      </c>
      <c r="S2722">
        <v>159.9</v>
      </c>
      <c r="T2722">
        <v>137.61000000000001</v>
      </c>
      <c r="U2722">
        <v>13.94</v>
      </c>
      <c r="V2722" t="str">
        <f>VLOOKUP(L2722,'[2]tabela de preços'!$A:$D,4,0)</f>
        <v>BRASILUX</v>
      </c>
      <c r="W2722" t="str">
        <f>VLOOKUP(L2722,'[2]tabela de preços'!$A:$F,6,0)</f>
        <v>TINTA PARA PISO</v>
      </c>
      <c r="X2722" t="str">
        <f>VLOOKUP(L2722,'[2]tabela de preços'!$A:$G,7,0)</f>
        <v>IMOBILIÁRIO</v>
      </c>
    </row>
    <row r="2723" spans="1:24" x14ac:dyDescent="0.3">
      <c r="A2723" t="s">
        <v>1155</v>
      </c>
      <c r="C2723" t="s">
        <v>2629</v>
      </c>
      <c r="D2723" s="1">
        <v>46058</v>
      </c>
      <c r="E2723" t="s">
        <v>2630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211</v>
      </c>
      <c r="K2723" t="s">
        <v>1158</v>
      </c>
      <c r="L2723">
        <v>20433</v>
      </c>
      <c r="M2723" t="s">
        <v>460</v>
      </c>
      <c r="O2723" t="s">
        <v>11</v>
      </c>
      <c r="P2723">
        <v>5102</v>
      </c>
      <c r="Q2723">
        <v>4</v>
      </c>
      <c r="R2723">
        <v>32.19</v>
      </c>
      <c r="S2723">
        <v>128.76</v>
      </c>
      <c r="T2723">
        <v>97.72</v>
      </c>
      <c r="U2723">
        <v>24.11</v>
      </c>
      <c r="V2723" t="str">
        <f>VLOOKUP(L2723,'[2]tabela de preços'!$A:$D,4,0)</f>
        <v>SHERWIN WILLIAMS</v>
      </c>
      <c r="W2723" t="str">
        <f>VLOOKUP(L2723,'[2]tabela de preços'!$A:$F,6,0)</f>
        <v>VERNIZ AUTOMOTIVO</v>
      </c>
      <c r="X2723" t="str">
        <f>VLOOKUP(L2723,'[2]tabela de preços'!$A:$G,7,0)</f>
        <v>AUTOMOTIVO</v>
      </c>
    </row>
    <row r="2724" spans="1:24" x14ac:dyDescent="0.3">
      <c r="A2724" t="s">
        <v>1155</v>
      </c>
      <c r="C2724" t="s">
        <v>2629</v>
      </c>
      <c r="D2724" s="1">
        <v>46058</v>
      </c>
      <c r="E2724" t="s">
        <v>2630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211</v>
      </c>
      <c r="K2724" t="s">
        <v>1158</v>
      </c>
      <c r="L2724">
        <v>22188</v>
      </c>
      <c r="M2724" t="s">
        <v>78</v>
      </c>
      <c r="O2724" t="s">
        <v>11</v>
      </c>
      <c r="P2724">
        <v>5102</v>
      </c>
      <c r="Q2724">
        <v>2</v>
      </c>
      <c r="R2724">
        <v>14.35</v>
      </c>
      <c r="S2724">
        <v>28.7</v>
      </c>
      <c r="T2724">
        <v>21.78</v>
      </c>
      <c r="U2724">
        <v>24.11</v>
      </c>
      <c r="V2724" t="str">
        <f>VLOOKUP(L2724,'[2]tabela de preços'!$A:$D,4,0)</f>
        <v>3M</v>
      </c>
      <c r="W2724" t="str">
        <f>VLOOKUP(L2724,'[2]tabela de preços'!$A:$F,6,0)</f>
        <v>FITA AUTOMOTIVA</v>
      </c>
      <c r="X2724" t="str">
        <f>VLOOKUP(L2724,'[2]tabela de preços'!$A:$G,7,0)</f>
        <v>AUTOMOTIVO</v>
      </c>
    </row>
    <row r="2725" spans="1:24" x14ac:dyDescent="0.3">
      <c r="A2725" t="s">
        <v>1155</v>
      </c>
      <c r="C2725" t="s">
        <v>2629</v>
      </c>
      <c r="D2725" s="1">
        <v>46058</v>
      </c>
      <c r="E2725" t="s">
        <v>2630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211</v>
      </c>
      <c r="K2725" t="s">
        <v>1158</v>
      </c>
      <c r="L2725">
        <v>23364</v>
      </c>
      <c r="M2725" t="s">
        <v>55</v>
      </c>
      <c r="O2725" t="s">
        <v>11</v>
      </c>
      <c r="P2725">
        <v>5102</v>
      </c>
      <c r="Q2725">
        <v>2</v>
      </c>
      <c r="R2725">
        <v>6.19</v>
      </c>
      <c r="S2725">
        <v>12.38</v>
      </c>
      <c r="T2725">
        <v>9.82</v>
      </c>
      <c r="U2725">
        <v>20.68</v>
      </c>
      <c r="V2725" t="str">
        <f>VLOOKUP(L2725,'[2]tabela de preços'!$A:$D,4,0)</f>
        <v>AUTO AMERICA</v>
      </c>
      <c r="W2725" t="str">
        <f>VLOOKUP(L2725,'[2]tabela de preços'!$A:$F,6,0)</f>
        <v>FLANELAS / PANOS</v>
      </c>
      <c r="X2725" t="str">
        <f>VLOOKUP(L2725,'[2]tabela de preços'!$A:$G,7,0)</f>
        <v>AUTOMOTIVO</v>
      </c>
    </row>
    <row r="2726" spans="1:24" x14ac:dyDescent="0.3">
      <c r="A2726" t="s">
        <v>1155</v>
      </c>
      <c r="C2726" t="s">
        <v>2629</v>
      </c>
      <c r="D2726" s="1">
        <v>46058</v>
      </c>
      <c r="E2726" t="s">
        <v>2630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211</v>
      </c>
      <c r="K2726" t="s">
        <v>1158</v>
      </c>
      <c r="L2726">
        <v>20472</v>
      </c>
      <c r="M2726" t="s">
        <v>709</v>
      </c>
      <c r="O2726" t="s">
        <v>11</v>
      </c>
      <c r="P2726">
        <v>5403</v>
      </c>
      <c r="Q2726">
        <v>1</v>
      </c>
      <c r="R2726">
        <v>37.880000000000003</v>
      </c>
      <c r="S2726">
        <v>37.880000000000003</v>
      </c>
      <c r="T2726">
        <v>25.51</v>
      </c>
      <c r="U2726">
        <v>32.659999999999997</v>
      </c>
      <c r="V2726" t="str">
        <f>VLOOKUP(L2726,'[2]tabela de preços'!$A:$D,4,0)</f>
        <v>SHERWIN WILLIAMS</v>
      </c>
      <c r="W2726" t="str">
        <f>VLOOKUP(L2726,'[2]tabela de preços'!$A:$F,6,0)</f>
        <v>TINTAS POLIÉSTER</v>
      </c>
      <c r="X2726" t="str">
        <f>VLOOKUP(L2726,'[2]tabela de preços'!$A:$G,7,0)</f>
        <v>AUTOMOTIVO</v>
      </c>
    </row>
    <row r="2727" spans="1:24" x14ac:dyDescent="0.3">
      <c r="A2727" t="s">
        <v>1155</v>
      </c>
      <c r="C2727" t="s">
        <v>2629</v>
      </c>
      <c r="D2727" s="1">
        <v>46058</v>
      </c>
      <c r="E2727" t="s">
        <v>2630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211</v>
      </c>
      <c r="K2727" t="s">
        <v>1158</v>
      </c>
      <c r="L2727">
        <v>16</v>
      </c>
      <c r="M2727" t="s">
        <v>122</v>
      </c>
      <c r="O2727" t="s">
        <v>11</v>
      </c>
      <c r="P2727">
        <v>5102</v>
      </c>
      <c r="Q2727">
        <v>2</v>
      </c>
      <c r="R2727">
        <v>3.07</v>
      </c>
      <c r="S2727">
        <v>6.14</v>
      </c>
      <c r="T2727">
        <v>4.4000000000000004</v>
      </c>
      <c r="U2727">
        <v>28.34</v>
      </c>
      <c r="V2727" t="str">
        <f>VLOOKUP(L2727,'[2]tabela de preços'!$A:$D,4,0)</f>
        <v>3M</v>
      </c>
      <c r="W2727" t="str">
        <f>VLOOKUP(L2727,'[2]tabela de preços'!$A:$F,6,0)</f>
        <v>LIXA DÁGUA</v>
      </c>
      <c r="X2727" t="str">
        <f>VLOOKUP(L2727,'[2]tabela de preços'!$A:$G,7,0)</f>
        <v>AUTOMOTIVO</v>
      </c>
    </row>
    <row r="2728" spans="1:24" x14ac:dyDescent="0.3">
      <c r="A2728" t="s">
        <v>1155</v>
      </c>
      <c r="C2728" t="s">
        <v>2629</v>
      </c>
      <c r="D2728" s="1">
        <v>46058</v>
      </c>
      <c r="E2728" t="s">
        <v>2630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211</v>
      </c>
      <c r="K2728" t="s">
        <v>1158</v>
      </c>
      <c r="L2728">
        <v>20414</v>
      </c>
      <c r="M2728" t="s">
        <v>112</v>
      </c>
      <c r="O2728" t="s">
        <v>11</v>
      </c>
      <c r="P2728">
        <v>5102</v>
      </c>
      <c r="Q2728">
        <v>2</v>
      </c>
      <c r="R2728">
        <v>21.89</v>
      </c>
      <c r="S2728">
        <v>43.78</v>
      </c>
      <c r="T2728">
        <v>36</v>
      </c>
      <c r="U2728">
        <v>17.77</v>
      </c>
      <c r="V2728" t="str">
        <f>VLOOKUP(L2728,'[2]tabela de preços'!$A:$D,4,0)</f>
        <v>SHERWIN WILLIAMS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1155</v>
      </c>
      <c r="C2729" t="s">
        <v>2629</v>
      </c>
      <c r="D2729" s="1">
        <v>46058</v>
      </c>
      <c r="E2729" t="s">
        <v>2630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211</v>
      </c>
      <c r="K2729" t="s">
        <v>1158</v>
      </c>
      <c r="L2729">
        <v>85043</v>
      </c>
      <c r="M2729" t="s">
        <v>1841</v>
      </c>
      <c r="O2729" t="s">
        <v>11</v>
      </c>
      <c r="P2729">
        <v>5102</v>
      </c>
      <c r="Q2729">
        <v>2</v>
      </c>
      <c r="R2729">
        <v>3.69</v>
      </c>
      <c r="S2729">
        <v>7.38</v>
      </c>
      <c r="T2729">
        <v>5.4</v>
      </c>
      <c r="U2729">
        <v>26.83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1155</v>
      </c>
      <c r="C2730" t="s">
        <v>2629</v>
      </c>
      <c r="D2730" s="1">
        <v>46058</v>
      </c>
      <c r="E2730" t="s">
        <v>2630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211</v>
      </c>
      <c r="K2730" t="s">
        <v>1158</v>
      </c>
      <c r="L2730">
        <v>20399</v>
      </c>
      <c r="M2730" t="s">
        <v>465</v>
      </c>
      <c r="O2730" t="s">
        <v>11</v>
      </c>
      <c r="P2730">
        <v>5403</v>
      </c>
      <c r="Q2730">
        <v>4</v>
      </c>
      <c r="R2730">
        <v>35.26</v>
      </c>
      <c r="S2730">
        <v>141.04</v>
      </c>
      <c r="T2730">
        <v>107.12</v>
      </c>
      <c r="U2730">
        <v>24.05</v>
      </c>
      <c r="V2730" t="str">
        <f>VLOOKUP(L2730,'[2]tabela de preços'!$A:$D,4,0)</f>
        <v>SHERWIN WILLIAMS</v>
      </c>
      <c r="W2730" t="str">
        <f>VLOOKUP(L2730,'[2]tabela de preços'!$A:$F,6,0)</f>
        <v>VERNIZ AUTOMOTIVO</v>
      </c>
      <c r="X2730" t="str">
        <f>VLOOKUP(L2730,'[2]tabela de preços'!$A:$G,7,0)</f>
        <v>AUTOMOTIVO</v>
      </c>
    </row>
    <row r="2731" spans="1:24" x14ac:dyDescent="0.3">
      <c r="A2731" t="s">
        <v>1170</v>
      </c>
      <c r="C2731" t="s">
        <v>2513</v>
      </c>
      <c r="D2731" s="1">
        <v>46056</v>
      </c>
      <c r="E2731" t="s">
        <v>2514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1173</v>
      </c>
      <c r="K2731" t="s">
        <v>1174</v>
      </c>
      <c r="L2731">
        <v>22684</v>
      </c>
      <c r="M2731" t="s">
        <v>73</v>
      </c>
      <c r="O2731" t="s">
        <v>11</v>
      </c>
      <c r="P2731">
        <v>5102</v>
      </c>
      <c r="Q2731">
        <v>160</v>
      </c>
      <c r="R2731">
        <v>3.65</v>
      </c>
      <c r="S2731">
        <v>584</v>
      </c>
      <c r="T2731">
        <v>492.8</v>
      </c>
      <c r="U2731">
        <v>15.62</v>
      </c>
      <c r="V2731" t="str">
        <f>VLOOKUP(L2731,'[2]tabela de preços'!$A:$D,4,0)</f>
        <v>3M</v>
      </c>
      <c r="W2731" t="str">
        <f>VLOOKUP(L2731,'[2]tabela de preços'!$A:$F,6,0)</f>
        <v>FITA AUTOMOTIVA</v>
      </c>
      <c r="X2731" t="str">
        <f>VLOOKUP(L2731,'[2]tabela de preços'!$A:$G,7,0)</f>
        <v>AUTOMOTIVO</v>
      </c>
    </row>
    <row r="2732" spans="1:24" x14ac:dyDescent="0.3">
      <c r="A2732" t="s">
        <v>1170</v>
      </c>
      <c r="C2732" t="s">
        <v>2513</v>
      </c>
      <c r="D2732" s="1">
        <v>46056</v>
      </c>
      <c r="E2732" t="s">
        <v>2514</v>
      </c>
      <c r="F2732">
        <v>9</v>
      </c>
      <c r="G2732">
        <v>174</v>
      </c>
      <c r="H2732" t="str">
        <f>VLOOKUP(G2732,[1]OPERADORES!$A:$B,2,0)</f>
        <v>MIRIÃ LOBATO RODRIGUES</v>
      </c>
      <c r="I2732" t="s">
        <v>21</v>
      </c>
      <c r="J2732" t="s">
        <v>1173</v>
      </c>
      <c r="K2732" t="s">
        <v>1174</v>
      </c>
      <c r="L2732">
        <v>23076</v>
      </c>
      <c r="M2732" t="s">
        <v>97</v>
      </c>
      <c r="O2732" t="s">
        <v>11</v>
      </c>
      <c r="P2732">
        <v>5403</v>
      </c>
      <c r="Q2732">
        <v>12</v>
      </c>
      <c r="R2732">
        <v>34.89</v>
      </c>
      <c r="S2732">
        <v>418.68</v>
      </c>
      <c r="T2732">
        <v>318.36</v>
      </c>
      <c r="U2732">
        <v>23.96</v>
      </c>
      <c r="V2732" t="str">
        <f>VLOOKUP(L2732,'[2]tabela de preços'!$A:$D,4,0)</f>
        <v>WANDA</v>
      </c>
      <c r="W2732" t="str">
        <f>VLOOKUP(L2732,'[2]tabela de preços'!$A:$F,6,0)</f>
        <v>PRIMER AUTOMOTIVO</v>
      </c>
      <c r="X2732" t="str">
        <f>VLOOKUP(L2732,'[2]tabela de preços'!$A:$G,7,0)</f>
        <v>AUTOMOTIVO</v>
      </c>
    </row>
    <row r="2733" spans="1:24" x14ac:dyDescent="0.3">
      <c r="A2733" t="s">
        <v>1170</v>
      </c>
      <c r="C2733" t="s">
        <v>2513</v>
      </c>
      <c r="D2733" s="1">
        <v>46056</v>
      </c>
      <c r="E2733" t="s">
        <v>2514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1173</v>
      </c>
      <c r="K2733" t="s">
        <v>1174</v>
      </c>
      <c r="L2733">
        <v>16</v>
      </c>
      <c r="M2733" t="s">
        <v>122</v>
      </c>
      <c r="O2733" t="s">
        <v>11</v>
      </c>
      <c r="P2733">
        <v>5102</v>
      </c>
      <c r="Q2733">
        <v>50</v>
      </c>
      <c r="R2733">
        <v>2.9</v>
      </c>
      <c r="S2733">
        <v>145</v>
      </c>
      <c r="T2733">
        <v>110</v>
      </c>
      <c r="U2733">
        <v>24.14</v>
      </c>
      <c r="V2733" t="str">
        <f>VLOOKUP(L2733,'[2]tabela de preços'!$A:$D,4,0)</f>
        <v>3M</v>
      </c>
      <c r="W2733" t="str">
        <f>VLOOKUP(L2733,'[2]tabela de preços'!$A:$F,6,0)</f>
        <v>LIXA DÁGUA</v>
      </c>
      <c r="X2733" t="str">
        <f>VLOOKUP(L2733,'[2]tabela de preços'!$A:$G,7,0)</f>
        <v>AUTOMOTIVO</v>
      </c>
    </row>
    <row r="2734" spans="1:24" x14ac:dyDescent="0.3">
      <c r="A2734" t="s">
        <v>1170</v>
      </c>
      <c r="C2734" t="s">
        <v>2513</v>
      </c>
      <c r="D2734" s="1">
        <v>46056</v>
      </c>
      <c r="E2734" t="s">
        <v>2514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1173</v>
      </c>
      <c r="K2734" t="s">
        <v>1174</v>
      </c>
      <c r="L2734">
        <v>9997</v>
      </c>
      <c r="M2734" t="s">
        <v>2487</v>
      </c>
      <c r="O2734" t="s">
        <v>11</v>
      </c>
      <c r="P2734">
        <v>5102</v>
      </c>
      <c r="Q2734">
        <v>3</v>
      </c>
      <c r="R2734">
        <v>41.04</v>
      </c>
      <c r="S2734">
        <v>123.12</v>
      </c>
      <c r="T2734">
        <v>93.45</v>
      </c>
      <c r="U2734">
        <v>24.1</v>
      </c>
      <c r="V2734" t="str">
        <f>VLOOKUP(L2734,'[2]tabela de preços'!$A:$D,4,0)</f>
        <v>SIKKENS</v>
      </c>
      <c r="W2734" t="str">
        <f>VLOOKUP(L2734,'[2]tabela de preços'!$A:$F,6,0)</f>
        <v>DILUENTE</v>
      </c>
      <c r="X2734" t="str">
        <f>VLOOKUP(L2734,'[2]tabela de preços'!$A:$G,7,0)</f>
        <v>AUTOMOTIVO</v>
      </c>
    </row>
    <row r="2735" spans="1:24" x14ac:dyDescent="0.3">
      <c r="A2735" t="s">
        <v>2515</v>
      </c>
      <c r="C2735" t="s">
        <v>2516</v>
      </c>
      <c r="D2735" s="1">
        <v>46056</v>
      </c>
      <c r="E2735" t="s">
        <v>2517</v>
      </c>
      <c r="F2735">
        <v>9</v>
      </c>
      <c r="G2735">
        <v>197</v>
      </c>
      <c r="H2735" t="str">
        <f>VLOOKUP(G2735,[1]OPERADORES!$A:$B,2,0)</f>
        <v xml:space="preserve">POLIANA LORRANE DE AMORIM </v>
      </c>
      <c r="I2735" t="s">
        <v>21</v>
      </c>
      <c r="J2735" t="s">
        <v>357</v>
      </c>
      <c r="K2735" t="s">
        <v>2518</v>
      </c>
      <c r="L2735">
        <v>84500</v>
      </c>
      <c r="M2735" t="s">
        <v>2424</v>
      </c>
      <c r="O2735" t="s">
        <v>11</v>
      </c>
      <c r="P2735">
        <v>5102</v>
      </c>
      <c r="Q2735">
        <v>1</v>
      </c>
      <c r="R2735">
        <v>195.25</v>
      </c>
      <c r="S2735">
        <v>195.25</v>
      </c>
      <c r="T2735">
        <v>148.19999999999999</v>
      </c>
      <c r="U2735">
        <v>24.1</v>
      </c>
      <c r="V2735" t="str">
        <f>VLOOKUP(L2735,'[2]tabela de preços'!$A:$D,4,0)</f>
        <v>BRASILUX</v>
      </c>
      <c r="W2735" t="str">
        <f>VLOOKUP(L2735,'[2]tabela de preços'!$A:$F,6,0)</f>
        <v>AGUARRAS</v>
      </c>
      <c r="X2735" t="str">
        <f>VLOOKUP(L2735,'[2]tabela de preços'!$A:$G,7,0)</f>
        <v>IMOBILIÁRIO</v>
      </c>
    </row>
    <row r="2736" spans="1:24" x14ac:dyDescent="0.3">
      <c r="A2736" t="s">
        <v>2515</v>
      </c>
      <c r="C2736" t="s">
        <v>2516</v>
      </c>
      <c r="D2736" s="1">
        <v>46056</v>
      </c>
      <c r="E2736" t="s">
        <v>2517</v>
      </c>
      <c r="F2736">
        <v>9</v>
      </c>
      <c r="G2736">
        <v>197</v>
      </c>
      <c r="H2736" t="str">
        <f>VLOOKUP(G2736,[1]OPERADORES!$A:$B,2,0)</f>
        <v xml:space="preserve">POLIANA LORRANE DE AMORIM </v>
      </c>
      <c r="I2736" t="s">
        <v>21</v>
      </c>
      <c r="J2736" t="s">
        <v>357</v>
      </c>
      <c r="K2736" t="s">
        <v>2518</v>
      </c>
      <c r="L2736">
        <v>84560</v>
      </c>
      <c r="M2736" t="s">
        <v>118</v>
      </c>
      <c r="O2736" t="s">
        <v>11</v>
      </c>
      <c r="P2736">
        <v>5102</v>
      </c>
      <c r="Q2736">
        <v>4</v>
      </c>
      <c r="R2736">
        <v>47.89</v>
      </c>
      <c r="S2736">
        <v>191.56</v>
      </c>
      <c r="T2736">
        <v>156.63999999999999</v>
      </c>
      <c r="U2736">
        <v>18.23</v>
      </c>
      <c r="V2736" t="str">
        <f>VLOOKUP(L2736,'[2]tabela de preços'!$A:$D,4,0)</f>
        <v>BRASILUX</v>
      </c>
      <c r="W2736" t="str">
        <f>VLOOKUP(L2736,'[2]tabela de preços'!$A:$F,6,0)</f>
        <v>THINNER DE LIMPEZA</v>
      </c>
      <c r="X2736" t="str">
        <f>VLOOKUP(L2736,'[2]tabela de preços'!$A:$G,7,0)</f>
        <v>THINNER</v>
      </c>
    </row>
    <row r="2737" spans="1:24" x14ac:dyDescent="0.3">
      <c r="A2737" t="s">
        <v>2631</v>
      </c>
      <c r="C2737" t="s">
        <v>2632</v>
      </c>
      <c r="D2737" s="1">
        <v>46058</v>
      </c>
      <c r="E2737" t="s">
        <v>2633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715</v>
      </c>
      <c r="J2737" t="s">
        <v>2634</v>
      </c>
      <c r="K2737" t="s">
        <v>2635</v>
      </c>
      <c r="L2737">
        <v>20817</v>
      </c>
      <c r="M2737" t="s">
        <v>153</v>
      </c>
      <c r="O2737" t="s">
        <v>11</v>
      </c>
      <c r="P2737">
        <v>6102</v>
      </c>
      <c r="Q2737">
        <v>24</v>
      </c>
      <c r="R2737">
        <v>22.89</v>
      </c>
      <c r="S2737">
        <v>549.36</v>
      </c>
      <c r="T2737">
        <v>446.88</v>
      </c>
      <c r="U2737">
        <v>18.649999999999999</v>
      </c>
      <c r="V2737" t="str">
        <f>VLOOKUP(L2737,'[2]tabela de preços'!$A:$D,4,0)</f>
        <v>AUTO AMERICA</v>
      </c>
      <c r="W2737" t="str">
        <f>VLOOKUP(L2737,'[2]tabela de preços'!$A:$F,6,0)</f>
        <v>MASSA DE POLIR</v>
      </c>
      <c r="X2737" t="str">
        <f>VLOOKUP(L2737,'[2]tabela de preços'!$A:$G,7,0)</f>
        <v>AUTOMOTIVO</v>
      </c>
    </row>
    <row r="2738" spans="1:24" x14ac:dyDescent="0.3">
      <c r="A2738" t="s">
        <v>2631</v>
      </c>
      <c r="C2738" t="s">
        <v>2632</v>
      </c>
      <c r="D2738" s="1">
        <v>46058</v>
      </c>
      <c r="E2738" t="s">
        <v>2633</v>
      </c>
      <c r="F2738">
        <v>9</v>
      </c>
      <c r="G2738">
        <v>174</v>
      </c>
      <c r="H2738" t="str">
        <f>VLOOKUP(G2738,[1]OPERADORES!$A:$B,2,0)</f>
        <v>MIRIÃ LOBATO RODRIGUES</v>
      </c>
      <c r="I2738" t="s">
        <v>715</v>
      </c>
      <c r="J2738" t="s">
        <v>2634</v>
      </c>
      <c r="K2738" t="s">
        <v>2635</v>
      </c>
      <c r="L2738">
        <v>84560</v>
      </c>
      <c r="M2738" t="s">
        <v>118</v>
      </c>
      <c r="O2738" t="s">
        <v>11</v>
      </c>
      <c r="P2738">
        <v>6102</v>
      </c>
      <c r="Q2738">
        <v>32</v>
      </c>
      <c r="R2738">
        <v>47.89</v>
      </c>
      <c r="S2738" s="2">
        <v>1532.48</v>
      </c>
      <c r="T2738" s="2">
        <v>1253.1199999999999</v>
      </c>
      <c r="U2738">
        <v>18.23</v>
      </c>
      <c r="V2738" t="str">
        <f>VLOOKUP(L2738,'[2]tabela de preços'!$A:$D,4,0)</f>
        <v>BRASILUX</v>
      </c>
      <c r="W2738" t="str">
        <f>VLOOKUP(L2738,'[2]tabela de preços'!$A:$F,6,0)</f>
        <v>THINNER DE LIMPEZA</v>
      </c>
      <c r="X2738" t="str">
        <f>VLOOKUP(L2738,'[2]tabela de preços'!$A:$G,7,0)</f>
        <v>THINNER</v>
      </c>
    </row>
    <row r="2739" spans="1:24" x14ac:dyDescent="0.3">
      <c r="A2739" t="s">
        <v>1222</v>
      </c>
      <c r="C2739" t="s">
        <v>2636</v>
      </c>
      <c r="D2739" s="1">
        <v>46057</v>
      </c>
      <c r="E2739" t="s">
        <v>2637</v>
      </c>
      <c r="F2739">
        <v>9</v>
      </c>
      <c r="G2739">
        <v>174</v>
      </c>
      <c r="H2739" t="str">
        <f>VLOOKUP(G2739,[1]OPERADORES!$A:$B,2,0)</f>
        <v>MIRIÃ LOBATO RODRIGUES</v>
      </c>
      <c r="I2739" t="s">
        <v>21</v>
      </c>
      <c r="J2739" t="s">
        <v>1225</v>
      </c>
      <c r="K2739" t="s">
        <v>1226</v>
      </c>
      <c r="L2739">
        <v>23076</v>
      </c>
      <c r="M2739" t="s">
        <v>97</v>
      </c>
      <c r="O2739" t="s">
        <v>11</v>
      </c>
      <c r="P2739">
        <v>5405</v>
      </c>
      <c r="Q2739">
        <v>12</v>
      </c>
      <c r="R2739">
        <v>34.89</v>
      </c>
      <c r="S2739">
        <v>418.68</v>
      </c>
      <c r="T2739">
        <v>318.36</v>
      </c>
      <c r="U2739">
        <v>23.96</v>
      </c>
      <c r="V2739" t="str">
        <f>VLOOKUP(L2739,'[2]tabela de preços'!$A:$D,4,0)</f>
        <v>WANDA</v>
      </c>
      <c r="W2739" t="str">
        <f>VLOOKUP(L2739,'[2]tabela de preços'!$A:$F,6,0)</f>
        <v>PRIMER AUTOMOTIVO</v>
      </c>
      <c r="X2739" t="str">
        <f>VLOOKUP(L2739,'[2]tabela de preços'!$A:$G,7,0)</f>
        <v>AUTOMOTIVO</v>
      </c>
    </row>
    <row r="2740" spans="1:24" x14ac:dyDescent="0.3">
      <c r="A2740" t="s">
        <v>1222</v>
      </c>
      <c r="C2740" t="s">
        <v>2636</v>
      </c>
      <c r="D2740" s="1">
        <v>46057</v>
      </c>
      <c r="E2740" t="s">
        <v>2637</v>
      </c>
      <c r="F2740">
        <v>9</v>
      </c>
      <c r="G2740">
        <v>174</v>
      </c>
      <c r="H2740" t="str">
        <f>VLOOKUP(G2740,[1]OPERADORES!$A:$B,2,0)</f>
        <v>MIRIÃ LOBATO RODRIGUES</v>
      </c>
      <c r="I2740" t="s">
        <v>21</v>
      </c>
      <c r="J2740" t="s">
        <v>1225</v>
      </c>
      <c r="K2740" t="s">
        <v>1226</v>
      </c>
      <c r="L2740">
        <v>23602</v>
      </c>
      <c r="M2740" t="s">
        <v>215</v>
      </c>
      <c r="O2740" t="s">
        <v>11</v>
      </c>
      <c r="P2740">
        <v>5405</v>
      </c>
      <c r="Q2740">
        <v>9</v>
      </c>
      <c r="R2740">
        <v>35.89</v>
      </c>
      <c r="S2740">
        <v>323.01</v>
      </c>
      <c r="T2740">
        <v>263.25</v>
      </c>
      <c r="U2740">
        <v>18.5</v>
      </c>
      <c r="V2740" t="str">
        <f>VLOOKUP(L2740,'[2]tabela de preços'!$A:$D,4,0)</f>
        <v>SHERWIN WILLIAMS</v>
      </c>
      <c r="W2740" t="str">
        <f>VLOOKUP(L2740,'[2]tabela de preços'!$A:$F,6,0)</f>
        <v>VERNIZ AUTOMOTIVO</v>
      </c>
      <c r="X2740" t="str">
        <f>VLOOKUP(L2740,'[2]tabela de preços'!$A:$G,7,0)</f>
        <v>AUTOMOTIVO</v>
      </c>
    </row>
    <row r="2741" spans="1:24" x14ac:dyDescent="0.3">
      <c r="A2741" t="s">
        <v>1222</v>
      </c>
      <c r="C2741" t="s">
        <v>2638</v>
      </c>
      <c r="D2741" s="1">
        <v>46058</v>
      </c>
      <c r="E2741" t="s">
        <v>2639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1225</v>
      </c>
      <c r="K2741" t="s">
        <v>1226</v>
      </c>
      <c r="L2741">
        <v>21067</v>
      </c>
      <c r="M2741" t="s">
        <v>640</v>
      </c>
      <c r="O2741" t="s">
        <v>11</v>
      </c>
      <c r="P2741">
        <v>5102</v>
      </c>
      <c r="Q2741">
        <v>6</v>
      </c>
      <c r="R2741">
        <v>36.07</v>
      </c>
      <c r="S2741">
        <v>216.42</v>
      </c>
      <c r="T2741">
        <v>164.28</v>
      </c>
      <c r="U2741">
        <v>24.09</v>
      </c>
      <c r="V2741" t="str">
        <f>VLOOKUP(L2741,'[2]tabela de preços'!$A:$D,4,0)</f>
        <v>SIKKENS</v>
      </c>
      <c r="W2741" t="str">
        <f>VLOOKUP(L2741,'[2]tabela de preços'!$A:$F,6,0)</f>
        <v>DILUENTE</v>
      </c>
      <c r="X2741" t="str">
        <f>VLOOKUP(L2741,'[2]tabela de preços'!$A:$G,7,0)</f>
        <v>AUTOMOTIVO</v>
      </c>
    </row>
    <row r="2742" spans="1:24" x14ac:dyDescent="0.3">
      <c r="A2742" t="s">
        <v>1222</v>
      </c>
      <c r="C2742" t="s">
        <v>2783</v>
      </c>
      <c r="D2742" s="1">
        <v>46059</v>
      </c>
      <c r="E2742" t="s">
        <v>2784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1225</v>
      </c>
      <c r="K2742" t="s">
        <v>1226</v>
      </c>
      <c r="L2742">
        <v>23602</v>
      </c>
      <c r="M2742" t="s">
        <v>215</v>
      </c>
      <c r="O2742" t="s">
        <v>11</v>
      </c>
      <c r="P2742">
        <v>5405</v>
      </c>
      <c r="Q2742">
        <v>135</v>
      </c>
      <c r="R2742">
        <v>35.89</v>
      </c>
      <c r="S2742" s="2">
        <v>4845.1499999999996</v>
      </c>
      <c r="T2742" s="2">
        <v>3948.75</v>
      </c>
      <c r="U2742">
        <v>18.5</v>
      </c>
      <c r="V2742" t="str">
        <f>VLOOKUP(L2742,'[2]tabela de preços'!$A:$D,4,0)</f>
        <v>SHERWIN WILLIAMS</v>
      </c>
      <c r="W2742" t="str">
        <f>VLOOKUP(L2742,'[2]tabela de preços'!$A:$F,6,0)</f>
        <v>VERNIZ AUTOMOTIVO</v>
      </c>
      <c r="X2742" t="str">
        <f>VLOOKUP(L2742,'[2]tabela de preços'!$A:$G,7,0)</f>
        <v>AUTOMOTIVO</v>
      </c>
    </row>
    <row r="2743" spans="1:24" x14ac:dyDescent="0.3">
      <c r="A2743" t="s">
        <v>2640</v>
      </c>
      <c r="C2743" t="s">
        <v>2641</v>
      </c>
      <c r="D2743" s="1">
        <v>46058</v>
      </c>
      <c r="E2743" t="s">
        <v>2642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22</v>
      </c>
      <c r="K2743" t="s">
        <v>2643</v>
      </c>
      <c r="L2743">
        <v>85424</v>
      </c>
      <c r="M2743" t="s">
        <v>2644</v>
      </c>
      <c r="O2743" t="s">
        <v>11</v>
      </c>
      <c r="P2743">
        <v>5102</v>
      </c>
      <c r="Q2743">
        <v>1</v>
      </c>
      <c r="R2743">
        <v>549.23</v>
      </c>
      <c r="S2743">
        <v>549.23</v>
      </c>
      <c r="T2743">
        <v>378.26</v>
      </c>
      <c r="U2743">
        <v>31.13</v>
      </c>
      <c r="V2743" t="str">
        <f>VLOOKUP(L2743,'[2]tabela de preços'!$A:$D,4,0)</f>
        <v>BRASILUX</v>
      </c>
      <c r="W2743" t="str">
        <f>VLOOKUP(L2743,'[2]tabela de preços'!$A:$F,6,0)</f>
        <v>TINTA EM PÓ</v>
      </c>
      <c r="X2743" t="str">
        <f>VLOOKUP(L2743,'[2]tabela de preços'!$A:$G,7,0)</f>
        <v>INDUSTRIAL</v>
      </c>
    </row>
    <row r="2744" spans="1:24" x14ac:dyDescent="0.3">
      <c r="A2744" t="s">
        <v>1267</v>
      </c>
      <c r="C2744" t="s">
        <v>2645</v>
      </c>
      <c r="D2744" s="1">
        <v>46057</v>
      </c>
      <c r="E2744" t="s">
        <v>2646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372</v>
      </c>
      <c r="K2744" t="s">
        <v>1270</v>
      </c>
      <c r="L2744">
        <v>23076</v>
      </c>
      <c r="M2744" t="s">
        <v>97</v>
      </c>
      <c r="O2744" t="s">
        <v>11</v>
      </c>
      <c r="P2744">
        <v>5403</v>
      </c>
      <c r="Q2744">
        <v>6</v>
      </c>
      <c r="R2744">
        <v>39.94</v>
      </c>
      <c r="S2744">
        <v>239.64</v>
      </c>
      <c r="T2744">
        <v>159.18</v>
      </c>
      <c r="U2744">
        <v>33.58</v>
      </c>
      <c r="V2744" t="str">
        <f>VLOOKUP(L2744,'[2]tabela de preços'!$A:$D,4,0)</f>
        <v>WANDA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1275</v>
      </c>
      <c r="C2745" t="s">
        <v>2647</v>
      </c>
      <c r="D2745" s="1">
        <v>46058</v>
      </c>
      <c r="E2745" t="s">
        <v>2648</v>
      </c>
      <c r="F2745">
        <v>9</v>
      </c>
      <c r="G2745">
        <v>197</v>
      </c>
      <c r="H2745" t="str">
        <f>VLOOKUP(G2745,[1]OPERADORES!$A:$B,2,0)</f>
        <v xml:space="preserve">POLIANA LORRANE DE AMORIM </v>
      </c>
      <c r="I2745" t="s">
        <v>21</v>
      </c>
      <c r="J2745" t="s">
        <v>1278</v>
      </c>
      <c r="K2745" t="s">
        <v>1279</v>
      </c>
      <c r="L2745">
        <v>84243</v>
      </c>
      <c r="M2745" t="s">
        <v>2649</v>
      </c>
      <c r="O2745" t="s">
        <v>11</v>
      </c>
      <c r="P2745">
        <v>5403</v>
      </c>
      <c r="Q2745">
        <v>5</v>
      </c>
      <c r="R2745">
        <v>149.9</v>
      </c>
      <c r="S2745">
        <v>749.5</v>
      </c>
      <c r="T2745">
        <v>616.20000000000005</v>
      </c>
      <c r="U2745">
        <v>17.79</v>
      </c>
      <c r="V2745" t="str">
        <f>VLOOKUP(L2745,'[2]tabela de preços'!$A:$D,4,0)</f>
        <v>BRASILUX</v>
      </c>
      <c r="W2745" t="str">
        <f>VLOOKUP(L2745,'[2]tabela de preços'!$A:$F,6,0)</f>
        <v>IMPERMEABILIZANTES</v>
      </c>
      <c r="X2745" t="str">
        <f>VLOOKUP(L2745,'[2]tabela de preços'!$A:$G,7,0)</f>
        <v>IMOBILIÁRIO</v>
      </c>
    </row>
    <row r="2746" spans="1:24" x14ac:dyDescent="0.3">
      <c r="A2746" t="s">
        <v>1275</v>
      </c>
      <c r="C2746" t="s">
        <v>2647</v>
      </c>
      <c r="D2746" s="1">
        <v>46058</v>
      </c>
      <c r="E2746" t="s">
        <v>2648</v>
      </c>
      <c r="F2746">
        <v>9</v>
      </c>
      <c r="G2746">
        <v>197</v>
      </c>
      <c r="H2746" t="str">
        <f>VLOOKUP(G2746,[1]OPERADORES!$A:$B,2,0)</f>
        <v xml:space="preserve">POLIANA LORRANE DE AMORIM </v>
      </c>
      <c r="I2746" t="s">
        <v>21</v>
      </c>
      <c r="J2746" t="s">
        <v>1278</v>
      </c>
      <c r="K2746" t="s">
        <v>1279</v>
      </c>
      <c r="L2746">
        <v>84328</v>
      </c>
      <c r="M2746" t="s">
        <v>496</v>
      </c>
      <c r="O2746" t="s">
        <v>11</v>
      </c>
      <c r="P2746">
        <v>5403</v>
      </c>
      <c r="Q2746">
        <v>12</v>
      </c>
      <c r="R2746">
        <v>59.98</v>
      </c>
      <c r="S2746">
        <v>719.76</v>
      </c>
      <c r="T2746">
        <v>554.28</v>
      </c>
      <c r="U2746">
        <v>22.99</v>
      </c>
      <c r="V2746" t="str">
        <f>VLOOKUP(L2746,'[2]tabela de preços'!$A:$D,4,0)</f>
        <v>BRASILUX</v>
      </c>
      <c r="W2746" t="str">
        <f>VLOOKUP(L2746,'[2]tabela de preços'!$A:$F,6,0)</f>
        <v>ESMALTES</v>
      </c>
      <c r="X2746" t="str">
        <f>VLOOKUP(L2746,'[2]tabela de preços'!$A:$G,7,0)</f>
        <v>INDUSTRIAL</v>
      </c>
    </row>
    <row r="2747" spans="1:24" x14ac:dyDescent="0.3">
      <c r="A2747" t="s">
        <v>1275</v>
      </c>
      <c r="C2747" t="s">
        <v>2647</v>
      </c>
      <c r="D2747" s="1">
        <v>46058</v>
      </c>
      <c r="E2747" t="s">
        <v>2648</v>
      </c>
      <c r="F2747">
        <v>9</v>
      </c>
      <c r="G2747">
        <v>197</v>
      </c>
      <c r="H2747" t="str">
        <f>VLOOKUP(G2747,[1]OPERADORES!$A:$B,2,0)</f>
        <v xml:space="preserve">POLIANA LORRANE DE AMORIM </v>
      </c>
      <c r="I2747" t="s">
        <v>21</v>
      </c>
      <c r="J2747" t="s">
        <v>1278</v>
      </c>
      <c r="K2747" t="s">
        <v>1279</v>
      </c>
      <c r="L2747">
        <v>84357</v>
      </c>
      <c r="M2747" t="s">
        <v>580</v>
      </c>
      <c r="O2747" t="s">
        <v>11</v>
      </c>
      <c r="P2747">
        <v>5403</v>
      </c>
      <c r="Q2747">
        <v>6</v>
      </c>
      <c r="R2747">
        <v>21.7</v>
      </c>
      <c r="S2747">
        <v>130.19999999999999</v>
      </c>
      <c r="T2747">
        <v>98.82</v>
      </c>
      <c r="U2747">
        <v>24.1</v>
      </c>
      <c r="V2747" t="str">
        <f>VLOOKUP(L2747,'[2]tabela de preços'!$A:$D,4,0)</f>
        <v>BRASILUX</v>
      </c>
      <c r="W2747" t="str">
        <f>VLOOKUP(L2747,'[2]tabela de preços'!$A:$F,6,0)</f>
        <v>ESMALTES</v>
      </c>
      <c r="X2747" t="str">
        <f>VLOOKUP(L2747,'[2]tabela de preços'!$A:$G,7,0)</f>
        <v>INDUSTRIAL</v>
      </c>
    </row>
    <row r="2748" spans="1:24" x14ac:dyDescent="0.3">
      <c r="A2748" t="s">
        <v>1275</v>
      </c>
      <c r="C2748" t="s">
        <v>2647</v>
      </c>
      <c r="D2748" s="1">
        <v>46058</v>
      </c>
      <c r="E2748" t="s">
        <v>2648</v>
      </c>
      <c r="F2748">
        <v>9</v>
      </c>
      <c r="G2748">
        <v>197</v>
      </c>
      <c r="H2748" t="str">
        <f>VLOOKUP(G2748,[1]OPERADORES!$A:$B,2,0)</f>
        <v xml:space="preserve">POLIANA LORRANE DE AMORIM </v>
      </c>
      <c r="I2748" t="s">
        <v>21</v>
      </c>
      <c r="J2748" t="s">
        <v>1278</v>
      </c>
      <c r="K2748" t="s">
        <v>1279</v>
      </c>
      <c r="L2748">
        <v>84334</v>
      </c>
      <c r="M2748" t="s">
        <v>895</v>
      </c>
      <c r="O2748" t="s">
        <v>11</v>
      </c>
      <c r="P2748">
        <v>5403</v>
      </c>
      <c r="Q2748">
        <v>4</v>
      </c>
      <c r="R2748">
        <v>59.98</v>
      </c>
      <c r="S2748">
        <v>239.92</v>
      </c>
      <c r="T2748">
        <v>190.64</v>
      </c>
      <c r="U2748">
        <v>20.54</v>
      </c>
      <c r="V2748" t="str">
        <f>VLOOKUP(L2748,'[2]tabela de preços'!$A:$D,4,0)</f>
        <v>BRASILUX</v>
      </c>
      <c r="W2748" t="str">
        <f>VLOOKUP(L2748,'[2]tabela de preços'!$A:$F,6,0)</f>
        <v>ESMALTES</v>
      </c>
      <c r="X2748" t="str">
        <f>VLOOKUP(L2748,'[2]tabela de preços'!$A:$G,7,0)</f>
        <v>INDUSTRIAL</v>
      </c>
    </row>
    <row r="2749" spans="1:24" x14ac:dyDescent="0.3">
      <c r="A2749" t="s">
        <v>1275</v>
      </c>
      <c r="C2749" t="s">
        <v>2647</v>
      </c>
      <c r="D2749" s="1">
        <v>46058</v>
      </c>
      <c r="E2749" t="s">
        <v>2648</v>
      </c>
      <c r="F2749">
        <v>9</v>
      </c>
      <c r="G2749">
        <v>197</v>
      </c>
      <c r="H2749" t="str">
        <f>VLOOKUP(G2749,[1]OPERADORES!$A:$B,2,0)</f>
        <v xml:space="preserve">POLIANA LORRANE DE AMORIM </v>
      </c>
      <c r="I2749" t="s">
        <v>21</v>
      </c>
      <c r="J2749" t="s">
        <v>1278</v>
      </c>
      <c r="K2749" t="s">
        <v>1279</v>
      </c>
      <c r="L2749">
        <v>84335</v>
      </c>
      <c r="M2749" t="s">
        <v>269</v>
      </c>
      <c r="O2749" t="s">
        <v>11</v>
      </c>
      <c r="P2749">
        <v>5403</v>
      </c>
      <c r="Q2749">
        <v>4</v>
      </c>
      <c r="R2749">
        <v>59.98</v>
      </c>
      <c r="S2749">
        <v>239.92</v>
      </c>
      <c r="T2749">
        <v>202.6</v>
      </c>
      <c r="U2749">
        <v>15.56</v>
      </c>
      <c r="V2749" t="str">
        <f>VLOOKUP(L2749,'[2]tabela de preços'!$A:$D,4,0)</f>
        <v>BRASILUX</v>
      </c>
      <c r="W2749" t="str">
        <f>VLOOKUP(L2749,'[2]tabela de preços'!$A:$F,6,0)</f>
        <v>ESMALTES</v>
      </c>
      <c r="X2749" t="str">
        <f>VLOOKUP(L2749,'[2]tabela de preços'!$A:$G,7,0)</f>
        <v>INDUSTRIAL</v>
      </c>
    </row>
    <row r="2750" spans="1:24" x14ac:dyDescent="0.3">
      <c r="A2750" t="s">
        <v>1275</v>
      </c>
      <c r="C2750" t="s">
        <v>2647</v>
      </c>
      <c r="D2750" s="1">
        <v>46058</v>
      </c>
      <c r="E2750" t="s">
        <v>2648</v>
      </c>
      <c r="F2750">
        <v>9</v>
      </c>
      <c r="G2750">
        <v>197</v>
      </c>
      <c r="H2750" t="str">
        <f>VLOOKUP(G2750,[1]OPERADORES!$A:$B,2,0)</f>
        <v xml:space="preserve">POLIANA LORRANE DE AMORIM </v>
      </c>
      <c r="I2750" t="s">
        <v>21</v>
      </c>
      <c r="J2750" t="s">
        <v>1278</v>
      </c>
      <c r="K2750" t="s">
        <v>1279</v>
      </c>
      <c r="L2750">
        <v>84342</v>
      </c>
      <c r="M2750" t="s">
        <v>498</v>
      </c>
      <c r="O2750" t="s">
        <v>11</v>
      </c>
      <c r="P2750">
        <v>5403</v>
      </c>
      <c r="Q2750">
        <v>12</v>
      </c>
      <c r="R2750">
        <v>59.98</v>
      </c>
      <c r="S2750">
        <v>719.76</v>
      </c>
      <c r="T2750">
        <v>549.36</v>
      </c>
      <c r="U2750">
        <v>23.67</v>
      </c>
      <c r="V2750" t="str">
        <f>VLOOKUP(L2750,'[2]tabela de preços'!$A:$D,4,0)</f>
        <v>BRASILUX</v>
      </c>
      <c r="W2750" t="str">
        <f>VLOOKUP(L2750,'[2]tabela de preços'!$A:$F,6,0)</f>
        <v>ESMALTES</v>
      </c>
      <c r="X2750" t="str">
        <f>VLOOKUP(L2750,'[2]tabela de preços'!$A:$G,7,0)</f>
        <v>INDUSTRIAL</v>
      </c>
    </row>
    <row r="2751" spans="1:24" x14ac:dyDescent="0.3">
      <c r="A2751" t="s">
        <v>1275</v>
      </c>
      <c r="C2751" t="s">
        <v>2647</v>
      </c>
      <c r="D2751" s="1">
        <v>46058</v>
      </c>
      <c r="E2751" t="s">
        <v>2648</v>
      </c>
      <c r="F2751">
        <v>9</v>
      </c>
      <c r="G2751">
        <v>197</v>
      </c>
      <c r="H2751" t="str">
        <f>VLOOKUP(G2751,[1]OPERADORES!$A:$B,2,0)</f>
        <v xml:space="preserve">POLIANA LORRANE DE AMORIM </v>
      </c>
      <c r="I2751" t="s">
        <v>21</v>
      </c>
      <c r="J2751" t="s">
        <v>1278</v>
      </c>
      <c r="K2751" t="s">
        <v>1279</v>
      </c>
      <c r="L2751">
        <v>84200</v>
      </c>
      <c r="M2751" t="s">
        <v>1552</v>
      </c>
      <c r="O2751" t="s">
        <v>11</v>
      </c>
      <c r="P2751">
        <v>5403</v>
      </c>
      <c r="Q2751">
        <v>2</v>
      </c>
      <c r="R2751">
        <v>224.04</v>
      </c>
      <c r="S2751">
        <v>448.08</v>
      </c>
      <c r="T2751">
        <v>340.1</v>
      </c>
      <c r="U2751">
        <v>24.1</v>
      </c>
      <c r="V2751" t="str">
        <f>VLOOKUP(L2751,'[2]tabela de preços'!$A:$D,4,0)</f>
        <v>BRASILUX</v>
      </c>
      <c r="W2751" t="str">
        <f>VLOOKUP(L2751,'[2]tabela de preços'!$A:$F,6,0)</f>
        <v>EPOXI</v>
      </c>
      <c r="X2751" t="str">
        <f>VLOOKUP(L2751,'[2]tabela de preços'!$A:$G,7,0)</f>
        <v>INDUSTRIAL</v>
      </c>
    </row>
    <row r="2752" spans="1:24" x14ac:dyDescent="0.3">
      <c r="A2752" t="s">
        <v>1291</v>
      </c>
      <c r="C2752" t="s">
        <v>2519</v>
      </c>
      <c r="D2752" s="1">
        <v>46056</v>
      </c>
      <c r="E2752" t="s">
        <v>2520</v>
      </c>
      <c r="F2752">
        <v>9</v>
      </c>
      <c r="G2752">
        <v>197</v>
      </c>
      <c r="H2752" t="str">
        <f>VLOOKUP(G2752,[1]OPERADORES!$A:$B,2,0)</f>
        <v xml:space="preserve">POLIANA LORRANE DE AMORIM </v>
      </c>
      <c r="I2752" t="s">
        <v>282</v>
      </c>
      <c r="J2752" t="s">
        <v>1294</v>
      </c>
      <c r="K2752" t="s">
        <v>1295</v>
      </c>
      <c r="L2752">
        <v>84113</v>
      </c>
      <c r="M2752" t="s">
        <v>737</v>
      </c>
      <c r="O2752" t="s">
        <v>11</v>
      </c>
      <c r="P2752">
        <v>6403</v>
      </c>
      <c r="Q2752">
        <v>4</v>
      </c>
      <c r="R2752">
        <v>153.99</v>
      </c>
      <c r="S2752">
        <v>615.96</v>
      </c>
      <c r="T2752">
        <v>467.52</v>
      </c>
      <c r="U2752">
        <v>24.1</v>
      </c>
      <c r="V2752" t="str">
        <f>VLOOKUP(L2752,'[2]tabela de preços'!$A:$D,4,0)</f>
        <v>BRASILUX</v>
      </c>
      <c r="W2752" t="str">
        <f>VLOOKUP(L2752,'[2]tabela de preços'!$A:$F,6,0)</f>
        <v>EPOXI</v>
      </c>
      <c r="X2752" t="str">
        <f>VLOOKUP(L2752,'[2]tabela de preços'!$A:$G,7,0)</f>
        <v>INDUSTRIAL</v>
      </c>
    </row>
    <row r="2753" spans="1:24" x14ac:dyDescent="0.3">
      <c r="A2753" t="s">
        <v>1291</v>
      </c>
      <c r="C2753" t="s">
        <v>2519</v>
      </c>
      <c r="D2753" s="1">
        <v>46056</v>
      </c>
      <c r="E2753" t="s">
        <v>2520</v>
      </c>
      <c r="F2753">
        <v>9</v>
      </c>
      <c r="G2753">
        <v>197</v>
      </c>
      <c r="H2753" t="str">
        <f>VLOOKUP(G2753,[1]OPERADORES!$A:$B,2,0)</f>
        <v xml:space="preserve">POLIANA LORRANE DE AMORIM </v>
      </c>
      <c r="I2753" t="s">
        <v>282</v>
      </c>
      <c r="J2753" t="s">
        <v>1294</v>
      </c>
      <c r="K2753" t="s">
        <v>1295</v>
      </c>
      <c r="L2753">
        <v>84767</v>
      </c>
      <c r="M2753" t="s">
        <v>732</v>
      </c>
      <c r="O2753" t="s">
        <v>11</v>
      </c>
      <c r="P2753">
        <v>6403</v>
      </c>
      <c r="Q2753">
        <v>10</v>
      </c>
      <c r="R2753">
        <v>153.99</v>
      </c>
      <c r="S2753" s="2">
        <v>1539.9</v>
      </c>
      <c r="T2753" s="2">
        <v>1168.8</v>
      </c>
      <c r="U2753">
        <v>24.1</v>
      </c>
      <c r="V2753" t="str">
        <f>VLOOKUP(L2753,'[2]tabela de preços'!$A:$D,4,0)</f>
        <v>BRASILUX</v>
      </c>
      <c r="W2753" t="str">
        <f>VLOOKUP(L2753,'[2]tabela de preços'!$A:$F,6,0)</f>
        <v>EPOXI</v>
      </c>
      <c r="X2753" t="str">
        <f>VLOOKUP(L2753,'[2]tabela de preços'!$A:$G,7,0)</f>
        <v>INDUSTRIAL</v>
      </c>
    </row>
    <row r="2754" spans="1:24" x14ac:dyDescent="0.3">
      <c r="A2754" t="s">
        <v>1297</v>
      </c>
      <c r="C2754" t="s">
        <v>2441</v>
      </c>
      <c r="D2754" s="1">
        <v>46055</v>
      </c>
      <c r="E2754" t="s">
        <v>2442</v>
      </c>
      <c r="F2754">
        <v>9</v>
      </c>
      <c r="G2754">
        <v>236</v>
      </c>
      <c r="H2754" t="str">
        <f>VLOOKUP(G2754,[1]OPERADORES!$A:$B,2,0)</f>
        <v>DANIEL</v>
      </c>
      <c r="I2754" t="s">
        <v>168</v>
      </c>
      <c r="J2754" t="s">
        <v>1300</v>
      </c>
      <c r="K2754" t="s">
        <v>1301</v>
      </c>
      <c r="L2754">
        <v>84691</v>
      </c>
      <c r="M2754" t="s">
        <v>2443</v>
      </c>
      <c r="O2754" t="s">
        <v>11</v>
      </c>
      <c r="P2754">
        <v>6403</v>
      </c>
      <c r="Q2754">
        <v>3</v>
      </c>
      <c r="R2754">
        <v>8.68</v>
      </c>
      <c r="S2754">
        <v>26.04</v>
      </c>
      <c r="T2754">
        <v>19.079999999999998</v>
      </c>
      <c r="U2754">
        <v>26.73</v>
      </c>
      <c r="V2754" t="str">
        <f>VLOOKUP(L2754,'[2]tabela de preços'!$A:$D,4,0)</f>
        <v>BRASILUX</v>
      </c>
      <c r="W2754" t="str">
        <f>VLOOKUP(L2754,'[2]tabela de preços'!$A:$F,6,0)</f>
        <v>LINHA MOVELEIRA</v>
      </c>
      <c r="X2754" t="str">
        <f>VLOOKUP(L2754,'[2]tabela de preços'!$A:$G,7,0)</f>
        <v>MOVELEIRA</v>
      </c>
    </row>
    <row r="2755" spans="1:24" x14ac:dyDescent="0.3">
      <c r="A2755" t="s">
        <v>1297</v>
      </c>
      <c r="C2755" t="s">
        <v>2441</v>
      </c>
      <c r="D2755" s="1">
        <v>46055</v>
      </c>
      <c r="E2755" t="s">
        <v>2442</v>
      </c>
      <c r="F2755">
        <v>9</v>
      </c>
      <c r="G2755">
        <v>236</v>
      </c>
      <c r="H2755" t="str">
        <f>VLOOKUP(G2755,[1]OPERADORES!$A:$B,2,0)</f>
        <v>DANIEL</v>
      </c>
      <c r="I2755" t="s">
        <v>168</v>
      </c>
      <c r="J2755" t="s">
        <v>1300</v>
      </c>
      <c r="K2755" t="s">
        <v>1301</v>
      </c>
      <c r="L2755">
        <v>84024</v>
      </c>
      <c r="M2755" t="s">
        <v>2444</v>
      </c>
      <c r="O2755" t="s">
        <v>11</v>
      </c>
      <c r="P2755">
        <v>6102</v>
      </c>
      <c r="Q2755">
        <v>2</v>
      </c>
      <c r="R2755">
        <v>18.11</v>
      </c>
      <c r="S2755">
        <v>36.22</v>
      </c>
      <c r="T2755">
        <v>24.98</v>
      </c>
      <c r="U2755">
        <v>31.03</v>
      </c>
      <c r="V2755" t="str">
        <f>VLOOKUP(L2755,'[2]tabela de preços'!$A:$D,4,0)</f>
        <v>BRASILUX</v>
      </c>
      <c r="W2755" t="str">
        <f>VLOOKUP(L2755,'[2]tabela de preços'!$A:$F,6,0)</f>
        <v>EPOXI</v>
      </c>
      <c r="X2755" t="str">
        <f>VLOOKUP(L2755,'[2]tabela de preços'!$A:$G,7,0)</f>
        <v>INDUSTRIAL</v>
      </c>
    </row>
    <row r="2756" spans="1:24" x14ac:dyDescent="0.3">
      <c r="A2756" t="s">
        <v>1297</v>
      </c>
      <c r="C2756" t="s">
        <v>2441</v>
      </c>
      <c r="D2756" s="1">
        <v>46055</v>
      </c>
      <c r="E2756" t="s">
        <v>2442</v>
      </c>
      <c r="F2756">
        <v>9</v>
      </c>
      <c r="G2756">
        <v>236</v>
      </c>
      <c r="H2756" t="str">
        <f>VLOOKUP(G2756,[1]OPERADORES!$A:$B,2,0)</f>
        <v>DANIEL</v>
      </c>
      <c r="I2756" t="s">
        <v>168</v>
      </c>
      <c r="J2756" t="s">
        <v>1300</v>
      </c>
      <c r="K2756" t="s">
        <v>1301</v>
      </c>
      <c r="L2756">
        <v>84762</v>
      </c>
      <c r="M2756" t="s">
        <v>1014</v>
      </c>
      <c r="O2756" t="s">
        <v>11</v>
      </c>
      <c r="P2756">
        <v>6403</v>
      </c>
      <c r="Q2756">
        <v>2</v>
      </c>
      <c r="R2756">
        <v>163.04</v>
      </c>
      <c r="S2756">
        <v>326.08</v>
      </c>
      <c r="T2756">
        <v>233.76</v>
      </c>
      <c r="U2756">
        <v>28.31</v>
      </c>
      <c r="V2756" t="str">
        <f>VLOOKUP(L2756,'[2]tabela de preços'!$A:$D,4,0)</f>
        <v>BRASILUX</v>
      </c>
      <c r="W2756" t="str">
        <f>VLOOKUP(L2756,'[2]tabela de preços'!$A:$F,6,0)</f>
        <v>EPOXI</v>
      </c>
      <c r="X2756" t="str">
        <f>VLOOKUP(L2756,'[2]tabela de preços'!$A:$G,7,0)</f>
        <v>INDUSTRIAL</v>
      </c>
    </row>
    <row r="2757" spans="1:24" x14ac:dyDescent="0.3">
      <c r="A2757" t="s">
        <v>1297</v>
      </c>
      <c r="C2757" t="s">
        <v>2441</v>
      </c>
      <c r="D2757" s="1">
        <v>46055</v>
      </c>
      <c r="E2757" t="s">
        <v>2442</v>
      </c>
      <c r="F2757">
        <v>9</v>
      </c>
      <c r="G2757">
        <v>236</v>
      </c>
      <c r="H2757" t="str">
        <f>VLOOKUP(G2757,[1]OPERADORES!$A:$B,2,0)</f>
        <v>DANIEL</v>
      </c>
      <c r="I2757" t="s">
        <v>168</v>
      </c>
      <c r="J2757" t="s">
        <v>1300</v>
      </c>
      <c r="K2757" t="s">
        <v>1301</v>
      </c>
      <c r="L2757">
        <v>10297</v>
      </c>
      <c r="M2757" t="s">
        <v>41</v>
      </c>
      <c r="O2757" t="s">
        <v>11</v>
      </c>
      <c r="P2757">
        <v>6102</v>
      </c>
      <c r="Q2757">
        <v>6</v>
      </c>
      <c r="R2757">
        <v>10.89</v>
      </c>
      <c r="S2757">
        <v>65.34</v>
      </c>
      <c r="T2757">
        <v>55.02</v>
      </c>
      <c r="U2757">
        <v>15.79</v>
      </c>
      <c r="V2757" t="str">
        <f>VLOOKUP(L2757,'[2]tabela de preços'!$A:$D,4,0)</f>
        <v>ANJO</v>
      </c>
      <c r="W2757" t="str">
        <f>VLOOKUP(L2757,'[2]tabela de preços'!$A:$F,6,0)</f>
        <v>THINNER DE LIMPEZA</v>
      </c>
      <c r="X2757" t="str">
        <f>VLOOKUP(L2757,'[2]tabela de preços'!$A:$G,7,0)</f>
        <v>THINNER</v>
      </c>
    </row>
    <row r="2758" spans="1:24" x14ac:dyDescent="0.3">
      <c r="A2758" t="s">
        <v>1302</v>
      </c>
      <c r="C2758" t="s">
        <v>2650</v>
      </c>
      <c r="D2758" s="1">
        <v>46057</v>
      </c>
      <c r="E2758" t="s">
        <v>2651</v>
      </c>
      <c r="F2758">
        <v>9</v>
      </c>
      <c r="G2758">
        <v>236</v>
      </c>
      <c r="H2758" t="str">
        <f>VLOOKUP(G2758,[1]OPERADORES!$A:$B,2,0)</f>
        <v>DANIEL</v>
      </c>
      <c r="I2758" t="s">
        <v>21</v>
      </c>
      <c r="J2758" t="s">
        <v>494</v>
      </c>
      <c r="K2758" t="s">
        <v>1305</v>
      </c>
      <c r="L2758">
        <v>20099</v>
      </c>
      <c r="M2758" t="s">
        <v>1308</v>
      </c>
      <c r="O2758" t="s">
        <v>11</v>
      </c>
      <c r="P2758">
        <v>5403</v>
      </c>
      <c r="Q2758">
        <v>4</v>
      </c>
      <c r="R2758">
        <v>16.46</v>
      </c>
      <c r="S2758">
        <v>65.84</v>
      </c>
      <c r="T2758">
        <v>48.28</v>
      </c>
      <c r="U2758">
        <v>26.67</v>
      </c>
      <c r="V2758" t="str">
        <f>VLOOKUP(L2758,'[2]tabela de preços'!$A:$D,4,0)</f>
        <v>MAXI RUBBER</v>
      </c>
      <c r="W2758" t="str">
        <f>VLOOKUP(L2758,'[2]tabela de preços'!$A:$F,6,0)</f>
        <v>BATIDA DE PEDRA</v>
      </c>
      <c r="X2758" t="str">
        <f>VLOOKUP(L2758,'[2]tabela de preços'!$A:$G,7,0)</f>
        <v>AUTOMOTIVO</v>
      </c>
    </row>
    <row r="2759" spans="1:24" x14ac:dyDescent="0.3">
      <c r="A2759" t="s">
        <v>1302</v>
      </c>
      <c r="C2759" t="s">
        <v>2650</v>
      </c>
      <c r="D2759" s="1">
        <v>46057</v>
      </c>
      <c r="E2759" t="s">
        <v>2651</v>
      </c>
      <c r="F2759">
        <v>9</v>
      </c>
      <c r="G2759">
        <v>236</v>
      </c>
      <c r="H2759" t="str">
        <f>VLOOKUP(G2759,[1]OPERADORES!$A:$B,2,0)</f>
        <v>DANIEL</v>
      </c>
      <c r="I2759" t="s">
        <v>21</v>
      </c>
      <c r="J2759" t="s">
        <v>494</v>
      </c>
      <c r="K2759" t="s">
        <v>1305</v>
      </c>
      <c r="L2759">
        <v>10236</v>
      </c>
      <c r="M2759" t="s">
        <v>133</v>
      </c>
      <c r="O2759" t="s">
        <v>11</v>
      </c>
      <c r="P2759">
        <v>5102</v>
      </c>
      <c r="Q2759">
        <v>20</v>
      </c>
      <c r="R2759">
        <v>2.79</v>
      </c>
      <c r="S2759">
        <v>55.8</v>
      </c>
      <c r="T2759">
        <v>46.4</v>
      </c>
      <c r="U2759">
        <v>16.850000000000001</v>
      </c>
      <c r="V2759" t="str">
        <f>VLOOKUP(L2759,'[2]tabela de preços'!$A:$D,4,0)</f>
        <v>NORTON</v>
      </c>
      <c r="W2759" t="str">
        <f>VLOOKUP(L2759,'[2]tabela de preços'!$A:$F,6,0)</f>
        <v xml:space="preserve">DISCOS / LIXAS / ABRASIVOS </v>
      </c>
      <c r="X2759" t="str">
        <f>VLOOKUP(L2759,'[2]tabela de preços'!$A:$G,7,0)</f>
        <v>AUTOMOTIVO</v>
      </c>
    </row>
    <row r="2760" spans="1:24" x14ac:dyDescent="0.3">
      <c r="A2760" t="s">
        <v>1302</v>
      </c>
      <c r="C2760" t="s">
        <v>2650</v>
      </c>
      <c r="D2760" s="1">
        <v>46057</v>
      </c>
      <c r="E2760" t="s">
        <v>2651</v>
      </c>
      <c r="F2760">
        <v>9</v>
      </c>
      <c r="G2760">
        <v>236</v>
      </c>
      <c r="H2760" t="str">
        <f>VLOOKUP(G2760,[1]OPERADORES!$A:$B,2,0)</f>
        <v>DANIEL</v>
      </c>
      <c r="I2760" t="s">
        <v>21</v>
      </c>
      <c r="J2760" t="s">
        <v>494</v>
      </c>
      <c r="K2760" t="s">
        <v>1305</v>
      </c>
      <c r="L2760">
        <v>10232</v>
      </c>
      <c r="M2760" t="s">
        <v>134</v>
      </c>
      <c r="O2760" t="s">
        <v>11</v>
      </c>
      <c r="P2760">
        <v>5102</v>
      </c>
      <c r="Q2760">
        <v>20</v>
      </c>
      <c r="R2760">
        <v>2.79</v>
      </c>
      <c r="S2760">
        <v>55.8</v>
      </c>
      <c r="T2760">
        <v>45</v>
      </c>
      <c r="U2760">
        <v>19.350000000000001</v>
      </c>
      <c r="V2760" t="str">
        <f>VLOOKUP(L2760,'[2]tabela de preços'!$A:$D,4,0)</f>
        <v>NORTON</v>
      </c>
      <c r="W2760" t="str">
        <f>VLOOKUP(L2760,'[2]tabela de preços'!$A:$F,6,0)</f>
        <v xml:space="preserve">DISCOS / LIXAS / ABRASIVOS </v>
      </c>
      <c r="X2760" t="str">
        <f>VLOOKUP(L2760,'[2]tabela de preços'!$A:$G,7,0)</f>
        <v>AUTOMOTIVO</v>
      </c>
    </row>
    <row r="2761" spans="1:24" x14ac:dyDescent="0.3">
      <c r="A2761" t="s">
        <v>1302</v>
      </c>
      <c r="C2761" t="s">
        <v>2650</v>
      </c>
      <c r="D2761" s="1">
        <v>46057</v>
      </c>
      <c r="E2761" t="s">
        <v>2651</v>
      </c>
      <c r="F2761">
        <v>9</v>
      </c>
      <c r="G2761">
        <v>236</v>
      </c>
      <c r="H2761" t="str">
        <f>VLOOKUP(G2761,[1]OPERADORES!$A:$B,2,0)</f>
        <v>DANIEL</v>
      </c>
      <c r="I2761" t="s">
        <v>21</v>
      </c>
      <c r="J2761" t="s">
        <v>494</v>
      </c>
      <c r="K2761" t="s">
        <v>1305</v>
      </c>
      <c r="L2761">
        <v>10234</v>
      </c>
      <c r="M2761" t="s">
        <v>157</v>
      </c>
      <c r="O2761" t="s">
        <v>11</v>
      </c>
      <c r="P2761">
        <v>5102</v>
      </c>
      <c r="Q2761">
        <v>20</v>
      </c>
      <c r="R2761">
        <v>2.79</v>
      </c>
      <c r="S2761">
        <v>55.8</v>
      </c>
      <c r="T2761">
        <v>46.4</v>
      </c>
      <c r="U2761">
        <v>16.850000000000001</v>
      </c>
      <c r="V2761" t="str">
        <f>VLOOKUP(L2761,'[2]tabela de preços'!$A:$D,4,0)</f>
        <v>NORTON</v>
      </c>
      <c r="W2761" t="str">
        <f>VLOOKUP(L2761,'[2]tabela de preços'!$A:$F,6,0)</f>
        <v xml:space="preserve">DISCOS / LIXAS / ABRASIVOS </v>
      </c>
      <c r="X2761" t="str">
        <f>VLOOKUP(L2761,'[2]tabela de preços'!$A:$G,7,0)</f>
        <v>AUTOMOTIVO</v>
      </c>
    </row>
    <row r="2762" spans="1:24" x14ac:dyDescent="0.3">
      <c r="A2762" t="s">
        <v>1337</v>
      </c>
      <c r="C2762" t="s">
        <v>2445</v>
      </c>
      <c r="D2762" s="1">
        <v>46055</v>
      </c>
      <c r="E2762" t="s">
        <v>2446</v>
      </c>
      <c r="F2762">
        <v>9</v>
      </c>
      <c r="G2762">
        <v>174</v>
      </c>
      <c r="H2762" t="str">
        <f>VLOOKUP(G2762,[1]OPERADORES!$A:$B,2,0)</f>
        <v>MIRIÃ LOBATO RODRIGUES</v>
      </c>
      <c r="I2762" t="s">
        <v>21</v>
      </c>
      <c r="J2762" t="s">
        <v>1340</v>
      </c>
      <c r="K2762" t="s">
        <v>1341</v>
      </c>
      <c r="L2762">
        <v>24248</v>
      </c>
      <c r="M2762" t="s">
        <v>107</v>
      </c>
      <c r="O2762" t="s">
        <v>11</v>
      </c>
      <c r="P2762">
        <v>5102</v>
      </c>
      <c r="Q2762">
        <v>8</v>
      </c>
      <c r="R2762">
        <v>8</v>
      </c>
      <c r="S2762">
        <v>64</v>
      </c>
      <c r="T2762">
        <v>52</v>
      </c>
      <c r="U2762">
        <v>18.75</v>
      </c>
      <c r="V2762" t="str">
        <f>VLOOKUP(L2762,'[2]tabela de preços'!$A:$D,4,0)</f>
        <v>SHERWIN WILLIAMS</v>
      </c>
      <c r="W2762" t="str">
        <f>VLOOKUP(L2762,'[2]tabela de preços'!$A:$F,6,0)</f>
        <v>PRIMER AUTOMOTIVO</v>
      </c>
      <c r="X2762" t="str">
        <f>VLOOKUP(L2762,'[2]tabela de preços'!$A:$G,7,0)</f>
        <v>AUTOMOTIVO</v>
      </c>
    </row>
    <row r="2763" spans="1:24" x14ac:dyDescent="0.3">
      <c r="A2763" t="s">
        <v>1337</v>
      </c>
      <c r="C2763" t="s">
        <v>2445</v>
      </c>
      <c r="D2763" s="1">
        <v>46055</v>
      </c>
      <c r="E2763" t="s">
        <v>2446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1340</v>
      </c>
      <c r="K2763" t="s">
        <v>1341</v>
      </c>
      <c r="L2763">
        <v>22684</v>
      </c>
      <c r="M2763" t="s">
        <v>73</v>
      </c>
      <c r="O2763" t="s">
        <v>11</v>
      </c>
      <c r="P2763">
        <v>5102</v>
      </c>
      <c r="Q2763">
        <v>10</v>
      </c>
      <c r="R2763">
        <v>3.65</v>
      </c>
      <c r="S2763">
        <v>36.5</v>
      </c>
      <c r="T2763">
        <v>30.8</v>
      </c>
      <c r="U2763">
        <v>15.62</v>
      </c>
      <c r="V2763" t="str">
        <f>VLOOKUP(L2763,'[2]tabela de preços'!$A:$D,4,0)</f>
        <v>3M</v>
      </c>
      <c r="W2763" t="str">
        <f>VLOOKUP(L2763,'[2]tabela de preços'!$A:$F,6,0)</f>
        <v>FITA AUTOMOTIVA</v>
      </c>
      <c r="X2763" t="str">
        <f>VLOOKUP(L2763,'[2]tabela de preços'!$A:$G,7,0)</f>
        <v>AUTOMOTIVO</v>
      </c>
    </row>
    <row r="2764" spans="1:24" x14ac:dyDescent="0.3">
      <c r="A2764" t="s">
        <v>1337</v>
      </c>
      <c r="C2764" t="s">
        <v>2445</v>
      </c>
      <c r="D2764" s="1">
        <v>46055</v>
      </c>
      <c r="E2764" t="s">
        <v>2446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1340</v>
      </c>
      <c r="K2764" t="s">
        <v>1341</v>
      </c>
      <c r="L2764">
        <v>10242</v>
      </c>
      <c r="M2764" t="s">
        <v>82</v>
      </c>
      <c r="O2764" t="s">
        <v>11</v>
      </c>
      <c r="P2764">
        <v>5102</v>
      </c>
      <c r="Q2764">
        <v>10</v>
      </c>
      <c r="R2764">
        <v>2.79</v>
      </c>
      <c r="S2764">
        <v>27.9</v>
      </c>
      <c r="T2764">
        <v>22.4</v>
      </c>
      <c r="U2764">
        <v>19.71</v>
      </c>
      <c r="V2764" t="str">
        <f>VLOOKUP(L2764,'[2]tabela de preços'!$A:$D,4,0)</f>
        <v>NORTON</v>
      </c>
      <c r="W2764" t="str">
        <f>VLOOKUP(L2764,'[2]tabela de preços'!$A:$F,6,0)</f>
        <v xml:space="preserve">DISCOS / LIXAS / ABRASIVOS </v>
      </c>
      <c r="X2764" t="str">
        <f>VLOOKUP(L2764,'[2]tabela de preços'!$A:$G,7,0)</f>
        <v>AUTOMOTIVO</v>
      </c>
    </row>
    <row r="2765" spans="1:24" x14ac:dyDescent="0.3">
      <c r="A2765" t="s">
        <v>1337</v>
      </c>
      <c r="C2765" t="s">
        <v>2445</v>
      </c>
      <c r="D2765" s="1">
        <v>46055</v>
      </c>
      <c r="E2765" t="s">
        <v>2446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1340</v>
      </c>
      <c r="K2765" t="s">
        <v>1341</v>
      </c>
      <c r="L2765">
        <v>10243</v>
      </c>
      <c r="M2765" t="s">
        <v>83</v>
      </c>
      <c r="O2765" t="s">
        <v>11</v>
      </c>
      <c r="P2765">
        <v>5102</v>
      </c>
      <c r="Q2765">
        <v>10</v>
      </c>
      <c r="R2765">
        <v>2.79</v>
      </c>
      <c r="S2765">
        <v>27.9</v>
      </c>
      <c r="T2765">
        <v>19.3</v>
      </c>
      <c r="U2765">
        <v>30.82</v>
      </c>
      <c r="V2765" t="str">
        <f>VLOOKUP(L2765,'[2]tabela de preços'!$A:$D,4,0)</f>
        <v>NORTON</v>
      </c>
      <c r="W2765" t="str">
        <f>VLOOKUP(L2765,'[2]tabela de preços'!$A:$F,6,0)</f>
        <v xml:space="preserve">DISCOS / LIXAS / ABRASIVOS </v>
      </c>
      <c r="X2765" t="str">
        <f>VLOOKUP(L2765,'[2]tabela de preços'!$A:$G,7,0)</f>
        <v>AUTOMOTIVO</v>
      </c>
    </row>
    <row r="2766" spans="1:24" x14ac:dyDescent="0.3">
      <c r="A2766" t="s">
        <v>1337</v>
      </c>
      <c r="C2766" t="s">
        <v>2445</v>
      </c>
      <c r="D2766" s="1">
        <v>46055</v>
      </c>
      <c r="E2766" t="s">
        <v>2446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1340</v>
      </c>
      <c r="K2766" t="s">
        <v>1341</v>
      </c>
      <c r="L2766">
        <v>10245</v>
      </c>
      <c r="M2766" t="s">
        <v>195</v>
      </c>
      <c r="O2766" t="s">
        <v>11</v>
      </c>
      <c r="P2766">
        <v>5102</v>
      </c>
      <c r="Q2766">
        <v>10</v>
      </c>
      <c r="R2766">
        <v>2.79</v>
      </c>
      <c r="S2766">
        <v>27.9</v>
      </c>
      <c r="T2766">
        <v>19.3</v>
      </c>
      <c r="U2766">
        <v>30.82</v>
      </c>
      <c r="V2766" t="str">
        <f>VLOOKUP(L2766,'[2]tabela de preços'!$A:$D,4,0)</f>
        <v>NORTON</v>
      </c>
      <c r="W2766" t="str">
        <f>VLOOKUP(L2766,'[2]tabela de preços'!$A:$F,6,0)</f>
        <v xml:space="preserve">DISCOS / LIXAS / ABRASIVOS </v>
      </c>
      <c r="X2766" t="str">
        <f>VLOOKUP(L2766,'[2]tabela de preços'!$A:$G,7,0)</f>
        <v>AUTOMOTIVO</v>
      </c>
    </row>
    <row r="2767" spans="1:24" x14ac:dyDescent="0.3">
      <c r="A2767" t="s">
        <v>1337</v>
      </c>
      <c r="C2767" t="s">
        <v>2445</v>
      </c>
      <c r="D2767" s="1">
        <v>46055</v>
      </c>
      <c r="E2767" t="s">
        <v>2446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1340</v>
      </c>
      <c r="K2767" t="s">
        <v>1341</v>
      </c>
      <c r="L2767">
        <v>21078</v>
      </c>
      <c r="M2767" t="s">
        <v>141</v>
      </c>
      <c r="O2767" t="s">
        <v>11</v>
      </c>
      <c r="P2767">
        <v>5102</v>
      </c>
      <c r="Q2767">
        <v>8</v>
      </c>
      <c r="R2767">
        <v>19.46</v>
      </c>
      <c r="S2767">
        <v>155.68</v>
      </c>
      <c r="T2767">
        <v>149.28</v>
      </c>
      <c r="U2767">
        <v>4.1100000000000003</v>
      </c>
      <c r="V2767" t="str">
        <f>VLOOKUP(L2767,'[2]tabela de preços'!$A:$D,4,0)</f>
        <v>SHERWIN WILLIAMS</v>
      </c>
      <c r="W2767" t="str">
        <f>VLOOKUP(L2767,'[2]tabela de preços'!$A:$F,6,0)</f>
        <v>MASSA POLIÉSTER</v>
      </c>
      <c r="X2767" t="str">
        <f>VLOOKUP(L2767,'[2]tabela de preços'!$A:$G,7,0)</f>
        <v>AUTOMOTIVO</v>
      </c>
    </row>
    <row r="2768" spans="1:24" x14ac:dyDescent="0.3">
      <c r="A2768" t="s">
        <v>1337</v>
      </c>
      <c r="C2768" t="s">
        <v>2445</v>
      </c>
      <c r="D2768" s="1">
        <v>46055</v>
      </c>
      <c r="E2768" t="s">
        <v>2446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1340</v>
      </c>
      <c r="K2768" t="s">
        <v>1341</v>
      </c>
      <c r="L2768">
        <v>24247</v>
      </c>
      <c r="M2768" t="s">
        <v>160</v>
      </c>
      <c r="O2768" t="s">
        <v>11</v>
      </c>
      <c r="P2768">
        <v>5405</v>
      </c>
      <c r="Q2768">
        <v>8</v>
      </c>
      <c r="R2768">
        <v>21</v>
      </c>
      <c r="S2768">
        <v>168</v>
      </c>
      <c r="T2768">
        <v>134.96</v>
      </c>
      <c r="U2768">
        <v>19.670000000000002</v>
      </c>
      <c r="V2768" t="str">
        <f>VLOOKUP(L2768,'[2]tabela de preços'!$A:$D,4,0)</f>
        <v>SHERWIN WILLIAMS</v>
      </c>
      <c r="W2768" t="str">
        <f>VLOOKUP(L2768,'[2]tabela de preços'!$A:$F,6,0)</f>
        <v>PRIMER AUTOMOTIVO</v>
      </c>
      <c r="X2768" t="str">
        <f>VLOOKUP(L2768,'[2]tabela de preços'!$A:$G,7,0)</f>
        <v>AUTOMOTIVO</v>
      </c>
    </row>
    <row r="2769" spans="1:24" x14ac:dyDescent="0.3">
      <c r="A2769" t="s">
        <v>1337</v>
      </c>
      <c r="C2769" t="s">
        <v>2445</v>
      </c>
      <c r="D2769" s="1">
        <v>46055</v>
      </c>
      <c r="E2769" t="s">
        <v>2446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1340</v>
      </c>
      <c r="K2769" t="s">
        <v>1341</v>
      </c>
      <c r="L2769">
        <v>10298</v>
      </c>
      <c r="M2769" t="s">
        <v>85</v>
      </c>
      <c r="O2769" t="s">
        <v>11</v>
      </c>
      <c r="P2769">
        <v>5102</v>
      </c>
      <c r="Q2769">
        <v>20</v>
      </c>
      <c r="R2769">
        <v>54.9</v>
      </c>
      <c r="S2769" s="2">
        <v>1098</v>
      </c>
      <c r="T2769">
        <v>947.6</v>
      </c>
      <c r="U2769">
        <v>13.7</v>
      </c>
      <c r="V2769" t="str">
        <f>VLOOKUP(L2769,'[2]tabela de preços'!$A:$D,4,0)</f>
        <v>ANJO</v>
      </c>
      <c r="W2769" t="str">
        <f>VLOOKUP(L2769,'[2]tabela de preços'!$A:$F,6,0)</f>
        <v>THINNER DE LIMPEZA</v>
      </c>
      <c r="X2769" t="str">
        <f>VLOOKUP(L2769,'[2]tabela de preços'!$A:$G,7,0)</f>
        <v>THINNER</v>
      </c>
    </row>
    <row r="2770" spans="1:24" x14ac:dyDescent="0.3">
      <c r="A2770" t="s">
        <v>1337</v>
      </c>
      <c r="C2770" t="s">
        <v>2445</v>
      </c>
      <c r="D2770" s="1">
        <v>46055</v>
      </c>
      <c r="E2770" t="s">
        <v>2446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1340</v>
      </c>
      <c r="K2770" t="s">
        <v>1341</v>
      </c>
      <c r="L2770">
        <v>20414</v>
      </c>
      <c r="M2770" t="s">
        <v>112</v>
      </c>
      <c r="O2770" t="s">
        <v>11</v>
      </c>
      <c r="P2770">
        <v>5102</v>
      </c>
      <c r="Q2770">
        <v>30</v>
      </c>
      <c r="R2770">
        <v>21.89</v>
      </c>
      <c r="S2770">
        <v>656.7</v>
      </c>
      <c r="T2770">
        <v>540</v>
      </c>
      <c r="U2770">
        <v>17.77</v>
      </c>
      <c r="V2770" t="str">
        <f>VLOOKUP(L2770,'[2]tabela de preços'!$A:$D,4,0)</f>
        <v>SHERWIN WILLIAMS</v>
      </c>
      <c r="W2770" t="str">
        <f>VLOOKUP(L2770,'[2]tabela de preços'!$A:$F,6,0)</f>
        <v>DILUENTE</v>
      </c>
      <c r="X2770" t="str">
        <f>VLOOKUP(L2770,'[2]tabela de preços'!$A:$G,7,0)</f>
        <v>AUTOMOTIVO</v>
      </c>
    </row>
    <row r="2771" spans="1:24" x14ac:dyDescent="0.3">
      <c r="A2771" t="s">
        <v>1389</v>
      </c>
      <c r="C2771" t="s">
        <v>2521</v>
      </c>
      <c r="D2771" s="1">
        <v>46056</v>
      </c>
      <c r="E2771" t="s">
        <v>2522</v>
      </c>
      <c r="F2771">
        <v>9</v>
      </c>
      <c r="G2771">
        <v>230</v>
      </c>
      <c r="H2771" t="str">
        <f>VLOOKUP(G2771,[1]OPERADORES!$A:$B,2,0)</f>
        <v>SÔNIA</v>
      </c>
      <c r="I2771" t="s">
        <v>21</v>
      </c>
      <c r="J2771" t="s">
        <v>66</v>
      </c>
      <c r="K2771" t="s">
        <v>1392</v>
      </c>
      <c r="L2771">
        <v>84785</v>
      </c>
      <c r="M2771" t="s">
        <v>944</v>
      </c>
      <c r="O2771" t="s">
        <v>11</v>
      </c>
      <c r="P2771">
        <v>5403</v>
      </c>
      <c r="Q2771">
        <v>11</v>
      </c>
      <c r="R2771">
        <v>202.62</v>
      </c>
      <c r="S2771" s="2">
        <v>2228.8200000000002</v>
      </c>
      <c r="T2771" s="2">
        <v>1437.92</v>
      </c>
      <c r="U2771">
        <v>35.49</v>
      </c>
      <c r="V2771" t="str">
        <f>VLOOKUP(L2771,'[2]tabela de preços'!$A:$D,4,0)</f>
        <v>BRASILUX</v>
      </c>
      <c r="W2771" t="str">
        <f>VLOOKUP(L2771,'[2]tabela de preços'!$A:$F,6,0)</f>
        <v>EPOXI</v>
      </c>
      <c r="X2771" t="str">
        <f>VLOOKUP(L2771,'[2]tabela de preços'!$A:$G,7,0)</f>
        <v>INDUSTRIAL</v>
      </c>
    </row>
    <row r="2772" spans="1:24" x14ac:dyDescent="0.3">
      <c r="A2772" t="s">
        <v>1389</v>
      </c>
      <c r="C2772" t="s">
        <v>2521</v>
      </c>
      <c r="D2772" s="1">
        <v>46056</v>
      </c>
      <c r="E2772" t="s">
        <v>2522</v>
      </c>
      <c r="F2772">
        <v>9</v>
      </c>
      <c r="G2772">
        <v>230</v>
      </c>
      <c r="H2772" t="str">
        <f>VLOOKUP(G2772,[1]OPERADORES!$A:$B,2,0)</f>
        <v>SÔNIA</v>
      </c>
      <c r="I2772" t="s">
        <v>21</v>
      </c>
      <c r="J2772" t="s">
        <v>66</v>
      </c>
      <c r="K2772" t="s">
        <v>1392</v>
      </c>
      <c r="L2772">
        <v>85558</v>
      </c>
      <c r="M2772" t="s">
        <v>1643</v>
      </c>
      <c r="O2772" t="s">
        <v>11</v>
      </c>
      <c r="P2772">
        <v>5405</v>
      </c>
      <c r="Q2772">
        <v>23</v>
      </c>
      <c r="R2772">
        <v>164.47</v>
      </c>
      <c r="S2772" s="2">
        <v>3782.81</v>
      </c>
      <c r="T2772" s="2">
        <v>2871.09</v>
      </c>
      <c r="U2772">
        <v>24.1</v>
      </c>
      <c r="V2772" t="str">
        <f>VLOOKUP(L2772,'[2]tabela de preços'!$A:$D,4,0)</f>
        <v>BRASILUX</v>
      </c>
      <c r="W2772" t="str">
        <f>VLOOKUP(L2772,'[2]tabela de preços'!$A:$F,6,0)</f>
        <v>EPOXI</v>
      </c>
      <c r="X2772" t="str">
        <f>VLOOKUP(L2772,'[2]tabela de preços'!$A:$G,7,0)</f>
        <v>INDUSTRIAL</v>
      </c>
    </row>
    <row r="2773" spans="1:24" x14ac:dyDescent="0.3">
      <c r="A2773" t="s">
        <v>1389</v>
      </c>
      <c r="C2773" t="s">
        <v>2652</v>
      </c>
      <c r="D2773" s="1">
        <v>46057</v>
      </c>
      <c r="F2773">
        <v>9</v>
      </c>
      <c r="G2773">
        <v>230</v>
      </c>
      <c r="H2773" t="str">
        <f>VLOOKUP(G2773,[1]OPERADORES!$A:$B,2,0)</f>
        <v>SÔNIA</v>
      </c>
      <c r="I2773" t="s">
        <v>21</v>
      </c>
      <c r="J2773" t="s">
        <v>66</v>
      </c>
      <c r="K2773" t="s">
        <v>1392</v>
      </c>
      <c r="L2773">
        <v>84785</v>
      </c>
      <c r="M2773" t="s">
        <v>944</v>
      </c>
      <c r="N2773" t="s">
        <v>2653</v>
      </c>
      <c r="O2773" t="s">
        <v>11</v>
      </c>
      <c r="P2773">
        <v>1411</v>
      </c>
      <c r="Q2773">
        <v>-11</v>
      </c>
      <c r="R2773">
        <v>202.62</v>
      </c>
      <c r="S2773" s="2">
        <v>-2228.8200000000002</v>
      </c>
      <c r="T2773" s="2">
        <v>-1437.92</v>
      </c>
      <c r="U2773">
        <v>35.49</v>
      </c>
      <c r="V2773" t="str">
        <f>VLOOKUP(L2773,'[2]tabela de preços'!$A:$D,4,0)</f>
        <v>BRASILUX</v>
      </c>
      <c r="W2773" t="str">
        <f>VLOOKUP(L2773,'[2]tabela de preços'!$A:$F,6,0)</f>
        <v>EPOXI</v>
      </c>
      <c r="X2773" t="str">
        <f>VLOOKUP(L2773,'[2]tabela de preços'!$A:$G,7,0)</f>
        <v>INDUSTRIAL</v>
      </c>
    </row>
    <row r="2774" spans="1:24" x14ac:dyDescent="0.3">
      <c r="A2774" t="s">
        <v>1389</v>
      </c>
      <c r="C2774" t="s">
        <v>2652</v>
      </c>
      <c r="D2774" s="1">
        <v>46057</v>
      </c>
      <c r="F2774">
        <v>9</v>
      </c>
      <c r="G2774">
        <v>230</v>
      </c>
      <c r="H2774" t="str">
        <f>VLOOKUP(G2774,[1]OPERADORES!$A:$B,2,0)</f>
        <v>SÔNIA</v>
      </c>
      <c r="I2774" t="s">
        <v>21</v>
      </c>
      <c r="J2774" t="s">
        <v>66</v>
      </c>
      <c r="K2774" t="s">
        <v>1392</v>
      </c>
      <c r="L2774">
        <v>85558</v>
      </c>
      <c r="M2774" t="s">
        <v>1643</v>
      </c>
      <c r="N2774" t="s">
        <v>2653</v>
      </c>
      <c r="O2774" t="s">
        <v>11</v>
      </c>
      <c r="P2774">
        <v>1411</v>
      </c>
      <c r="Q2774">
        <v>-23</v>
      </c>
      <c r="R2774">
        <v>164.47</v>
      </c>
      <c r="S2774" s="2">
        <v>-3782.81</v>
      </c>
      <c r="T2774" s="2">
        <v>-2871.09</v>
      </c>
      <c r="U2774">
        <v>24.1</v>
      </c>
      <c r="V2774" t="str">
        <f>VLOOKUP(L2774,'[2]tabela de preços'!$A:$D,4,0)</f>
        <v>BRASILUX</v>
      </c>
      <c r="W2774" t="str">
        <f>VLOOKUP(L2774,'[2]tabela de preços'!$A:$F,6,0)</f>
        <v>EPOXI</v>
      </c>
      <c r="X2774" t="str">
        <f>VLOOKUP(L2774,'[2]tabela de preços'!$A:$G,7,0)</f>
        <v>INDUSTRIAL</v>
      </c>
    </row>
    <row r="2775" spans="1:24" x14ac:dyDescent="0.3">
      <c r="A2775" t="s">
        <v>1389</v>
      </c>
      <c r="C2775" t="s">
        <v>2654</v>
      </c>
      <c r="D2775" s="1">
        <v>46057</v>
      </c>
      <c r="E2775" t="s">
        <v>2655</v>
      </c>
      <c r="F2775">
        <v>9</v>
      </c>
      <c r="G2775">
        <v>230</v>
      </c>
      <c r="H2775" t="str">
        <f>VLOOKUP(G2775,[1]OPERADORES!$A:$B,2,0)</f>
        <v>SÔNIA</v>
      </c>
      <c r="I2775" t="s">
        <v>21</v>
      </c>
      <c r="J2775" t="s">
        <v>66</v>
      </c>
      <c r="K2775" t="s">
        <v>1392</v>
      </c>
      <c r="L2775">
        <v>5</v>
      </c>
      <c r="M2775" t="s">
        <v>147</v>
      </c>
      <c r="O2775" t="s">
        <v>11</v>
      </c>
      <c r="P2775">
        <v>5102</v>
      </c>
      <c r="Q2775">
        <v>2</v>
      </c>
      <c r="R2775">
        <v>6.06</v>
      </c>
      <c r="S2775">
        <v>12.12</v>
      </c>
      <c r="T2775">
        <v>7.82</v>
      </c>
      <c r="U2775">
        <v>35.479999999999997</v>
      </c>
      <c r="V2775" t="str">
        <f>VLOOKUP(L2775,'[2]tabela de preços'!$A:$D,4,0)</f>
        <v>BRILHO ESTOPA</v>
      </c>
      <c r="W2775" t="str">
        <f>VLOOKUP(L2775,'[2]tabela de preços'!$A:$F,6,0)</f>
        <v>ESTOPAS</v>
      </c>
      <c r="X2775" t="str">
        <f>VLOOKUP(L2775,'[2]tabela de preços'!$A:$G,7,0)</f>
        <v>AUTOMOTIVO</v>
      </c>
    </row>
    <row r="2776" spans="1:24" x14ac:dyDescent="0.3">
      <c r="A2776" t="s">
        <v>1389</v>
      </c>
      <c r="C2776" t="s">
        <v>2654</v>
      </c>
      <c r="D2776" s="1">
        <v>46057</v>
      </c>
      <c r="E2776" t="s">
        <v>2655</v>
      </c>
      <c r="F2776">
        <v>9</v>
      </c>
      <c r="G2776">
        <v>230</v>
      </c>
      <c r="H2776" t="str">
        <f>VLOOKUP(G2776,[1]OPERADORES!$A:$B,2,0)</f>
        <v>SÔNIA</v>
      </c>
      <c r="I2776" t="s">
        <v>21</v>
      </c>
      <c r="J2776" t="s">
        <v>66</v>
      </c>
      <c r="K2776" t="s">
        <v>1392</v>
      </c>
      <c r="L2776">
        <v>85677</v>
      </c>
      <c r="M2776" t="s">
        <v>2656</v>
      </c>
      <c r="O2776" t="s">
        <v>11</v>
      </c>
      <c r="P2776">
        <v>5102</v>
      </c>
      <c r="Q2776">
        <v>1</v>
      </c>
      <c r="R2776">
        <v>74.03</v>
      </c>
      <c r="S2776">
        <v>74.03</v>
      </c>
      <c r="T2776">
        <v>56.19</v>
      </c>
      <c r="U2776">
        <v>24.1</v>
      </c>
      <c r="V2776" t="str">
        <f>VLOOKUP(L2776,'[2]tabela de preços'!$A:$D,4,0)</f>
        <v>UNIPEGA</v>
      </c>
      <c r="W2776" t="str">
        <f>VLOOKUP(L2776,'[2]tabela de preços'!$A:$F,6,0)</f>
        <v>ESPUMA EXPANSIVA</v>
      </c>
      <c r="X2776" t="str">
        <f>VLOOKUP(L2776,'[2]tabela de preços'!$A:$G,7,0)</f>
        <v>IMOBILIÁRIO</v>
      </c>
    </row>
    <row r="2777" spans="1:24" x14ac:dyDescent="0.3">
      <c r="A2777" t="s">
        <v>1389</v>
      </c>
      <c r="C2777" t="s">
        <v>2654</v>
      </c>
      <c r="D2777" s="1">
        <v>46057</v>
      </c>
      <c r="E2777" t="s">
        <v>2655</v>
      </c>
      <c r="F2777">
        <v>9</v>
      </c>
      <c r="G2777">
        <v>230</v>
      </c>
      <c r="H2777" t="str">
        <f>VLOOKUP(G2777,[1]OPERADORES!$A:$B,2,0)</f>
        <v>SÔNIA</v>
      </c>
      <c r="I2777" t="s">
        <v>21</v>
      </c>
      <c r="J2777" t="s">
        <v>66</v>
      </c>
      <c r="K2777" t="s">
        <v>1392</v>
      </c>
      <c r="L2777">
        <v>84928</v>
      </c>
      <c r="M2777" t="s">
        <v>36</v>
      </c>
      <c r="O2777" t="s">
        <v>11</v>
      </c>
      <c r="P2777">
        <v>5102</v>
      </c>
      <c r="Q2777">
        <v>12</v>
      </c>
      <c r="R2777">
        <v>9.39</v>
      </c>
      <c r="S2777">
        <v>112.68</v>
      </c>
      <c r="T2777">
        <v>85.56</v>
      </c>
      <c r="U2777">
        <v>24.07</v>
      </c>
      <c r="V2777" t="str">
        <f>VLOOKUP(L2777,'[2]tabela de preços'!$A:$D,4,0)</f>
        <v>ADERE</v>
      </c>
      <c r="W2777" t="str">
        <f>VLOOKUP(L2777,'[2]tabela de preços'!$A:$F,6,0)</f>
        <v xml:space="preserve">FITA DE USO GERAL </v>
      </c>
      <c r="X2777" t="str">
        <f>VLOOKUP(L2777,'[2]tabela de preços'!$A:$G,7,0)</f>
        <v>IMOBILIÁRIO</v>
      </c>
    </row>
    <row r="2778" spans="1:24" x14ac:dyDescent="0.3">
      <c r="A2778" t="s">
        <v>1389</v>
      </c>
      <c r="C2778" t="s">
        <v>2654</v>
      </c>
      <c r="D2778" s="1">
        <v>46057</v>
      </c>
      <c r="E2778" t="s">
        <v>2655</v>
      </c>
      <c r="F2778">
        <v>9</v>
      </c>
      <c r="G2778">
        <v>230</v>
      </c>
      <c r="H2778" t="str">
        <f>VLOOKUP(G2778,[1]OPERADORES!$A:$B,2,0)</f>
        <v>SÔNIA</v>
      </c>
      <c r="I2778" t="s">
        <v>21</v>
      </c>
      <c r="J2778" t="s">
        <v>66</v>
      </c>
      <c r="K2778" t="s">
        <v>1392</v>
      </c>
      <c r="L2778">
        <v>84785</v>
      </c>
      <c r="M2778" t="s">
        <v>944</v>
      </c>
      <c r="O2778" t="s">
        <v>11</v>
      </c>
      <c r="P2778">
        <v>5403</v>
      </c>
      <c r="Q2778">
        <v>3</v>
      </c>
      <c r="R2778">
        <v>172.23</v>
      </c>
      <c r="S2778">
        <v>516.69000000000005</v>
      </c>
      <c r="T2778">
        <v>392.16</v>
      </c>
      <c r="U2778">
        <v>24.1</v>
      </c>
      <c r="V2778" t="str">
        <f>VLOOKUP(L2778,'[2]tabela de preços'!$A:$D,4,0)</f>
        <v>BRASILUX</v>
      </c>
      <c r="W2778" t="str">
        <f>VLOOKUP(L2778,'[2]tabela de preços'!$A:$F,6,0)</f>
        <v>EPOXI</v>
      </c>
      <c r="X2778" t="str">
        <f>VLOOKUP(L2778,'[2]tabela de preços'!$A:$G,7,0)</f>
        <v>INDUSTRIAL</v>
      </c>
    </row>
    <row r="2779" spans="1:24" x14ac:dyDescent="0.3">
      <c r="A2779" t="s">
        <v>1389</v>
      </c>
      <c r="C2779" t="s">
        <v>2654</v>
      </c>
      <c r="D2779" s="1">
        <v>46057</v>
      </c>
      <c r="E2779" t="s">
        <v>2655</v>
      </c>
      <c r="F2779">
        <v>9</v>
      </c>
      <c r="G2779">
        <v>230</v>
      </c>
      <c r="H2779" t="str">
        <f>VLOOKUP(G2779,[1]OPERADORES!$A:$B,2,0)</f>
        <v>SÔNIA</v>
      </c>
      <c r="I2779" t="s">
        <v>21</v>
      </c>
      <c r="J2779" t="s">
        <v>66</v>
      </c>
      <c r="K2779" t="s">
        <v>1392</v>
      </c>
      <c r="L2779">
        <v>85626</v>
      </c>
      <c r="M2779" t="s">
        <v>1040</v>
      </c>
      <c r="O2779" t="s">
        <v>11</v>
      </c>
      <c r="P2779">
        <v>5102</v>
      </c>
      <c r="Q2779">
        <v>1</v>
      </c>
      <c r="R2779">
        <v>34.9</v>
      </c>
      <c r="S2779">
        <v>34.9</v>
      </c>
      <c r="T2779">
        <v>28.68</v>
      </c>
      <c r="U2779">
        <v>17.82</v>
      </c>
      <c r="V2779" t="str">
        <f>VLOOKUP(L2779,'[2]tabela de preços'!$A:$D,4,0)</f>
        <v>WD-40</v>
      </c>
      <c r="W2779" t="str">
        <f>VLOOKUP(L2779,'[2]tabela de preços'!$A:$F,6,0)</f>
        <v>DESENGRIPANTE</v>
      </c>
      <c r="X2779" t="str">
        <f>VLOOKUP(L2779,'[2]tabela de preços'!$A:$G,7,0)</f>
        <v>AUTOMOTIVO</v>
      </c>
    </row>
    <row r="2780" spans="1:24" x14ac:dyDescent="0.3">
      <c r="A2780" t="s">
        <v>1389</v>
      </c>
      <c r="C2780" t="s">
        <v>2654</v>
      </c>
      <c r="D2780" s="1">
        <v>46057</v>
      </c>
      <c r="E2780" t="s">
        <v>2655</v>
      </c>
      <c r="F2780">
        <v>9</v>
      </c>
      <c r="G2780">
        <v>230</v>
      </c>
      <c r="H2780" t="str">
        <f>VLOOKUP(G2780,[1]OPERADORES!$A:$B,2,0)</f>
        <v>SÔNIA</v>
      </c>
      <c r="I2780" t="s">
        <v>21</v>
      </c>
      <c r="J2780" t="s">
        <v>66</v>
      </c>
      <c r="K2780" t="s">
        <v>1392</v>
      </c>
      <c r="L2780">
        <v>85226</v>
      </c>
      <c r="M2780" t="s">
        <v>2657</v>
      </c>
      <c r="O2780" t="s">
        <v>11</v>
      </c>
      <c r="P2780">
        <v>5102</v>
      </c>
      <c r="Q2780">
        <v>5</v>
      </c>
      <c r="R2780">
        <v>6.17</v>
      </c>
      <c r="S2780">
        <v>30.85</v>
      </c>
      <c r="T2780">
        <v>19.899999999999999</v>
      </c>
      <c r="U2780">
        <v>35.49</v>
      </c>
      <c r="V2780" t="str">
        <f>VLOOKUP(L2780,'[2]tabela de preços'!$A:$D,4,0)</f>
        <v>ATLAS</v>
      </c>
      <c r="W2780" t="str">
        <f>VLOOKUP(L2780,'[2]tabela de preços'!$A:$F,6,0)</f>
        <v>ROLOS / TRINCHAS / PINCÉIS / ESPÁTULAS</v>
      </c>
      <c r="X2780" t="str">
        <f>VLOOKUP(L2780,'[2]tabela de preços'!$A:$G,7,0)</f>
        <v>IMOBILIÁRIO</v>
      </c>
    </row>
    <row r="2781" spans="1:24" x14ac:dyDescent="0.3">
      <c r="A2781" t="s">
        <v>1389</v>
      </c>
      <c r="C2781" t="s">
        <v>2654</v>
      </c>
      <c r="D2781" s="1">
        <v>46057</v>
      </c>
      <c r="E2781" t="s">
        <v>2655</v>
      </c>
      <c r="F2781">
        <v>9</v>
      </c>
      <c r="G2781">
        <v>230</v>
      </c>
      <c r="H2781" t="str">
        <f>VLOOKUP(G2781,[1]OPERADORES!$A:$B,2,0)</f>
        <v>SÔNIA</v>
      </c>
      <c r="I2781" t="s">
        <v>21</v>
      </c>
      <c r="J2781" t="s">
        <v>66</v>
      </c>
      <c r="K2781" t="s">
        <v>1392</v>
      </c>
      <c r="L2781">
        <v>85227</v>
      </c>
      <c r="M2781" t="s">
        <v>1042</v>
      </c>
      <c r="O2781" t="s">
        <v>11</v>
      </c>
      <c r="P2781">
        <v>5102</v>
      </c>
      <c r="Q2781">
        <v>5</v>
      </c>
      <c r="R2781">
        <v>7.13</v>
      </c>
      <c r="S2781">
        <v>35.65</v>
      </c>
      <c r="T2781">
        <v>23</v>
      </c>
      <c r="U2781">
        <v>35.479999999999997</v>
      </c>
      <c r="V2781" t="str">
        <f>VLOOKUP(L2781,'[2]tabela de preços'!$A:$D,4,0)</f>
        <v>ATLAS</v>
      </c>
      <c r="W2781" t="str">
        <f>VLOOKUP(L2781,'[2]tabela de preços'!$A:$F,6,0)</f>
        <v>ROLOS / TRINCHAS / PINCÉIS / ESPÁTULAS</v>
      </c>
      <c r="X2781" t="str">
        <f>VLOOKUP(L2781,'[2]tabela de preços'!$A:$G,7,0)</f>
        <v>IMOBILIÁRIO</v>
      </c>
    </row>
    <row r="2782" spans="1:24" x14ac:dyDescent="0.3">
      <c r="A2782" t="s">
        <v>1389</v>
      </c>
      <c r="C2782" t="s">
        <v>2654</v>
      </c>
      <c r="D2782" s="1">
        <v>46057</v>
      </c>
      <c r="E2782" t="s">
        <v>2655</v>
      </c>
      <c r="F2782">
        <v>9</v>
      </c>
      <c r="G2782">
        <v>230</v>
      </c>
      <c r="H2782" t="str">
        <f>VLOOKUP(G2782,[1]OPERADORES!$A:$B,2,0)</f>
        <v>SÔNIA</v>
      </c>
      <c r="I2782" t="s">
        <v>21</v>
      </c>
      <c r="J2782" t="s">
        <v>66</v>
      </c>
      <c r="K2782" t="s">
        <v>1392</v>
      </c>
      <c r="L2782">
        <v>85558</v>
      </c>
      <c r="M2782" t="s">
        <v>1643</v>
      </c>
      <c r="O2782" t="s">
        <v>11</v>
      </c>
      <c r="P2782">
        <v>5405</v>
      </c>
      <c r="Q2782">
        <v>23</v>
      </c>
      <c r="R2782">
        <v>164.47</v>
      </c>
      <c r="S2782" s="2">
        <v>3782.81</v>
      </c>
      <c r="T2782" s="2">
        <v>2871.09</v>
      </c>
      <c r="U2782">
        <v>24.1</v>
      </c>
      <c r="V2782" t="str">
        <f>VLOOKUP(L2782,'[2]tabela de preços'!$A:$D,4,0)</f>
        <v>BRASILUX</v>
      </c>
      <c r="W2782" t="str">
        <f>VLOOKUP(L2782,'[2]tabela de preços'!$A:$F,6,0)</f>
        <v>EPOXI</v>
      </c>
      <c r="X2782" t="str">
        <f>VLOOKUP(L2782,'[2]tabela de preços'!$A:$G,7,0)</f>
        <v>INDUSTRIAL</v>
      </c>
    </row>
    <row r="2783" spans="1:24" x14ac:dyDescent="0.3">
      <c r="A2783" t="s">
        <v>1389</v>
      </c>
      <c r="C2783" t="s">
        <v>2654</v>
      </c>
      <c r="D2783" s="1">
        <v>46057</v>
      </c>
      <c r="E2783" t="s">
        <v>2655</v>
      </c>
      <c r="F2783">
        <v>9</v>
      </c>
      <c r="G2783">
        <v>230</v>
      </c>
      <c r="H2783" t="str">
        <f>VLOOKUP(G2783,[1]OPERADORES!$A:$B,2,0)</f>
        <v>SÔNIA</v>
      </c>
      <c r="I2783" t="s">
        <v>21</v>
      </c>
      <c r="J2783" t="s">
        <v>66</v>
      </c>
      <c r="K2783" t="s">
        <v>1392</v>
      </c>
      <c r="L2783">
        <v>10117</v>
      </c>
      <c r="M2783" t="s">
        <v>1043</v>
      </c>
      <c r="O2783" t="s">
        <v>11</v>
      </c>
      <c r="P2783">
        <v>5102</v>
      </c>
      <c r="Q2783">
        <v>5</v>
      </c>
      <c r="R2783">
        <v>7.67</v>
      </c>
      <c r="S2783">
        <v>38.35</v>
      </c>
      <c r="T2783">
        <v>24.75</v>
      </c>
      <c r="U2783">
        <v>35.46</v>
      </c>
      <c r="V2783" t="str">
        <f>VLOOKUP(L2783,'[2]tabela de preços'!$A:$D,4,0)</f>
        <v>ATLAS</v>
      </c>
      <c r="W2783" t="str">
        <f>VLOOKUP(L2783,'[2]tabela de preços'!$A:$F,6,0)</f>
        <v>ROLOS / TRINCHAS / PINCÉIS / ESPÁTULAS</v>
      </c>
      <c r="X2783" t="str">
        <f>VLOOKUP(L2783,'[2]tabela de preços'!$A:$G,7,0)</f>
        <v>IMOBILIÁRIO</v>
      </c>
    </row>
    <row r="2784" spans="1:24" x14ac:dyDescent="0.3">
      <c r="A2784" t="s">
        <v>1411</v>
      </c>
      <c r="C2784" t="s">
        <v>2447</v>
      </c>
      <c r="D2784" s="1">
        <v>46055</v>
      </c>
      <c r="E2784" t="s">
        <v>2448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21</v>
      </c>
      <c r="J2784" t="s">
        <v>1414</v>
      </c>
      <c r="K2784" t="s">
        <v>1415</v>
      </c>
      <c r="L2784">
        <v>23399</v>
      </c>
      <c r="M2784" t="s">
        <v>462</v>
      </c>
      <c r="O2784" t="s">
        <v>11</v>
      </c>
      <c r="P2784">
        <v>5102</v>
      </c>
      <c r="Q2784">
        <v>1</v>
      </c>
      <c r="R2784">
        <v>239.3</v>
      </c>
      <c r="S2784">
        <v>239.3</v>
      </c>
      <c r="T2784">
        <v>175.44</v>
      </c>
      <c r="U2784">
        <v>26.69</v>
      </c>
      <c r="V2784" t="str">
        <f>VLOOKUP(L2784,'[2]tabela de preços'!$A:$D,4,0)</f>
        <v>3M</v>
      </c>
      <c r="W2784" t="str">
        <f>VLOOKUP(L2784,'[2]tabela de preços'!$A:$F,6,0)</f>
        <v>EPI´S</v>
      </c>
      <c r="X2784" t="str">
        <f>VLOOKUP(L2784,'[2]tabela de preços'!$A:$G,7,0)</f>
        <v>AUTOMOTIVO</v>
      </c>
    </row>
    <row r="2785" spans="1:24" x14ac:dyDescent="0.3">
      <c r="A2785" t="s">
        <v>1424</v>
      </c>
      <c r="C2785" t="s">
        <v>2658</v>
      </c>
      <c r="D2785" s="1">
        <v>46057</v>
      </c>
      <c r="E2785" t="s">
        <v>2659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1427</v>
      </c>
      <c r="K2785" t="s">
        <v>1428</v>
      </c>
      <c r="L2785">
        <v>84325</v>
      </c>
      <c r="M2785" t="s">
        <v>678</v>
      </c>
      <c r="O2785" t="s">
        <v>11</v>
      </c>
      <c r="P2785">
        <v>5403</v>
      </c>
      <c r="Q2785">
        <v>1</v>
      </c>
      <c r="R2785">
        <v>59.98</v>
      </c>
      <c r="S2785">
        <v>59.98</v>
      </c>
      <c r="T2785">
        <v>52</v>
      </c>
      <c r="U2785">
        <v>13.3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1424</v>
      </c>
      <c r="C2786" t="s">
        <v>2658</v>
      </c>
      <c r="D2786" s="1">
        <v>46057</v>
      </c>
      <c r="E2786" t="s">
        <v>2659</v>
      </c>
      <c r="F2786">
        <v>9</v>
      </c>
      <c r="G2786">
        <v>230</v>
      </c>
      <c r="H2786" t="str">
        <f>VLOOKUP(G2786,[1]OPERADORES!$A:$B,2,0)</f>
        <v>SÔNIA</v>
      </c>
      <c r="I2786" t="s">
        <v>21</v>
      </c>
      <c r="J2786" t="s">
        <v>1427</v>
      </c>
      <c r="K2786" t="s">
        <v>1428</v>
      </c>
      <c r="L2786">
        <v>84175</v>
      </c>
      <c r="M2786" t="s">
        <v>1429</v>
      </c>
      <c r="O2786" t="s">
        <v>11</v>
      </c>
      <c r="P2786">
        <v>5403</v>
      </c>
      <c r="Q2786">
        <v>1</v>
      </c>
      <c r="R2786">
        <v>107.97</v>
      </c>
      <c r="S2786">
        <v>107.97</v>
      </c>
      <c r="T2786">
        <v>69.66</v>
      </c>
      <c r="U2786">
        <v>35.479999999999997</v>
      </c>
      <c r="V2786" t="str">
        <f>VLOOKUP(L2786,'[2]tabela de preços'!$A:$D,4,0)</f>
        <v>BRASILUX</v>
      </c>
      <c r="W2786" t="str">
        <f>VLOOKUP(L2786,'[2]tabela de preços'!$A:$F,6,0)</f>
        <v>ESMALTES</v>
      </c>
      <c r="X2786" t="str">
        <f>VLOOKUP(L2786,'[2]tabela de preços'!$A:$G,7,0)</f>
        <v>INDUSTRIAL</v>
      </c>
    </row>
    <row r="2787" spans="1:24" x14ac:dyDescent="0.3">
      <c r="A2787" t="s">
        <v>1430</v>
      </c>
      <c r="C2787" t="s">
        <v>2449</v>
      </c>
      <c r="D2787" s="1">
        <v>46055</v>
      </c>
      <c r="E2787" t="s">
        <v>2450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21</v>
      </c>
      <c r="J2787" t="s">
        <v>363</v>
      </c>
      <c r="K2787" t="s">
        <v>1433</v>
      </c>
      <c r="L2787">
        <v>85401</v>
      </c>
      <c r="M2787" t="s">
        <v>261</v>
      </c>
      <c r="O2787" t="s">
        <v>11</v>
      </c>
      <c r="P2787">
        <v>5102</v>
      </c>
      <c r="Q2787">
        <v>1</v>
      </c>
      <c r="R2787">
        <v>670.69</v>
      </c>
      <c r="S2787">
        <v>670.69</v>
      </c>
      <c r="T2787">
        <v>451.64</v>
      </c>
      <c r="U2787">
        <v>32.659999999999997</v>
      </c>
      <c r="V2787" t="str">
        <f>VLOOKUP(L2787,'[2]tabela de preços'!$A:$D,4,0)</f>
        <v>BRASILUX</v>
      </c>
      <c r="W2787" t="str">
        <f>VLOOKUP(L2787,'[2]tabela de preços'!$A:$F,6,0)</f>
        <v>TINTA EM PÓ</v>
      </c>
      <c r="X2787" t="str">
        <f>VLOOKUP(L2787,'[2]tabela de preços'!$A:$G,7,0)</f>
        <v>INDUSTRIAL</v>
      </c>
    </row>
    <row r="2788" spans="1:24" x14ac:dyDescent="0.3">
      <c r="A2788" t="s">
        <v>1430</v>
      </c>
      <c r="C2788" t="s">
        <v>2660</v>
      </c>
      <c r="D2788" s="1">
        <v>46057</v>
      </c>
      <c r="E2788" t="s">
        <v>2661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21</v>
      </c>
      <c r="J2788" t="s">
        <v>363</v>
      </c>
      <c r="K2788" t="s">
        <v>1433</v>
      </c>
      <c r="L2788">
        <v>85318</v>
      </c>
      <c r="M2788" t="s">
        <v>258</v>
      </c>
      <c r="O2788" t="s">
        <v>11</v>
      </c>
      <c r="P2788">
        <v>5102</v>
      </c>
      <c r="Q2788">
        <v>1</v>
      </c>
      <c r="R2788">
        <v>775.32</v>
      </c>
      <c r="S2788">
        <v>775.32</v>
      </c>
      <c r="T2788">
        <v>552.80999999999995</v>
      </c>
      <c r="U2788">
        <v>28.7</v>
      </c>
      <c r="V2788" t="str">
        <f>VLOOKUP(L2788,'[2]tabela de preços'!$A:$D,4,0)</f>
        <v>BRASILUX</v>
      </c>
      <c r="W2788" t="str">
        <f>VLOOKUP(L2788,'[2]tabela de preços'!$A:$F,6,0)</f>
        <v>TINTA EM PÓ</v>
      </c>
      <c r="X2788" t="str">
        <f>VLOOKUP(L2788,'[2]tabela de preços'!$A:$G,7,0)</f>
        <v>INDUSTRIAL</v>
      </c>
    </row>
    <row r="2789" spans="1:24" x14ac:dyDescent="0.3">
      <c r="A2789" t="s">
        <v>1460</v>
      </c>
      <c r="C2789" t="s">
        <v>2662</v>
      </c>
      <c r="D2789" s="1">
        <v>46058</v>
      </c>
      <c r="E2789" t="s">
        <v>2663</v>
      </c>
      <c r="F2789">
        <v>9</v>
      </c>
      <c r="G2789">
        <v>231</v>
      </c>
      <c r="H2789" t="str">
        <f>VLOOKUP(G2789,[1]OPERADORES!$A:$B,2,0)</f>
        <v>EDIJANE</v>
      </c>
      <c r="I2789" t="s">
        <v>21</v>
      </c>
      <c r="J2789" t="s">
        <v>1463</v>
      </c>
      <c r="K2789" t="s">
        <v>1464</v>
      </c>
      <c r="L2789">
        <v>85472</v>
      </c>
      <c r="M2789" t="s">
        <v>1465</v>
      </c>
      <c r="O2789" t="s">
        <v>11</v>
      </c>
      <c r="P2789">
        <v>5102</v>
      </c>
      <c r="Q2789">
        <v>2</v>
      </c>
      <c r="R2789">
        <v>554.63</v>
      </c>
      <c r="S2789" s="2">
        <v>1109.26</v>
      </c>
      <c r="T2789">
        <v>790.92</v>
      </c>
      <c r="U2789">
        <v>28.7</v>
      </c>
      <c r="V2789" t="str">
        <f>VLOOKUP(L2789,'[2]tabela de preços'!$A:$D,4,0)</f>
        <v>BRASILUX</v>
      </c>
      <c r="W2789" t="str">
        <f>VLOOKUP(L2789,'[2]tabela de preços'!$A:$F,6,0)</f>
        <v>TINTA EM PÓ</v>
      </c>
      <c r="X2789" t="str">
        <f>VLOOKUP(L2789,'[2]tabela de preços'!$A:$G,7,0)</f>
        <v>INDUSTRIAL</v>
      </c>
    </row>
    <row r="2790" spans="1:24" x14ac:dyDescent="0.3">
      <c r="A2790" t="s">
        <v>1468</v>
      </c>
      <c r="C2790" t="s">
        <v>2451</v>
      </c>
      <c r="D2790" s="1">
        <v>46055</v>
      </c>
      <c r="E2790" t="s">
        <v>2452</v>
      </c>
      <c r="F2790">
        <v>9</v>
      </c>
      <c r="G2790">
        <v>174</v>
      </c>
      <c r="H2790" t="str">
        <f>VLOOKUP(G2790,[1]OPERADORES!$A:$B,2,0)</f>
        <v>MIRIÃ LOBATO RODRIGUES</v>
      </c>
      <c r="I2790" t="s">
        <v>21</v>
      </c>
      <c r="J2790" t="s">
        <v>494</v>
      </c>
      <c r="K2790" t="s">
        <v>1471</v>
      </c>
      <c r="L2790">
        <v>84976</v>
      </c>
      <c r="M2790" t="s">
        <v>2453</v>
      </c>
      <c r="O2790" t="s">
        <v>11</v>
      </c>
      <c r="P2790">
        <v>5403</v>
      </c>
      <c r="Q2790">
        <v>1</v>
      </c>
      <c r="R2790">
        <v>271.19</v>
      </c>
      <c r="S2790">
        <v>271.19</v>
      </c>
      <c r="T2790">
        <v>198.82</v>
      </c>
      <c r="U2790">
        <v>26.69</v>
      </c>
      <c r="V2790" t="str">
        <f>VLOOKUP(L2790,'[2]tabela de preços'!$A:$D,4,0)</f>
        <v>BRASILUX</v>
      </c>
      <c r="W2790" t="str">
        <f>VLOOKUP(L2790,'[2]tabela de preços'!$A:$F,6,0)</f>
        <v>TINTA EMBORRACHADA</v>
      </c>
      <c r="X2790" t="str">
        <f>VLOOKUP(L2790,'[2]tabela de preços'!$A:$G,7,0)</f>
        <v>IMOBILIÁRIO</v>
      </c>
    </row>
    <row r="2791" spans="1:24" x14ac:dyDescent="0.3">
      <c r="A2791" t="s">
        <v>1468</v>
      </c>
      <c r="C2791" t="s">
        <v>2664</v>
      </c>
      <c r="D2791" s="1">
        <v>46058</v>
      </c>
      <c r="E2791" t="s">
        <v>2665</v>
      </c>
      <c r="F2791">
        <v>9</v>
      </c>
      <c r="G2791">
        <v>174</v>
      </c>
      <c r="H2791" t="str">
        <f>VLOOKUP(G2791,[1]OPERADORES!$A:$B,2,0)</f>
        <v>MIRIÃ LOBATO RODRIGUES</v>
      </c>
      <c r="I2791" t="s">
        <v>21</v>
      </c>
      <c r="J2791" t="s">
        <v>494</v>
      </c>
      <c r="K2791" t="s">
        <v>1471</v>
      </c>
      <c r="L2791">
        <v>10236</v>
      </c>
      <c r="M2791" t="s">
        <v>133</v>
      </c>
      <c r="O2791" t="s">
        <v>11</v>
      </c>
      <c r="P2791">
        <v>5102</v>
      </c>
      <c r="Q2791">
        <v>102</v>
      </c>
      <c r="R2791">
        <v>2.79</v>
      </c>
      <c r="S2791">
        <v>284.58</v>
      </c>
      <c r="T2791">
        <v>236.64</v>
      </c>
      <c r="U2791">
        <v>16.850000000000001</v>
      </c>
      <c r="V2791" t="str">
        <f>VLOOKUP(L2791,'[2]tabela de preços'!$A:$D,4,0)</f>
        <v>NORTON</v>
      </c>
      <c r="W2791" t="str">
        <f>VLOOKUP(L2791,'[2]tabela de preços'!$A:$F,6,0)</f>
        <v xml:space="preserve">DISCOS / LIXAS / ABRASIVOS </v>
      </c>
      <c r="X2791" t="str">
        <f>VLOOKUP(L2791,'[2]tabela de preços'!$A:$G,7,0)</f>
        <v>AUTOMOTIVO</v>
      </c>
    </row>
    <row r="2792" spans="1:24" x14ac:dyDescent="0.3">
      <c r="A2792" t="s">
        <v>1468</v>
      </c>
      <c r="C2792" t="s">
        <v>2664</v>
      </c>
      <c r="D2792" s="1">
        <v>46058</v>
      </c>
      <c r="E2792" t="s">
        <v>2665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494</v>
      </c>
      <c r="K2792" t="s">
        <v>1471</v>
      </c>
      <c r="L2792">
        <v>10226</v>
      </c>
      <c r="M2792" t="s">
        <v>145</v>
      </c>
      <c r="O2792" t="s">
        <v>11</v>
      </c>
      <c r="P2792">
        <v>5102</v>
      </c>
      <c r="Q2792">
        <v>102</v>
      </c>
      <c r="R2792">
        <v>2.79</v>
      </c>
      <c r="S2792">
        <v>284.58</v>
      </c>
      <c r="T2792">
        <v>236.64</v>
      </c>
      <c r="U2792">
        <v>16.850000000000001</v>
      </c>
      <c r="V2792" t="str">
        <f>VLOOKUP(L2792,'[2]tabela de preços'!$A:$D,4,0)</f>
        <v>NORTON</v>
      </c>
      <c r="W2792" t="str">
        <f>VLOOKUP(L2792,'[2]tabela de preços'!$A:$F,6,0)</f>
        <v xml:space="preserve">DISCOS / LIXAS / ABRASIVOS </v>
      </c>
      <c r="X2792" t="str">
        <f>VLOOKUP(L2792,'[2]tabela de preços'!$A:$G,7,0)</f>
        <v>AUTOMOTIVO</v>
      </c>
    </row>
    <row r="2793" spans="1:24" x14ac:dyDescent="0.3">
      <c r="A2793" t="s">
        <v>1468</v>
      </c>
      <c r="C2793" t="s">
        <v>2664</v>
      </c>
      <c r="D2793" s="1">
        <v>46058</v>
      </c>
      <c r="E2793" t="s">
        <v>2665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494</v>
      </c>
      <c r="K2793" t="s">
        <v>1471</v>
      </c>
      <c r="L2793">
        <v>10230</v>
      </c>
      <c r="M2793" t="s">
        <v>193</v>
      </c>
      <c r="O2793" t="s">
        <v>11</v>
      </c>
      <c r="P2793">
        <v>5102</v>
      </c>
      <c r="Q2793">
        <v>102</v>
      </c>
      <c r="R2793">
        <v>2.79</v>
      </c>
      <c r="S2793">
        <v>284.58</v>
      </c>
      <c r="T2793">
        <v>236.64</v>
      </c>
      <c r="U2793">
        <v>16.850000000000001</v>
      </c>
      <c r="V2793" t="str">
        <f>VLOOKUP(L2793,'[2]tabela de preços'!$A:$D,4,0)</f>
        <v>NORTON</v>
      </c>
      <c r="W2793" t="str">
        <f>VLOOKUP(L2793,'[2]tabela de preços'!$A:$F,6,0)</f>
        <v xml:space="preserve">DISCOS / LIXAS / ABRASIVOS </v>
      </c>
      <c r="X2793" t="str">
        <f>VLOOKUP(L2793,'[2]tabela de preços'!$A:$G,7,0)</f>
        <v>AUTOMOTIVO</v>
      </c>
    </row>
    <row r="2794" spans="1:24" x14ac:dyDescent="0.3">
      <c r="A2794" t="s">
        <v>1468</v>
      </c>
      <c r="C2794" t="s">
        <v>2664</v>
      </c>
      <c r="D2794" s="1">
        <v>46058</v>
      </c>
      <c r="E2794" t="s">
        <v>2665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494</v>
      </c>
      <c r="K2794" t="s">
        <v>1471</v>
      </c>
      <c r="L2794">
        <v>10232</v>
      </c>
      <c r="M2794" t="s">
        <v>134</v>
      </c>
      <c r="O2794" t="s">
        <v>11</v>
      </c>
      <c r="P2794">
        <v>5102</v>
      </c>
      <c r="Q2794">
        <v>102</v>
      </c>
      <c r="R2794">
        <v>2.79</v>
      </c>
      <c r="S2794">
        <v>284.58</v>
      </c>
      <c r="T2794">
        <v>229.5</v>
      </c>
      <c r="U2794">
        <v>19.350000000000001</v>
      </c>
      <c r="V2794" t="str">
        <f>VLOOKUP(L2794,'[2]tabela de preços'!$A:$D,4,0)</f>
        <v>NORTON</v>
      </c>
      <c r="W2794" t="str">
        <f>VLOOKUP(L2794,'[2]tabela de preços'!$A:$F,6,0)</f>
        <v xml:space="preserve">DISCOS / LIXAS / ABRASIVOS </v>
      </c>
      <c r="X2794" t="str">
        <f>VLOOKUP(L2794,'[2]tabela de preços'!$A:$G,7,0)</f>
        <v>AUTOMOTIVO</v>
      </c>
    </row>
    <row r="2795" spans="1:24" x14ac:dyDescent="0.3">
      <c r="A2795" t="s">
        <v>1468</v>
      </c>
      <c r="C2795" t="s">
        <v>2664</v>
      </c>
      <c r="D2795" s="1">
        <v>46058</v>
      </c>
      <c r="E2795" t="s">
        <v>2665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494</v>
      </c>
      <c r="K2795" t="s">
        <v>1471</v>
      </c>
      <c r="L2795">
        <v>23364</v>
      </c>
      <c r="M2795" t="s">
        <v>55</v>
      </c>
      <c r="O2795" t="s">
        <v>11</v>
      </c>
      <c r="P2795">
        <v>5102</v>
      </c>
      <c r="Q2795">
        <v>15</v>
      </c>
      <c r="R2795">
        <v>6.19</v>
      </c>
      <c r="S2795">
        <v>92.85</v>
      </c>
      <c r="T2795">
        <v>73.650000000000006</v>
      </c>
      <c r="U2795">
        <v>20.68</v>
      </c>
      <c r="V2795" t="str">
        <f>VLOOKUP(L2795,'[2]tabela de preços'!$A:$D,4,0)</f>
        <v>AUTO AMERICA</v>
      </c>
      <c r="W2795" t="str">
        <f>VLOOKUP(L2795,'[2]tabela de preços'!$A:$F,6,0)</f>
        <v>FLANELAS / PANOS</v>
      </c>
      <c r="X2795" t="str">
        <f>VLOOKUP(L2795,'[2]tabela de preços'!$A:$G,7,0)</f>
        <v>AUTOMOTIVO</v>
      </c>
    </row>
    <row r="2796" spans="1:24" x14ac:dyDescent="0.3">
      <c r="A2796" t="s">
        <v>1468</v>
      </c>
      <c r="C2796" t="s">
        <v>2664</v>
      </c>
      <c r="D2796" s="1">
        <v>46058</v>
      </c>
      <c r="E2796" t="s">
        <v>2665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494</v>
      </c>
      <c r="K2796" t="s">
        <v>1471</v>
      </c>
      <c r="L2796">
        <v>9764</v>
      </c>
      <c r="M2796" t="s">
        <v>173</v>
      </c>
      <c r="O2796" t="s">
        <v>11</v>
      </c>
      <c r="P2796">
        <v>5102</v>
      </c>
      <c r="Q2796">
        <v>3</v>
      </c>
      <c r="R2796">
        <v>33.54</v>
      </c>
      <c r="S2796">
        <v>100.62</v>
      </c>
      <c r="T2796">
        <v>76.38</v>
      </c>
      <c r="U2796">
        <v>24.09</v>
      </c>
      <c r="V2796" t="str">
        <f>VLOOKUP(L2796,'[2]tabela de preços'!$A:$D,4,0)</f>
        <v>SIKKENS</v>
      </c>
      <c r="W2796" t="str">
        <f>VLOOKUP(L2796,'[2]tabela de preços'!$A:$F,6,0)</f>
        <v>MASSA DE PEQUENOS REPAROS</v>
      </c>
      <c r="X2796" t="str">
        <f>VLOOKUP(L2796,'[2]tabela de preços'!$A:$G,7,0)</f>
        <v>AUTOMOTIVO</v>
      </c>
    </row>
    <row r="2797" spans="1:24" x14ac:dyDescent="0.3">
      <c r="A2797" t="s">
        <v>1468</v>
      </c>
      <c r="C2797" t="s">
        <v>2664</v>
      </c>
      <c r="D2797" s="1">
        <v>46058</v>
      </c>
      <c r="E2797" t="s">
        <v>2665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494</v>
      </c>
      <c r="K2797" t="s">
        <v>1471</v>
      </c>
      <c r="L2797">
        <v>20414</v>
      </c>
      <c r="M2797" t="s">
        <v>112</v>
      </c>
      <c r="O2797" t="s">
        <v>11</v>
      </c>
      <c r="P2797">
        <v>5102</v>
      </c>
      <c r="Q2797">
        <v>40</v>
      </c>
      <c r="R2797">
        <v>21.89</v>
      </c>
      <c r="S2797">
        <v>875.6</v>
      </c>
      <c r="T2797">
        <v>720</v>
      </c>
      <c r="U2797">
        <v>17.77</v>
      </c>
      <c r="V2797" t="str">
        <f>VLOOKUP(L2797,'[2]tabela de preços'!$A:$D,4,0)</f>
        <v>SHERWIN WILLIAMS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2666</v>
      </c>
      <c r="C2798" t="s">
        <v>2667</v>
      </c>
      <c r="D2798" s="1">
        <v>46058</v>
      </c>
      <c r="E2798" t="s">
        <v>2668</v>
      </c>
      <c r="F2798">
        <v>9</v>
      </c>
      <c r="G2798">
        <v>236</v>
      </c>
      <c r="H2798" t="str">
        <f>VLOOKUP(G2798,[1]OPERADORES!$A:$B,2,0)</f>
        <v>DANIEL</v>
      </c>
      <c r="I2798" t="s">
        <v>21</v>
      </c>
      <c r="J2798" t="s">
        <v>397</v>
      </c>
      <c r="K2798" t="s">
        <v>2669</v>
      </c>
      <c r="L2798">
        <v>24227</v>
      </c>
      <c r="M2798" t="s">
        <v>2670</v>
      </c>
      <c r="O2798" t="s">
        <v>11</v>
      </c>
      <c r="P2798">
        <v>5102</v>
      </c>
      <c r="Q2798">
        <v>1</v>
      </c>
      <c r="R2798">
        <v>90.98</v>
      </c>
      <c r="S2798">
        <v>90.98</v>
      </c>
      <c r="T2798">
        <v>69.05</v>
      </c>
      <c r="U2798">
        <v>24.1</v>
      </c>
      <c r="V2798" t="str">
        <f>VLOOKUP(L2798,'[2]tabela de preços'!$A:$D,4,0)</f>
        <v>VONIXX</v>
      </c>
      <c r="W2798" t="str">
        <f>VLOOKUP(L2798,'[2]tabela de preços'!$A:$F,6,0)</f>
        <v>LINHA DE HIGENIZAÇÃO E ESTÉTICA  AUTOMOTIVA</v>
      </c>
      <c r="X2798" t="str">
        <f>VLOOKUP(L2798,'[2]tabela de preços'!$A:$G,7,0)</f>
        <v>AUTOMOTIVO</v>
      </c>
    </row>
    <row r="2799" spans="1:24" x14ac:dyDescent="0.3">
      <c r="A2799" t="s">
        <v>2666</v>
      </c>
      <c r="C2799" t="s">
        <v>2667</v>
      </c>
      <c r="D2799" s="1">
        <v>46058</v>
      </c>
      <c r="E2799" t="s">
        <v>2668</v>
      </c>
      <c r="F2799">
        <v>9</v>
      </c>
      <c r="G2799">
        <v>236</v>
      </c>
      <c r="H2799" t="str">
        <f>VLOOKUP(G2799,[1]OPERADORES!$A:$B,2,0)</f>
        <v>DANIEL</v>
      </c>
      <c r="I2799" t="s">
        <v>21</v>
      </c>
      <c r="J2799" t="s">
        <v>397</v>
      </c>
      <c r="K2799" t="s">
        <v>2669</v>
      </c>
      <c r="L2799">
        <v>84543</v>
      </c>
      <c r="M2799" t="s">
        <v>2671</v>
      </c>
      <c r="O2799" t="s">
        <v>11</v>
      </c>
      <c r="P2799">
        <v>5102</v>
      </c>
      <c r="Q2799">
        <v>1</v>
      </c>
      <c r="R2799">
        <v>81.87</v>
      </c>
      <c r="S2799">
        <v>81.87</v>
      </c>
      <c r="T2799">
        <v>62.14</v>
      </c>
      <c r="U2799">
        <v>24.1</v>
      </c>
      <c r="V2799" t="str">
        <f>VLOOKUP(L2799,'[2]tabela de preços'!$A:$D,4,0)</f>
        <v>VONIXX</v>
      </c>
      <c r="W2799" t="str">
        <f>VLOOKUP(L2799,'[2]tabela de preços'!$A:$F,6,0)</f>
        <v>LINHA DE HIGENIZAÇÃO E ESTÉTICA  AUTOMOTIVA</v>
      </c>
      <c r="X2799" t="str">
        <f>VLOOKUP(L2799,'[2]tabela de preços'!$A:$G,7,0)</f>
        <v>AUTOMOTIVO</v>
      </c>
    </row>
    <row r="2800" spans="1:24" x14ac:dyDescent="0.3">
      <c r="A2800" t="s">
        <v>2666</v>
      </c>
      <c r="C2800" t="s">
        <v>2667</v>
      </c>
      <c r="D2800" s="1">
        <v>46058</v>
      </c>
      <c r="E2800" t="s">
        <v>2668</v>
      </c>
      <c r="F2800">
        <v>9</v>
      </c>
      <c r="G2800">
        <v>236</v>
      </c>
      <c r="H2800" t="str">
        <f>VLOOKUP(G2800,[1]OPERADORES!$A:$B,2,0)</f>
        <v>DANIEL</v>
      </c>
      <c r="I2800" t="s">
        <v>21</v>
      </c>
      <c r="J2800" t="s">
        <v>397</v>
      </c>
      <c r="K2800" t="s">
        <v>2669</v>
      </c>
      <c r="L2800">
        <v>22188</v>
      </c>
      <c r="M2800" t="s">
        <v>78</v>
      </c>
      <c r="O2800" t="s">
        <v>11</v>
      </c>
      <c r="P2800">
        <v>5102</v>
      </c>
      <c r="Q2800">
        <v>1</v>
      </c>
      <c r="R2800">
        <v>14.35</v>
      </c>
      <c r="S2800">
        <v>14.35</v>
      </c>
      <c r="T2800">
        <v>10.89</v>
      </c>
      <c r="U2800">
        <v>24.11</v>
      </c>
      <c r="V2800" t="str">
        <f>VLOOKUP(L2800,'[2]tabela de preços'!$A:$D,4,0)</f>
        <v>3M</v>
      </c>
      <c r="W2800" t="str">
        <f>VLOOKUP(L2800,'[2]tabela de preços'!$A:$F,6,0)</f>
        <v>FITA AUTOMOTIVA</v>
      </c>
      <c r="X2800" t="str">
        <f>VLOOKUP(L2800,'[2]tabela de preços'!$A:$G,7,0)</f>
        <v>AUTOMOTIVO</v>
      </c>
    </row>
    <row r="2801" spans="1:24" x14ac:dyDescent="0.3">
      <c r="A2801" t="s">
        <v>2666</v>
      </c>
      <c r="C2801" t="s">
        <v>2667</v>
      </c>
      <c r="D2801" s="1">
        <v>46058</v>
      </c>
      <c r="E2801" t="s">
        <v>2668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397</v>
      </c>
      <c r="K2801" t="s">
        <v>2669</v>
      </c>
      <c r="L2801">
        <v>23364</v>
      </c>
      <c r="M2801" t="s">
        <v>55</v>
      </c>
      <c r="O2801" t="s">
        <v>11</v>
      </c>
      <c r="P2801">
        <v>5102</v>
      </c>
      <c r="Q2801">
        <v>10</v>
      </c>
      <c r="R2801">
        <v>6.19</v>
      </c>
      <c r="S2801">
        <v>61.9</v>
      </c>
      <c r="T2801">
        <v>49.1</v>
      </c>
      <c r="U2801">
        <v>20.68</v>
      </c>
      <c r="V2801" t="str">
        <f>VLOOKUP(L2801,'[2]tabela de preços'!$A:$D,4,0)</f>
        <v>AUTO AMERICA</v>
      </c>
      <c r="W2801" t="str">
        <f>VLOOKUP(L2801,'[2]tabela de preços'!$A:$F,6,0)</f>
        <v>FLANELAS / PANOS</v>
      </c>
      <c r="X2801" t="str">
        <f>VLOOKUP(L2801,'[2]tabela de preços'!$A:$G,7,0)</f>
        <v>AUTOMOTIVO</v>
      </c>
    </row>
    <row r="2802" spans="1:24" x14ac:dyDescent="0.3">
      <c r="A2802" t="s">
        <v>2666</v>
      </c>
      <c r="C2802" t="s">
        <v>2667</v>
      </c>
      <c r="D2802" s="1">
        <v>46058</v>
      </c>
      <c r="E2802" t="s">
        <v>2668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397</v>
      </c>
      <c r="K2802" t="s">
        <v>2669</v>
      </c>
      <c r="L2802">
        <v>85545</v>
      </c>
      <c r="M2802" t="s">
        <v>2672</v>
      </c>
      <c r="O2802" t="s">
        <v>11</v>
      </c>
      <c r="P2802">
        <v>5102</v>
      </c>
      <c r="Q2802">
        <v>1</v>
      </c>
      <c r="R2802">
        <v>39.700000000000003</v>
      </c>
      <c r="S2802">
        <v>39.700000000000003</v>
      </c>
      <c r="T2802">
        <v>30.13</v>
      </c>
      <c r="U2802">
        <v>24.11</v>
      </c>
      <c r="V2802" t="str">
        <f>VLOOKUP(L2802,'[2]tabela de preços'!$A:$D,4,0)</f>
        <v>VONIXX</v>
      </c>
      <c r="W2802" t="str">
        <f>VLOOKUP(L2802,'[2]tabela de preços'!$A:$F,6,0)</f>
        <v>LINHA DE HIGENIZAÇÃO E ESTÉTICA  AUTOMOTIVA</v>
      </c>
      <c r="X2802" t="str">
        <f>VLOOKUP(L2802,'[2]tabela de preços'!$A:$G,7,0)</f>
        <v>AUTOMOTIVO</v>
      </c>
    </row>
    <row r="2803" spans="1:24" x14ac:dyDescent="0.3">
      <c r="A2803" t="s">
        <v>2666</v>
      </c>
      <c r="C2803" t="s">
        <v>2667</v>
      </c>
      <c r="D2803" s="1">
        <v>46058</v>
      </c>
      <c r="E2803" t="s">
        <v>2668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397</v>
      </c>
      <c r="K2803" t="s">
        <v>2669</v>
      </c>
      <c r="L2803">
        <v>24386</v>
      </c>
      <c r="M2803" t="s">
        <v>2673</v>
      </c>
      <c r="O2803" t="s">
        <v>11</v>
      </c>
      <c r="P2803">
        <v>5102</v>
      </c>
      <c r="Q2803">
        <v>1</v>
      </c>
      <c r="R2803">
        <v>58.11</v>
      </c>
      <c r="S2803">
        <v>58.11</v>
      </c>
      <c r="T2803">
        <v>44.1</v>
      </c>
      <c r="U2803">
        <v>24.11</v>
      </c>
      <c r="V2803" t="str">
        <f>VLOOKUP(L2803,'[2]tabela de preços'!$A:$D,4,0)</f>
        <v>VONIXX</v>
      </c>
      <c r="W2803" t="str">
        <f>VLOOKUP(L2803,'[2]tabela de preços'!$A:$F,6,0)</f>
        <v>LINHA DE HIGENIZAÇÃO E ESTÉTICA  AUTOMOTIVA</v>
      </c>
      <c r="X2803" t="str">
        <f>VLOOKUP(L2803,'[2]tabela de preços'!$A:$G,7,0)</f>
        <v>AUTOMOTIVO</v>
      </c>
    </row>
    <row r="2804" spans="1:24" x14ac:dyDescent="0.3">
      <c r="A2804" t="s">
        <v>2666</v>
      </c>
      <c r="C2804" t="s">
        <v>2667</v>
      </c>
      <c r="D2804" s="1">
        <v>46058</v>
      </c>
      <c r="E2804" t="s">
        <v>2668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397</v>
      </c>
      <c r="K2804" t="s">
        <v>2669</v>
      </c>
      <c r="L2804">
        <v>85247</v>
      </c>
      <c r="M2804" t="s">
        <v>2674</v>
      </c>
      <c r="O2804" t="s">
        <v>11</v>
      </c>
      <c r="P2804">
        <v>5102</v>
      </c>
      <c r="Q2804">
        <v>1</v>
      </c>
      <c r="R2804">
        <v>56.89</v>
      </c>
      <c r="S2804">
        <v>56.89</v>
      </c>
      <c r="T2804">
        <v>43.18</v>
      </c>
      <c r="U2804">
        <v>24.1</v>
      </c>
      <c r="V2804" t="str">
        <f>VLOOKUP(L2804,'[2]tabela de preços'!$A:$D,4,0)</f>
        <v>VONIXX</v>
      </c>
      <c r="W2804" t="str">
        <f>VLOOKUP(L2804,'[2]tabela de preços'!$A:$F,6,0)</f>
        <v>LINHA DE HIGENIZAÇÃO E ESTÉTICA  AUTOMOTIVA</v>
      </c>
      <c r="X2804" t="str">
        <f>VLOOKUP(L2804,'[2]tabela de preços'!$A:$G,7,0)</f>
        <v>AUTOMOTIVO</v>
      </c>
    </row>
    <row r="2805" spans="1:24" x14ac:dyDescent="0.3">
      <c r="A2805" t="s">
        <v>2666</v>
      </c>
      <c r="C2805" t="s">
        <v>2667</v>
      </c>
      <c r="D2805" s="1">
        <v>46058</v>
      </c>
      <c r="E2805" t="s">
        <v>2668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397</v>
      </c>
      <c r="K2805" t="s">
        <v>2669</v>
      </c>
      <c r="L2805">
        <v>85248</v>
      </c>
      <c r="M2805" t="s">
        <v>2675</v>
      </c>
      <c r="O2805" t="s">
        <v>11</v>
      </c>
      <c r="P2805">
        <v>5102</v>
      </c>
      <c r="Q2805">
        <v>1</v>
      </c>
      <c r="R2805">
        <v>67.09</v>
      </c>
      <c r="S2805">
        <v>67.09</v>
      </c>
      <c r="T2805">
        <v>50.92</v>
      </c>
      <c r="U2805">
        <v>24.1</v>
      </c>
      <c r="V2805" t="str">
        <f>VLOOKUP(L2805,'[2]tabela de preços'!$A:$D,4,0)</f>
        <v>VONIXX</v>
      </c>
      <c r="W2805" t="str">
        <f>VLOOKUP(L2805,'[2]tabela de preços'!$A:$F,6,0)</f>
        <v>LINHA DE HIGENIZAÇÃO E ESTÉTICA  AUTOMOTIVA</v>
      </c>
      <c r="X2805" t="str">
        <f>VLOOKUP(L2805,'[2]tabela de preços'!$A:$G,7,0)</f>
        <v>AUTOMOTIVO</v>
      </c>
    </row>
    <row r="2806" spans="1:24" x14ac:dyDescent="0.3">
      <c r="A2806" t="s">
        <v>2666</v>
      </c>
      <c r="C2806" t="s">
        <v>2676</v>
      </c>
      <c r="D2806" s="1">
        <v>46058</v>
      </c>
      <c r="E2806" t="s">
        <v>2677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397</v>
      </c>
      <c r="K2806" t="s">
        <v>2669</v>
      </c>
      <c r="L2806">
        <v>83788</v>
      </c>
      <c r="M2806" t="s">
        <v>2678</v>
      </c>
      <c r="O2806" t="s">
        <v>11</v>
      </c>
      <c r="P2806">
        <v>5102</v>
      </c>
      <c r="Q2806">
        <v>1</v>
      </c>
      <c r="R2806">
        <v>58.11</v>
      </c>
      <c r="S2806">
        <v>58.11</v>
      </c>
      <c r="T2806">
        <v>44.1</v>
      </c>
      <c r="U2806">
        <v>24.11</v>
      </c>
      <c r="V2806" t="str">
        <f>VLOOKUP(L2806,'[2]tabela de preços'!$A:$D,4,0)</f>
        <v>VONIXX</v>
      </c>
      <c r="W2806" t="str">
        <f>VLOOKUP(L2806,'[2]tabela de preços'!$A:$F,6,0)</f>
        <v>BOINAS PARA POLIMENTO</v>
      </c>
      <c r="X2806" t="str">
        <f>VLOOKUP(L2806,'[2]tabela de preços'!$A:$G,7,0)</f>
        <v>AUTOMOTIVO</v>
      </c>
    </row>
    <row r="2807" spans="1:24" x14ac:dyDescent="0.3">
      <c r="A2807" t="s">
        <v>2666</v>
      </c>
      <c r="C2807" t="s">
        <v>2676</v>
      </c>
      <c r="D2807" s="1">
        <v>46058</v>
      </c>
      <c r="E2807" t="s">
        <v>2677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397</v>
      </c>
      <c r="K2807" t="s">
        <v>2669</v>
      </c>
      <c r="L2807">
        <v>20983</v>
      </c>
      <c r="M2807" t="s">
        <v>2107</v>
      </c>
      <c r="O2807" t="s">
        <v>11</v>
      </c>
      <c r="P2807">
        <v>5102</v>
      </c>
      <c r="Q2807">
        <v>1</v>
      </c>
      <c r="R2807">
        <v>16.84</v>
      </c>
      <c r="S2807">
        <v>16.84</v>
      </c>
      <c r="T2807">
        <v>12.78</v>
      </c>
      <c r="U2807">
        <v>24.11</v>
      </c>
      <c r="V2807" t="str">
        <f>VLOOKUP(L2807,'[2]tabela de preços'!$A:$D,4,0)</f>
        <v>3M</v>
      </c>
      <c r="W2807" t="str">
        <f>VLOOKUP(L2807,'[2]tabela de preços'!$A:$F,6,0)</f>
        <v>DISCO TRIZACT</v>
      </c>
      <c r="X2807" t="str">
        <f>VLOOKUP(L2807,'[2]tabela de preços'!$A:$G,7,0)</f>
        <v>AUTOMOTIVO</v>
      </c>
    </row>
    <row r="2808" spans="1:24" x14ac:dyDescent="0.3">
      <c r="A2808" t="s">
        <v>2666</v>
      </c>
      <c r="C2808" t="s">
        <v>2676</v>
      </c>
      <c r="D2808" s="1">
        <v>46058</v>
      </c>
      <c r="E2808" t="s">
        <v>2677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397</v>
      </c>
      <c r="K2808" t="s">
        <v>2669</v>
      </c>
      <c r="L2808">
        <v>20135</v>
      </c>
      <c r="M2808" t="s">
        <v>459</v>
      </c>
      <c r="O2808" t="s">
        <v>11</v>
      </c>
      <c r="P2808">
        <v>5102</v>
      </c>
      <c r="Q2808">
        <v>1</v>
      </c>
      <c r="R2808">
        <v>25.37</v>
      </c>
      <c r="S2808">
        <v>25.37</v>
      </c>
      <c r="T2808">
        <v>19.260000000000002</v>
      </c>
      <c r="U2808">
        <v>24.08</v>
      </c>
      <c r="V2808" t="str">
        <f>VLOOKUP(L2808,'[2]tabela de preços'!$A:$D,4,0)</f>
        <v>3M</v>
      </c>
      <c r="W2808" t="str">
        <f>VLOOKUP(L2808,'[2]tabela de preços'!$A:$F,6,0)</f>
        <v>DISCO TRIZACT</v>
      </c>
      <c r="X2808" t="str">
        <f>VLOOKUP(L2808,'[2]tabela de preços'!$A:$G,7,0)</f>
        <v>AUTOMOTIVO</v>
      </c>
    </row>
    <row r="2809" spans="1:24" x14ac:dyDescent="0.3">
      <c r="A2809" t="s">
        <v>2785</v>
      </c>
      <c r="B2809" t="s">
        <v>2786</v>
      </c>
      <c r="C2809" t="s">
        <v>2787</v>
      </c>
      <c r="D2809" s="1">
        <v>46059</v>
      </c>
      <c r="E2809" t="s">
        <v>2788</v>
      </c>
      <c r="F2809">
        <v>9</v>
      </c>
      <c r="G2809">
        <v>174</v>
      </c>
      <c r="H2809" t="str">
        <f>VLOOKUP(G2809,[1]OPERADORES!$A:$B,2,0)</f>
        <v>MIRIÃ LOBATO RODRIGUES</v>
      </c>
      <c r="I2809" t="s">
        <v>21</v>
      </c>
      <c r="J2809" t="s">
        <v>1691</v>
      </c>
      <c r="K2809" t="s">
        <v>2789</v>
      </c>
      <c r="L2809">
        <v>85319</v>
      </c>
      <c r="M2809" t="s">
        <v>1388</v>
      </c>
      <c r="O2809" t="s">
        <v>11</v>
      </c>
      <c r="P2809">
        <v>5102</v>
      </c>
      <c r="Q2809">
        <v>1</v>
      </c>
      <c r="R2809" s="2">
        <v>1400</v>
      </c>
      <c r="S2809" s="2">
        <v>1400</v>
      </c>
      <c r="T2809" s="2">
        <v>1049.08</v>
      </c>
      <c r="U2809">
        <v>25.07</v>
      </c>
      <c r="V2809" t="str">
        <f>VLOOKUP(L2809,'[2]tabela de preços'!$A:$D,4,0)</f>
        <v>BRASILUX</v>
      </c>
      <c r="W2809" t="str">
        <f>VLOOKUP(L2809,'[2]tabela de preços'!$A:$F,6,0)</f>
        <v>TINTA EM PÓ</v>
      </c>
      <c r="X2809" t="str">
        <f>VLOOKUP(L2809,'[2]tabela de preços'!$A:$G,7,0)</f>
        <v>INDUSTRIAL</v>
      </c>
    </row>
    <row r="2810" spans="1:24" x14ac:dyDescent="0.3">
      <c r="A2810" t="s">
        <v>1486</v>
      </c>
      <c r="C2810" t="s">
        <v>2523</v>
      </c>
      <c r="D2810" s="1">
        <v>46056</v>
      </c>
      <c r="E2810" t="s">
        <v>2524</v>
      </c>
      <c r="F2810">
        <v>9</v>
      </c>
      <c r="G2810">
        <v>236</v>
      </c>
      <c r="H2810" t="str">
        <f>VLOOKUP(G2810,[1]OPERADORES!$A:$B,2,0)</f>
        <v>DANIEL</v>
      </c>
      <c r="I2810" t="s">
        <v>1489</v>
      </c>
      <c r="J2810" t="s">
        <v>1490</v>
      </c>
      <c r="K2810" t="s">
        <v>1491</v>
      </c>
      <c r="L2810">
        <v>24198</v>
      </c>
      <c r="M2810" t="s">
        <v>2525</v>
      </c>
      <c r="O2810" t="s">
        <v>11</v>
      </c>
      <c r="P2810">
        <v>6102</v>
      </c>
      <c r="Q2810">
        <v>20</v>
      </c>
      <c r="R2810">
        <v>18.010000000000002</v>
      </c>
      <c r="S2810">
        <v>360.2</v>
      </c>
      <c r="T2810">
        <v>273.39999999999998</v>
      </c>
      <c r="U2810">
        <v>24.1</v>
      </c>
      <c r="V2810" t="str">
        <f>VLOOKUP(L2810,'[2]tabela de preços'!$A:$D,4,0)</f>
        <v>SKY</v>
      </c>
      <c r="W2810" t="str">
        <f>VLOOKUP(L2810,'[2]tabela de preços'!$A:$F,6,0)</f>
        <v>CATALISADORES INDIVIDUAS</v>
      </c>
      <c r="X2810" t="str">
        <f>VLOOKUP(L2810,'[2]tabela de preços'!$A:$G,7,0)</f>
        <v>AUTOMOTIVO</v>
      </c>
    </row>
    <row r="2811" spans="1:24" x14ac:dyDescent="0.3">
      <c r="A2811" t="s">
        <v>1486</v>
      </c>
      <c r="C2811" t="s">
        <v>2523</v>
      </c>
      <c r="D2811" s="1">
        <v>46056</v>
      </c>
      <c r="E2811" t="s">
        <v>2524</v>
      </c>
      <c r="F2811">
        <v>9</v>
      </c>
      <c r="G2811">
        <v>236</v>
      </c>
      <c r="H2811" t="str">
        <f>VLOOKUP(G2811,[1]OPERADORES!$A:$B,2,0)</f>
        <v>DANIEL</v>
      </c>
      <c r="I2811" t="s">
        <v>1489</v>
      </c>
      <c r="J2811" t="s">
        <v>1490</v>
      </c>
      <c r="K2811" t="s">
        <v>1491</v>
      </c>
      <c r="L2811">
        <v>23690</v>
      </c>
      <c r="M2811" t="s">
        <v>98</v>
      </c>
      <c r="O2811" t="s">
        <v>11</v>
      </c>
      <c r="P2811">
        <v>6403</v>
      </c>
      <c r="Q2811">
        <v>12</v>
      </c>
      <c r="R2811">
        <v>42.68</v>
      </c>
      <c r="S2811">
        <v>512.16</v>
      </c>
      <c r="T2811">
        <v>379.32</v>
      </c>
      <c r="U2811">
        <v>25.94</v>
      </c>
      <c r="V2811" t="str">
        <f>VLOOKUP(L2811,'[2]tabela de preços'!$A:$D,4,0)</f>
        <v>WANDA</v>
      </c>
      <c r="W2811" t="str">
        <f>VLOOKUP(L2811,'[2]tabela de preços'!$A:$F,6,0)</f>
        <v>VERNIZ AUTOMOTIVO</v>
      </c>
      <c r="X2811" t="str">
        <f>VLOOKUP(L2811,'[2]tabela de preços'!$A:$G,7,0)</f>
        <v>AUTOMOTIVO</v>
      </c>
    </row>
    <row r="2812" spans="1:24" x14ac:dyDescent="0.3">
      <c r="A2812" t="s">
        <v>1486</v>
      </c>
      <c r="C2812" t="s">
        <v>2523</v>
      </c>
      <c r="D2812" s="1">
        <v>46056</v>
      </c>
      <c r="E2812" t="s">
        <v>2524</v>
      </c>
      <c r="F2812">
        <v>9</v>
      </c>
      <c r="G2812">
        <v>236</v>
      </c>
      <c r="H2812" t="str">
        <f>VLOOKUP(G2812,[1]OPERADORES!$A:$B,2,0)</f>
        <v>DANIEL</v>
      </c>
      <c r="I2812" t="s">
        <v>1489</v>
      </c>
      <c r="J2812" t="s">
        <v>1490</v>
      </c>
      <c r="K2812" t="s">
        <v>1491</v>
      </c>
      <c r="L2812">
        <v>23100</v>
      </c>
      <c r="M2812" t="s">
        <v>99</v>
      </c>
      <c r="O2812" t="s">
        <v>11</v>
      </c>
      <c r="P2812">
        <v>6102</v>
      </c>
      <c r="Q2812">
        <v>100</v>
      </c>
      <c r="R2812">
        <v>2.35</v>
      </c>
      <c r="S2812">
        <v>235</v>
      </c>
      <c r="T2812">
        <v>169</v>
      </c>
      <c r="U2812">
        <v>28.09</v>
      </c>
      <c r="V2812" t="str">
        <f>VLOOKUP(L2812,'[2]tabela de preços'!$A:$D,4,0)</f>
        <v>3M</v>
      </c>
      <c r="W2812" t="str">
        <f>VLOOKUP(L2812,'[2]tabela de preços'!$A:$F,6,0)</f>
        <v xml:space="preserve">DISCOS / LIXAS / ABRASIVOS </v>
      </c>
      <c r="X2812" t="str">
        <f>VLOOKUP(L2812,'[2]tabela de preços'!$A:$G,7,0)</f>
        <v>AUTOMOTIVO</v>
      </c>
    </row>
    <row r="2813" spans="1:24" x14ac:dyDescent="0.3">
      <c r="A2813" t="s">
        <v>1486</v>
      </c>
      <c r="C2813" t="s">
        <v>2523</v>
      </c>
      <c r="D2813" s="1">
        <v>46056</v>
      </c>
      <c r="E2813" t="s">
        <v>2524</v>
      </c>
      <c r="F2813">
        <v>9</v>
      </c>
      <c r="G2813">
        <v>236</v>
      </c>
      <c r="H2813" t="str">
        <f>VLOOKUP(G2813,[1]OPERADORES!$A:$B,2,0)</f>
        <v>DANIEL</v>
      </c>
      <c r="I2813" t="s">
        <v>1489</v>
      </c>
      <c r="J2813" t="s">
        <v>1490</v>
      </c>
      <c r="K2813" t="s">
        <v>1491</v>
      </c>
      <c r="L2813">
        <v>23101</v>
      </c>
      <c r="M2813" t="s">
        <v>410</v>
      </c>
      <c r="O2813" t="s">
        <v>411</v>
      </c>
      <c r="P2813">
        <v>6102</v>
      </c>
      <c r="Q2813">
        <v>100</v>
      </c>
      <c r="R2813">
        <v>2.35</v>
      </c>
      <c r="S2813">
        <v>235</v>
      </c>
      <c r="T2813">
        <v>169</v>
      </c>
      <c r="U2813">
        <v>28.09</v>
      </c>
      <c r="V2813" t="str">
        <f>VLOOKUP(L2813,'[2]tabela de preços'!$A:$D,4,0)</f>
        <v>3M</v>
      </c>
      <c r="W2813" t="str">
        <f>VLOOKUP(L2813,'[2]tabela de preços'!$A:$F,6,0)</f>
        <v xml:space="preserve">DISCOS / LIXAS / ABRASIVOS </v>
      </c>
      <c r="X2813" t="str">
        <f>VLOOKUP(L2813,'[2]tabela de preços'!$A:$G,7,0)</f>
        <v>AUTOMOTIVO</v>
      </c>
    </row>
    <row r="2814" spans="1:24" x14ac:dyDescent="0.3">
      <c r="A2814" t="s">
        <v>1486</v>
      </c>
      <c r="C2814" t="s">
        <v>2523</v>
      </c>
      <c r="D2814" s="1">
        <v>46056</v>
      </c>
      <c r="E2814" t="s">
        <v>2524</v>
      </c>
      <c r="F2814">
        <v>9</v>
      </c>
      <c r="G2814">
        <v>236</v>
      </c>
      <c r="H2814" t="str">
        <f>VLOOKUP(G2814,[1]OPERADORES!$A:$B,2,0)</f>
        <v>DANIEL</v>
      </c>
      <c r="I2814" t="s">
        <v>1489</v>
      </c>
      <c r="J2814" t="s">
        <v>1490</v>
      </c>
      <c r="K2814" t="s">
        <v>1491</v>
      </c>
      <c r="L2814">
        <v>23096</v>
      </c>
      <c r="M2814" t="s">
        <v>656</v>
      </c>
      <c r="O2814" t="s">
        <v>411</v>
      </c>
      <c r="P2814">
        <v>6102</v>
      </c>
      <c r="Q2814">
        <v>100</v>
      </c>
      <c r="R2814">
        <v>2.35</v>
      </c>
      <c r="S2814">
        <v>235</v>
      </c>
      <c r="T2814">
        <v>169</v>
      </c>
      <c r="U2814">
        <v>28.09</v>
      </c>
      <c r="V2814" t="str">
        <f>VLOOKUP(L2814,'[2]tabela de preços'!$A:$D,4,0)</f>
        <v>3M</v>
      </c>
      <c r="W2814" t="str">
        <f>VLOOKUP(L2814,'[2]tabela de preços'!$A:$F,6,0)</f>
        <v xml:space="preserve">DISCOS / LIXAS / ABRASIVOS </v>
      </c>
      <c r="X2814" t="str">
        <f>VLOOKUP(L2814,'[2]tabela de preços'!$A:$G,7,0)</f>
        <v>AUTOMOTIVO</v>
      </c>
    </row>
    <row r="2815" spans="1:24" x14ac:dyDescent="0.3">
      <c r="A2815" t="s">
        <v>1486</v>
      </c>
      <c r="C2815" t="s">
        <v>2523</v>
      </c>
      <c r="D2815" s="1">
        <v>46056</v>
      </c>
      <c r="E2815" t="s">
        <v>2524</v>
      </c>
      <c r="F2815">
        <v>9</v>
      </c>
      <c r="G2815">
        <v>236</v>
      </c>
      <c r="H2815" t="str">
        <f>VLOOKUP(G2815,[1]OPERADORES!$A:$B,2,0)</f>
        <v>DANIEL</v>
      </c>
      <c r="I2815" t="s">
        <v>1489</v>
      </c>
      <c r="J2815" t="s">
        <v>1490</v>
      </c>
      <c r="K2815" t="s">
        <v>1491</v>
      </c>
      <c r="L2815">
        <v>23097</v>
      </c>
      <c r="M2815" t="s">
        <v>412</v>
      </c>
      <c r="O2815" t="s">
        <v>411</v>
      </c>
      <c r="P2815">
        <v>6102</v>
      </c>
      <c r="Q2815">
        <v>100</v>
      </c>
      <c r="R2815">
        <v>2.35</v>
      </c>
      <c r="S2815">
        <v>235</v>
      </c>
      <c r="T2815">
        <v>136</v>
      </c>
      <c r="U2815">
        <v>42.13</v>
      </c>
      <c r="V2815" t="str">
        <f>VLOOKUP(L2815,'[2]tabela de preços'!$A:$D,4,0)</f>
        <v>3M</v>
      </c>
      <c r="W2815" t="str">
        <f>VLOOKUP(L2815,'[2]tabela de preços'!$A:$F,6,0)</f>
        <v xml:space="preserve">DISCOS / LIXAS / ABRASIVOS </v>
      </c>
      <c r="X2815" t="str">
        <f>VLOOKUP(L2815,'[2]tabela de preços'!$A:$G,7,0)</f>
        <v>AUTOMOTIVO</v>
      </c>
    </row>
    <row r="2816" spans="1:24" x14ac:dyDescent="0.3">
      <c r="A2816" t="s">
        <v>1486</v>
      </c>
      <c r="C2816" t="s">
        <v>2523</v>
      </c>
      <c r="D2816" s="1">
        <v>46056</v>
      </c>
      <c r="E2816" t="s">
        <v>2524</v>
      </c>
      <c r="F2816">
        <v>9</v>
      </c>
      <c r="G2816">
        <v>236</v>
      </c>
      <c r="H2816" t="str">
        <f>VLOOKUP(G2816,[1]OPERADORES!$A:$B,2,0)</f>
        <v>DANIEL</v>
      </c>
      <c r="I2816" t="s">
        <v>1489</v>
      </c>
      <c r="J2816" t="s">
        <v>1490</v>
      </c>
      <c r="K2816" t="s">
        <v>1491</v>
      </c>
      <c r="L2816">
        <v>13</v>
      </c>
      <c r="M2816" t="s">
        <v>152</v>
      </c>
      <c r="O2816" t="s">
        <v>11</v>
      </c>
      <c r="P2816">
        <v>6102</v>
      </c>
      <c r="Q2816">
        <v>100</v>
      </c>
      <c r="R2816">
        <v>5.79</v>
      </c>
      <c r="S2816">
        <v>579</v>
      </c>
      <c r="T2816">
        <v>416</v>
      </c>
      <c r="U2816">
        <v>28.15</v>
      </c>
      <c r="V2816" t="str">
        <f>VLOOKUP(L2816,'[2]tabela de preços'!$A:$D,4,0)</f>
        <v>3M</v>
      </c>
      <c r="W2816" t="str">
        <f>VLOOKUP(L2816,'[2]tabela de preços'!$A:$F,6,0)</f>
        <v>LIXA DÁGUA</v>
      </c>
      <c r="X2816" t="str">
        <f>VLOOKUP(L2816,'[2]tabela de preços'!$A:$G,7,0)</f>
        <v>AUTOMOTIVO</v>
      </c>
    </row>
    <row r="2817" spans="1:24" x14ac:dyDescent="0.3">
      <c r="A2817" t="s">
        <v>1486</v>
      </c>
      <c r="C2817" t="s">
        <v>2523</v>
      </c>
      <c r="D2817" s="1">
        <v>46056</v>
      </c>
      <c r="E2817" t="s">
        <v>2524</v>
      </c>
      <c r="F2817">
        <v>9</v>
      </c>
      <c r="G2817">
        <v>236</v>
      </c>
      <c r="H2817" t="str">
        <f>VLOOKUP(G2817,[1]OPERADORES!$A:$B,2,0)</f>
        <v>DANIEL</v>
      </c>
      <c r="I2817" t="s">
        <v>1489</v>
      </c>
      <c r="J2817" t="s">
        <v>1490</v>
      </c>
      <c r="K2817" t="s">
        <v>1491</v>
      </c>
      <c r="L2817">
        <v>15</v>
      </c>
      <c r="M2817" t="s">
        <v>205</v>
      </c>
      <c r="O2817" t="s">
        <v>11</v>
      </c>
      <c r="P2817">
        <v>6102</v>
      </c>
      <c r="Q2817">
        <v>50</v>
      </c>
      <c r="R2817">
        <v>5.79</v>
      </c>
      <c r="S2817">
        <v>289.5</v>
      </c>
      <c r="T2817">
        <v>208</v>
      </c>
      <c r="U2817">
        <v>28.15</v>
      </c>
      <c r="V2817" t="str">
        <f>VLOOKUP(L2817,'[2]tabela de preços'!$A:$D,4,0)</f>
        <v>3M</v>
      </c>
      <c r="W2817" t="str">
        <f>VLOOKUP(L2817,'[2]tabela de preços'!$A:$F,6,0)</f>
        <v>LIXA DÁGUA</v>
      </c>
      <c r="X2817" t="str">
        <f>VLOOKUP(L2817,'[2]tabela de preços'!$A:$G,7,0)</f>
        <v>AUTOMOTIVO</v>
      </c>
    </row>
    <row r="2818" spans="1:24" x14ac:dyDescent="0.3">
      <c r="A2818" t="s">
        <v>1486</v>
      </c>
      <c r="C2818" t="s">
        <v>2523</v>
      </c>
      <c r="D2818" s="1">
        <v>46056</v>
      </c>
      <c r="E2818" t="s">
        <v>2526</v>
      </c>
      <c r="F2818">
        <v>9</v>
      </c>
      <c r="G2818">
        <v>236</v>
      </c>
      <c r="H2818" t="str">
        <f>VLOOKUP(G2818,[1]OPERADORES!$A:$B,2,0)</f>
        <v>DANIEL</v>
      </c>
      <c r="I2818" t="s">
        <v>1489</v>
      </c>
      <c r="J2818" t="s">
        <v>1490</v>
      </c>
      <c r="K2818" t="s">
        <v>1491</v>
      </c>
      <c r="L2818">
        <v>20414</v>
      </c>
      <c r="M2818" t="s">
        <v>112</v>
      </c>
      <c r="O2818" t="s">
        <v>11</v>
      </c>
      <c r="P2818">
        <v>6102</v>
      </c>
      <c r="Q2818">
        <v>20</v>
      </c>
      <c r="R2818">
        <v>21.89</v>
      </c>
      <c r="S2818">
        <v>437.8</v>
      </c>
      <c r="T2818">
        <v>360</v>
      </c>
      <c r="U2818">
        <v>17.77</v>
      </c>
      <c r="V2818" t="str">
        <f>VLOOKUP(L2818,'[2]tabela de preços'!$A:$D,4,0)</f>
        <v>SHERWIN WILLIAMS</v>
      </c>
      <c r="W2818" t="str">
        <f>VLOOKUP(L2818,'[2]tabela de preços'!$A:$F,6,0)</f>
        <v>DILUENTE</v>
      </c>
      <c r="X2818" t="str">
        <f>VLOOKUP(L2818,'[2]tabela de preços'!$A:$G,7,0)</f>
        <v>AUTOMOTIVO</v>
      </c>
    </row>
    <row r="2819" spans="1:24" x14ac:dyDescent="0.3">
      <c r="A2819" t="s">
        <v>1486</v>
      </c>
      <c r="C2819" t="s">
        <v>2523</v>
      </c>
      <c r="D2819" s="1">
        <v>46056</v>
      </c>
      <c r="E2819" t="s">
        <v>2524</v>
      </c>
      <c r="F2819">
        <v>9</v>
      </c>
      <c r="G2819">
        <v>236</v>
      </c>
      <c r="H2819" t="str">
        <f>VLOOKUP(G2819,[1]OPERADORES!$A:$B,2,0)</f>
        <v>DANIEL</v>
      </c>
      <c r="I2819" t="s">
        <v>1489</v>
      </c>
      <c r="J2819" t="s">
        <v>1490</v>
      </c>
      <c r="K2819" t="s">
        <v>1491</v>
      </c>
      <c r="L2819">
        <v>23408</v>
      </c>
      <c r="M2819" t="s">
        <v>2527</v>
      </c>
      <c r="O2819" t="s">
        <v>11</v>
      </c>
      <c r="P2819">
        <v>6102</v>
      </c>
      <c r="Q2819">
        <v>1</v>
      </c>
      <c r="R2819">
        <v>460.74</v>
      </c>
      <c r="S2819">
        <v>460.74</v>
      </c>
      <c r="T2819">
        <v>349.71</v>
      </c>
      <c r="U2819">
        <v>24.1</v>
      </c>
      <c r="V2819" t="str">
        <f>VLOOKUP(L2819,'[2]tabela de preços'!$A:$D,4,0)</f>
        <v>WANDA</v>
      </c>
      <c r="W2819" t="str">
        <f>VLOOKUP(L2819,'[2]tabela de preços'!$A:$F,6,0)</f>
        <v>BASES POLIÉSTER</v>
      </c>
      <c r="X2819" t="str">
        <f>VLOOKUP(L2819,'[2]tabela de preços'!$A:$G,7,0)</f>
        <v>AUTOMOTIVO</v>
      </c>
    </row>
    <row r="2820" spans="1:24" x14ac:dyDescent="0.3">
      <c r="A2820" t="s">
        <v>1486</v>
      </c>
      <c r="C2820" t="s">
        <v>2528</v>
      </c>
      <c r="D2820" s="1">
        <v>46056</v>
      </c>
      <c r="E2820" t="s">
        <v>2529</v>
      </c>
      <c r="F2820">
        <v>9</v>
      </c>
      <c r="G2820">
        <v>236</v>
      </c>
      <c r="H2820" t="str">
        <f>VLOOKUP(G2820,[1]OPERADORES!$A:$B,2,0)</f>
        <v>DANIEL</v>
      </c>
      <c r="I2820" t="s">
        <v>1489</v>
      </c>
      <c r="J2820" t="s">
        <v>1490</v>
      </c>
      <c r="K2820" t="s">
        <v>1491</v>
      </c>
      <c r="L2820">
        <v>84310</v>
      </c>
      <c r="M2820" t="s">
        <v>2530</v>
      </c>
      <c r="O2820" t="s">
        <v>11</v>
      </c>
      <c r="P2820">
        <v>6403</v>
      </c>
      <c r="Q2820">
        <v>1</v>
      </c>
      <c r="R2820">
        <v>46.17</v>
      </c>
      <c r="S2820">
        <v>46.17</v>
      </c>
      <c r="T2820">
        <v>32.92</v>
      </c>
      <c r="U2820">
        <v>28.7</v>
      </c>
      <c r="V2820" t="str">
        <f>VLOOKUP(L2820,'[2]tabela de preços'!$A:$D,4,0)</f>
        <v>BRASILUX</v>
      </c>
      <c r="W2820" t="str">
        <f>VLOOKUP(L2820,'[2]tabela de preços'!$A:$F,6,0)</f>
        <v>TINTA PARA PISO</v>
      </c>
      <c r="X2820" t="str">
        <f>VLOOKUP(L2820,'[2]tabela de preços'!$A:$G,7,0)</f>
        <v>IMOBILIÁRIO</v>
      </c>
    </row>
    <row r="2821" spans="1:24" x14ac:dyDescent="0.3">
      <c r="A2821" t="s">
        <v>1516</v>
      </c>
      <c r="C2821" t="s">
        <v>2531</v>
      </c>
      <c r="D2821" s="1">
        <v>46056</v>
      </c>
      <c r="E2821" t="s">
        <v>2532</v>
      </c>
      <c r="F2821">
        <v>9</v>
      </c>
      <c r="G2821">
        <v>174</v>
      </c>
      <c r="H2821" t="str">
        <f>VLOOKUP(G2821,[1]OPERADORES!$A:$B,2,0)</f>
        <v>MIRIÃ LOBATO RODRIGUES</v>
      </c>
      <c r="I2821" t="s">
        <v>21</v>
      </c>
      <c r="J2821" t="s">
        <v>372</v>
      </c>
      <c r="K2821" t="s">
        <v>1519</v>
      </c>
      <c r="L2821">
        <v>84815</v>
      </c>
      <c r="M2821" t="s">
        <v>949</v>
      </c>
      <c r="O2821" t="s">
        <v>11</v>
      </c>
      <c r="P2821">
        <v>5403</v>
      </c>
      <c r="Q2821">
        <v>4</v>
      </c>
      <c r="R2821">
        <v>32.35</v>
      </c>
      <c r="S2821">
        <v>129.4</v>
      </c>
      <c r="T2821">
        <v>98.2</v>
      </c>
      <c r="U2821">
        <v>24.11</v>
      </c>
      <c r="V2821" t="str">
        <f>VLOOKUP(L2821,'[2]tabela de preços'!$A:$D,4,0)</f>
        <v>BRASILUX</v>
      </c>
      <c r="W2821" t="str">
        <f>VLOOKUP(L2821,'[2]tabela de preços'!$A:$F,6,0)</f>
        <v>KIT BRASCORTEN</v>
      </c>
      <c r="X2821" t="str">
        <f>VLOOKUP(L2821,'[2]tabela de preços'!$A:$G,7,0)</f>
        <v>IMOBILIÁRIO</v>
      </c>
    </row>
    <row r="2822" spans="1:24" x14ac:dyDescent="0.3">
      <c r="A2822" t="s">
        <v>1516</v>
      </c>
      <c r="C2822" t="s">
        <v>2531</v>
      </c>
      <c r="D2822" s="1">
        <v>46056</v>
      </c>
      <c r="E2822" t="s">
        <v>2532</v>
      </c>
      <c r="F2822">
        <v>9</v>
      </c>
      <c r="G2822">
        <v>174</v>
      </c>
      <c r="H2822" t="str">
        <f>VLOOKUP(G2822,[1]OPERADORES!$A:$B,2,0)</f>
        <v>MIRIÃ LOBATO RODRIGUES</v>
      </c>
      <c r="I2822" t="s">
        <v>21</v>
      </c>
      <c r="J2822" t="s">
        <v>372</v>
      </c>
      <c r="K2822" t="s">
        <v>1519</v>
      </c>
      <c r="L2822">
        <v>84814</v>
      </c>
      <c r="M2822" t="s">
        <v>950</v>
      </c>
      <c r="O2822" t="s">
        <v>11</v>
      </c>
      <c r="P2822">
        <v>5403</v>
      </c>
      <c r="Q2822">
        <v>1</v>
      </c>
      <c r="R2822">
        <v>118.93</v>
      </c>
      <c r="S2822">
        <v>118.93</v>
      </c>
      <c r="T2822">
        <v>90.27</v>
      </c>
      <c r="U2822">
        <v>24.1</v>
      </c>
      <c r="V2822" t="str">
        <f>VLOOKUP(L2822,'[2]tabela de preços'!$A:$D,4,0)</f>
        <v>BRASILUX</v>
      </c>
      <c r="W2822" t="str">
        <f>VLOOKUP(L2822,'[2]tabela de preços'!$A:$F,6,0)</f>
        <v>KIT BRASCORTEN</v>
      </c>
      <c r="X2822" t="str">
        <f>VLOOKUP(L2822,'[2]tabela de preços'!$A:$G,7,0)</f>
        <v>IMOBILIÁRIO</v>
      </c>
    </row>
    <row r="2823" spans="1:24" x14ac:dyDescent="0.3">
      <c r="A2823" t="s">
        <v>2679</v>
      </c>
      <c r="C2823" t="s">
        <v>2680</v>
      </c>
      <c r="D2823" s="1">
        <v>46058</v>
      </c>
      <c r="E2823" t="s">
        <v>2681</v>
      </c>
      <c r="F2823">
        <v>9</v>
      </c>
      <c r="G2823">
        <v>231</v>
      </c>
      <c r="H2823" t="str">
        <f>VLOOKUP(G2823,[1]OPERADORES!$A:$B,2,0)</f>
        <v>EDIJANE</v>
      </c>
      <c r="I2823" t="s">
        <v>21</v>
      </c>
      <c r="J2823" t="s">
        <v>66</v>
      </c>
      <c r="K2823" t="s">
        <v>2682</v>
      </c>
      <c r="L2823">
        <v>85321</v>
      </c>
      <c r="M2823" t="s">
        <v>1063</v>
      </c>
      <c r="O2823" t="s">
        <v>11</v>
      </c>
      <c r="P2823">
        <v>5102</v>
      </c>
      <c r="Q2823">
        <v>1</v>
      </c>
      <c r="R2823">
        <v>614.41</v>
      </c>
      <c r="S2823">
        <v>614.41</v>
      </c>
      <c r="T2823">
        <v>438.08</v>
      </c>
      <c r="U2823">
        <v>28.7</v>
      </c>
      <c r="V2823" t="str">
        <f>VLOOKUP(L2823,'[2]tabela de preços'!$A:$D,4,0)</f>
        <v>BRASILUX</v>
      </c>
      <c r="W2823" t="str">
        <f>VLOOKUP(L2823,'[2]tabela de preços'!$A:$F,6,0)</f>
        <v>TINTA EM PÓ</v>
      </c>
      <c r="X2823" t="str">
        <f>VLOOKUP(L2823,'[2]tabela de preços'!$A:$G,7,0)</f>
        <v>INDUSTRIAL</v>
      </c>
    </row>
    <row r="2824" spans="1:24" x14ac:dyDescent="0.3">
      <c r="A2824" t="s">
        <v>1606</v>
      </c>
      <c r="C2824" t="s">
        <v>2454</v>
      </c>
      <c r="D2824" s="1">
        <v>46055</v>
      </c>
      <c r="E2824" t="s">
        <v>2455</v>
      </c>
      <c r="F2824">
        <v>9</v>
      </c>
      <c r="G2824">
        <v>230</v>
      </c>
      <c r="H2824" t="str">
        <f>VLOOKUP(G2824,[1]OPERADORES!$A:$B,2,0)</f>
        <v>SÔNIA</v>
      </c>
      <c r="I2824" t="s">
        <v>21</v>
      </c>
      <c r="J2824" t="s">
        <v>397</v>
      </c>
      <c r="K2824" t="s">
        <v>1609</v>
      </c>
      <c r="L2824">
        <v>9764</v>
      </c>
      <c r="M2824" t="s">
        <v>173</v>
      </c>
      <c r="O2824" t="s">
        <v>11</v>
      </c>
      <c r="P2824">
        <v>5102</v>
      </c>
      <c r="Q2824">
        <v>48</v>
      </c>
      <c r="R2824">
        <v>33.54</v>
      </c>
      <c r="S2824" s="2">
        <v>1609.92</v>
      </c>
      <c r="T2824" s="2">
        <v>1222.08</v>
      </c>
      <c r="U2824">
        <v>24.09</v>
      </c>
      <c r="V2824" t="str">
        <f>VLOOKUP(L2824,'[2]tabela de preços'!$A:$D,4,0)</f>
        <v>SIKKENS</v>
      </c>
      <c r="W2824" t="str">
        <f>VLOOKUP(L2824,'[2]tabela de preços'!$A:$F,6,0)</f>
        <v>MASSA DE PEQUENOS REPAROS</v>
      </c>
      <c r="X2824" t="str">
        <f>VLOOKUP(L2824,'[2]tabela de preços'!$A:$G,7,0)</f>
        <v>AUTOMOTIVO</v>
      </c>
    </row>
    <row r="2825" spans="1:24" x14ac:dyDescent="0.3">
      <c r="A2825" t="s">
        <v>1606</v>
      </c>
      <c r="C2825" t="s">
        <v>2454</v>
      </c>
      <c r="D2825" s="1">
        <v>46055</v>
      </c>
      <c r="E2825" t="s">
        <v>2455</v>
      </c>
      <c r="F2825">
        <v>9</v>
      </c>
      <c r="G2825">
        <v>230</v>
      </c>
      <c r="H2825" t="str">
        <f>VLOOKUP(G2825,[1]OPERADORES!$A:$B,2,0)</f>
        <v>SÔNIA</v>
      </c>
      <c r="I2825" t="s">
        <v>21</v>
      </c>
      <c r="J2825" t="s">
        <v>397</v>
      </c>
      <c r="K2825" t="s">
        <v>1609</v>
      </c>
      <c r="L2825">
        <v>21067</v>
      </c>
      <c r="M2825" t="s">
        <v>640</v>
      </c>
      <c r="O2825" t="s">
        <v>11</v>
      </c>
      <c r="P2825">
        <v>5102</v>
      </c>
      <c r="Q2825">
        <v>6</v>
      </c>
      <c r="R2825">
        <v>36.07</v>
      </c>
      <c r="S2825">
        <v>216.42</v>
      </c>
      <c r="T2825">
        <v>164.28</v>
      </c>
      <c r="U2825">
        <v>24.09</v>
      </c>
      <c r="V2825" t="str">
        <f>VLOOKUP(L2825,'[2]tabela de preços'!$A:$D,4,0)</f>
        <v>SIKKENS</v>
      </c>
      <c r="W2825" t="str">
        <f>VLOOKUP(L2825,'[2]tabela de preços'!$A:$F,6,0)</f>
        <v>DILUENTE</v>
      </c>
      <c r="X2825" t="str">
        <f>VLOOKUP(L2825,'[2]tabela de preços'!$A:$G,7,0)</f>
        <v>AUTOMOTIVO</v>
      </c>
    </row>
    <row r="2826" spans="1:24" x14ac:dyDescent="0.3">
      <c r="A2826" t="s">
        <v>1623</v>
      </c>
      <c r="C2826" t="s">
        <v>2456</v>
      </c>
      <c r="D2826" s="1">
        <v>46055</v>
      </c>
      <c r="E2826" t="s">
        <v>2457</v>
      </c>
      <c r="F2826">
        <v>9</v>
      </c>
      <c r="G2826">
        <v>231</v>
      </c>
      <c r="H2826" t="str">
        <f>VLOOKUP(G2826,[1]OPERADORES!$A:$B,2,0)</f>
        <v>EDIJANE</v>
      </c>
      <c r="I2826" t="s">
        <v>21</v>
      </c>
      <c r="J2826" t="s">
        <v>531</v>
      </c>
      <c r="K2826" t="s">
        <v>1626</v>
      </c>
      <c r="L2826">
        <v>84406</v>
      </c>
      <c r="M2826" t="s">
        <v>2110</v>
      </c>
      <c r="O2826" t="s">
        <v>11</v>
      </c>
      <c r="P2826">
        <v>5102</v>
      </c>
      <c r="Q2826">
        <v>1</v>
      </c>
      <c r="R2826">
        <v>32.159999999999997</v>
      </c>
      <c r="S2826">
        <v>32.159999999999997</v>
      </c>
      <c r="T2826">
        <v>24.41</v>
      </c>
      <c r="U2826">
        <v>24.1</v>
      </c>
      <c r="V2826" t="str">
        <f>VLOOKUP(L2826,'[2]tabela de preços'!$A:$D,4,0)</f>
        <v>3M</v>
      </c>
      <c r="W2826" t="str">
        <f>VLOOKUP(L2826,'[2]tabela de preços'!$A:$F,6,0)</f>
        <v>FITA DUPLA FACE</v>
      </c>
      <c r="X2826" t="str">
        <f>VLOOKUP(L2826,'[2]tabela de preços'!$A:$G,7,0)</f>
        <v>AUTOMOTIVO</v>
      </c>
    </row>
    <row r="2827" spans="1:24" x14ac:dyDescent="0.3">
      <c r="A2827" t="s">
        <v>1623</v>
      </c>
      <c r="C2827" t="s">
        <v>2456</v>
      </c>
      <c r="D2827" s="1">
        <v>46055</v>
      </c>
      <c r="E2827" t="s">
        <v>2457</v>
      </c>
      <c r="F2827">
        <v>9</v>
      </c>
      <c r="G2827">
        <v>231</v>
      </c>
      <c r="H2827" t="str">
        <f>VLOOKUP(G2827,[1]OPERADORES!$A:$B,2,0)</f>
        <v>EDIJANE</v>
      </c>
      <c r="I2827" t="s">
        <v>21</v>
      </c>
      <c r="J2827" t="s">
        <v>531</v>
      </c>
      <c r="K2827" t="s">
        <v>1626</v>
      </c>
      <c r="L2827">
        <v>85326</v>
      </c>
      <c r="M2827" t="s">
        <v>1627</v>
      </c>
      <c r="O2827" t="s">
        <v>11</v>
      </c>
      <c r="P2827">
        <v>5102</v>
      </c>
      <c r="Q2827">
        <v>1</v>
      </c>
      <c r="R2827">
        <v>565.9</v>
      </c>
      <c r="S2827">
        <v>565.9</v>
      </c>
      <c r="T2827">
        <v>403.49</v>
      </c>
      <c r="U2827">
        <v>28.7</v>
      </c>
      <c r="V2827" t="str">
        <f>VLOOKUP(L2827,'[2]tabela de preços'!$A:$D,4,0)</f>
        <v>BRASILUX</v>
      </c>
      <c r="W2827" t="str">
        <f>VLOOKUP(L2827,'[2]tabela de preços'!$A:$F,6,0)</f>
        <v>TINTA EM PÓ</v>
      </c>
      <c r="X2827" t="str">
        <f>VLOOKUP(L2827,'[2]tabela de preços'!$A:$G,7,0)</f>
        <v>INDUSTRIAL</v>
      </c>
    </row>
    <row r="2828" spans="1:24" x14ac:dyDescent="0.3">
      <c r="A2828" t="s">
        <v>1630</v>
      </c>
      <c r="C2828" t="s">
        <v>2683</v>
      </c>
      <c r="D2828" s="1">
        <v>46057</v>
      </c>
      <c r="E2828" t="s">
        <v>2684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762</v>
      </c>
      <c r="K2828" t="s">
        <v>1633</v>
      </c>
      <c r="L2828">
        <v>20135</v>
      </c>
      <c r="M2828" t="s">
        <v>459</v>
      </c>
      <c r="O2828" t="s">
        <v>11</v>
      </c>
      <c r="P2828">
        <v>5102</v>
      </c>
      <c r="Q2828">
        <v>15</v>
      </c>
      <c r="R2828">
        <v>25.37</v>
      </c>
      <c r="S2828">
        <v>380.55</v>
      </c>
      <c r="T2828">
        <v>288.89999999999998</v>
      </c>
      <c r="U2828">
        <v>24.08</v>
      </c>
      <c r="V2828" t="str">
        <f>VLOOKUP(L2828,'[2]tabela de preços'!$A:$D,4,0)</f>
        <v>3M</v>
      </c>
      <c r="W2828" t="str">
        <f>VLOOKUP(L2828,'[2]tabela de preços'!$A:$F,6,0)</f>
        <v>DISCO TRIZACT</v>
      </c>
      <c r="X2828" t="str">
        <f>VLOOKUP(L2828,'[2]tabela de preços'!$A:$G,7,0)</f>
        <v>AUTOMOTIVO</v>
      </c>
    </row>
    <row r="2829" spans="1:24" x14ac:dyDescent="0.3">
      <c r="A2829" t="s">
        <v>1630</v>
      </c>
      <c r="C2829" t="s">
        <v>2683</v>
      </c>
      <c r="D2829" s="1">
        <v>46057</v>
      </c>
      <c r="E2829" t="s">
        <v>2684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762</v>
      </c>
      <c r="K2829" t="s">
        <v>1633</v>
      </c>
      <c r="L2829">
        <v>84785</v>
      </c>
      <c r="M2829" t="s">
        <v>944</v>
      </c>
      <c r="O2829" t="s">
        <v>11</v>
      </c>
      <c r="P2829">
        <v>5403</v>
      </c>
      <c r="Q2829">
        <v>6</v>
      </c>
      <c r="R2829">
        <v>170.2</v>
      </c>
      <c r="S2829" s="2">
        <v>1021.2</v>
      </c>
      <c r="T2829">
        <v>784.32</v>
      </c>
      <c r="U2829">
        <v>23.2</v>
      </c>
      <c r="V2829" t="str">
        <f>VLOOKUP(L2829,'[2]tabela de preços'!$A:$D,4,0)</f>
        <v>BRASILUX</v>
      </c>
      <c r="W2829" t="str">
        <f>VLOOKUP(L2829,'[2]tabela de preços'!$A:$F,6,0)</f>
        <v>EPOXI</v>
      </c>
      <c r="X2829" t="str">
        <f>VLOOKUP(L2829,'[2]tabela de preços'!$A:$G,7,0)</f>
        <v>INDUSTRIAL</v>
      </c>
    </row>
    <row r="2830" spans="1:24" x14ac:dyDescent="0.3">
      <c r="A2830" t="s">
        <v>1630</v>
      </c>
      <c r="C2830" t="s">
        <v>2683</v>
      </c>
      <c r="D2830" s="1">
        <v>46057</v>
      </c>
      <c r="E2830" t="s">
        <v>2684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762</v>
      </c>
      <c r="K2830" t="s">
        <v>1633</v>
      </c>
      <c r="L2830">
        <v>84900</v>
      </c>
      <c r="M2830" t="s">
        <v>1261</v>
      </c>
      <c r="O2830" t="s">
        <v>11</v>
      </c>
      <c r="P2830">
        <v>5403</v>
      </c>
      <c r="Q2830">
        <v>9</v>
      </c>
      <c r="R2830">
        <v>167.4</v>
      </c>
      <c r="S2830" s="2">
        <v>1506.6</v>
      </c>
      <c r="T2830" s="2">
        <v>1157.1300000000001</v>
      </c>
      <c r="U2830">
        <v>23.2</v>
      </c>
      <c r="V2830" t="str">
        <f>VLOOKUP(L2830,'[2]tabela de preços'!$A:$D,4,0)</f>
        <v>BRASILUX</v>
      </c>
      <c r="W2830" t="str">
        <f>VLOOKUP(L2830,'[2]tabela de preços'!$A:$F,6,0)</f>
        <v>EPOXI</v>
      </c>
      <c r="X2830" t="str">
        <f>VLOOKUP(L2830,'[2]tabela de preços'!$A:$G,7,0)</f>
        <v>INDUSTRIAL</v>
      </c>
    </row>
    <row r="2831" spans="1:24" x14ac:dyDescent="0.3">
      <c r="A2831" t="s">
        <v>1630</v>
      </c>
      <c r="C2831" t="s">
        <v>2685</v>
      </c>
      <c r="D2831" s="1">
        <v>46057</v>
      </c>
      <c r="E2831" t="s">
        <v>2686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762</v>
      </c>
      <c r="K2831" t="s">
        <v>1633</v>
      </c>
      <c r="L2831">
        <v>10238</v>
      </c>
      <c r="M2831" t="s">
        <v>79</v>
      </c>
      <c r="O2831" t="s">
        <v>11</v>
      </c>
      <c r="P2831">
        <v>5102</v>
      </c>
      <c r="Q2831">
        <v>200</v>
      </c>
      <c r="R2831">
        <v>2.79</v>
      </c>
      <c r="S2831">
        <v>558</v>
      </c>
      <c r="T2831">
        <v>448</v>
      </c>
      <c r="U2831">
        <v>19.71</v>
      </c>
      <c r="V2831" t="str">
        <f>VLOOKUP(L2831,'[2]tabela de preços'!$A:$D,4,0)</f>
        <v>NORTON</v>
      </c>
      <c r="W2831" t="str">
        <f>VLOOKUP(L2831,'[2]tabela de preços'!$A:$F,6,0)</f>
        <v xml:space="preserve">DISCOS / LIXAS / ABRASIVOS </v>
      </c>
      <c r="X2831" t="str">
        <f>VLOOKUP(L2831,'[2]tabela de preços'!$A:$G,7,0)</f>
        <v>AUTOMOTIVO</v>
      </c>
    </row>
    <row r="2832" spans="1:24" x14ac:dyDescent="0.3">
      <c r="A2832" t="s">
        <v>1630</v>
      </c>
      <c r="C2832" t="s">
        <v>2687</v>
      </c>
      <c r="D2832" s="1">
        <v>46058</v>
      </c>
      <c r="E2832" t="s">
        <v>2688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762</v>
      </c>
      <c r="K2832" t="s">
        <v>1633</v>
      </c>
      <c r="L2832">
        <v>85292</v>
      </c>
      <c r="M2832" t="s">
        <v>1288</v>
      </c>
      <c r="O2832" t="s">
        <v>11</v>
      </c>
      <c r="P2832">
        <v>5403</v>
      </c>
      <c r="Q2832">
        <v>3</v>
      </c>
      <c r="R2832">
        <v>169.39</v>
      </c>
      <c r="S2832">
        <v>508.17</v>
      </c>
      <c r="T2832">
        <v>385.71</v>
      </c>
      <c r="U2832">
        <v>24.1</v>
      </c>
      <c r="V2832" t="str">
        <f>VLOOKUP(L2832,'[2]tabela de preços'!$A:$D,4,0)</f>
        <v>BRASILUX</v>
      </c>
      <c r="W2832" t="str">
        <f>VLOOKUP(L2832,'[2]tabela de preços'!$A:$F,6,0)</f>
        <v>EPOXI</v>
      </c>
      <c r="X2832" t="str">
        <f>VLOOKUP(L2832,'[2]tabela de preços'!$A:$G,7,0)</f>
        <v>INDUSTRIAL</v>
      </c>
    </row>
    <row r="2833" spans="1:24" x14ac:dyDescent="0.3">
      <c r="A2833" t="s">
        <v>1649</v>
      </c>
      <c r="B2833" t="s">
        <v>1650</v>
      </c>
      <c r="C2833" t="s">
        <v>2689</v>
      </c>
      <c r="D2833" s="1">
        <v>46058</v>
      </c>
      <c r="E2833" t="s">
        <v>2690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1653</v>
      </c>
      <c r="K2833" t="s">
        <v>1654</v>
      </c>
      <c r="L2833">
        <v>84490</v>
      </c>
      <c r="M2833" t="s">
        <v>2691</v>
      </c>
      <c r="O2833" t="s">
        <v>11</v>
      </c>
      <c r="P2833">
        <v>5403</v>
      </c>
      <c r="Q2833">
        <v>4</v>
      </c>
      <c r="R2833">
        <v>118.42</v>
      </c>
      <c r="S2833">
        <v>473.68</v>
      </c>
      <c r="T2833">
        <v>339.56</v>
      </c>
      <c r="U2833">
        <v>28.31</v>
      </c>
      <c r="V2833" t="str">
        <f>VLOOKUP(L2833,'[2]tabela de preços'!$A:$D,4,0)</f>
        <v>BRASILUX</v>
      </c>
      <c r="W2833" t="str">
        <f>VLOOKUP(L2833,'[2]tabela de preços'!$A:$F,6,0)</f>
        <v xml:space="preserve">BASES SISTEMA NO MACHINE </v>
      </c>
      <c r="X2833" t="str">
        <f>VLOOKUP(L2833,'[2]tabela de preços'!$A:$G,7,0)</f>
        <v>INDUSTRIAL</v>
      </c>
    </row>
    <row r="2834" spans="1:24" x14ac:dyDescent="0.3">
      <c r="A2834" t="s">
        <v>1701</v>
      </c>
      <c r="C2834" t="s">
        <v>2533</v>
      </c>
      <c r="D2834" s="1">
        <v>46056</v>
      </c>
      <c r="E2834" t="s">
        <v>2534</v>
      </c>
      <c r="F2834">
        <v>9</v>
      </c>
      <c r="G2834">
        <v>197</v>
      </c>
      <c r="H2834" t="str">
        <f>VLOOKUP(G2834,[1]OPERADORES!$A:$B,2,0)</f>
        <v xml:space="preserve">POLIANA LORRANE DE AMORIM </v>
      </c>
      <c r="I2834" t="s">
        <v>21</v>
      </c>
      <c r="J2834" t="s">
        <v>265</v>
      </c>
      <c r="K2834" t="s">
        <v>1704</v>
      </c>
      <c r="L2834">
        <v>84329</v>
      </c>
      <c r="M2834" t="s">
        <v>285</v>
      </c>
      <c r="O2834" t="s">
        <v>11</v>
      </c>
      <c r="P2834">
        <v>5403</v>
      </c>
      <c r="Q2834">
        <v>1</v>
      </c>
      <c r="R2834">
        <v>59.98</v>
      </c>
      <c r="S2834">
        <v>59.98</v>
      </c>
      <c r="T2834">
        <v>48.27</v>
      </c>
      <c r="U2834">
        <v>19.52</v>
      </c>
      <c r="V2834" t="str">
        <f>VLOOKUP(L2834,'[2]tabela de preços'!$A:$D,4,0)</f>
        <v>BRASILUX</v>
      </c>
      <c r="W2834" t="str">
        <f>VLOOKUP(L2834,'[2]tabela de preços'!$A:$F,6,0)</f>
        <v>ESMALTES</v>
      </c>
      <c r="X2834" t="str">
        <f>VLOOKUP(L2834,'[2]tabela de preços'!$A:$G,7,0)</f>
        <v>INDUSTRIAL</v>
      </c>
    </row>
    <row r="2835" spans="1:24" x14ac:dyDescent="0.3">
      <c r="A2835" t="s">
        <v>1701</v>
      </c>
      <c r="C2835" t="s">
        <v>2533</v>
      </c>
      <c r="D2835" s="1">
        <v>46056</v>
      </c>
      <c r="E2835" t="s">
        <v>2534</v>
      </c>
      <c r="F2835">
        <v>9</v>
      </c>
      <c r="G2835">
        <v>197</v>
      </c>
      <c r="H2835" t="str">
        <f>VLOOKUP(G2835,[1]OPERADORES!$A:$B,2,0)</f>
        <v xml:space="preserve">POLIANA LORRANE DE AMORIM </v>
      </c>
      <c r="I2835" t="s">
        <v>21</v>
      </c>
      <c r="J2835" t="s">
        <v>265</v>
      </c>
      <c r="K2835" t="s">
        <v>1704</v>
      </c>
      <c r="L2835">
        <v>84355</v>
      </c>
      <c r="M2835" t="s">
        <v>1705</v>
      </c>
      <c r="O2835" t="s">
        <v>11</v>
      </c>
      <c r="P2835">
        <v>5403</v>
      </c>
      <c r="Q2835">
        <v>1</v>
      </c>
      <c r="R2835">
        <v>20.03</v>
      </c>
      <c r="S2835">
        <v>20.03</v>
      </c>
      <c r="T2835">
        <v>15.21</v>
      </c>
      <c r="U2835">
        <v>24.06</v>
      </c>
      <c r="V2835" t="str">
        <f>VLOOKUP(L2835,'[2]tabela de preços'!$A:$D,4,0)</f>
        <v>BRASILUX</v>
      </c>
      <c r="W2835" t="str">
        <f>VLOOKUP(L2835,'[2]tabela de preços'!$A:$F,6,0)</f>
        <v>ESMALTES</v>
      </c>
      <c r="X2835" t="str">
        <f>VLOOKUP(L2835,'[2]tabela de preços'!$A:$G,7,0)</f>
        <v>INDUSTRIAL</v>
      </c>
    </row>
    <row r="2836" spans="1:24" x14ac:dyDescent="0.3">
      <c r="A2836" t="s">
        <v>1701</v>
      </c>
      <c r="C2836" t="s">
        <v>2533</v>
      </c>
      <c r="D2836" s="1">
        <v>46056</v>
      </c>
      <c r="E2836" t="s">
        <v>2534</v>
      </c>
      <c r="F2836">
        <v>9</v>
      </c>
      <c r="G2836">
        <v>197</v>
      </c>
      <c r="H2836" t="str">
        <f>VLOOKUP(G2836,[1]OPERADORES!$A:$B,2,0)</f>
        <v xml:space="preserve">POLIANA LORRANE DE AMORIM </v>
      </c>
      <c r="I2836" t="s">
        <v>21</v>
      </c>
      <c r="J2836" t="s">
        <v>265</v>
      </c>
      <c r="K2836" t="s">
        <v>1704</v>
      </c>
      <c r="L2836">
        <v>84142</v>
      </c>
      <c r="M2836" t="s">
        <v>1594</v>
      </c>
      <c r="O2836" t="s">
        <v>11</v>
      </c>
      <c r="P2836">
        <v>5403</v>
      </c>
      <c r="Q2836">
        <v>2</v>
      </c>
      <c r="R2836">
        <v>74.94</v>
      </c>
      <c r="S2836">
        <v>149.88</v>
      </c>
      <c r="T2836">
        <v>113.76</v>
      </c>
      <c r="U2836">
        <v>24.1</v>
      </c>
      <c r="V2836" t="str">
        <f>VLOOKUP(L2836,'[2]tabela de preços'!$A:$D,4,0)</f>
        <v>BRASILUX</v>
      </c>
      <c r="W2836" t="str">
        <f>VLOOKUP(L2836,'[2]tabela de preços'!$A:$F,6,0)</f>
        <v>ESMALTES</v>
      </c>
      <c r="X2836" t="str">
        <f>VLOOKUP(L2836,'[2]tabela de preços'!$A:$G,7,0)</f>
        <v>INDUSTRIAL</v>
      </c>
    </row>
    <row r="2837" spans="1:24" x14ac:dyDescent="0.3">
      <c r="A2837" t="s">
        <v>1701</v>
      </c>
      <c r="C2837" t="s">
        <v>2533</v>
      </c>
      <c r="D2837" s="1">
        <v>46056</v>
      </c>
      <c r="E2837" t="s">
        <v>2534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265</v>
      </c>
      <c r="K2837" t="s">
        <v>1704</v>
      </c>
      <c r="L2837">
        <v>84143</v>
      </c>
      <c r="M2837" t="s">
        <v>1706</v>
      </c>
      <c r="O2837" t="s">
        <v>11</v>
      </c>
      <c r="P2837">
        <v>5403</v>
      </c>
      <c r="Q2837">
        <v>3</v>
      </c>
      <c r="R2837">
        <v>20.41</v>
      </c>
      <c r="S2837">
        <v>61.23</v>
      </c>
      <c r="T2837">
        <v>46.47</v>
      </c>
      <c r="U2837">
        <v>24.11</v>
      </c>
      <c r="V2837" t="str">
        <f>VLOOKUP(L2837,'[2]tabela de preços'!$A:$D,4,0)</f>
        <v>BRASILUX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1701</v>
      </c>
      <c r="C2838" t="s">
        <v>2533</v>
      </c>
      <c r="D2838" s="1">
        <v>46056</v>
      </c>
      <c r="E2838" t="s">
        <v>2534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265</v>
      </c>
      <c r="K2838" t="s">
        <v>1704</v>
      </c>
      <c r="L2838">
        <v>84331</v>
      </c>
      <c r="M2838" t="s">
        <v>497</v>
      </c>
      <c r="O2838" t="s">
        <v>11</v>
      </c>
      <c r="P2838">
        <v>5403</v>
      </c>
      <c r="Q2838">
        <v>4</v>
      </c>
      <c r="R2838">
        <v>59.98</v>
      </c>
      <c r="S2838">
        <v>239.92</v>
      </c>
      <c r="T2838">
        <v>208</v>
      </c>
      <c r="U2838">
        <v>13.3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1701</v>
      </c>
      <c r="C2839" t="s">
        <v>2533</v>
      </c>
      <c r="D2839" s="1">
        <v>46056</v>
      </c>
      <c r="E2839" t="s">
        <v>2534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265</v>
      </c>
      <c r="K2839" t="s">
        <v>1704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1701</v>
      </c>
      <c r="C2840" t="s">
        <v>2533</v>
      </c>
      <c r="D2840" s="1">
        <v>46056</v>
      </c>
      <c r="E2840" t="s">
        <v>2534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265</v>
      </c>
      <c r="K2840" t="s">
        <v>1704</v>
      </c>
      <c r="L2840">
        <v>84144</v>
      </c>
      <c r="M2840" t="s">
        <v>1287</v>
      </c>
      <c r="O2840" t="s">
        <v>11</v>
      </c>
      <c r="P2840">
        <v>5403</v>
      </c>
      <c r="Q2840">
        <v>2</v>
      </c>
      <c r="R2840">
        <v>59.98</v>
      </c>
      <c r="S2840">
        <v>119.96</v>
      </c>
      <c r="T2840">
        <v>104</v>
      </c>
      <c r="U2840">
        <v>13.3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1701</v>
      </c>
      <c r="C2841" t="s">
        <v>2533</v>
      </c>
      <c r="D2841" s="1">
        <v>46056</v>
      </c>
      <c r="E2841" t="s">
        <v>2534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265</v>
      </c>
      <c r="K2841" t="s">
        <v>1704</v>
      </c>
      <c r="L2841">
        <v>84333</v>
      </c>
      <c r="M2841" t="s">
        <v>1025</v>
      </c>
      <c r="O2841" t="s">
        <v>11</v>
      </c>
      <c r="P2841">
        <v>5403</v>
      </c>
      <c r="Q2841">
        <v>3</v>
      </c>
      <c r="R2841">
        <v>59.98</v>
      </c>
      <c r="S2841">
        <v>179.94</v>
      </c>
      <c r="T2841">
        <v>141.12</v>
      </c>
      <c r="U2841">
        <v>21.57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1701</v>
      </c>
      <c r="C2842" t="s">
        <v>2533</v>
      </c>
      <c r="D2842" s="1">
        <v>46056</v>
      </c>
      <c r="E2842" t="s">
        <v>2534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265</v>
      </c>
      <c r="K2842" t="s">
        <v>1704</v>
      </c>
      <c r="L2842">
        <v>84342</v>
      </c>
      <c r="M2842" t="s">
        <v>498</v>
      </c>
      <c r="O2842" t="s">
        <v>11</v>
      </c>
      <c r="P2842">
        <v>5403</v>
      </c>
      <c r="Q2842">
        <v>4</v>
      </c>
      <c r="R2842">
        <v>59.98</v>
      </c>
      <c r="S2842">
        <v>239.92</v>
      </c>
      <c r="T2842">
        <v>183.12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1701</v>
      </c>
      <c r="C2843" t="s">
        <v>2533</v>
      </c>
      <c r="D2843" s="1">
        <v>46056</v>
      </c>
      <c r="E2843" t="s">
        <v>2534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265</v>
      </c>
      <c r="K2843" t="s">
        <v>1704</v>
      </c>
      <c r="L2843">
        <v>84347</v>
      </c>
      <c r="M2843" t="s">
        <v>1150</v>
      </c>
      <c r="O2843" t="s">
        <v>11</v>
      </c>
      <c r="P2843">
        <v>5403</v>
      </c>
      <c r="Q2843">
        <v>1</v>
      </c>
      <c r="R2843">
        <v>59.98</v>
      </c>
      <c r="S2843">
        <v>59.98</v>
      </c>
      <c r="T2843">
        <v>52</v>
      </c>
      <c r="U2843">
        <v>13.3</v>
      </c>
      <c r="V2843" t="str">
        <f>VLOOKUP(L2843,'[2]tabela de preços'!$A:$D,4,0)</f>
        <v>BRASILUX</v>
      </c>
      <c r="W2843" t="str">
        <f>VLOOKUP(L2843,'[2]tabela de preços'!$A:$F,6,0)</f>
        <v>ESMALTES</v>
      </c>
      <c r="X2843" t="str">
        <f>VLOOKUP(L2843,'[2]tabela de preços'!$A:$G,7,0)</f>
        <v>INDUSTRIAL</v>
      </c>
    </row>
    <row r="2844" spans="1:24" x14ac:dyDescent="0.3">
      <c r="A2844" t="s">
        <v>1701</v>
      </c>
      <c r="C2844" t="s">
        <v>2533</v>
      </c>
      <c r="D2844" s="1">
        <v>46056</v>
      </c>
      <c r="E2844" t="s">
        <v>2534</v>
      </c>
      <c r="F2844">
        <v>9</v>
      </c>
      <c r="G2844">
        <v>197</v>
      </c>
      <c r="H2844" t="str">
        <f>VLOOKUP(G2844,[1]OPERADORES!$A:$B,2,0)</f>
        <v xml:space="preserve">POLIANA LORRANE DE AMORIM </v>
      </c>
      <c r="I2844" t="s">
        <v>21</v>
      </c>
      <c r="J2844" t="s">
        <v>265</v>
      </c>
      <c r="K2844" t="s">
        <v>1704</v>
      </c>
      <c r="L2844">
        <v>84348</v>
      </c>
      <c r="M2844" t="s">
        <v>1711</v>
      </c>
      <c r="O2844" t="s">
        <v>11</v>
      </c>
      <c r="P2844">
        <v>5403</v>
      </c>
      <c r="Q2844">
        <v>1</v>
      </c>
      <c r="R2844">
        <v>59.98</v>
      </c>
      <c r="S2844">
        <v>59.98</v>
      </c>
      <c r="T2844">
        <v>47.66</v>
      </c>
      <c r="U2844">
        <v>20.54</v>
      </c>
      <c r="V2844" t="str">
        <f>VLOOKUP(L2844,'[2]tabela de preços'!$A:$D,4,0)</f>
        <v>BRASILUX</v>
      </c>
      <c r="W2844" t="str">
        <f>VLOOKUP(L2844,'[2]tabela de preços'!$A:$F,6,0)</f>
        <v>ESMALTES</v>
      </c>
      <c r="X2844" t="str">
        <f>VLOOKUP(L2844,'[2]tabela de preços'!$A:$G,7,0)</f>
        <v>INDUSTRIAL</v>
      </c>
    </row>
    <row r="2845" spans="1:24" x14ac:dyDescent="0.3">
      <c r="A2845" t="s">
        <v>1701</v>
      </c>
      <c r="C2845" t="s">
        <v>2533</v>
      </c>
      <c r="D2845" s="1">
        <v>46056</v>
      </c>
      <c r="E2845" t="s">
        <v>2534</v>
      </c>
      <c r="F2845">
        <v>9</v>
      </c>
      <c r="G2845">
        <v>197</v>
      </c>
      <c r="H2845" t="str">
        <f>VLOOKUP(G2845,[1]OPERADORES!$A:$B,2,0)</f>
        <v xml:space="preserve">POLIANA LORRANE DE AMORIM </v>
      </c>
      <c r="I2845" t="s">
        <v>21</v>
      </c>
      <c r="J2845" t="s">
        <v>265</v>
      </c>
      <c r="K2845" t="s">
        <v>1704</v>
      </c>
      <c r="L2845">
        <v>84174</v>
      </c>
      <c r="M2845" t="s">
        <v>1532</v>
      </c>
      <c r="O2845" t="s">
        <v>11</v>
      </c>
      <c r="P2845">
        <v>5403</v>
      </c>
      <c r="Q2845">
        <v>4</v>
      </c>
      <c r="R2845">
        <v>92.33</v>
      </c>
      <c r="S2845">
        <v>369.32</v>
      </c>
      <c r="T2845">
        <v>280.32</v>
      </c>
      <c r="U2845">
        <v>24.1</v>
      </c>
      <c r="V2845" t="str">
        <f>VLOOKUP(L2845,'[2]tabela de preços'!$A:$D,4,0)</f>
        <v>BRASILUX</v>
      </c>
      <c r="W2845" t="str">
        <f>VLOOKUP(L2845,'[2]tabela de preços'!$A:$F,6,0)</f>
        <v>ESMALTES</v>
      </c>
      <c r="X2845" t="str">
        <f>VLOOKUP(L2845,'[2]tabela de preços'!$A:$G,7,0)</f>
        <v>INDUSTRIAL</v>
      </c>
    </row>
    <row r="2846" spans="1:24" x14ac:dyDescent="0.3">
      <c r="A2846" t="s">
        <v>1701</v>
      </c>
      <c r="C2846" t="s">
        <v>2692</v>
      </c>
      <c r="D2846" s="1">
        <v>46058</v>
      </c>
      <c r="E2846" t="s">
        <v>2693</v>
      </c>
      <c r="F2846">
        <v>9</v>
      </c>
      <c r="G2846">
        <v>197</v>
      </c>
      <c r="H2846" t="str">
        <f>VLOOKUP(G2846,[1]OPERADORES!$A:$B,2,0)</f>
        <v xml:space="preserve">POLIANA LORRANE DE AMORIM </v>
      </c>
      <c r="I2846" t="s">
        <v>21</v>
      </c>
      <c r="J2846" t="s">
        <v>265</v>
      </c>
      <c r="K2846" t="s">
        <v>1704</v>
      </c>
      <c r="L2846">
        <v>84329</v>
      </c>
      <c r="M2846" t="s">
        <v>285</v>
      </c>
      <c r="O2846" t="s">
        <v>11</v>
      </c>
      <c r="P2846">
        <v>5403</v>
      </c>
      <c r="Q2846">
        <v>2</v>
      </c>
      <c r="R2846">
        <v>59.98</v>
      </c>
      <c r="S2846">
        <v>119.96</v>
      </c>
      <c r="T2846">
        <v>96.54</v>
      </c>
      <c r="U2846">
        <v>19.52</v>
      </c>
      <c r="V2846" t="str">
        <f>VLOOKUP(L2846,'[2]tabela de preços'!$A:$D,4,0)</f>
        <v>BRASILUX</v>
      </c>
      <c r="W2846" t="str">
        <f>VLOOKUP(L2846,'[2]tabela de preços'!$A:$F,6,0)</f>
        <v>ESMALTES</v>
      </c>
      <c r="X2846" t="str">
        <f>VLOOKUP(L2846,'[2]tabela de preços'!$A:$G,7,0)</f>
        <v>INDUSTRIAL</v>
      </c>
    </row>
    <row r="2847" spans="1:24" x14ac:dyDescent="0.3">
      <c r="A2847" t="s">
        <v>1701</v>
      </c>
      <c r="C2847" t="s">
        <v>2692</v>
      </c>
      <c r="D2847" s="1">
        <v>46058</v>
      </c>
      <c r="E2847" t="s">
        <v>2693</v>
      </c>
      <c r="F2847">
        <v>9</v>
      </c>
      <c r="G2847">
        <v>197</v>
      </c>
      <c r="H2847" t="str">
        <f>VLOOKUP(G2847,[1]OPERADORES!$A:$B,2,0)</f>
        <v xml:space="preserve">POLIANA LORRANE DE AMORIM </v>
      </c>
      <c r="I2847" t="s">
        <v>21</v>
      </c>
      <c r="J2847" t="s">
        <v>265</v>
      </c>
      <c r="K2847" t="s">
        <v>1704</v>
      </c>
      <c r="L2847">
        <v>84355</v>
      </c>
      <c r="M2847" t="s">
        <v>1705</v>
      </c>
      <c r="O2847" t="s">
        <v>11</v>
      </c>
      <c r="P2847">
        <v>5403</v>
      </c>
      <c r="Q2847">
        <v>1</v>
      </c>
      <c r="R2847">
        <v>20.03</v>
      </c>
      <c r="S2847">
        <v>20.03</v>
      </c>
      <c r="T2847">
        <v>15.21</v>
      </c>
      <c r="U2847">
        <v>24.06</v>
      </c>
      <c r="V2847" t="str">
        <f>VLOOKUP(L2847,'[2]tabela de preços'!$A:$D,4,0)</f>
        <v>BRASILUX</v>
      </c>
      <c r="W2847" t="str">
        <f>VLOOKUP(L2847,'[2]tabela de preços'!$A:$F,6,0)</f>
        <v>ESMALTES</v>
      </c>
      <c r="X2847" t="str">
        <f>VLOOKUP(L2847,'[2]tabela de preços'!$A:$G,7,0)</f>
        <v>INDUSTRIAL</v>
      </c>
    </row>
    <row r="2848" spans="1:24" x14ac:dyDescent="0.3">
      <c r="A2848" t="s">
        <v>1701</v>
      </c>
      <c r="C2848" t="s">
        <v>2692</v>
      </c>
      <c r="D2848" s="1">
        <v>46058</v>
      </c>
      <c r="E2848" t="s">
        <v>2693</v>
      </c>
      <c r="F2848">
        <v>9</v>
      </c>
      <c r="G2848">
        <v>197</v>
      </c>
      <c r="H2848" t="str">
        <f>VLOOKUP(G2848,[1]OPERADORES!$A:$B,2,0)</f>
        <v xml:space="preserve">POLIANA LORRANE DE AMORIM </v>
      </c>
      <c r="I2848" t="s">
        <v>21</v>
      </c>
      <c r="J2848" t="s">
        <v>265</v>
      </c>
      <c r="K2848" t="s">
        <v>1704</v>
      </c>
      <c r="L2848">
        <v>84145</v>
      </c>
      <c r="M2848" t="s">
        <v>301</v>
      </c>
      <c r="O2848" t="s">
        <v>11</v>
      </c>
      <c r="P2848">
        <v>5403</v>
      </c>
      <c r="Q2848">
        <v>1</v>
      </c>
      <c r="R2848">
        <v>59.98</v>
      </c>
      <c r="S2848">
        <v>59.98</v>
      </c>
      <c r="T2848">
        <v>52.01</v>
      </c>
      <c r="U2848">
        <v>13.29</v>
      </c>
      <c r="V2848" t="str">
        <f>VLOOKUP(L2848,'[2]tabela de preços'!$A:$D,4,0)</f>
        <v>BRASILUX</v>
      </c>
      <c r="W2848" t="str">
        <f>VLOOKUP(L2848,'[2]tabela de preços'!$A:$F,6,0)</f>
        <v>ESMALTES</v>
      </c>
      <c r="X2848" t="str">
        <f>VLOOKUP(L2848,'[2]tabela de preços'!$A:$G,7,0)</f>
        <v>INDUSTRIAL</v>
      </c>
    </row>
    <row r="2849" spans="1:24" x14ac:dyDescent="0.3">
      <c r="A2849" t="s">
        <v>1701</v>
      </c>
      <c r="C2849" t="s">
        <v>2692</v>
      </c>
      <c r="D2849" s="1">
        <v>46058</v>
      </c>
      <c r="E2849" t="s">
        <v>2693</v>
      </c>
      <c r="F2849">
        <v>9</v>
      </c>
      <c r="G2849">
        <v>197</v>
      </c>
      <c r="H2849" t="str">
        <f>VLOOKUP(G2849,[1]OPERADORES!$A:$B,2,0)</f>
        <v xml:space="preserve">POLIANA LORRANE DE AMORIM </v>
      </c>
      <c r="I2849" t="s">
        <v>21</v>
      </c>
      <c r="J2849" t="s">
        <v>265</v>
      </c>
      <c r="K2849" t="s">
        <v>1704</v>
      </c>
      <c r="L2849">
        <v>84344</v>
      </c>
      <c r="M2849" t="s">
        <v>1000</v>
      </c>
      <c r="O2849" t="s">
        <v>11</v>
      </c>
      <c r="P2849">
        <v>5403</v>
      </c>
      <c r="Q2849">
        <v>1</v>
      </c>
      <c r="R2849">
        <v>59.98</v>
      </c>
      <c r="S2849">
        <v>59.98</v>
      </c>
      <c r="T2849">
        <v>49.66</v>
      </c>
      <c r="U2849">
        <v>17.21</v>
      </c>
      <c r="V2849" t="str">
        <f>VLOOKUP(L2849,'[2]tabela de preços'!$A:$D,4,0)</f>
        <v>BRASILUX</v>
      </c>
      <c r="W2849" t="str">
        <f>VLOOKUP(L2849,'[2]tabela de preços'!$A:$F,6,0)</f>
        <v>ESMALTES</v>
      </c>
      <c r="X2849" t="str">
        <f>VLOOKUP(L2849,'[2]tabela de preços'!$A:$G,7,0)</f>
        <v>INDUSTRIAL</v>
      </c>
    </row>
    <row r="2850" spans="1:24" x14ac:dyDescent="0.3">
      <c r="A2850" t="s">
        <v>1701</v>
      </c>
      <c r="C2850" t="s">
        <v>2692</v>
      </c>
      <c r="D2850" s="1">
        <v>46058</v>
      </c>
      <c r="E2850" t="s">
        <v>2693</v>
      </c>
      <c r="F2850">
        <v>9</v>
      </c>
      <c r="G2850">
        <v>197</v>
      </c>
      <c r="H2850" t="str">
        <f>VLOOKUP(G2850,[1]OPERADORES!$A:$B,2,0)</f>
        <v xml:space="preserve">POLIANA LORRANE DE AMORIM </v>
      </c>
      <c r="I2850" t="s">
        <v>21</v>
      </c>
      <c r="J2850" t="s">
        <v>265</v>
      </c>
      <c r="K2850" t="s">
        <v>1704</v>
      </c>
      <c r="L2850">
        <v>84129</v>
      </c>
      <c r="M2850" t="s">
        <v>1712</v>
      </c>
      <c r="O2850" t="s">
        <v>11</v>
      </c>
      <c r="P2850">
        <v>5403</v>
      </c>
      <c r="Q2850">
        <v>1</v>
      </c>
      <c r="R2850">
        <v>18.97</v>
      </c>
      <c r="S2850">
        <v>18.97</v>
      </c>
      <c r="T2850">
        <v>14.4</v>
      </c>
      <c r="U2850">
        <v>24.09</v>
      </c>
      <c r="V2850" t="str">
        <f>VLOOKUP(L2850,'[2]tabela de preços'!$A:$D,4,0)</f>
        <v>BRASILUX</v>
      </c>
      <c r="W2850" t="str">
        <f>VLOOKUP(L2850,'[2]tabela de preços'!$A:$F,6,0)</f>
        <v>ESMALTES</v>
      </c>
      <c r="X2850" t="str">
        <f>VLOOKUP(L2850,'[2]tabela de preços'!$A:$G,7,0)</f>
        <v>INDUSTRIAL</v>
      </c>
    </row>
    <row r="2851" spans="1:24" x14ac:dyDescent="0.3">
      <c r="A2851" t="s">
        <v>1701</v>
      </c>
      <c r="C2851" t="s">
        <v>2692</v>
      </c>
      <c r="D2851" s="1">
        <v>46058</v>
      </c>
      <c r="E2851" t="s">
        <v>2693</v>
      </c>
      <c r="F2851">
        <v>9</v>
      </c>
      <c r="G2851">
        <v>197</v>
      </c>
      <c r="H2851" t="str">
        <f>VLOOKUP(G2851,[1]OPERADORES!$A:$B,2,0)</f>
        <v xml:space="preserve">POLIANA LORRANE DE AMORIM </v>
      </c>
      <c r="I2851" t="s">
        <v>21</v>
      </c>
      <c r="J2851" t="s">
        <v>265</v>
      </c>
      <c r="K2851" t="s">
        <v>1704</v>
      </c>
      <c r="L2851">
        <v>86542</v>
      </c>
      <c r="M2851" t="s">
        <v>352</v>
      </c>
      <c r="O2851" t="s">
        <v>11</v>
      </c>
      <c r="P2851">
        <v>5102</v>
      </c>
      <c r="Q2851">
        <v>10</v>
      </c>
      <c r="R2851">
        <v>78.900000000000006</v>
      </c>
      <c r="S2851">
        <v>789</v>
      </c>
      <c r="T2851">
        <v>691.6</v>
      </c>
      <c r="U2851">
        <v>12.34</v>
      </c>
      <c r="V2851" t="str">
        <f>VLOOKUP(L2851,'[2]tabela de preços'!$A:$D,4,0)</f>
        <v>CORAL</v>
      </c>
      <c r="W2851" t="str">
        <f>VLOOKUP(L2851,'[2]tabela de preços'!$A:$F,6,0)</f>
        <v>MASSA CORRIDA / ACRÍLICA</v>
      </c>
      <c r="X2851" t="str">
        <f>VLOOKUP(L2851,'[2]tabela de preços'!$A:$G,7,0)</f>
        <v>IMOBILIÁRIO</v>
      </c>
    </row>
    <row r="2852" spans="1:24" x14ac:dyDescent="0.3">
      <c r="A2852" t="s">
        <v>1739</v>
      </c>
      <c r="C2852" t="s">
        <v>2458</v>
      </c>
      <c r="D2852" s="1">
        <v>46055</v>
      </c>
      <c r="E2852" t="s">
        <v>2459</v>
      </c>
      <c r="F2852">
        <v>9</v>
      </c>
      <c r="G2852">
        <v>174</v>
      </c>
      <c r="H2852" t="str">
        <f>VLOOKUP(G2852,[1]OPERADORES!$A:$B,2,0)</f>
        <v>MIRIÃ LOBATO RODRIGUES</v>
      </c>
      <c r="I2852" t="s">
        <v>21</v>
      </c>
      <c r="J2852" t="s">
        <v>66</v>
      </c>
      <c r="K2852" t="s">
        <v>1742</v>
      </c>
      <c r="L2852">
        <v>10238</v>
      </c>
      <c r="M2852" t="s">
        <v>79</v>
      </c>
      <c r="O2852" t="s">
        <v>11</v>
      </c>
      <c r="P2852">
        <v>5102</v>
      </c>
      <c r="Q2852">
        <v>50</v>
      </c>
      <c r="R2852">
        <v>2.79</v>
      </c>
      <c r="S2852">
        <v>139.5</v>
      </c>
      <c r="T2852">
        <v>112</v>
      </c>
      <c r="U2852">
        <v>19.71</v>
      </c>
      <c r="V2852" t="str">
        <f>VLOOKUP(L2852,'[2]tabela de preços'!$A:$D,4,0)</f>
        <v>NORTON</v>
      </c>
      <c r="W2852" t="str">
        <f>VLOOKUP(L2852,'[2]tabela de preços'!$A:$F,6,0)</f>
        <v xml:space="preserve">DISCOS / LIXAS / ABRASIVOS </v>
      </c>
      <c r="X2852" t="str">
        <f>VLOOKUP(L2852,'[2]tabela de preços'!$A:$G,7,0)</f>
        <v>AUTOMOTIVO</v>
      </c>
    </row>
    <row r="2853" spans="1:24" x14ac:dyDescent="0.3">
      <c r="A2853" t="s">
        <v>1739</v>
      </c>
      <c r="C2853" t="s">
        <v>2458</v>
      </c>
      <c r="D2853" s="1">
        <v>46055</v>
      </c>
      <c r="E2853" t="s">
        <v>2459</v>
      </c>
      <c r="F2853">
        <v>9</v>
      </c>
      <c r="G2853">
        <v>174</v>
      </c>
      <c r="H2853" t="str">
        <f>VLOOKUP(G2853,[1]OPERADORES!$A:$B,2,0)</f>
        <v>MIRIÃ LOBATO RODRIGUES</v>
      </c>
      <c r="I2853" t="s">
        <v>21</v>
      </c>
      <c r="J2853" t="s">
        <v>66</v>
      </c>
      <c r="K2853" t="s">
        <v>1742</v>
      </c>
      <c r="L2853">
        <v>10242</v>
      </c>
      <c r="M2853" t="s">
        <v>82</v>
      </c>
      <c r="O2853" t="s">
        <v>11</v>
      </c>
      <c r="P2853">
        <v>5102</v>
      </c>
      <c r="Q2853">
        <v>50</v>
      </c>
      <c r="R2853">
        <v>2.79</v>
      </c>
      <c r="S2853">
        <v>139.5</v>
      </c>
      <c r="T2853">
        <v>112</v>
      </c>
      <c r="U2853">
        <v>19.71</v>
      </c>
      <c r="V2853" t="str">
        <f>VLOOKUP(L2853,'[2]tabela de preços'!$A:$D,4,0)</f>
        <v>NORTON</v>
      </c>
      <c r="W2853" t="str">
        <f>VLOOKUP(L2853,'[2]tabela de preços'!$A:$F,6,0)</f>
        <v xml:space="preserve">DISCOS / LIXAS / ABRASIVOS </v>
      </c>
      <c r="X2853" t="str">
        <f>VLOOKUP(L2853,'[2]tabela de preços'!$A:$G,7,0)</f>
        <v>AUTOMOTIVO</v>
      </c>
    </row>
    <row r="2854" spans="1:24" x14ac:dyDescent="0.3">
      <c r="A2854" t="s">
        <v>1739</v>
      </c>
      <c r="C2854" t="s">
        <v>2458</v>
      </c>
      <c r="D2854" s="1">
        <v>46055</v>
      </c>
      <c r="E2854" t="s">
        <v>2459</v>
      </c>
      <c r="F2854">
        <v>9</v>
      </c>
      <c r="G2854">
        <v>174</v>
      </c>
      <c r="H2854" t="str">
        <f>VLOOKUP(G2854,[1]OPERADORES!$A:$B,2,0)</f>
        <v>MIRIÃ LOBATO RODRIGUES</v>
      </c>
      <c r="I2854" t="s">
        <v>21</v>
      </c>
      <c r="J2854" t="s">
        <v>66</v>
      </c>
      <c r="K2854" t="s">
        <v>1742</v>
      </c>
      <c r="L2854">
        <v>10243</v>
      </c>
      <c r="M2854" t="s">
        <v>83</v>
      </c>
      <c r="O2854" t="s">
        <v>11</v>
      </c>
      <c r="P2854">
        <v>5102</v>
      </c>
      <c r="Q2854">
        <v>50</v>
      </c>
      <c r="R2854">
        <v>2.79</v>
      </c>
      <c r="S2854">
        <v>139.5</v>
      </c>
      <c r="T2854">
        <v>96.5</v>
      </c>
      <c r="U2854">
        <v>30.82</v>
      </c>
      <c r="V2854" t="str">
        <f>VLOOKUP(L2854,'[2]tabela de preços'!$A:$D,4,0)</f>
        <v>NORTON</v>
      </c>
      <c r="W2854" t="str">
        <f>VLOOKUP(L2854,'[2]tabela de preços'!$A:$F,6,0)</f>
        <v xml:space="preserve">DISCOS / LIXAS / ABRASIVOS </v>
      </c>
      <c r="X2854" t="str">
        <f>VLOOKUP(L2854,'[2]tabela de preços'!$A:$G,7,0)</f>
        <v>AUTOMOTIVO</v>
      </c>
    </row>
    <row r="2855" spans="1:24" x14ac:dyDescent="0.3">
      <c r="A2855" t="s">
        <v>1739</v>
      </c>
      <c r="C2855" t="s">
        <v>2458</v>
      </c>
      <c r="D2855" s="1">
        <v>46055</v>
      </c>
      <c r="E2855" t="s">
        <v>2459</v>
      </c>
      <c r="F2855">
        <v>9</v>
      </c>
      <c r="G2855">
        <v>174</v>
      </c>
      <c r="H2855" t="str">
        <f>VLOOKUP(G2855,[1]OPERADORES!$A:$B,2,0)</f>
        <v>MIRIÃ LOBATO RODRIGUES</v>
      </c>
      <c r="I2855" t="s">
        <v>21</v>
      </c>
      <c r="J2855" t="s">
        <v>66</v>
      </c>
      <c r="K2855" t="s">
        <v>1742</v>
      </c>
      <c r="L2855">
        <v>10244</v>
      </c>
      <c r="M2855" t="s">
        <v>84</v>
      </c>
      <c r="O2855" t="s">
        <v>11</v>
      </c>
      <c r="P2855">
        <v>5102</v>
      </c>
      <c r="Q2855">
        <v>50</v>
      </c>
      <c r="R2855">
        <v>2.79</v>
      </c>
      <c r="S2855">
        <v>139.5</v>
      </c>
      <c r="T2855">
        <v>96.5</v>
      </c>
      <c r="U2855">
        <v>30.82</v>
      </c>
      <c r="V2855" t="str">
        <f>VLOOKUP(L2855,'[2]tabela de preços'!$A:$D,4,0)</f>
        <v>NORTON</v>
      </c>
      <c r="W2855" t="str">
        <f>VLOOKUP(L2855,'[2]tabela de preços'!$A:$F,6,0)</f>
        <v xml:space="preserve">DISCOS / LIXAS / ABRASIVOS </v>
      </c>
      <c r="X2855" t="str">
        <f>VLOOKUP(L2855,'[2]tabela de preços'!$A:$G,7,0)</f>
        <v>AUTOMOTIVO</v>
      </c>
    </row>
    <row r="2856" spans="1:24" x14ac:dyDescent="0.3">
      <c r="A2856" t="s">
        <v>1739</v>
      </c>
      <c r="C2856" t="s">
        <v>2458</v>
      </c>
      <c r="D2856" s="1">
        <v>46055</v>
      </c>
      <c r="E2856" t="s">
        <v>2459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66</v>
      </c>
      <c r="K2856" t="s">
        <v>1742</v>
      </c>
      <c r="L2856">
        <v>10245</v>
      </c>
      <c r="M2856" t="s">
        <v>195</v>
      </c>
      <c r="O2856" t="s">
        <v>11</v>
      </c>
      <c r="P2856">
        <v>5102</v>
      </c>
      <c r="Q2856">
        <v>50</v>
      </c>
      <c r="R2856">
        <v>2.79</v>
      </c>
      <c r="S2856">
        <v>139.5</v>
      </c>
      <c r="T2856">
        <v>96.5</v>
      </c>
      <c r="U2856">
        <v>30.82</v>
      </c>
      <c r="V2856" t="str">
        <f>VLOOKUP(L2856,'[2]tabela de preços'!$A:$D,4,0)</f>
        <v>NORTON</v>
      </c>
      <c r="W2856" t="str">
        <f>VLOOKUP(L2856,'[2]tabela de preços'!$A:$F,6,0)</f>
        <v xml:space="preserve">DISCOS / LIXAS / ABRASIVOS </v>
      </c>
      <c r="X2856" t="str">
        <f>VLOOKUP(L2856,'[2]tabela de preços'!$A:$G,7,0)</f>
        <v>AUTOMOTIVO</v>
      </c>
    </row>
    <row r="2857" spans="1:24" x14ac:dyDescent="0.3">
      <c r="A2857" t="s">
        <v>1751</v>
      </c>
      <c r="C2857" t="s">
        <v>2460</v>
      </c>
      <c r="D2857" s="1">
        <v>46055</v>
      </c>
      <c r="E2857" t="s">
        <v>2461</v>
      </c>
      <c r="F2857">
        <v>9</v>
      </c>
      <c r="G2857">
        <v>231</v>
      </c>
      <c r="H2857" t="str">
        <f>VLOOKUP(G2857,[1]OPERADORES!$A:$B,2,0)</f>
        <v>EDIJANE</v>
      </c>
      <c r="I2857" t="s">
        <v>21</v>
      </c>
      <c r="J2857" t="s">
        <v>211</v>
      </c>
      <c r="K2857" t="s">
        <v>1754</v>
      </c>
      <c r="L2857">
        <v>84901</v>
      </c>
      <c r="M2857" t="s">
        <v>2432</v>
      </c>
      <c r="O2857" t="s">
        <v>11</v>
      </c>
      <c r="P2857">
        <v>5403</v>
      </c>
      <c r="Q2857">
        <v>1</v>
      </c>
      <c r="R2857">
        <v>215.62</v>
      </c>
      <c r="S2857">
        <v>215.62</v>
      </c>
      <c r="T2857">
        <v>163.66</v>
      </c>
      <c r="U2857">
        <v>24.1</v>
      </c>
      <c r="V2857" t="str">
        <f>VLOOKUP(L2857,'[2]tabela de preços'!$A:$D,4,0)</f>
        <v>BRASILUX</v>
      </c>
      <c r="W2857" t="str">
        <f>VLOOKUP(L2857,'[2]tabela de preços'!$A:$F,6,0)</f>
        <v>EPOXI</v>
      </c>
      <c r="X2857" t="str">
        <f>VLOOKUP(L2857,'[2]tabela de preços'!$A:$G,7,0)</f>
        <v>INDUSTRIAL</v>
      </c>
    </row>
    <row r="2858" spans="1:24" x14ac:dyDescent="0.3">
      <c r="A2858" t="s">
        <v>1751</v>
      </c>
      <c r="C2858" t="s">
        <v>2535</v>
      </c>
      <c r="D2858" s="1">
        <v>46056</v>
      </c>
      <c r="E2858" t="s">
        <v>2536</v>
      </c>
      <c r="F2858">
        <v>9</v>
      </c>
      <c r="G2858">
        <v>231</v>
      </c>
      <c r="H2858" t="str">
        <f>VLOOKUP(G2858,[1]OPERADORES!$A:$B,2,0)</f>
        <v>EDIJANE</v>
      </c>
      <c r="I2858" t="s">
        <v>21</v>
      </c>
      <c r="J2858" t="s">
        <v>211</v>
      </c>
      <c r="K2858" t="s">
        <v>1754</v>
      </c>
      <c r="L2858">
        <v>85698</v>
      </c>
      <c r="M2858" t="s">
        <v>1946</v>
      </c>
      <c r="O2858" t="s">
        <v>11</v>
      </c>
      <c r="P2858">
        <v>5102</v>
      </c>
      <c r="Q2858">
        <v>5</v>
      </c>
      <c r="R2858">
        <v>129.9</v>
      </c>
      <c r="S2858">
        <v>649.5</v>
      </c>
      <c r="T2858">
        <v>519.29999999999995</v>
      </c>
      <c r="U2858">
        <v>20.05</v>
      </c>
      <c r="V2858" t="str">
        <f>VLOOKUP(L2858,'[2]tabela de preços'!$A:$D,4,0)</f>
        <v>SIMAPPEL</v>
      </c>
      <c r="W2858" t="str">
        <f>VLOOKUP(L2858,'[2]tabela de preços'!$A:$F,6,0)</f>
        <v>PAPELAO ONDULADO</v>
      </c>
      <c r="X2858" t="str">
        <f>VLOOKUP(L2858,'[2]tabela de preços'!$A:$G,7,0)</f>
        <v>IMOBILIÁRIO</v>
      </c>
    </row>
    <row r="2859" spans="1:24" x14ac:dyDescent="0.3">
      <c r="A2859" t="s">
        <v>1757</v>
      </c>
      <c r="B2859" t="s">
        <v>1758</v>
      </c>
      <c r="C2859" t="s">
        <v>2537</v>
      </c>
      <c r="D2859" s="1">
        <v>46056</v>
      </c>
      <c r="E2859" t="s">
        <v>2538</v>
      </c>
      <c r="F2859">
        <v>9</v>
      </c>
      <c r="G2859">
        <v>236</v>
      </c>
      <c r="H2859" t="str">
        <f>VLOOKUP(G2859,[1]OPERADORES!$A:$B,2,0)</f>
        <v>DANIEL</v>
      </c>
      <c r="I2859" t="s">
        <v>1761</v>
      </c>
      <c r="J2859" t="s">
        <v>1762</v>
      </c>
      <c r="K2859" t="s">
        <v>1763</v>
      </c>
      <c r="L2859">
        <v>84357</v>
      </c>
      <c r="M2859" t="s">
        <v>580</v>
      </c>
      <c r="O2859" t="s">
        <v>11</v>
      </c>
      <c r="P2859">
        <v>6403</v>
      </c>
      <c r="Q2859">
        <v>6</v>
      </c>
      <c r="R2859">
        <v>23.09</v>
      </c>
      <c r="S2859">
        <v>138.54</v>
      </c>
      <c r="T2859">
        <v>98.82</v>
      </c>
      <c r="U2859">
        <v>28.67</v>
      </c>
      <c r="V2859" t="str">
        <f>VLOOKUP(L2859,'[2]tabela de preços'!$A:$D,4,0)</f>
        <v>BRASILUX</v>
      </c>
      <c r="W2859" t="str">
        <f>VLOOKUP(L2859,'[2]tabela de preços'!$A:$F,6,0)</f>
        <v>ESMALTES</v>
      </c>
      <c r="X2859" t="str">
        <f>VLOOKUP(L2859,'[2]tabela de preços'!$A:$G,7,0)</f>
        <v>INDUSTRIAL</v>
      </c>
    </row>
    <row r="2860" spans="1:24" x14ac:dyDescent="0.3">
      <c r="A2860" t="s">
        <v>1757</v>
      </c>
      <c r="B2860" t="s">
        <v>1758</v>
      </c>
      <c r="C2860" t="s">
        <v>2537</v>
      </c>
      <c r="D2860" s="1">
        <v>46056</v>
      </c>
      <c r="E2860" t="s">
        <v>2538</v>
      </c>
      <c r="F2860">
        <v>9</v>
      </c>
      <c r="G2860">
        <v>236</v>
      </c>
      <c r="H2860" t="str">
        <f>VLOOKUP(G2860,[1]OPERADORES!$A:$B,2,0)</f>
        <v>DANIEL</v>
      </c>
      <c r="I2860" t="s">
        <v>1761</v>
      </c>
      <c r="J2860" t="s">
        <v>1762</v>
      </c>
      <c r="K2860" t="s">
        <v>1763</v>
      </c>
      <c r="L2860">
        <v>84122</v>
      </c>
      <c r="M2860" t="s">
        <v>287</v>
      </c>
      <c r="O2860" t="s">
        <v>11</v>
      </c>
      <c r="P2860">
        <v>6403</v>
      </c>
      <c r="Q2860">
        <v>4</v>
      </c>
      <c r="R2860">
        <v>19.57</v>
      </c>
      <c r="S2860">
        <v>78.28</v>
      </c>
      <c r="T2860">
        <v>55.8</v>
      </c>
      <c r="U2860">
        <v>28.72</v>
      </c>
      <c r="V2860" t="str">
        <f>VLOOKUP(L2860,'[2]tabela de preços'!$A:$D,4,0)</f>
        <v>BRASILUX</v>
      </c>
      <c r="W2860" t="str">
        <f>VLOOKUP(L2860,'[2]tabela de preços'!$A:$F,6,0)</f>
        <v>ESMALTES</v>
      </c>
      <c r="X2860" t="str">
        <f>VLOOKUP(L2860,'[2]tabela de preços'!$A:$G,7,0)</f>
        <v>INDUSTRIAL</v>
      </c>
    </row>
    <row r="2861" spans="1:24" x14ac:dyDescent="0.3">
      <c r="A2861" t="s">
        <v>1757</v>
      </c>
      <c r="B2861" t="s">
        <v>1758</v>
      </c>
      <c r="C2861" t="s">
        <v>2537</v>
      </c>
      <c r="D2861" s="1">
        <v>46056</v>
      </c>
      <c r="E2861" t="s">
        <v>2538</v>
      </c>
      <c r="F2861">
        <v>9</v>
      </c>
      <c r="G2861">
        <v>236</v>
      </c>
      <c r="H2861" t="str">
        <f>VLOOKUP(G2861,[1]OPERADORES!$A:$B,2,0)</f>
        <v>DANIEL</v>
      </c>
      <c r="I2861" t="s">
        <v>1761</v>
      </c>
      <c r="J2861" t="s">
        <v>1762</v>
      </c>
      <c r="K2861" t="s">
        <v>1763</v>
      </c>
      <c r="L2861">
        <v>84123</v>
      </c>
      <c r="M2861" t="s">
        <v>296</v>
      </c>
      <c r="O2861" t="s">
        <v>11</v>
      </c>
      <c r="P2861">
        <v>6403</v>
      </c>
      <c r="Q2861">
        <v>6</v>
      </c>
      <c r="R2861">
        <v>20.34</v>
      </c>
      <c r="S2861">
        <v>122.04</v>
      </c>
      <c r="T2861">
        <v>87</v>
      </c>
      <c r="U2861">
        <v>28.71</v>
      </c>
      <c r="V2861" t="str">
        <f>VLOOKUP(L2861,'[2]tabela de preços'!$A:$D,4,0)</f>
        <v>BRASILUX</v>
      </c>
      <c r="W2861" t="str">
        <f>VLOOKUP(L2861,'[2]tabela de preços'!$A:$F,6,0)</f>
        <v>ESMALTES</v>
      </c>
      <c r="X2861" t="str">
        <f>VLOOKUP(L2861,'[2]tabela de preços'!$A:$G,7,0)</f>
        <v>INDUSTRIAL</v>
      </c>
    </row>
    <row r="2862" spans="1:24" x14ac:dyDescent="0.3">
      <c r="A2862" t="s">
        <v>1757</v>
      </c>
      <c r="B2862" t="s">
        <v>1758</v>
      </c>
      <c r="C2862" t="s">
        <v>2537</v>
      </c>
      <c r="D2862" s="1">
        <v>46056</v>
      </c>
      <c r="E2862" t="s">
        <v>2538</v>
      </c>
      <c r="F2862">
        <v>9</v>
      </c>
      <c r="G2862">
        <v>236</v>
      </c>
      <c r="H2862" t="str">
        <f>VLOOKUP(G2862,[1]OPERADORES!$A:$B,2,0)</f>
        <v>DANIEL</v>
      </c>
      <c r="I2862" t="s">
        <v>1761</v>
      </c>
      <c r="J2862" t="s">
        <v>1762</v>
      </c>
      <c r="K2862" t="s">
        <v>1763</v>
      </c>
      <c r="L2862">
        <v>20817</v>
      </c>
      <c r="M2862" t="s">
        <v>153</v>
      </c>
      <c r="O2862" t="s">
        <v>11</v>
      </c>
      <c r="P2862">
        <v>6102</v>
      </c>
      <c r="Q2862">
        <v>30</v>
      </c>
      <c r="R2862">
        <v>22.49</v>
      </c>
      <c r="S2862">
        <v>674.7</v>
      </c>
      <c r="T2862">
        <v>558.6</v>
      </c>
      <c r="U2862">
        <v>17.21</v>
      </c>
      <c r="V2862" t="str">
        <f>VLOOKUP(L2862,'[2]tabela de preços'!$A:$D,4,0)</f>
        <v>AUTO AMERICA</v>
      </c>
      <c r="W2862" t="str">
        <f>VLOOKUP(L2862,'[2]tabela de preços'!$A:$F,6,0)</f>
        <v>MASSA DE POLIR</v>
      </c>
      <c r="X2862" t="str">
        <f>VLOOKUP(L2862,'[2]tabela de preços'!$A:$G,7,0)</f>
        <v>AUTOMOTIVO</v>
      </c>
    </row>
    <row r="2863" spans="1:24" x14ac:dyDescent="0.3">
      <c r="A2863" t="s">
        <v>1770</v>
      </c>
      <c r="C2863" t="s">
        <v>2694</v>
      </c>
      <c r="D2863" s="1">
        <v>46057</v>
      </c>
      <c r="E2863" t="s">
        <v>2695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211</v>
      </c>
      <c r="K2863" t="s">
        <v>1773</v>
      </c>
      <c r="L2863">
        <v>20231</v>
      </c>
      <c r="M2863" t="s">
        <v>185</v>
      </c>
      <c r="O2863" t="s">
        <v>11</v>
      </c>
      <c r="P2863">
        <v>5405</v>
      </c>
      <c r="Q2863">
        <v>6</v>
      </c>
      <c r="R2863">
        <v>120.25</v>
      </c>
      <c r="S2863">
        <v>721.5</v>
      </c>
      <c r="T2863">
        <v>547.62</v>
      </c>
      <c r="U2863">
        <v>24.1</v>
      </c>
      <c r="V2863" t="str">
        <f>VLOOKUP(L2863,'[2]tabela de preços'!$A:$D,4,0)</f>
        <v>3M</v>
      </c>
      <c r="W2863" t="str">
        <f>VLOOKUP(L2863,'[2]tabela de preços'!$A:$F,6,0)</f>
        <v>PRIMER AUTOMOTIVO</v>
      </c>
      <c r="X2863" t="str">
        <f>VLOOKUP(L2863,'[2]tabela de preços'!$A:$G,7,0)</f>
        <v>AUTOMOTIVO</v>
      </c>
    </row>
    <row r="2864" spans="1:24" x14ac:dyDescent="0.3">
      <c r="A2864" t="s">
        <v>1774</v>
      </c>
      <c r="C2864" t="s">
        <v>2539</v>
      </c>
      <c r="D2864" s="1">
        <v>46056</v>
      </c>
      <c r="E2864" t="s">
        <v>2540</v>
      </c>
      <c r="F2864">
        <v>9</v>
      </c>
      <c r="G2864">
        <v>236</v>
      </c>
      <c r="H2864" t="str">
        <f>VLOOKUP(G2864,[1]OPERADORES!$A:$B,2,0)</f>
        <v>DANIEL</v>
      </c>
      <c r="I2864" t="s">
        <v>21</v>
      </c>
      <c r="J2864" t="s">
        <v>1564</v>
      </c>
      <c r="K2864" t="s">
        <v>1777</v>
      </c>
      <c r="L2864">
        <v>85916</v>
      </c>
      <c r="M2864" t="s">
        <v>2541</v>
      </c>
      <c r="O2864" t="s">
        <v>11</v>
      </c>
      <c r="P2864">
        <v>5403</v>
      </c>
      <c r="Q2864">
        <v>1</v>
      </c>
      <c r="R2864">
        <v>130.19</v>
      </c>
      <c r="S2864">
        <v>130.19</v>
      </c>
      <c r="T2864">
        <v>98.81</v>
      </c>
      <c r="U2864">
        <v>24.1</v>
      </c>
      <c r="V2864" t="str">
        <f>VLOOKUP(L2864,'[2]tabela de preços'!$A:$D,4,0)</f>
        <v>CORAL</v>
      </c>
      <c r="W2864" t="str">
        <f>VLOOKUP(L2864,'[2]tabela de preços'!$A:$F,6,0)</f>
        <v>ESMALTES</v>
      </c>
      <c r="X2864" t="str">
        <f>VLOOKUP(L2864,'[2]tabela de preços'!$A:$G,7,0)</f>
        <v>INDUSTRIAL</v>
      </c>
    </row>
    <row r="2865" spans="1:24" x14ac:dyDescent="0.3">
      <c r="A2865" t="s">
        <v>1774</v>
      </c>
      <c r="C2865" t="s">
        <v>2539</v>
      </c>
      <c r="D2865" s="1">
        <v>46056</v>
      </c>
      <c r="E2865" t="s">
        <v>2540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1564</v>
      </c>
      <c r="K2865" t="s">
        <v>1777</v>
      </c>
      <c r="L2865">
        <v>86230</v>
      </c>
      <c r="M2865" t="s">
        <v>375</v>
      </c>
      <c r="O2865" t="s">
        <v>11</v>
      </c>
      <c r="P2865">
        <v>5403</v>
      </c>
      <c r="Q2865">
        <v>1</v>
      </c>
      <c r="R2865">
        <v>290.88</v>
      </c>
      <c r="S2865">
        <v>290.88</v>
      </c>
      <c r="T2865">
        <v>220.78</v>
      </c>
      <c r="U2865">
        <v>24.1</v>
      </c>
      <c r="V2865" t="str">
        <f>VLOOKUP(L2865,'[2]tabela de preços'!$A:$D,4,0)</f>
        <v>CORAL</v>
      </c>
      <c r="W2865" t="str">
        <f>VLOOKUP(L2865,'[2]tabela de preços'!$A:$F,6,0)</f>
        <v>TINTA PAREDE</v>
      </c>
      <c r="X2865" t="str">
        <f>VLOOKUP(L2865,'[2]tabela de preços'!$A:$G,7,0)</f>
        <v>IMOBILIÁRIO</v>
      </c>
    </row>
    <row r="2866" spans="1:24" x14ac:dyDescent="0.3">
      <c r="A2866" t="s">
        <v>1774</v>
      </c>
      <c r="C2866" t="s">
        <v>2539</v>
      </c>
      <c r="D2866" s="1">
        <v>46056</v>
      </c>
      <c r="E2866" t="s">
        <v>2540</v>
      </c>
      <c r="F2866">
        <v>9</v>
      </c>
      <c r="G2866">
        <v>236</v>
      </c>
      <c r="H2866" t="str">
        <f>VLOOKUP(G2866,[1]OPERADORES!$A:$B,2,0)</f>
        <v>DANIEL</v>
      </c>
      <c r="I2866" t="s">
        <v>21</v>
      </c>
      <c r="J2866" t="s">
        <v>1564</v>
      </c>
      <c r="K2866" t="s">
        <v>1777</v>
      </c>
      <c r="L2866">
        <v>86846</v>
      </c>
      <c r="M2866" t="s">
        <v>1576</v>
      </c>
      <c r="O2866" t="s">
        <v>11</v>
      </c>
      <c r="P2866">
        <v>5403</v>
      </c>
      <c r="Q2866">
        <v>2</v>
      </c>
      <c r="R2866">
        <v>290.88</v>
      </c>
      <c r="S2866">
        <v>581.76</v>
      </c>
      <c r="T2866">
        <v>441.56</v>
      </c>
      <c r="U2866">
        <v>24.1</v>
      </c>
      <c r="V2866" t="str">
        <f>VLOOKUP(L2866,'[2]tabela de preços'!$A:$D,4,0)</f>
        <v>CORAL</v>
      </c>
      <c r="W2866" t="str">
        <f>VLOOKUP(L2866,'[2]tabela de preços'!$A:$F,6,0)</f>
        <v>TINTA PAREDE</v>
      </c>
      <c r="X2866" t="str">
        <f>VLOOKUP(L2866,'[2]tabela de preços'!$A:$G,7,0)</f>
        <v>IMOBILIÁRIO</v>
      </c>
    </row>
    <row r="2867" spans="1:24" x14ac:dyDescent="0.3">
      <c r="A2867" t="s">
        <v>1774</v>
      </c>
      <c r="C2867" t="s">
        <v>2539</v>
      </c>
      <c r="D2867" s="1">
        <v>46056</v>
      </c>
      <c r="E2867" t="s">
        <v>2540</v>
      </c>
      <c r="F2867">
        <v>9</v>
      </c>
      <c r="G2867">
        <v>236</v>
      </c>
      <c r="H2867" t="str">
        <f>VLOOKUP(G2867,[1]OPERADORES!$A:$B,2,0)</f>
        <v>DANIEL</v>
      </c>
      <c r="I2867" t="s">
        <v>21</v>
      </c>
      <c r="J2867" t="s">
        <v>1564</v>
      </c>
      <c r="K2867" t="s">
        <v>1777</v>
      </c>
      <c r="L2867">
        <v>23878</v>
      </c>
      <c r="M2867" t="s">
        <v>851</v>
      </c>
      <c r="O2867" t="s">
        <v>11</v>
      </c>
      <c r="P2867">
        <v>5102</v>
      </c>
      <c r="Q2867">
        <v>2</v>
      </c>
      <c r="R2867">
        <v>9.0500000000000007</v>
      </c>
      <c r="S2867">
        <v>18.100000000000001</v>
      </c>
      <c r="T2867">
        <v>11.68</v>
      </c>
      <c r="U2867">
        <v>35.47</v>
      </c>
      <c r="V2867" t="str">
        <f>VLOOKUP(L2867,'[2]tabela de preços'!$A:$D,4,0)</f>
        <v>ATLAS</v>
      </c>
      <c r="W2867" t="str">
        <f>VLOOKUP(L2867,'[2]tabela de preços'!$A:$F,6,0)</f>
        <v>ROLOS / TRINCHAS / PINCÉIS / ESPÁTULAS</v>
      </c>
      <c r="X2867" t="str">
        <f>VLOOKUP(L2867,'[2]tabela de preços'!$A:$G,7,0)</f>
        <v>IMOBILIÁRIO</v>
      </c>
    </row>
    <row r="2868" spans="1:24" x14ac:dyDescent="0.3">
      <c r="A2868" t="s">
        <v>1774</v>
      </c>
      <c r="C2868" t="s">
        <v>2539</v>
      </c>
      <c r="D2868" s="1">
        <v>46056</v>
      </c>
      <c r="E2868" t="s">
        <v>2540</v>
      </c>
      <c r="F2868">
        <v>9</v>
      </c>
      <c r="G2868">
        <v>236</v>
      </c>
      <c r="H2868" t="str">
        <f>VLOOKUP(G2868,[1]OPERADORES!$A:$B,2,0)</f>
        <v>DANIEL</v>
      </c>
      <c r="I2868" t="s">
        <v>21</v>
      </c>
      <c r="J2868" t="s">
        <v>1564</v>
      </c>
      <c r="K2868" t="s">
        <v>1777</v>
      </c>
      <c r="L2868">
        <v>84020</v>
      </c>
      <c r="M2868" t="s">
        <v>518</v>
      </c>
      <c r="O2868" t="s">
        <v>11</v>
      </c>
      <c r="P2868">
        <v>5102</v>
      </c>
      <c r="Q2868">
        <v>20</v>
      </c>
      <c r="R2868">
        <v>1.07</v>
      </c>
      <c r="S2868">
        <v>21.4</v>
      </c>
      <c r="T2868">
        <v>13.8</v>
      </c>
      <c r="U2868">
        <v>35.51</v>
      </c>
      <c r="V2868" t="str">
        <f>VLOOKUP(L2868,'[2]tabela de preços'!$A:$D,4,0)</f>
        <v>3M</v>
      </c>
      <c r="W2868" t="str">
        <f>VLOOKUP(L2868,'[2]tabela de preços'!$A:$F,6,0)</f>
        <v>LIXA MASSA  /MADEIRA / PAREDE</v>
      </c>
      <c r="X2868" t="str">
        <f>VLOOKUP(L2868,'[2]tabela de preços'!$A:$G,7,0)</f>
        <v>IMOBILIÁRIO</v>
      </c>
    </row>
    <row r="2869" spans="1:24" x14ac:dyDescent="0.3">
      <c r="A2869" t="s">
        <v>1774</v>
      </c>
      <c r="C2869" t="s">
        <v>2539</v>
      </c>
      <c r="D2869" s="1">
        <v>46056</v>
      </c>
      <c r="E2869" t="s">
        <v>2540</v>
      </c>
      <c r="F2869">
        <v>9</v>
      </c>
      <c r="G2869">
        <v>236</v>
      </c>
      <c r="H2869" t="str">
        <f>VLOOKUP(G2869,[1]OPERADORES!$A:$B,2,0)</f>
        <v>DANIEL</v>
      </c>
      <c r="I2869" t="s">
        <v>21</v>
      </c>
      <c r="J2869" t="s">
        <v>1564</v>
      </c>
      <c r="K2869" t="s">
        <v>1777</v>
      </c>
      <c r="L2869">
        <v>84021</v>
      </c>
      <c r="M2869" t="s">
        <v>1945</v>
      </c>
      <c r="O2869" t="s">
        <v>11</v>
      </c>
      <c r="P2869">
        <v>5102</v>
      </c>
      <c r="Q2869">
        <v>20</v>
      </c>
      <c r="R2869">
        <v>0.71</v>
      </c>
      <c r="S2869">
        <v>14.2</v>
      </c>
      <c r="T2869">
        <v>9.1999999999999993</v>
      </c>
      <c r="U2869">
        <v>35.21</v>
      </c>
      <c r="V2869" t="str">
        <f>VLOOKUP(L2869,'[2]tabela de preços'!$A:$D,4,0)</f>
        <v>3M</v>
      </c>
      <c r="W2869" t="str">
        <f>VLOOKUP(L2869,'[2]tabela de preços'!$A:$F,6,0)</f>
        <v>LIXA MASSA  /MADEIRA / PAREDE</v>
      </c>
      <c r="X2869" t="str">
        <f>VLOOKUP(L2869,'[2]tabela de preços'!$A:$G,7,0)</f>
        <v>IMOBILIÁRIO</v>
      </c>
    </row>
    <row r="2870" spans="1:24" x14ac:dyDescent="0.3">
      <c r="A2870" t="s">
        <v>1774</v>
      </c>
      <c r="C2870" t="s">
        <v>2539</v>
      </c>
      <c r="D2870" s="1">
        <v>46056</v>
      </c>
      <c r="E2870" t="s">
        <v>2540</v>
      </c>
      <c r="F2870">
        <v>9</v>
      </c>
      <c r="G2870">
        <v>236</v>
      </c>
      <c r="H2870" t="str">
        <f>VLOOKUP(G2870,[1]OPERADORES!$A:$B,2,0)</f>
        <v>DANIEL</v>
      </c>
      <c r="I2870" t="s">
        <v>21</v>
      </c>
      <c r="J2870" t="s">
        <v>1564</v>
      </c>
      <c r="K2870" t="s">
        <v>1777</v>
      </c>
      <c r="L2870">
        <v>85583</v>
      </c>
      <c r="M2870" t="s">
        <v>970</v>
      </c>
      <c r="O2870" t="s">
        <v>11</v>
      </c>
      <c r="P2870">
        <v>5102</v>
      </c>
      <c r="Q2870">
        <v>2</v>
      </c>
      <c r="R2870">
        <v>39.950000000000003</v>
      </c>
      <c r="S2870">
        <v>79.900000000000006</v>
      </c>
      <c r="T2870">
        <v>54.26</v>
      </c>
      <c r="U2870">
        <v>32.090000000000003</v>
      </c>
      <c r="V2870" t="str">
        <f>VLOOKUP(L2870,'[2]tabela de preços'!$A:$D,4,0)</f>
        <v>DÁVILA  INOVE</v>
      </c>
      <c r="W2870" t="str">
        <f>VLOOKUP(L2870,'[2]tabela de preços'!$A:$F,6,0)</f>
        <v>MASSA CORRIDA / ACRÍLICA</v>
      </c>
      <c r="X2870" t="str">
        <f>VLOOKUP(L2870,'[2]tabela de preços'!$A:$G,7,0)</f>
        <v>IMOBILIÁRIO</v>
      </c>
    </row>
    <row r="2871" spans="1:24" x14ac:dyDescent="0.3">
      <c r="A2871" t="s">
        <v>1774</v>
      </c>
      <c r="C2871" t="s">
        <v>2539</v>
      </c>
      <c r="D2871" s="1">
        <v>46056</v>
      </c>
      <c r="E2871" t="s">
        <v>2540</v>
      </c>
      <c r="F2871">
        <v>9</v>
      </c>
      <c r="G2871">
        <v>236</v>
      </c>
      <c r="H2871" t="str">
        <f>VLOOKUP(G2871,[1]OPERADORES!$A:$B,2,0)</f>
        <v>DANIEL</v>
      </c>
      <c r="I2871" t="s">
        <v>21</v>
      </c>
      <c r="J2871" t="s">
        <v>1564</v>
      </c>
      <c r="K2871" t="s">
        <v>1777</v>
      </c>
      <c r="L2871">
        <v>85020</v>
      </c>
      <c r="M2871" t="s">
        <v>1094</v>
      </c>
      <c r="O2871" t="s">
        <v>11</v>
      </c>
      <c r="P2871">
        <v>5102</v>
      </c>
      <c r="Q2871">
        <v>1</v>
      </c>
      <c r="R2871">
        <v>1.26</v>
      </c>
      <c r="S2871">
        <v>1.26</v>
      </c>
      <c r="T2871">
        <v>0.81</v>
      </c>
      <c r="U2871">
        <v>35.71</v>
      </c>
      <c r="V2871" t="str">
        <f>VLOOKUP(L2871,'[2]tabela de preços'!$A:$D,4,0)</f>
        <v>.</v>
      </c>
      <c r="W2871" t="str">
        <f>VLOOKUP(L2871,'[2]tabela de preços'!$A:$F,6,0)</f>
        <v>PALHA DE AÇO</v>
      </c>
      <c r="X2871" t="str">
        <f>VLOOKUP(L2871,'[2]tabela de preços'!$A:$G,7,0)</f>
        <v>IMOBILIÁRIO</v>
      </c>
    </row>
    <row r="2872" spans="1:24" x14ac:dyDescent="0.3">
      <c r="A2872" t="s">
        <v>1774</v>
      </c>
      <c r="C2872" t="s">
        <v>2539</v>
      </c>
      <c r="D2872" s="1">
        <v>46056</v>
      </c>
      <c r="E2872" t="s">
        <v>2540</v>
      </c>
      <c r="F2872">
        <v>9</v>
      </c>
      <c r="G2872">
        <v>236</v>
      </c>
      <c r="H2872" t="str">
        <f>VLOOKUP(G2872,[1]OPERADORES!$A:$B,2,0)</f>
        <v>DANIEL</v>
      </c>
      <c r="I2872" t="s">
        <v>21</v>
      </c>
      <c r="J2872" t="s">
        <v>1564</v>
      </c>
      <c r="K2872" t="s">
        <v>1777</v>
      </c>
      <c r="L2872">
        <v>84426</v>
      </c>
      <c r="M2872" t="s">
        <v>1957</v>
      </c>
      <c r="O2872" t="s">
        <v>11</v>
      </c>
      <c r="P2872">
        <v>5102</v>
      </c>
      <c r="Q2872">
        <v>2</v>
      </c>
      <c r="R2872">
        <v>5.08</v>
      </c>
      <c r="S2872">
        <v>10.16</v>
      </c>
      <c r="T2872">
        <v>6.56</v>
      </c>
      <c r="U2872">
        <v>35.43</v>
      </c>
      <c r="V2872" t="str">
        <f>VLOOKUP(L2872,'[2]tabela de preços'!$A:$D,4,0)</f>
        <v>ATLAS</v>
      </c>
      <c r="W2872" t="str">
        <f>VLOOKUP(L2872,'[2]tabela de preços'!$A:$F,6,0)</f>
        <v>ROLOS / TRINCHAS / PINCÉIS / ESPÁTULAS</v>
      </c>
      <c r="X2872" t="str">
        <f>VLOOKUP(L2872,'[2]tabela de preços'!$A:$G,7,0)</f>
        <v>IMOBILIÁRIO</v>
      </c>
    </row>
    <row r="2873" spans="1:24" x14ac:dyDescent="0.3">
      <c r="A2873" t="s">
        <v>1774</v>
      </c>
      <c r="C2873" t="s">
        <v>2539</v>
      </c>
      <c r="D2873" s="1">
        <v>46056</v>
      </c>
      <c r="E2873" t="s">
        <v>2540</v>
      </c>
      <c r="F2873">
        <v>9</v>
      </c>
      <c r="G2873">
        <v>236</v>
      </c>
      <c r="H2873" t="str">
        <f>VLOOKUP(G2873,[1]OPERADORES!$A:$B,2,0)</f>
        <v>DANIEL</v>
      </c>
      <c r="I2873" t="s">
        <v>21</v>
      </c>
      <c r="J2873" t="s">
        <v>1564</v>
      </c>
      <c r="K2873" t="s">
        <v>1777</v>
      </c>
      <c r="L2873">
        <v>84420</v>
      </c>
      <c r="M2873" t="s">
        <v>353</v>
      </c>
      <c r="O2873" t="s">
        <v>11</v>
      </c>
      <c r="P2873">
        <v>5102</v>
      </c>
      <c r="Q2873">
        <v>2</v>
      </c>
      <c r="R2873">
        <v>21.06</v>
      </c>
      <c r="S2873">
        <v>42.12</v>
      </c>
      <c r="T2873">
        <v>30.88</v>
      </c>
      <c r="U2873">
        <v>26.69</v>
      </c>
      <c r="V2873" t="str">
        <f>VLOOKUP(L2873,'[2]tabela de preços'!$A:$D,4,0)</f>
        <v>ATLAS</v>
      </c>
      <c r="W2873" t="str">
        <f>VLOOKUP(L2873,'[2]tabela de preços'!$A:$F,6,0)</f>
        <v>ROLOS / TRINCHAS / PINCÉIS / ESPÁTULAS</v>
      </c>
      <c r="X2873" t="str">
        <f>VLOOKUP(L2873,'[2]tabela de preços'!$A:$G,7,0)</f>
        <v>IMOBILIÁRIO</v>
      </c>
    </row>
    <row r="2874" spans="1:24" x14ac:dyDescent="0.3">
      <c r="A2874" t="s">
        <v>1774</v>
      </c>
      <c r="C2874" t="s">
        <v>2539</v>
      </c>
      <c r="D2874" s="1">
        <v>46056</v>
      </c>
      <c r="E2874" t="s">
        <v>2540</v>
      </c>
      <c r="F2874">
        <v>9</v>
      </c>
      <c r="G2874">
        <v>236</v>
      </c>
      <c r="H2874" t="str">
        <f>VLOOKUP(G2874,[1]OPERADORES!$A:$B,2,0)</f>
        <v>DANIEL</v>
      </c>
      <c r="I2874" t="s">
        <v>21</v>
      </c>
      <c r="J2874" t="s">
        <v>1564</v>
      </c>
      <c r="K2874" t="s">
        <v>1777</v>
      </c>
      <c r="L2874">
        <v>10298</v>
      </c>
      <c r="M2874" t="s">
        <v>85</v>
      </c>
      <c r="O2874" t="s">
        <v>11</v>
      </c>
      <c r="P2874">
        <v>5102</v>
      </c>
      <c r="Q2874">
        <v>1</v>
      </c>
      <c r="R2874">
        <v>56.89</v>
      </c>
      <c r="S2874">
        <v>56.89</v>
      </c>
      <c r="T2874">
        <v>47.38</v>
      </c>
      <c r="U2874">
        <v>16.72</v>
      </c>
      <c r="V2874" t="str">
        <f>VLOOKUP(L2874,'[2]tabela de preços'!$A:$D,4,0)</f>
        <v>ANJO</v>
      </c>
      <c r="W2874" t="str">
        <f>VLOOKUP(L2874,'[2]tabela de preços'!$A:$F,6,0)</f>
        <v>THINNER DE LIMPEZA</v>
      </c>
      <c r="X2874" t="str">
        <f>VLOOKUP(L2874,'[2]tabela de preços'!$A:$G,7,0)</f>
        <v>THINNER</v>
      </c>
    </row>
    <row r="2875" spans="1:24" x14ac:dyDescent="0.3">
      <c r="A2875" t="s">
        <v>1774</v>
      </c>
      <c r="C2875" t="s">
        <v>2539</v>
      </c>
      <c r="D2875" s="1">
        <v>46056</v>
      </c>
      <c r="E2875" t="s">
        <v>2540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1564</v>
      </c>
      <c r="K2875" t="s">
        <v>1777</v>
      </c>
      <c r="L2875">
        <v>10118</v>
      </c>
      <c r="M2875" t="s">
        <v>572</v>
      </c>
      <c r="O2875" t="s">
        <v>11</v>
      </c>
      <c r="P2875">
        <v>5102</v>
      </c>
      <c r="Q2875">
        <v>5</v>
      </c>
      <c r="R2875">
        <v>5.2</v>
      </c>
      <c r="S2875">
        <v>26</v>
      </c>
      <c r="T2875">
        <v>19.05</v>
      </c>
      <c r="U2875">
        <v>26.73</v>
      </c>
      <c r="V2875" t="str">
        <f>VLOOKUP(L2875,'[2]tabela de preços'!$A:$D,4,0)</f>
        <v>ATLAS</v>
      </c>
      <c r="W2875" t="str">
        <f>VLOOKUP(L2875,'[2]tabela de preços'!$A:$F,6,0)</f>
        <v>ROLOS / TRINCHAS / PINCÉIS / ESPÁTULAS</v>
      </c>
      <c r="X2875" t="str">
        <f>VLOOKUP(L2875,'[2]tabela de preços'!$A:$G,7,0)</f>
        <v>IMOBILIÁRIO</v>
      </c>
    </row>
    <row r="2876" spans="1:24" x14ac:dyDescent="0.3">
      <c r="A2876" t="s">
        <v>1774</v>
      </c>
      <c r="C2876" t="s">
        <v>2696</v>
      </c>
      <c r="D2876" s="1">
        <v>46057</v>
      </c>
      <c r="E2876" t="s">
        <v>2697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1564</v>
      </c>
      <c r="K2876" t="s">
        <v>1777</v>
      </c>
      <c r="L2876">
        <v>84293</v>
      </c>
      <c r="M2876" t="s">
        <v>2077</v>
      </c>
      <c r="O2876" t="s">
        <v>11</v>
      </c>
      <c r="P2876">
        <v>5403</v>
      </c>
      <c r="Q2876">
        <v>1</v>
      </c>
      <c r="R2876">
        <v>98.76</v>
      </c>
      <c r="S2876">
        <v>98.76</v>
      </c>
      <c r="T2876">
        <v>63.71</v>
      </c>
      <c r="U2876">
        <v>35.49</v>
      </c>
      <c r="V2876" t="str">
        <f>VLOOKUP(L2876,'[2]tabela de preços'!$A:$D,4,0)</f>
        <v>BRASILUX</v>
      </c>
      <c r="W2876" t="str">
        <f>VLOOKUP(L2876,'[2]tabela de preços'!$A:$F,6,0)</f>
        <v>TINTA PAREDE</v>
      </c>
      <c r="X2876" t="str">
        <f>VLOOKUP(L2876,'[2]tabela de preços'!$A:$G,7,0)</f>
        <v>IMOBILIÁRIO</v>
      </c>
    </row>
    <row r="2877" spans="1:24" x14ac:dyDescent="0.3">
      <c r="A2877" t="s">
        <v>1774</v>
      </c>
      <c r="C2877" t="s">
        <v>2696</v>
      </c>
      <c r="D2877" s="1">
        <v>46057</v>
      </c>
      <c r="E2877" t="s">
        <v>2697</v>
      </c>
      <c r="F2877">
        <v>9</v>
      </c>
      <c r="G2877">
        <v>236</v>
      </c>
      <c r="H2877" t="str">
        <f>VLOOKUP(G2877,[1]OPERADORES!$A:$B,2,0)</f>
        <v>DANIEL</v>
      </c>
      <c r="I2877" t="s">
        <v>21</v>
      </c>
      <c r="J2877" t="s">
        <v>1564</v>
      </c>
      <c r="K2877" t="s">
        <v>1777</v>
      </c>
      <c r="L2877">
        <v>85169</v>
      </c>
      <c r="M2877" t="s">
        <v>2698</v>
      </c>
      <c r="O2877" t="s">
        <v>11</v>
      </c>
      <c r="P2877">
        <v>5403</v>
      </c>
      <c r="Q2877">
        <v>1</v>
      </c>
      <c r="R2877">
        <v>58.17</v>
      </c>
      <c r="S2877">
        <v>58.17</v>
      </c>
      <c r="T2877">
        <v>37.53</v>
      </c>
      <c r="U2877">
        <v>35.479999999999997</v>
      </c>
      <c r="V2877" t="str">
        <f>VLOOKUP(L2877,'[2]tabela de preços'!$A:$D,4,0)</f>
        <v>BRASILUX</v>
      </c>
      <c r="W2877" t="str">
        <f>VLOOKUP(L2877,'[2]tabela de preços'!$A:$F,6,0)</f>
        <v>TINTA PAREDE</v>
      </c>
      <c r="X2877" t="str">
        <f>VLOOKUP(L2877,'[2]tabela de preços'!$A:$G,7,0)</f>
        <v>IMOBILIÁRIO</v>
      </c>
    </row>
    <row r="2878" spans="1:24" x14ac:dyDescent="0.3">
      <c r="A2878" t="s">
        <v>1774</v>
      </c>
      <c r="C2878" t="s">
        <v>2696</v>
      </c>
      <c r="D2878" s="1">
        <v>46057</v>
      </c>
      <c r="E2878" t="s">
        <v>2697</v>
      </c>
      <c r="F2878">
        <v>9</v>
      </c>
      <c r="G2878">
        <v>236</v>
      </c>
      <c r="H2878" t="str">
        <f>VLOOKUP(G2878,[1]OPERADORES!$A:$B,2,0)</f>
        <v>DANIEL</v>
      </c>
      <c r="I2878" t="s">
        <v>21</v>
      </c>
      <c r="J2878" t="s">
        <v>1564</v>
      </c>
      <c r="K2878" t="s">
        <v>1777</v>
      </c>
      <c r="L2878">
        <v>85650</v>
      </c>
      <c r="M2878" t="s">
        <v>439</v>
      </c>
      <c r="O2878" t="s">
        <v>11</v>
      </c>
      <c r="P2878">
        <v>5403</v>
      </c>
      <c r="Q2878">
        <v>1</v>
      </c>
      <c r="R2878">
        <v>10.73</v>
      </c>
      <c r="S2878">
        <v>10.73</v>
      </c>
      <c r="T2878">
        <v>6.92</v>
      </c>
      <c r="U2878">
        <v>35.51</v>
      </c>
      <c r="V2878" t="str">
        <f>VLOOKUP(L2878,'[2]tabela de preços'!$A:$D,4,0)</f>
        <v>UNIPEGA</v>
      </c>
      <c r="W2878" t="str">
        <f>VLOOKUP(L2878,'[2]tabela de preços'!$A:$F,6,0)</f>
        <v xml:space="preserve">SPRAYS </v>
      </c>
      <c r="X2878" t="str">
        <f>VLOOKUP(L2878,'[2]tabela de preços'!$A:$G,7,0)</f>
        <v>AUTOMOTIVO</v>
      </c>
    </row>
    <row r="2879" spans="1:24" x14ac:dyDescent="0.3">
      <c r="A2879" t="s">
        <v>2790</v>
      </c>
      <c r="C2879" t="s">
        <v>2791</v>
      </c>
      <c r="D2879" s="1">
        <v>46059</v>
      </c>
      <c r="E2879" t="s">
        <v>2792</v>
      </c>
      <c r="F2879">
        <v>9</v>
      </c>
      <c r="G2879">
        <v>145</v>
      </c>
      <c r="H2879" t="str">
        <f>VLOOKUP(G2879,[1]OPERADORES!$A:$B,2,0)</f>
        <v xml:space="preserve">FABRICIA </v>
      </c>
      <c r="I2879" t="s">
        <v>21</v>
      </c>
      <c r="J2879" t="s">
        <v>750</v>
      </c>
      <c r="K2879" t="s">
        <v>2793</v>
      </c>
      <c r="L2879">
        <v>20431</v>
      </c>
      <c r="M2879" t="s">
        <v>202</v>
      </c>
      <c r="O2879" t="s">
        <v>11</v>
      </c>
      <c r="P2879">
        <v>5403</v>
      </c>
      <c r="Q2879">
        <v>1</v>
      </c>
      <c r="R2879">
        <v>36.89</v>
      </c>
      <c r="S2879">
        <v>36.89</v>
      </c>
      <c r="T2879">
        <v>30.26</v>
      </c>
      <c r="U2879">
        <v>17.97</v>
      </c>
      <c r="V2879" t="str">
        <f>VLOOKUP(L2879,'[2]tabela de preços'!$A:$D,4,0)</f>
        <v>SHERWIN WILLIAMS</v>
      </c>
      <c r="W2879" t="str">
        <f>VLOOKUP(L2879,'[2]tabela de preços'!$A:$F,6,0)</f>
        <v>VERNIZ AUTOMOTIVO</v>
      </c>
      <c r="X2879" t="str">
        <f>VLOOKUP(L2879,'[2]tabela de preços'!$A:$G,7,0)</f>
        <v>AUTOMOTIVO</v>
      </c>
    </row>
    <row r="2880" spans="1:24" x14ac:dyDescent="0.3">
      <c r="A2880" t="s">
        <v>2790</v>
      </c>
      <c r="C2880" t="s">
        <v>2791</v>
      </c>
      <c r="D2880" s="1">
        <v>46059</v>
      </c>
      <c r="E2880" t="s">
        <v>2792</v>
      </c>
      <c r="F2880">
        <v>9</v>
      </c>
      <c r="G2880">
        <v>145</v>
      </c>
      <c r="H2880" t="str">
        <f>VLOOKUP(G2880,[1]OPERADORES!$A:$B,2,0)</f>
        <v xml:space="preserve">FABRICIA </v>
      </c>
      <c r="I2880" t="s">
        <v>21</v>
      </c>
      <c r="J2880" t="s">
        <v>750</v>
      </c>
      <c r="K2880" t="s">
        <v>2793</v>
      </c>
      <c r="L2880">
        <v>21037</v>
      </c>
      <c r="M2880" t="s">
        <v>108</v>
      </c>
      <c r="O2880" t="s">
        <v>11</v>
      </c>
      <c r="P2880">
        <v>5102</v>
      </c>
      <c r="Q2880">
        <v>1</v>
      </c>
      <c r="R2880">
        <v>17.03</v>
      </c>
      <c r="S2880">
        <v>17.03</v>
      </c>
      <c r="T2880">
        <v>12.92</v>
      </c>
      <c r="U2880">
        <v>24.13</v>
      </c>
      <c r="V2880" t="str">
        <f>VLOOKUP(L2880,'[2]tabela de preços'!$A:$D,4,0)</f>
        <v>SHERWIN WILLIAMS</v>
      </c>
      <c r="W2880" t="str">
        <f>VLOOKUP(L2880,'[2]tabela de preços'!$A:$F,6,0)</f>
        <v>CATALISADORES INDIVIDUAS</v>
      </c>
      <c r="X2880" t="str">
        <f>VLOOKUP(L2880,'[2]tabela de preços'!$A:$G,7,0)</f>
        <v>AUTOMOTIVO</v>
      </c>
    </row>
    <row r="2881" spans="1:24" x14ac:dyDescent="0.3">
      <c r="A2881" t="s">
        <v>2790</v>
      </c>
      <c r="C2881" t="s">
        <v>2791</v>
      </c>
      <c r="D2881" s="1">
        <v>46059</v>
      </c>
      <c r="E2881" t="s">
        <v>2792</v>
      </c>
      <c r="F2881">
        <v>9</v>
      </c>
      <c r="G2881">
        <v>145</v>
      </c>
      <c r="H2881" t="str">
        <f>VLOOKUP(G2881,[1]OPERADORES!$A:$B,2,0)</f>
        <v xml:space="preserve">FABRICIA </v>
      </c>
      <c r="I2881" t="s">
        <v>21</v>
      </c>
      <c r="J2881" t="s">
        <v>750</v>
      </c>
      <c r="K2881" t="s">
        <v>2793</v>
      </c>
      <c r="L2881">
        <v>87109</v>
      </c>
      <c r="M2881" t="s">
        <v>2201</v>
      </c>
      <c r="O2881" t="s">
        <v>11</v>
      </c>
      <c r="P2881">
        <v>5102</v>
      </c>
      <c r="Q2881">
        <v>1</v>
      </c>
      <c r="R2881">
        <v>41.35</v>
      </c>
      <c r="S2881">
        <v>41.35</v>
      </c>
      <c r="T2881">
        <v>31.39</v>
      </c>
      <c r="U2881">
        <v>24.09</v>
      </c>
      <c r="V2881" t="str">
        <f>VLOOKUP(L2881,'[2]tabela de preços'!$A:$D,4,0)</f>
        <v>SHERWIN WILLIAMS</v>
      </c>
      <c r="W2881" t="str">
        <f>VLOOKUP(L2881,'[2]tabela de preços'!$A:$F,6,0)</f>
        <v>TINTAS PU</v>
      </c>
      <c r="X2881" t="str">
        <f>VLOOKUP(L2881,'[2]tabela de preços'!$A:$G,7,0)</f>
        <v>AUTOMOTIVO</v>
      </c>
    </row>
    <row r="2882" spans="1:24" x14ac:dyDescent="0.3">
      <c r="A2882" t="s">
        <v>2790</v>
      </c>
      <c r="C2882" t="s">
        <v>2794</v>
      </c>
      <c r="D2882" s="1">
        <v>46059</v>
      </c>
      <c r="E2882" t="s">
        <v>2795</v>
      </c>
      <c r="F2882">
        <v>9</v>
      </c>
      <c r="G2882">
        <v>231</v>
      </c>
      <c r="H2882" t="str">
        <f>VLOOKUP(G2882,[1]OPERADORES!$A:$B,2,0)</f>
        <v>EDIJANE</v>
      </c>
      <c r="I2882" t="s">
        <v>21</v>
      </c>
      <c r="J2882" t="s">
        <v>750</v>
      </c>
      <c r="K2882" t="s">
        <v>2793</v>
      </c>
      <c r="L2882">
        <v>84557</v>
      </c>
      <c r="M2882" t="s">
        <v>116</v>
      </c>
      <c r="O2882" t="s">
        <v>11</v>
      </c>
      <c r="P2882">
        <v>5102</v>
      </c>
      <c r="Q2882">
        <v>1</v>
      </c>
      <c r="R2882">
        <v>17.489999999999998</v>
      </c>
      <c r="S2882">
        <v>17.489999999999998</v>
      </c>
      <c r="T2882">
        <v>13.96</v>
      </c>
      <c r="U2882">
        <v>20.18</v>
      </c>
      <c r="V2882" t="str">
        <f>VLOOKUP(L2882,'[2]tabela de preços'!$A:$D,4,0)</f>
        <v>BRASILUX</v>
      </c>
      <c r="W2882" t="str">
        <f>VLOOKUP(L2882,'[2]tabela de preços'!$A:$F,6,0)</f>
        <v>DILUENTE</v>
      </c>
      <c r="X2882" t="str">
        <f>VLOOKUP(L2882,'[2]tabela de preços'!$A:$G,7,0)</f>
        <v>AUTOMOTIVO</v>
      </c>
    </row>
    <row r="2883" spans="1:24" x14ac:dyDescent="0.3">
      <c r="A2883" t="s">
        <v>2790</v>
      </c>
      <c r="C2883" t="s">
        <v>2794</v>
      </c>
      <c r="D2883" s="1">
        <v>46059</v>
      </c>
      <c r="E2883" t="s">
        <v>2795</v>
      </c>
      <c r="F2883">
        <v>9</v>
      </c>
      <c r="G2883">
        <v>231</v>
      </c>
      <c r="H2883" t="str">
        <f>VLOOKUP(G2883,[1]OPERADORES!$A:$B,2,0)</f>
        <v>EDIJANE</v>
      </c>
      <c r="I2883" t="s">
        <v>21</v>
      </c>
      <c r="J2883" t="s">
        <v>750</v>
      </c>
      <c r="K2883" t="s">
        <v>2793</v>
      </c>
      <c r="L2883">
        <v>24248</v>
      </c>
      <c r="M2883" t="s">
        <v>107</v>
      </c>
      <c r="O2883" t="s">
        <v>11</v>
      </c>
      <c r="P2883">
        <v>5102</v>
      </c>
      <c r="Q2883">
        <v>1</v>
      </c>
      <c r="R2883">
        <v>8</v>
      </c>
      <c r="S2883">
        <v>8</v>
      </c>
      <c r="T2883">
        <v>6.5</v>
      </c>
      <c r="U2883">
        <v>18.75</v>
      </c>
      <c r="V2883" t="str">
        <f>VLOOKUP(L2883,'[2]tabela de preços'!$A:$D,4,0)</f>
        <v>SHERWIN WILLIAMS</v>
      </c>
      <c r="W2883" t="str">
        <f>VLOOKUP(L2883,'[2]tabela de preços'!$A:$F,6,0)</f>
        <v>PRIMER AUTOMOTIVO</v>
      </c>
      <c r="X2883" t="str">
        <f>VLOOKUP(L2883,'[2]tabela de preços'!$A:$G,7,0)</f>
        <v>AUTOMOTIVO</v>
      </c>
    </row>
    <row r="2884" spans="1:24" x14ac:dyDescent="0.3">
      <c r="A2884" t="s">
        <v>2790</v>
      </c>
      <c r="C2884" t="s">
        <v>2794</v>
      </c>
      <c r="D2884" s="1">
        <v>46059</v>
      </c>
      <c r="E2884" t="s">
        <v>2795</v>
      </c>
      <c r="F2884">
        <v>9</v>
      </c>
      <c r="G2884">
        <v>231</v>
      </c>
      <c r="H2884" t="str">
        <f>VLOOKUP(G2884,[1]OPERADORES!$A:$B,2,0)</f>
        <v>EDIJANE</v>
      </c>
      <c r="I2884" t="s">
        <v>21</v>
      </c>
      <c r="J2884" t="s">
        <v>750</v>
      </c>
      <c r="K2884" t="s">
        <v>2793</v>
      </c>
      <c r="L2884">
        <v>22684</v>
      </c>
      <c r="M2884" t="s">
        <v>73</v>
      </c>
      <c r="O2884" t="s">
        <v>11</v>
      </c>
      <c r="P2884">
        <v>5102</v>
      </c>
      <c r="Q2884">
        <v>1</v>
      </c>
      <c r="R2884">
        <v>3.65</v>
      </c>
      <c r="S2884">
        <v>3.65</v>
      </c>
      <c r="T2884">
        <v>3.08</v>
      </c>
      <c r="U2884">
        <v>15.62</v>
      </c>
      <c r="V2884" t="str">
        <f>VLOOKUP(L2884,'[2]tabela de preços'!$A:$D,4,0)</f>
        <v>3M</v>
      </c>
      <c r="W2884" t="str">
        <f>VLOOKUP(L2884,'[2]tabela de preços'!$A:$F,6,0)</f>
        <v>FITA AUTOMOTIVA</v>
      </c>
      <c r="X2884" t="str">
        <f>VLOOKUP(L2884,'[2]tabela de preços'!$A:$G,7,0)</f>
        <v>AUTOMOTIVO</v>
      </c>
    </row>
    <row r="2885" spans="1:24" x14ac:dyDescent="0.3">
      <c r="A2885" t="s">
        <v>2790</v>
      </c>
      <c r="C2885" t="s">
        <v>2794</v>
      </c>
      <c r="D2885" s="1">
        <v>46059</v>
      </c>
      <c r="E2885" t="s">
        <v>2795</v>
      </c>
      <c r="F2885">
        <v>9</v>
      </c>
      <c r="G2885">
        <v>231</v>
      </c>
      <c r="H2885" t="str">
        <f>VLOOKUP(G2885,[1]OPERADORES!$A:$B,2,0)</f>
        <v>EDIJANE</v>
      </c>
      <c r="I2885" t="s">
        <v>21</v>
      </c>
      <c r="J2885" t="s">
        <v>750</v>
      </c>
      <c r="K2885" t="s">
        <v>2793</v>
      </c>
      <c r="L2885">
        <v>23425</v>
      </c>
      <c r="M2885" t="s">
        <v>2544</v>
      </c>
      <c r="O2885" t="s">
        <v>11</v>
      </c>
      <c r="P2885">
        <v>5102</v>
      </c>
      <c r="Q2885">
        <v>1</v>
      </c>
      <c r="R2885">
        <v>17.760000000000002</v>
      </c>
      <c r="S2885">
        <v>17.760000000000002</v>
      </c>
      <c r="T2885">
        <v>13.48</v>
      </c>
      <c r="U2885">
        <v>24.1</v>
      </c>
      <c r="V2885" t="str">
        <f>VLOOKUP(L2885,'[2]tabela de preços'!$A:$D,4,0)</f>
        <v>NORTON</v>
      </c>
      <c r="W2885" t="str">
        <f>VLOOKUP(L2885,'[2]tabela de preços'!$A:$F,6,0)</f>
        <v xml:space="preserve">OUTROS DISCOS </v>
      </c>
      <c r="X2885" t="str">
        <f>VLOOKUP(L2885,'[2]tabela de preços'!$A:$G,7,0)</f>
        <v>AUTOMOTIVO</v>
      </c>
    </row>
    <row r="2886" spans="1:24" x14ac:dyDescent="0.3">
      <c r="A2886" t="s">
        <v>2790</v>
      </c>
      <c r="C2886" t="s">
        <v>2794</v>
      </c>
      <c r="D2886" s="1">
        <v>46059</v>
      </c>
      <c r="E2886" t="s">
        <v>2795</v>
      </c>
      <c r="F2886">
        <v>9</v>
      </c>
      <c r="G2886">
        <v>231</v>
      </c>
      <c r="H2886" t="str">
        <f>VLOOKUP(G2886,[1]OPERADORES!$A:$B,2,0)</f>
        <v>EDIJANE</v>
      </c>
      <c r="I2886" t="s">
        <v>21</v>
      </c>
      <c r="J2886" t="s">
        <v>750</v>
      </c>
      <c r="K2886" t="s">
        <v>2793</v>
      </c>
      <c r="L2886">
        <v>23385</v>
      </c>
      <c r="M2886" t="s">
        <v>638</v>
      </c>
      <c r="O2886" t="s">
        <v>11</v>
      </c>
      <c r="P2886">
        <v>5403</v>
      </c>
      <c r="Q2886">
        <v>1</v>
      </c>
      <c r="R2886">
        <v>60.78</v>
      </c>
      <c r="S2886">
        <v>60.78</v>
      </c>
      <c r="T2886">
        <v>39.21</v>
      </c>
      <c r="U2886">
        <v>35.49</v>
      </c>
      <c r="V2886" t="str">
        <f>VLOOKUP(L2886,'[2]tabela de preços'!$A:$D,4,0)</f>
        <v>WANDA</v>
      </c>
      <c r="W2886" t="str">
        <f>VLOOKUP(L2886,'[2]tabela de preços'!$A:$F,6,0)</f>
        <v>TINTAS PU</v>
      </c>
      <c r="X2886" t="str">
        <f>VLOOKUP(L2886,'[2]tabela de preços'!$A:$G,7,0)</f>
        <v>AUTOMOTIVO</v>
      </c>
    </row>
    <row r="2887" spans="1:24" x14ac:dyDescent="0.3">
      <c r="A2887" t="s">
        <v>2790</v>
      </c>
      <c r="C2887" t="s">
        <v>2794</v>
      </c>
      <c r="D2887" s="1">
        <v>46059</v>
      </c>
      <c r="E2887" t="s">
        <v>2795</v>
      </c>
      <c r="F2887">
        <v>9</v>
      </c>
      <c r="G2887">
        <v>231</v>
      </c>
      <c r="H2887" t="str">
        <f>VLOOKUP(G2887,[1]OPERADORES!$A:$B,2,0)</f>
        <v>EDIJANE</v>
      </c>
      <c r="I2887" t="s">
        <v>21</v>
      </c>
      <c r="J2887" t="s">
        <v>750</v>
      </c>
      <c r="K2887" t="s">
        <v>2793</v>
      </c>
      <c r="L2887">
        <v>23100</v>
      </c>
      <c r="M2887" t="s">
        <v>99</v>
      </c>
      <c r="O2887" t="s">
        <v>11</v>
      </c>
      <c r="P2887">
        <v>5102</v>
      </c>
      <c r="Q2887">
        <v>3</v>
      </c>
      <c r="R2887">
        <v>2.35</v>
      </c>
      <c r="S2887">
        <v>7.05</v>
      </c>
      <c r="T2887">
        <v>5.07</v>
      </c>
      <c r="U2887">
        <v>28.09</v>
      </c>
      <c r="V2887" t="str">
        <f>VLOOKUP(L2887,'[2]tabela de preços'!$A:$D,4,0)</f>
        <v>3M</v>
      </c>
      <c r="W2887" t="str">
        <f>VLOOKUP(L2887,'[2]tabela de preços'!$A:$F,6,0)</f>
        <v xml:space="preserve">DISCOS / LIXAS / ABRASIVOS </v>
      </c>
      <c r="X2887" t="str">
        <f>VLOOKUP(L2887,'[2]tabela de preços'!$A:$G,7,0)</f>
        <v>AUTOMOTIVO</v>
      </c>
    </row>
    <row r="2888" spans="1:24" x14ac:dyDescent="0.3">
      <c r="A2888" t="s">
        <v>2790</v>
      </c>
      <c r="C2888" t="s">
        <v>2794</v>
      </c>
      <c r="D2888" s="1">
        <v>46059</v>
      </c>
      <c r="E2888" t="s">
        <v>2795</v>
      </c>
      <c r="F2888">
        <v>9</v>
      </c>
      <c r="G2888">
        <v>231</v>
      </c>
      <c r="H2888" t="str">
        <f>VLOOKUP(G2888,[1]OPERADORES!$A:$B,2,0)</f>
        <v>EDIJANE</v>
      </c>
      <c r="I2888" t="s">
        <v>21</v>
      </c>
      <c r="J2888" t="s">
        <v>750</v>
      </c>
      <c r="K2888" t="s">
        <v>2793</v>
      </c>
      <c r="L2888">
        <v>23096</v>
      </c>
      <c r="M2888" t="s">
        <v>656</v>
      </c>
      <c r="O2888" t="s">
        <v>411</v>
      </c>
      <c r="P2888">
        <v>5102</v>
      </c>
      <c r="Q2888">
        <v>3</v>
      </c>
      <c r="R2888">
        <v>2.35</v>
      </c>
      <c r="S2888">
        <v>7.05</v>
      </c>
      <c r="T2888">
        <v>5.07</v>
      </c>
      <c r="U2888">
        <v>28.09</v>
      </c>
      <c r="V2888" t="str">
        <f>VLOOKUP(L2888,'[2]tabela de preços'!$A:$D,4,0)</f>
        <v>3M</v>
      </c>
      <c r="W2888" t="str">
        <f>VLOOKUP(L2888,'[2]tabela de preços'!$A:$F,6,0)</f>
        <v xml:space="preserve">DISCOS / LIXAS / ABRASIVOS </v>
      </c>
      <c r="X2888" t="str">
        <f>VLOOKUP(L2888,'[2]tabela de preços'!$A:$G,7,0)</f>
        <v>AUTOMOTIVO</v>
      </c>
    </row>
    <row r="2889" spans="1:24" x14ac:dyDescent="0.3">
      <c r="A2889" t="s">
        <v>2790</v>
      </c>
      <c r="C2889" t="s">
        <v>2794</v>
      </c>
      <c r="D2889" s="1">
        <v>46059</v>
      </c>
      <c r="E2889" t="s">
        <v>2795</v>
      </c>
      <c r="F2889">
        <v>9</v>
      </c>
      <c r="G2889">
        <v>231</v>
      </c>
      <c r="H2889" t="str">
        <f>VLOOKUP(G2889,[1]OPERADORES!$A:$B,2,0)</f>
        <v>EDIJANE</v>
      </c>
      <c r="I2889" t="s">
        <v>21</v>
      </c>
      <c r="J2889" t="s">
        <v>750</v>
      </c>
      <c r="K2889" t="s">
        <v>2793</v>
      </c>
      <c r="L2889">
        <v>23097</v>
      </c>
      <c r="M2889" t="s">
        <v>412</v>
      </c>
      <c r="O2889" t="s">
        <v>411</v>
      </c>
      <c r="P2889">
        <v>5102</v>
      </c>
      <c r="Q2889">
        <v>2</v>
      </c>
      <c r="R2889">
        <v>2.35</v>
      </c>
      <c r="S2889">
        <v>4.7</v>
      </c>
      <c r="T2889">
        <v>2.72</v>
      </c>
      <c r="U2889">
        <v>42.13</v>
      </c>
      <c r="V2889" t="str">
        <f>VLOOKUP(L2889,'[2]tabela de preços'!$A:$D,4,0)</f>
        <v>3M</v>
      </c>
      <c r="W2889" t="str">
        <f>VLOOKUP(L2889,'[2]tabela de preços'!$A:$F,6,0)</f>
        <v xml:space="preserve">DISCOS / LIXAS / ABRASIVOS </v>
      </c>
      <c r="X2889" t="str">
        <f>VLOOKUP(L2889,'[2]tabela de preços'!$A:$G,7,0)</f>
        <v>AUTOMOTIVO</v>
      </c>
    </row>
    <row r="2890" spans="1:24" x14ac:dyDescent="0.3">
      <c r="A2890" t="s">
        <v>2790</v>
      </c>
      <c r="C2890" t="s">
        <v>2794</v>
      </c>
      <c r="D2890" s="1">
        <v>46059</v>
      </c>
      <c r="E2890" t="s">
        <v>2795</v>
      </c>
      <c r="F2890">
        <v>9</v>
      </c>
      <c r="G2890">
        <v>231</v>
      </c>
      <c r="H2890" t="str">
        <f>VLOOKUP(G2890,[1]OPERADORES!$A:$B,2,0)</f>
        <v>EDIJANE</v>
      </c>
      <c r="I2890" t="s">
        <v>21</v>
      </c>
      <c r="J2890" t="s">
        <v>750</v>
      </c>
      <c r="K2890" t="s">
        <v>2793</v>
      </c>
      <c r="L2890">
        <v>23267</v>
      </c>
      <c r="M2890" t="s">
        <v>164</v>
      </c>
      <c r="O2890" t="s">
        <v>11</v>
      </c>
      <c r="P2890">
        <v>5102</v>
      </c>
      <c r="Q2890">
        <v>1</v>
      </c>
      <c r="R2890">
        <v>22.89</v>
      </c>
      <c r="S2890">
        <v>22.89</v>
      </c>
      <c r="T2890">
        <v>19.54</v>
      </c>
      <c r="U2890">
        <v>14.64</v>
      </c>
      <c r="V2890" t="str">
        <f>VLOOKUP(L2890,'[2]tabela de preços'!$A:$D,4,0)</f>
        <v>ANJO</v>
      </c>
      <c r="W2890" t="str">
        <f>VLOOKUP(L2890,'[2]tabela de preços'!$A:$F,6,0)</f>
        <v>MASSA POLIÉSTER</v>
      </c>
      <c r="X2890" t="str">
        <f>VLOOKUP(L2890,'[2]tabela de preços'!$A:$G,7,0)</f>
        <v>AUTOMOTIVO</v>
      </c>
    </row>
    <row r="2891" spans="1:24" x14ac:dyDescent="0.3">
      <c r="A2891" t="s">
        <v>2790</v>
      </c>
      <c r="C2891" t="s">
        <v>2794</v>
      </c>
      <c r="D2891" s="1">
        <v>46059</v>
      </c>
      <c r="E2891" t="s">
        <v>2795</v>
      </c>
      <c r="F2891">
        <v>9</v>
      </c>
      <c r="G2891">
        <v>231</v>
      </c>
      <c r="H2891" t="str">
        <f>VLOOKUP(G2891,[1]OPERADORES!$A:$B,2,0)</f>
        <v>EDIJANE</v>
      </c>
      <c r="I2891" t="s">
        <v>21</v>
      </c>
      <c r="J2891" t="s">
        <v>750</v>
      </c>
      <c r="K2891" t="s">
        <v>2793</v>
      </c>
      <c r="L2891">
        <v>24247</v>
      </c>
      <c r="M2891" t="s">
        <v>160</v>
      </c>
      <c r="O2891" t="s">
        <v>11</v>
      </c>
      <c r="P2891">
        <v>5403</v>
      </c>
      <c r="Q2891">
        <v>1</v>
      </c>
      <c r="R2891">
        <v>21</v>
      </c>
      <c r="S2891">
        <v>21</v>
      </c>
      <c r="T2891">
        <v>16.87</v>
      </c>
      <c r="U2891">
        <v>19.670000000000002</v>
      </c>
      <c r="V2891" t="str">
        <f>VLOOKUP(L2891,'[2]tabela de preços'!$A:$D,4,0)</f>
        <v>SHERWIN WILLIAMS</v>
      </c>
      <c r="W2891" t="str">
        <f>VLOOKUP(L2891,'[2]tabela de preços'!$A:$F,6,0)</f>
        <v>PRIMER AUTOMOTIVO</v>
      </c>
      <c r="X2891" t="str">
        <f>VLOOKUP(L2891,'[2]tabela de preços'!$A:$G,7,0)</f>
        <v>AUTOMOTIVO</v>
      </c>
    </row>
    <row r="2892" spans="1:24" x14ac:dyDescent="0.3">
      <c r="A2892" t="s">
        <v>2699</v>
      </c>
      <c r="C2892" t="s">
        <v>2475</v>
      </c>
      <c r="D2892" s="1">
        <v>46056</v>
      </c>
      <c r="E2892" t="s">
        <v>2476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587</v>
      </c>
      <c r="K2892" t="s">
        <v>2477</v>
      </c>
      <c r="L2892">
        <v>10226</v>
      </c>
      <c r="M2892" t="s">
        <v>145</v>
      </c>
      <c r="O2892" t="s">
        <v>11</v>
      </c>
      <c r="P2892">
        <v>5102</v>
      </c>
      <c r="Q2892">
        <v>102</v>
      </c>
      <c r="R2892">
        <v>2.79</v>
      </c>
      <c r="S2892">
        <v>284.58</v>
      </c>
      <c r="T2892">
        <v>236.64</v>
      </c>
      <c r="U2892">
        <v>16.850000000000001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2699</v>
      </c>
      <c r="C2893" t="s">
        <v>2475</v>
      </c>
      <c r="D2893" s="1">
        <v>46056</v>
      </c>
      <c r="E2893" t="s">
        <v>2476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587</v>
      </c>
      <c r="K2893" t="s">
        <v>2477</v>
      </c>
      <c r="L2893">
        <v>10230</v>
      </c>
      <c r="M2893" t="s">
        <v>193</v>
      </c>
      <c r="O2893" t="s">
        <v>11</v>
      </c>
      <c r="P2893">
        <v>5102</v>
      </c>
      <c r="Q2893">
        <v>102</v>
      </c>
      <c r="R2893">
        <v>2.79</v>
      </c>
      <c r="S2893">
        <v>284.58</v>
      </c>
      <c r="T2893">
        <v>236.64</v>
      </c>
      <c r="U2893">
        <v>16.850000000000001</v>
      </c>
      <c r="V2893" t="str">
        <f>VLOOKUP(L2893,'[2]tabela de preços'!$A:$D,4,0)</f>
        <v>NORTON</v>
      </c>
      <c r="W2893" t="str">
        <f>VLOOKUP(L2893,'[2]tabela de preços'!$A:$F,6,0)</f>
        <v xml:space="preserve">DISCOS / LIXAS / ABRASIVOS </v>
      </c>
      <c r="X2893" t="str">
        <f>VLOOKUP(L2893,'[2]tabela de preços'!$A:$G,7,0)</f>
        <v>AUTOMOTIVO</v>
      </c>
    </row>
    <row r="2894" spans="1:24" x14ac:dyDescent="0.3">
      <c r="A2894" t="s">
        <v>2699</v>
      </c>
      <c r="C2894" t="s">
        <v>2475</v>
      </c>
      <c r="D2894" s="1">
        <v>46056</v>
      </c>
      <c r="E2894" t="s">
        <v>2476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587</v>
      </c>
      <c r="K2894" t="s">
        <v>2477</v>
      </c>
      <c r="L2894">
        <v>10232</v>
      </c>
      <c r="M2894" t="s">
        <v>134</v>
      </c>
      <c r="O2894" t="s">
        <v>11</v>
      </c>
      <c r="P2894">
        <v>5102</v>
      </c>
      <c r="Q2894">
        <v>102</v>
      </c>
      <c r="R2894">
        <v>2.79</v>
      </c>
      <c r="S2894">
        <v>284.58</v>
      </c>
      <c r="T2894">
        <v>229.5</v>
      </c>
      <c r="U2894">
        <v>19.350000000000001</v>
      </c>
      <c r="V2894" t="str">
        <f>VLOOKUP(L2894,'[2]tabela de preços'!$A:$D,4,0)</f>
        <v>NORTON</v>
      </c>
      <c r="W2894" t="str">
        <f>VLOOKUP(L2894,'[2]tabela de preços'!$A:$F,6,0)</f>
        <v xml:space="preserve">DISCOS / LIXAS / ABRASIVOS </v>
      </c>
      <c r="X2894" t="str">
        <f>VLOOKUP(L2894,'[2]tabela de preços'!$A:$G,7,0)</f>
        <v>AUTOMOTIVO</v>
      </c>
    </row>
    <row r="2895" spans="1:24" x14ac:dyDescent="0.3">
      <c r="A2895" t="s">
        <v>2699</v>
      </c>
      <c r="C2895" t="s">
        <v>2475</v>
      </c>
      <c r="D2895" s="1">
        <v>46056</v>
      </c>
      <c r="E2895" t="s">
        <v>2476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587</v>
      </c>
      <c r="K2895" t="s">
        <v>2477</v>
      </c>
      <c r="L2895">
        <v>20135</v>
      </c>
      <c r="M2895" t="s">
        <v>459</v>
      </c>
      <c r="O2895" t="s">
        <v>11</v>
      </c>
      <c r="P2895">
        <v>5102</v>
      </c>
      <c r="Q2895">
        <v>10</v>
      </c>
      <c r="R2895">
        <v>25.37</v>
      </c>
      <c r="S2895">
        <v>253.7</v>
      </c>
      <c r="T2895">
        <v>192.6</v>
      </c>
      <c r="U2895">
        <v>24.08</v>
      </c>
      <c r="V2895" t="str">
        <f>VLOOKUP(L2895,'[2]tabela de preços'!$A:$D,4,0)</f>
        <v>3M</v>
      </c>
      <c r="W2895" t="str">
        <f>VLOOKUP(L2895,'[2]tabela de preços'!$A:$F,6,0)</f>
        <v>DISCO TRIZACT</v>
      </c>
      <c r="X2895" t="str">
        <f>VLOOKUP(L2895,'[2]tabela de preços'!$A:$G,7,0)</f>
        <v>AUTOMOTIVO</v>
      </c>
    </row>
    <row r="2896" spans="1:24" x14ac:dyDescent="0.3">
      <c r="A2896" t="s">
        <v>2699</v>
      </c>
      <c r="C2896" t="s">
        <v>2475</v>
      </c>
      <c r="D2896" s="1">
        <v>46056</v>
      </c>
      <c r="E2896" t="s">
        <v>2476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587</v>
      </c>
      <c r="K2896" t="s">
        <v>2477</v>
      </c>
      <c r="L2896">
        <v>20245</v>
      </c>
      <c r="M2896" t="s">
        <v>146</v>
      </c>
      <c r="O2896" t="s">
        <v>11</v>
      </c>
      <c r="P2896">
        <v>5102</v>
      </c>
      <c r="Q2896">
        <v>50</v>
      </c>
      <c r="R2896">
        <v>1.82</v>
      </c>
      <c r="S2896">
        <v>91</v>
      </c>
      <c r="T2896">
        <v>67.5</v>
      </c>
      <c r="U2896">
        <v>25.82</v>
      </c>
      <c r="V2896" t="str">
        <f>VLOOKUP(L2896,'[2]tabela de preços'!$A:$D,4,0)</f>
        <v>ATLAS</v>
      </c>
      <c r="W2896" t="str">
        <f>VLOOKUP(L2896,'[2]tabela de preços'!$A:$F,6,0)</f>
        <v>APLICADORES / ADAPTADORES / ENGATES / SUPORTES</v>
      </c>
      <c r="X2896" t="str">
        <f>VLOOKUP(L2896,'[2]tabela de preços'!$A:$G,7,0)</f>
        <v>AUTOMOTIVO</v>
      </c>
    </row>
    <row r="2897" spans="1:24" x14ac:dyDescent="0.3">
      <c r="A2897" t="s">
        <v>2699</v>
      </c>
      <c r="C2897" t="s">
        <v>2475</v>
      </c>
      <c r="D2897" s="1">
        <v>46056</v>
      </c>
      <c r="E2897" t="s">
        <v>2476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587</v>
      </c>
      <c r="K2897" t="s">
        <v>2477</v>
      </c>
      <c r="L2897">
        <v>20431</v>
      </c>
      <c r="M2897" t="s">
        <v>202</v>
      </c>
      <c r="O2897" t="s">
        <v>11</v>
      </c>
      <c r="P2897">
        <v>5403</v>
      </c>
      <c r="Q2897">
        <v>36</v>
      </c>
      <c r="R2897">
        <v>36.89</v>
      </c>
      <c r="S2897" s="2">
        <v>1328.04</v>
      </c>
      <c r="T2897" s="2">
        <v>1089.3599999999999</v>
      </c>
      <c r="U2897">
        <v>17.97</v>
      </c>
      <c r="V2897" t="str">
        <f>VLOOKUP(L2897,'[2]tabela de preços'!$A:$D,4,0)</f>
        <v>SHERWIN WILLIAMS</v>
      </c>
      <c r="W2897" t="str">
        <f>VLOOKUP(L2897,'[2]tabela de preços'!$A:$F,6,0)</f>
        <v>VERNIZ AUTOMOTIVO</v>
      </c>
      <c r="X2897" t="str">
        <f>VLOOKUP(L2897,'[2]tabela de preços'!$A:$G,7,0)</f>
        <v>AUTOMOTIVO</v>
      </c>
    </row>
    <row r="2898" spans="1:24" x14ac:dyDescent="0.3">
      <c r="A2898" t="s">
        <v>2699</v>
      </c>
      <c r="C2898" t="s">
        <v>2475</v>
      </c>
      <c r="D2898" s="1">
        <v>46056</v>
      </c>
      <c r="E2898" t="s">
        <v>2476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587</v>
      </c>
      <c r="K2898" t="s">
        <v>2477</v>
      </c>
      <c r="L2898">
        <v>13</v>
      </c>
      <c r="M2898" t="s">
        <v>152</v>
      </c>
      <c r="O2898" t="s">
        <v>11</v>
      </c>
      <c r="P2898">
        <v>5102</v>
      </c>
      <c r="Q2898">
        <v>50</v>
      </c>
      <c r="R2898">
        <v>5.79</v>
      </c>
      <c r="S2898">
        <v>289.5</v>
      </c>
      <c r="T2898">
        <v>208</v>
      </c>
      <c r="U2898">
        <v>28.15</v>
      </c>
      <c r="V2898" t="str">
        <f>VLOOKUP(L2898,'[2]tabela de preços'!$A:$D,4,0)</f>
        <v>3M</v>
      </c>
      <c r="W2898" t="str">
        <f>VLOOKUP(L2898,'[2]tabela de preços'!$A:$F,6,0)</f>
        <v>LIXA DÁGUA</v>
      </c>
      <c r="X2898" t="str">
        <f>VLOOKUP(L2898,'[2]tabela de preços'!$A:$G,7,0)</f>
        <v>AUTOMOTIVO</v>
      </c>
    </row>
    <row r="2899" spans="1:24" x14ac:dyDescent="0.3">
      <c r="A2899" t="s">
        <v>2699</v>
      </c>
      <c r="C2899" t="s">
        <v>2475</v>
      </c>
      <c r="D2899" s="1">
        <v>46056</v>
      </c>
      <c r="E2899" t="s">
        <v>2476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587</v>
      </c>
      <c r="K2899" t="s">
        <v>2477</v>
      </c>
      <c r="L2899">
        <v>15</v>
      </c>
      <c r="M2899" t="s">
        <v>205</v>
      </c>
      <c r="O2899" t="s">
        <v>11</v>
      </c>
      <c r="P2899">
        <v>5102</v>
      </c>
      <c r="Q2899">
        <v>50</v>
      </c>
      <c r="R2899">
        <v>5.79</v>
      </c>
      <c r="S2899">
        <v>289.5</v>
      </c>
      <c r="T2899">
        <v>208</v>
      </c>
      <c r="U2899">
        <v>28.15</v>
      </c>
      <c r="V2899" t="str">
        <f>VLOOKUP(L2899,'[2]tabela de preços'!$A:$D,4,0)</f>
        <v>3M</v>
      </c>
      <c r="W2899" t="str">
        <f>VLOOKUP(L2899,'[2]tabela de preços'!$A:$F,6,0)</f>
        <v>LIXA DÁGUA</v>
      </c>
      <c r="X2899" t="str">
        <f>VLOOKUP(L2899,'[2]tabela de preços'!$A:$G,7,0)</f>
        <v>AUTOMOTIVO</v>
      </c>
    </row>
    <row r="2900" spans="1:24" x14ac:dyDescent="0.3">
      <c r="A2900" t="s">
        <v>2699</v>
      </c>
      <c r="C2900" t="s">
        <v>2475</v>
      </c>
      <c r="D2900" s="1">
        <v>46056</v>
      </c>
      <c r="E2900" t="s">
        <v>2476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587</v>
      </c>
      <c r="K2900" t="s">
        <v>2477</v>
      </c>
      <c r="L2900">
        <v>10238</v>
      </c>
      <c r="M2900" t="s">
        <v>79</v>
      </c>
      <c r="O2900" t="s">
        <v>11</v>
      </c>
      <c r="P2900">
        <v>5102</v>
      </c>
      <c r="Q2900">
        <v>50</v>
      </c>
      <c r="R2900">
        <v>2.79</v>
      </c>
      <c r="S2900">
        <v>139.5</v>
      </c>
      <c r="T2900">
        <v>112</v>
      </c>
      <c r="U2900">
        <v>19.71</v>
      </c>
      <c r="V2900" t="str">
        <f>VLOOKUP(L2900,'[2]tabela de preços'!$A:$D,4,0)</f>
        <v>NORTON</v>
      </c>
      <c r="W2900" t="str">
        <f>VLOOKUP(L2900,'[2]tabela de preços'!$A:$F,6,0)</f>
        <v xml:space="preserve">DISCOS / LIXAS / ABRASIVOS </v>
      </c>
      <c r="X2900" t="str">
        <f>VLOOKUP(L2900,'[2]tabela de preços'!$A:$G,7,0)</f>
        <v>AUTOMOTIVO</v>
      </c>
    </row>
    <row r="2901" spans="1:24" x14ac:dyDescent="0.3">
      <c r="A2901" t="s">
        <v>2699</v>
      </c>
      <c r="C2901" t="s">
        <v>2475</v>
      </c>
      <c r="D2901" s="1">
        <v>46056</v>
      </c>
      <c r="E2901" t="s">
        <v>2476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587</v>
      </c>
      <c r="K2901" t="s">
        <v>2477</v>
      </c>
      <c r="L2901">
        <v>10243</v>
      </c>
      <c r="M2901" t="s">
        <v>83</v>
      </c>
      <c r="O2901" t="s">
        <v>11</v>
      </c>
      <c r="P2901">
        <v>5102</v>
      </c>
      <c r="Q2901">
        <v>50</v>
      </c>
      <c r="R2901">
        <v>2.79</v>
      </c>
      <c r="S2901">
        <v>139.5</v>
      </c>
      <c r="T2901">
        <v>96.5</v>
      </c>
      <c r="U2901">
        <v>30.82</v>
      </c>
      <c r="V2901" t="str">
        <f>VLOOKUP(L2901,'[2]tabela de preços'!$A:$D,4,0)</f>
        <v>NORTON</v>
      </c>
      <c r="W2901" t="str">
        <f>VLOOKUP(L2901,'[2]tabela de preços'!$A:$F,6,0)</f>
        <v xml:space="preserve">DISCOS / LIXAS / ABRASIVOS </v>
      </c>
      <c r="X2901" t="str">
        <f>VLOOKUP(L2901,'[2]tabela de preços'!$A:$G,7,0)</f>
        <v>AUTOMOTIVO</v>
      </c>
    </row>
    <row r="2902" spans="1:24" x14ac:dyDescent="0.3">
      <c r="A2902" t="s">
        <v>2699</v>
      </c>
      <c r="C2902" t="s">
        <v>2475</v>
      </c>
      <c r="D2902" s="1">
        <v>46056</v>
      </c>
      <c r="E2902" t="s">
        <v>2476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587</v>
      </c>
      <c r="K2902" t="s">
        <v>2477</v>
      </c>
      <c r="L2902">
        <v>10298</v>
      </c>
      <c r="M2902" t="s">
        <v>85</v>
      </c>
      <c r="O2902" t="s">
        <v>11</v>
      </c>
      <c r="P2902">
        <v>5102</v>
      </c>
      <c r="Q2902">
        <v>20</v>
      </c>
      <c r="R2902">
        <v>54.9</v>
      </c>
      <c r="S2902" s="2">
        <v>1098</v>
      </c>
      <c r="T2902">
        <v>947.6</v>
      </c>
      <c r="U2902">
        <v>13.7</v>
      </c>
      <c r="V2902" t="str">
        <f>VLOOKUP(L2902,'[2]tabela de preços'!$A:$D,4,0)</f>
        <v>ANJO</v>
      </c>
      <c r="W2902" t="str">
        <f>VLOOKUP(L2902,'[2]tabela de preços'!$A:$F,6,0)</f>
        <v>THINNER DE LIMPEZA</v>
      </c>
      <c r="X2902" t="str">
        <f>VLOOKUP(L2902,'[2]tabela de preços'!$A:$G,7,0)</f>
        <v>THINNER</v>
      </c>
    </row>
    <row r="2903" spans="1:24" x14ac:dyDescent="0.3">
      <c r="A2903" t="s">
        <v>2699</v>
      </c>
      <c r="C2903" t="s">
        <v>2700</v>
      </c>
      <c r="D2903" s="1">
        <v>46057</v>
      </c>
      <c r="E2903" t="s">
        <v>2701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587</v>
      </c>
      <c r="K2903" t="s">
        <v>2477</v>
      </c>
      <c r="L2903">
        <v>24248</v>
      </c>
      <c r="M2903" t="s">
        <v>107</v>
      </c>
      <c r="O2903" t="s">
        <v>11</v>
      </c>
      <c r="P2903">
        <v>5102</v>
      </c>
      <c r="Q2903">
        <v>36</v>
      </c>
      <c r="R2903">
        <v>8</v>
      </c>
      <c r="S2903">
        <v>288</v>
      </c>
      <c r="T2903">
        <v>234</v>
      </c>
      <c r="U2903">
        <v>18.75</v>
      </c>
      <c r="V2903" t="str">
        <f>VLOOKUP(L2903,'[2]tabela de preços'!$A:$D,4,0)</f>
        <v>SHERWIN WILLIAMS</v>
      </c>
      <c r="W2903" t="str">
        <f>VLOOKUP(L2903,'[2]tabela de preços'!$A:$F,6,0)</f>
        <v>PRIMER AUTOMOTIVO</v>
      </c>
      <c r="X2903" t="str">
        <f>VLOOKUP(L2903,'[2]tabela de preços'!$A:$G,7,0)</f>
        <v>AUTOMOTIVO</v>
      </c>
    </row>
    <row r="2904" spans="1:24" x14ac:dyDescent="0.3">
      <c r="A2904" t="s">
        <v>2699</v>
      </c>
      <c r="C2904" t="s">
        <v>2700</v>
      </c>
      <c r="D2904" s="1">
        <v>46057</v>
      </c>
      <c r="E2904" t="s">
        <v>2701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587</v>
      </c>
      <c r="K2904" t="s">
        <v>2477</v>
      </c>
      <c r="L2904">
        <v>22684</v>
      </c>
      <c r="M2904" t="s">
        <v>73</v>
      </c>
      <c r="O2904" t="s">
        <v>11</v>
      </c>
      <c r="P2904">
        <v>5102</v>
      </c>
      <c r="Q2904">
        <v>80</v>
      </c>
      <c r="R2904">
        <v>3.65</v>
      </c>
      <c r="S2904">
        <v>292</v>
      </c>
      <c r="T2904">
        <v>246.4</v>
      </c>
      <c r="U2904">
        <v>15.62</v>
      </c>
      <c r="V2904" t="str">
        <f>VLOOKUP(L2904,'[2]tabela de preços'!$A:$D,4,0)</f>
        <v>3M</v>
      </c>
      <c r="W2904" t="str">
        <f>VLOOKUP(L2904,'[2]tabela de preços'!$A:$F,6,0)</f>
        <v>FITA AUTOMOTIVA</v>
      </c>
      <c r="X2904" t="str">
        <f>VLOOKUP(L2904,'[2]tabela de preços'!$A:$G,7,0)</f>
        <v>AUTOMOTIVO</v>
      </c>
    </row>
    <row r="2905" spans="1:24" x14ac:dyDescent="0.3">
      <c r="A2905" t="s">
        <v>2699</v>
      </c>
      <c r="C2905" t="s">
        <v>2700</v>
      </c>
      <c r="D2905" s="1">
        <v>46057</v>
      </c>
      <c r="E2905" t="s">
        <v>2701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587</v>
      </c>
      <c r="K2905" t="s">
        <v>2477</v>
      </c>
      <c r="L2905">
        <v>20817</v>
      </c>
      <c r="M2905" t="s">
        <v>153</v>
      </c>
      <c r="O2905" t="s">
        <v>11</v>
      </c>
      <c r="P2905">
        <v>5102</v>
      </c>
      <c r="Q2905">
        <v>12</v>
      </c>
      <c r="R2905">
        <v>22.89</v>
      </c>
      <c r="S2905">
        <v>274.68</v>
      </c>
      <c r="T2905">
        <v>223.44</v>
      </c>
      <c r="U2905">
        <v>18.649999999999999</v>
      </c>
      <c r="V2905" t="str">
        <f>VLOOKUP(L2905,'[2]tabela de preços'!$A:$D,4,0)</f>
        <v>AUTO AMERICA</v>
      </c>
      <c r="W2905" t="str">
        <f>VLOOKUP(L2905,'[2]tabela de preços'!$A:$F,6,0)</f>
        <v>MASSA DE POLIR</v>
      </c>
      <c r="X2905" t="str">
        <f>VLOOKUP(L2905,'[2]tabela de preços'!$A:$G,7,0)</f>
        <v>AUTOMOTIVO</v>
      </c>
    </row>
    <row r="2906" spans="1:24" x14ac:dyDescent="0.3">
      <c r="A2906" t="s">
        <v>2699</v>
      </c>
      <c r="C2906" t="s">
        <v>2700</v>
      </c>
      <c r="D2906" s="1">
        <v>46057</v>
      </c>
      <c r="E2906" t="s">
        <v>2701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587</v>
      </c>
      <c r="K2906" t="s">
        <v>2477</v>
      </c>
      <c r="L2906">
        <v>24247</v>
      </c>
      <c r="M2906" t="s">
        <v>160</v>
      </c>
      <c r="O2906" t="s">
        <v>11</v>
      </c>
      <c r="P2906">
        <v>5403</v>
      </c>
      <c r="Q2906">
        <v>36</v>
      </c>
      <c r="R2906">
        <v>21</v>
      </c>
      <c r="S2906">
        <v>756</v>
      </c>
      <c r="T2906">
        <v>607.32000000000005</v>
      </c>
      <c r="U2906">
        <v>19.670000000000002</v>
      </c>
      <c r="V2906" t="str">
        <f>VLOOKUP(L2906,'[2]tabela de preços'!$A:$D,4,0)</f>
        <v>SHERWIN WILLIAMS</v>
      </c>
      <c r="W2906" t="str">
        <f>VLOOKUP(L2906,'[2]tabela de preços'!$A:$F,6,0)</f>
        <v>PRIMER AUTOMOTIVO</v>
      </c>
      <c r="X2906" t="str">
        <f>VLOOKUP(L2906,'[2]tabela de preços'!$A:$G,7,0)</f>
        <v>AUTOMOTIVO</v>
      </c>
    </row>
    <row r="2907" spans="1:24" x14ac:dyDescent="0.3">
      <c r="A2907" t="s">
        <v>2699</v>
      </c>
      <c r="C2907" t="s">
        <v>2702</v>
      </c>
      <c r="D2907" s="1">
        <v>46058</v>
      </c>
      <c r="E2907" t="s">
        <v>2703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587</v>
      </c>
      <c r="K2907" t="s">
        <v>2477</v>
      </c>
      <c r="L2907">
        <v>20431</v>
      </c>
      <c r="M2907" t="s">
        <v>202</v>
      </c>
      <c r="O2907" t="s">
        <v>11</v>
      </c>
      <c r="P2907">
        <v>5403</v>
      </c>
      <c r="Q2907">
        <v>45</v>
      </c>
      <c r="R2907">
        <v>36.89</v>
      </c>
      <c r="S2907" s="2">
        <v>1660.05</v>
      </c>
      <c r="T2907" s="2">
        <v>1361.7</v>
      </c>
      <c r="U2907">
        <v>17.97</v>
      </c>
      <c r="V2907" t="str">
        <f>VLOOKUP(L2907,'[2]tabela de preços'!$A:$D,4,0)</f>
        <v>SHERWIN WILLIAMS</v>
      </c>
      <c r="W2907" t="str">
        <f>VLOOKUP(L2907,'[2]tabela de preços'!$A:$F,6,0)</f>
        <v>VERNIZ AUTOMOTIVO</v>
      </c>
      <c r="X2907" t="str">
        <f>VLOOKUP(L2907,'[2]tabela de preços'!$A:$G,7,0)</f>
        <v>AUTOMOTIVO</v>
      </c>
    </row>
    <row r="2908" spans="1:24" x14ac:dyDescent="0.3">
      <c r="A2908" t="s">
        <v>2699</v>
      </c>
      <c r="C2908" t="s">
        <v>2702</v>
      </c>
      <c r="D2908" s="1">
        <v>46058</v>
      </c>
      <c r="E2908" t="s">
        <v>2703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587</v>
      </c>
      <c r="K2908" t="s">
        <v>2477</v>
      </c>
      <c r="L2908">
        <v>10238</v>
      </c>
      <c r="M2908" t="s">
        <v>79</v>
      </c>
      <c r="O2908" t="s">
        <v>11</v>
      </c>
      <c r="P2908">
        <v>5102</v>
      </c>
      <c r="Q2908">
        <v>100</v>
      </c>
      <c r="R2908">
        <v>2.79</v>
      </c>
      <c r="S2908">
        <v>279</v>
      </c>
      <c r="T2908">
        <v>224</v>
      </c>
      <c r="U2908">
        <v>19.71</v>
      </c>
      <c r="V2908" t="str">
        <f>VLOOKUP(L2908,'[2]tabela de preços'!$A:$D,4,0)</f>
        <v>NORTON</v>
      </c>
      <c r="W2908" t="str">
        <f>VLOOKUP(L2908,'[2]tabela de preços'!$A:$F,6,0)</f>
        <v xml:space="preserve">DISCOS / LIXAS / ABRASIVOS </v>
      </c>
      <c r="X2908" t="str">
        <f>VLOOKUP(L2908,'[2]tabela de preços'!$A:$G,7,0)</f>
        <v>AUTOMOTIVO</v>
      </c>
    </row>
    <row r="2909" spans="1:24" x14ac:dyDescent="0.3">
      <c r="A2909" t="s">
        <v>2699</v>
      </c>
      <c r="C2909" t="s">
        <v>2702</v>
      </c>
      <c r="D2909" s="1">
        <v>46058</v>
      </c>
      <c r="E2909" t="s">
        <v>2703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587</v>
      </c>
      <c r="K2909" t="s">
        <v>2477</v>
      </c>
      <c r="L2909">
        <v>10243</v>
      </c>
      <c r="M2909" t="s">
        <v>83</v>
      </c>
      <c r="O2909" t="s">
        <v>11</v>
      </c>
      <c r="P2909">
        <v>5102</v>
      </c>
      <c r="Q2909">
        <v>50</v>
      </c>
      <c r="R2909">
        <v>2.79</v>
      </c>
      <c r="S2909">
        <v>139.5</v>
      </c>
      <c r="T2909">
        <v>96.5</v>
      </c>
      <c r="U2909">
        <v>30.82</v>
      </c>
      <c r="V2909" t="str">
        <f>VLOOKUP(L2909,'[2]tabela de preços'!$A:$D,4,0)</f>
        <v>NORTON</v>
      </c>
      <c r="W2909" t="str">
        <f>VLOOKUP(L2909,'[2]tabela de preços'!$A:$F,6,0)</f>
        <v xml:space="preserve">DISCOS / LIXAS / ABRASIVOS </v>
      </c>
      <c r="X2909" t="str">
        <f>VLOOKUP(L2909,'[2]tabela de preços'!$A:$G,7,0)</f>
        <v>AUTOMOTIVO</v>
      </c>
    </row>
    <row r="2910" spans="1:24" x14ac:dyDescent="0.3">
      <c r="A2910" t="s">
        <v>2699</v>
      </c>
      <c r="C2910" t="s">
        <v>2702</v>
      </c>
      <c r="D2910" s="1">
        <v>46058</v>
      </c>
      <c r="E2910" t="s">
        <v>2703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587</v>
      </c>
      <c r="K2910" t="s">
        <v>2477</v>
      </c>
      <c r="L2910">
        <v>10244</v>
      </c>
      <c r="M2910" t="s">
        <v>84</v>
      </c>
      <c r="O2910" t="s">
        <v>11</v>
      </c>
      <c r="P2910">
        <v>5102</v>
      </c>
      <c r="Q2910">
        <v>50</v>
      </c>
      <c r="R2910">
        <v>2.79</v>
      </c>
      <c r="S2910">
        <v>139.5</v>
      </c>
      <c r="T2910">
        <v>96.5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2699</v>
      </c>
      <c r="C2911" t="s">
        <v>2702</v>
      </c>
      <c r="D2911" s="1">
        <v>46058</v>
      </c>
      <c r="E2911" t="s">
        <v>2703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587</v>
      </c>
      <c r="K2911" t="s">
        <v>2477</v>
      </c>
      <c r="L2911">
        <v>10245</v>
      </c>
      <c r="M2911" t="s">
        <v>195</v>
      </c>
      <c r="O2911" t="s">
        <v>11</v>
      </c>
      <c r="P2911">
        <v>5102</v>
      </c>
      <c r="Q2911">
        <v>50</v>
      </c>
      <c r="R2911">
        <v>2.79</v>
      </c>
      <c r="S2911">
        <v>139.5</v>
      </c>
      <c r="T2911">
        <v>96.5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2699</v>
      </c>
      <c r="C2912" t="s">
        <v>2702</v>
      </c>
      <c r="D2912" s="1">
        <v>46058</v>
      </c>
      <c r="E2912" t="s">
        <v>2703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587</v>
      </c>
      <c r="K2912" t="s">
        <v>2477</v>
      </c>
      <c r="L2912">
        <v>20525</v>
      </c>
      <c r="M2912" t="s">
        <v>137</v>
      </c>
      <c r="O2912" t="s">
        <v>11</v>
      </c>
      <c r="P2912">
        <v>5102</v>
      </c>
      <c r="Q2912">
        <v>6</v>
      </c>
      <c r="R2912">
        <v>13.65</v>
      </c>
      <c r="S2912">
        <v>81.900000000000006</v>
      </c>
      <c r="T2912">
        <v>62.16</v>
      </c>
      <c r="U2912">
        <v>24.1</v>
      </c>
      <c r="V2912" t="str">
        <f>VLOOKUP(L2912,'[2]tabela de preços'!$A:$D,4,0)</f>
        <v>SHERWIN WILLIAMS</v>
      </c>
      <c r="W2912" t="str">
        <f>VLOOKUP(L2912,'[2]tabela de preços'!$A:$F,6,0)</f>
        <v>MASSA DE PEQUENOS REPAROS</v>
      </c>
      <c r="X2912" t="str">
        <f>VLOOKUP(L2912,'[2]tabela de preços'!$A:$G,7,0)</f>
        <v>AUTOMOTIVO</v>
      </c>
    </row>
    <row r="2913" spans="1:24" x14ac:dyDescent="0.3">
      <c r="A2913" t="s">
        <v>2699</v>
      </c>
      <c r="C2913" t="s">
        <v>2702</v>
      </c>
      <c r="D2913" s="1">
        <v>46058</v>
      </c>
      <c r="E2913" t="s">
        <v>2703</v>
      </c>
      <c r="F2913">
        <v>9</v>
      </c>
      <c r="G2913">
        <v>174</v>
      </c>
      <c r="H2913" t="str">
        <f>VLOOKUP(G2913,[1]OPERADORES!$A:$B,2,0)</f>
        <v>MIRIÃ LOBATO RODRIGUES</v>
      </c>
      <c r="I2913" t="s">
        <v>21</v>
      </c>
      <c r="J2913" t="s">
        <v>587</v>
      </c>
      <c r="K2913" t="s">
        <v>2477</v>
      </c>
      <c r="L2913">
        <v>20414</v>
      </c>
      <c r="M2913" t="s">
        <v>112</v>
      </c>
      <c r="O2913" t="s">
        <v>11</v>
      </c>
      <c r="P2913">
        <v>5102</v>
      </c>
      <c r="Q2913">
        <v>40</v>
      </c>
      <c r="R2913">
        <v>21.89</v>
      </c>
      <c r="S2913">
        <v>875.6</v>
      </c>
      <c r="T2913">
        <v>720</v>
      </c>
      <c r="U2913">
        <v>17.77</v>
      </c>
      <c r="V2913" t="str">
        <f>VLOOKUP(L2913,'[2]tabela de preços'!$A:$D,4,0)</f>
        <v>SHERWIN WILLIAMS</v>
      </c>
      <c r="W2913" t="str">
        <f>VLOOKUP(L2913,'[2]tabela de preços'!$A:$F,6,0)</f>
        <v>DILUENTE</v>
      </c>
      <c r="X2913" t="str">
        <f>VLOOKUP(L2913,'[2]tabela de preços'!$A:$G,7,0)</f>
        <v>AUTOMOTIVO</v>
      </c>
    </row>
    <row r="2914" spans="1:24" x14ac:dyDescent="0.3">
      <c r="A2914" t="s">
        <v>2699</v>
      </c>
      <c r="C2914" t="s">
        <v>2702</v>
      </c>
      <c r="D2914" s="1">
        <v>46058</v>
      </c>
      <c r="E2914" t="s">
        <v>2703</v>
      </c>
      <c r="F2914">
        <v>9</v>
      </c>
      <c r="G2914">
        <v>174</v>
      </c>
      <c r="H2914" t="str">
        <f>VLOOKUP(G2914,[1]OPERADORES!$A:$B,2,0)</f>
        <v>MIRIÃ LOBATO RODRIGUES</v>
      </c>
      <c r="I2914" t="s">
        <v>21</v>
      </c>
      <c r="J2914" t="s">
        <v>587</v>
      </c>
      <c r="K2914" t="s">
        <v>2477</v>
      </c>
      <c r="L2914">
        <v>9997</v>
      </c>
      <c r="M2914" t="s">
        <v>2487</v>
      </c>
      <c r="O2914" t="s">
        <v>11</v>
      </c>
      <c r="P2914">
        <v>5102</v>
      </c>
      <c r="Q2914">
        <v>4</v>
      </c>
      <c r="R2914">
        <v>41.04</v>
      </c>
      <c r="S2914">
        <v>164.16</v>
      </c>
      <c r="T2914">
        <v>124.6</v>
      </c>
      <c r="U2914">
        <v>24.1</v>
      </c>
      <c r="V2914" t="str">
        <f>VLOOKUP(L2914,'[2]tabela de preços'!$A:$D,4,0)</f>
        <v>SIKKENS</v>
      </c>
      <c r="W2914" t="str">
        <f>VLOOKUP(L2914,'[2]tabela de preços'!$A:$F,6,0)</f>
        <v>DILUENTE</v>
      </c>
      <c r="X2914" t="str">
        <f>VLOOKUP(L2914,'[2]tabela de preços'!$A:$G,7,0)</f>
        <v>AUTOMOTIVO</v>
      </c>
    </row>
    <row r="2915" spans="1:24" x14ac:dyDescent="0.3">
      <c r="A2915" t="s">
        <v>1824</v>
      </c>
      <c r="B2915" t="s">
        <v>1825</v>
      </c>
      <c r="C2915" t="s">
        <v>2542</v>
      </c>
      <c r="D2915" s="1">
        <v>46056</v>
      </c>
      <c r="E2915" t="s">
        <v>2543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1788</v>
      </c>
      <c r="K2915" t="s">
        <v>1828</v>
      </c>
      <c r="L2915">
        <v>10236</v>
      </c>
      <c r="M2915" t="s">
        <v>133</v>
      </c>
      <c r="O2915" t="s">
        <v>11</v>
      </c>
      <c r="P2915">
        <v>5102</v>
      </c>
      <c r="Q2915">
        <v>20</v>
      </c>
      <c r="R2915">
        <v>2.79</v>
      </c>
      <c r="S2915">
        <v>55.8</v>
      </c>
      <c r="T2915">
        <v>46.4</v>
      </c>
      <c r="U2915">
        <v>16.850000000000001</v>
      </c>
      <c r="V2915" t="str">
        <f>VLOOKUP(L2915,'[2]tabela de preços'!$A:$D,4,0)</f>
        <v>NORTON</v>
      </c>
      <c r="W2915" t="str">
        <f>VLOOKUP(L2915,'[2]tabela de preços'!$A:$F,6,0)</f>
        <v xml:space="preserve">DISCOS / LIXAS / ABRASIVOS </v>
      </c>
      <c r="X2915" t="str">
        <f>VLOOKUP(L2915,'[2]tabela de preços'!$A:$G,7,0)</f>
        <v>AUTOMOTIVO</v>
      </c>
    </row>
    <row r="2916" spans="1:24" x14ac:dyDescent="0.3">
      <c r="A2916" t="s">
        <v>1824</v>
      </c>
      <c r="B2916" t="s">
        <v>1825</v>
      </c>
      <c r="C2916" t="s">
        <v>2542</v>
      </c>
      <c r="D2916" s="1">
        <v>46056</v>
      </c>
      <c r="E2916" t="s">
        <v>2543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1788</v>
      </c>
      <c r="K2916" t="s">
        <v>1828</v>
      </c>
      <c r="L2916">
        <v>10230</v>
      </c>
      <c r="M2916" t="s">
        <v>193</v>
      </c>
      <c r="O2916" t="s">
        <v>11</v>
      </c>
      <c r="P2916">
        <v>5102</v>
      </c>
      <c r="Q2916">
        <v>20</v>
      </c>
      <c r="R2916">
        <v>2.79</v>
      </c>
      <c r="S2916">
        <v>55.8</v>
      </c>
      <c r="T2916">
        <v>46.4</v>
      </c>
      <c r="U2916">
        <v>16.850000000000001</v>
      </c>
      <c r="V2916" t="str">
        <f>VLOOKUP(L2916,'[2]tabela de preços'!$A:$D,4,0)</f>
        <v>NORTON</v>
      </c>
      <c r="W2916" t="str">
        <f>VLOOKUP(L2916,'[2]tabela de preços'!$A:$F,6,0)</f>
        <v xml:space="preserve">DISCOS / LIXAS / ABRASIVOS </v>
      </c>
      <c r="X2916" t="str">
        <f>VLOOKUP(L2916,'[2]tabela de preços'!$A:$G,7,0)</f>
        <v>AUTOMOTIVO</v>
      </c>
    </row>
    <row r="2917" spans="1:24" x14ac:dyDescent="0.3">
      <c r="A2917" t="s">
        <v>1824</v>
      </c>
      <c r="B2917" t="s">
        <v>1825</v>
      </c>
      <c r="C2917" t="s">
        <v>2542</v>
      </c>
      <c r="D2917" s="1">
        <v>46056</v>
      </c>
      <c r="E2917" t="s">
        <v>2543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1788</v>
      </c>
      <c r="K2917" t="s">
        <v>1828</v>
      </c>
      <c r="L2917">
        <v>5</v>
      </c>
      <c r="M2917" t="s">
        <v>147</v>
      </c>
      <c r="O2917" t="s">
        <v>11</v>
      </c>
      <c r="P2917">
        <v>5102</v>
      </c>
      <c r="Q2917">
        <v>3</v>
      </c>
      <c r="R2917">
        <v>5.33</v>
      </c>
      <c r="S2917">
        <v>15.99</v>
      </c>
      <c r="T2917">
        <v>11.73</v>
      </c>
      <c r="U2917">
        <v>26.64</v>
      </c>
      <c r="V2917" t="str">
        <f>VLOOKUP(L2917,'[2]tabela de preços'!$A:$D,4,0)</f>
        <v>BRILHO ESTOPA</v>
      </c>
      <c r="W2917" t="str">
        <f>VLOOKUP(L2917,'[2]tabela de preços'!$A:$F,6,0)</f>
        <v>ESTOPAS</v>
      </c>
      <c r="X2917" t="str">
        <f>VLOOKUP(L2917,'[2]tabela de preços'!$A:$G,7,0)</f>
        <v>AUTOMOTIVO</v>
      </c>
    </row>
    <row r="2918" spans="1:24" x14ac:dyDescent="0.3">
      <c r="A2918" t="s">
        <v>1824</v>
      </c>
      <c r="B2918" t="s">
        <v>1825</v>
      </c>
      <c r="C2918" t="s">
        <v>2542</v>
      </c>
      <c r="D2918" s="1">
        <v>46056</v>
      </c>
      <c r="E2918" t="s">
        <v>2543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1788</v>
      </c>
      <c r="K2918" t="s">
        <v>1828</v>
      </c>
      <c r="L2918">
        <v>23425</v>
      </c>
      <c r="M2918" t="s">
        <v>2544</v>
      </c>
      <c r="O2918" t="s">
        <v>11</v>
      </c>
      <c r="P2918">
        <v>5102</v>
      </c>
      <c r="Q2918">
        <v>8</v>
      </c>
      <c r="R2918">
        <v>17.760000000000002</v>
      </c>
      <c r="S2918">
        <v>142.08000000000001</v>
      </c>
      <c r="T2918">
        <v>107.84</v>
      </c>
      <c r="U2918">
        <v>24.1</v>
      </c>
      <c r="V2918" t="str">
        <f>VLOOKUP(L2918,'[2]tabela de preços'!$A:$D,4,0)</f>
        <v>NORTON</v>
      </c>
      <c r="W2918" t="str">
        <f>VLOOKUP(L2918,'[2]tabela de preços'!$A:$F,6,0)</f>
        <v xml:space="preserve">OUTROS DISCOS </v>
      </c>
      <c r="X2918" t="str">
        <f>VLOOKUP(L2918,'[2]tabela de preços'!$A:$G,7,0)</f>
        <v>AUTOMOTIVO</v>
      </c>
    </row>
    <row r="2919" spans="1:24" x14ac:dyDescent="0.3">
      <c r="A2919" t="s">
        <v>1824</v>
      </c>
      <c r="B2919" t="s">
        <v>1825</v>
      </c>
      <c r="C2919" t="s">
        <v>2542</v>
      </c>
      <c r="D2919" s="1">
        <v>46056</v>
      </c>
      <c r="E2919" t="s">
        <v>2543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1788</v>
      </c>
      <c r="K2919" t="s">
        <v>1828</v>
      </c>
      <c r="L2919">
        <v>23690</v>
      </c>
      <c r="M2919" t="s">
        <v>98</v>
      </c>
      <c r="O2919" t="s">
        <v>11</v>
      </c>
      <c r="P2919">
        <v>5403</v>
      </c>
      <c r="Q2919">
        <v>6</v>
      </c>
      <c r="R2919">
        <v>39.9</v>
      </c>
      <c r="S2919">
        <v>239.4</v>
      </c>
      <c r="T2919">
        <v>189.66</v>
      </c>
      <c r="U2919">
        <v>20.78</v>
      </c>
      <c r="V2919" t="str">
        <f>VLOOKUP(L2919,'[2]tabela de preços'!$A:$D,4,0)</f>
        <v>WANDA</v>
      </c>
      <c r="W2919" t="str">
        <f>VLOOKUP(L2919,'[2]tabela de preços'!$A:$F,6,0)</f>
        <v>VERNIZ AUTOMOTIVO</v>
      </c>
      <c r="X2919" t="str">
        <f>VLOOKUP(L2919,'[2]tabela de preços'!$A:$G,7,0)</f>
        <v>AUTOMOTIVO</v>
      </c>
    </row>
    <row r="2920" spans="1:24" x14ac:dyDescent="0.3">
      <c r="A2920" t="s">
        <v>1824</v>
      </c>
      <c r="B2920" t="s">
        <v>1825</v>
      </c>
      <c r="C2920" t="s">
        <v>2542</v>
      </c>
      <c r="D2920" s="1">
        <v>46056</v>
      </c>
      <c r="E2920" t="s">
        <v>2543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1788</v>
      </c>
      <c r="K2920" t="s">
        <v>1828</v>
      </c>
      <c r="L2920">
        <v>87043</v>
      </c>
      <c r="M2920" t="s">
        <v>217</v>
      </c>
      <c r="O2920" t="s">
        <v>11</v>
      </c>
      <c r="P2920">
        <v>5102</v>
      </c>
      <c r="Q2920">
        <v>8</v>
      </c>
      <c r="R2920">
        <v>21.95</v>
      </c>
      <c r="S2920">
        <v>175.6</v>
      </c>
      <c r="T2920">
        <v>144.16</v>
      </c>
      <c r="U2920">
        <v>17.899999999999999</v>
      </c>
      <c r="V2920" t="str">
        <f>VLOOKUP(L2920,'[2]tabela de preços'!$A:$D,4,0)</f>
        <v>ROBERLO</v>
      </c>
      <c r="W2920" t="str">
        <f>VLOOKUP(L2920,'[2]tabela de preços'!$A:$F,6,0)</f>
        <v>MASSA POLIÉSTER</v>
      </c>
      <c r="X2920" t="str">
        <f>VLOOKUP(L2920,'[2]tabela de preços'!$A:$G,7,0)</f>
        <v>AUTOMOTIVO</v>
      </c>
    </row>
    <row r="2921" spans="1:24" x14ac:dyDescent="0.3">
      <c r="A2921" t="s">
        <v>1824</v>
      </c>
      <c r="B2921" t="s">
        <v>1825</v>
      </c>
      <c r="C2921" t="s">
        <v>2542</v>
      </c>
      <c r="D2921" s="1">
        <v>46056</v>
      </c>
      <c r="E2921" t="s">
        <v>2543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1788</v>
      </c>
      <c r="K2921" t="s">
        <v>1828</v>
      </c>
      <c r="L2921">
        <v>84560</v>
      </c>
      <c r="M2921" t="s">
        <v>118</v>
      </c>
      <c r="O2921" t="s">
        <v>11</v>
      </c>
      <c r="P2921">
        <v>5102</v>
      </c>
      <c r="Q2921">
        <v>2</v>
      </c>
      <c r="R2921">
        <v>47.89</v>
      </c>
      <c r="S2921">
        <v>95.78</v>
      </c>
      <c r="T2921">
        <v>78.319999999999993</v>
      </c>
      <c r="U2921">
        <v>18.23</v>
      </c>
      <c r="V2921" t="str">
        <f>VLOOKUP(L2921,'[2]tabela de preços'!$A:$D,4,0)</f>
        <v>BRASILUX</v>
      </c>
      <c r="W2921" t="str">
        <f>VLOOKUP(L2921,'[2]tabela de preços'!$A:$F,6,0)</f>
        <v>THINNER DE LIMPEZA</v>
      </c>
      <c r="X2921" t="str">
        <f>VLOOKUP(L2921,'[2]tabela de preços'!$A:$G,7,0)</f>
        <v>THINNER</v>
      </c>
    </row>
    <row r="2922" spans="1:24" x14ac:dyDescent="0.3">
      <c r="A2922" t="s">
        <v>2704</v>
      </c>
      <c r="C2922" t="s">
        <v>2705</v>
      </c>
      <c r="D2922" s="1">
        <v>46058</v>
      </c>
      <c r="E2922" t="s">
        <v>2706</v>
      </c>
      <c r="F2922">
        <v>9</v>
      </c>
      <c r="G2922">
        <v>236</v>
      </c>
      <c r="H2922" t="str">
        <f>VLOOKUP(G2922,[1]OPERADORES!$A:$B,2,0)</f>
        <v>DANIEL</v>
      </c>
      <c r="I2922" t="s">
        <v>602</v>
      </c>
      <c r="J2922" t="s">
        <v>1328</v>
      </c>
      <c r="K2922" t="s">
        <v>2707</v>
      </c>
      <c r="L2922">
        <v>24241</v>
      </c>
      <c r="M2922" t="s">
        <v>233</v>
      </c>
      <c r="O2922" t="s">
        <v>11</v>
      </c>
      <c r="P2922">
        <v>6102</v>
      </c>
      <c r="Q2922">
        <v>70</v>
      </c>
      <c r="R2922">
        <v>12.2</v>
      </c>
      <c r="S2922">
        <v>854</v>
      </c>
      <c r="T2922">
        <v>648.20000000000005</v>
      </c>
      <c r="U2922">
        <v>24.1</v>
      </c>
      <c r="V2922" t="str">
        <f>VLOOKUP(L2922,'[2]tabela de preços'!$A:$D,4,0)</f>
        <v>ADERE</v>
      </c>
      <c r="W2922" t="str">
        <f>VLOOKUP(L2922,'[2]tabela de preços'!$A:$F,6,0)</f>
        <v>FITA AUTOMOTIVA</v>
      </c>
      <c r="X2922" t="str">
        <f>VLOOKUP(L2922,'[2]tabela de preços'!$A:$G,7,0)</f>
        <v>AUTOMOTIVO</v>
      </c>
    </row>
    <row r="2923" spans="1:24" x14ac:dyDescent="0.3">
      <c r="A2923" t="s">
        <v>1847</v>
      </c>
      <c r="B2923" t="s">
        <v>1848</v>
      </c>
      <c r="C2923" t="s">
        <v>2708</v>
      </c>
      <c r="D2923" s="1">
        <v>46057</v>
      </c>
      <c r="E2923" t="s">
        <v>2709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357</v>
      </c>
      <c r="K2923" t="s">
        <v>1851</v>
      </c>
      <c r="L2923">
        <v>20052</v>
      </c>
      <c r="M2923" t="s">
        <v>795</v>
      </c>
      <c r="O2923" t="s">
        <v>11</v>
      </c>
      <c r="P2923">
        <v>5403</v>
      </c>
      <c r="Q2923">
        <v>1</v>
      </c>
      <c r="R2923">
        <v>58.34</v>
      </c>
      <c r="S2923">
        <v>58.34</v>
      </c>
      <c r="T2923">
        <v>41.82</v>
      </c>
      <c r="U2923">
        <v>28.32</v>
      </c>
      <c r="V2923" t="str">
        <f>VLOOKUP(L2923,'[2]tabela de preços'!$A:$D,4,0)</f>
        <v>SHERWIN WILLIAMS</v>
      </c>
      <c r="W2923" t="str">
        <f>VLOOKUP(L2923,'[2]tabela de preços'!$A:$F,6,0)</f>
        <v>CATALISADORES INDIVIDUAS</v>
      </c>
      <c r="X2923" t="str">
        <f>VLOOKUP(L2923,'[2]tabela de preços'!$A:$G,7,0)</f>
        <v>AUTOMOTIVO</v>
      </c>
    </row>
    <row r="2924" spans="1:24" x14ac:dyDescent="0.3">
      <c r="A2924" t="s">
        <v>1847</v>
      </c>
      <c r="B2924" t="s">
        <v>1848</v>
      </c>
      <c r="C2924" t="s">
        <v>2708</v>
      </c>
      <c r="D2924" s="1">
        <v>46057</v>
      </c>
      <c r="E2924" t="s">
        <v>2709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357</v>
      </c>
      <c r="K2924" t="s">
        <v>1851</v>
      </c>
      <c r="L2924">
        <v>22233</v>
      </c>
      <c r="M2924" t="s">
        <v>184</v>
      </c>
      <c r="O2924" t="s">
        <v>11</v>
      </c>
      <c r="P2924">
        <v>5102</v>
      </c>
      <c r="Q2924">
        <v>3</v>
      </c>
      <c r="R2924">
        <v>31.94</v>
      </c>
      <c r="S2924">
        <v>95.82</v>
      </c>
      <c r="T2924">
        <v>68.7</v>
      </c>
      <c r="U2924">
        <v>28.3</v>
      </c>
      <c r="V2924" t="str">
        <f>VLOOKUP(L2924,'[2]tabela de preços'!$A:$D,4,0)</f>
        <v>3M</v>
      </c>
      <c r="W2924" t="str">
        <f>VLOOKUP(L2924,'[2]tabela de preços'!$A:$F,6,0)</f>
        <v>FITA DUPLA FACE</v>
      </c>
      <c r="X2924" t="str">
        <f>VLOOKUP(L2924,'[2]tabela de preços'!$A:$G,7,0)</f>
        <v>AUTOMOTIVO</v>
      </c>
    </row>
    <row r="2925" spans="1:24" x14ac:dyDescent="0.3">
      <c r="A2925" t="s">
        <v>1847</v>
      </c>
      <c r="B2925" t="s">
        <v>1848</v>
      </c>
      <c r="C2925" t="s">
        <v>2710</v>
      </c>
      <c r="D2925" s="1">
        <v>46058</v>
      </c>
      <c r="E2925" t="s">
        <v>2711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357</v>
      </c>
      <c r="K2925" t="s">
        <v>1851</v>
      </c>
      <c r="L2925">
        <v>21067</v>
      </c>
      <c r="M2925" t="s">
        <v>640</v>
      </c>
      <c r="O2925" t="s">
        <v>11</v>
      </c>
      <c r="P2925">
        <v>5102</v>
      </c>
      <c r="Q2925">
        <v>6</v>
      </c>
      <c r="R2925">
        <v>38.200000000000003</v>
      </c>
      <c r="S2925">
        <v>229.2</v>
      </c>
      <c r="T2925">
        <v>164.28</v>
      </c>
      <c r="U2925">
        <v>28.32</v>
      </c>
      <c r="V2925" t="str">
        <f>VLOOKUP(L2925,'[2]tabela de preços'!$A:$D,4,0)</f>
        <v>SIKKENS</v>
      </c>
      <c r="W2925" t="str">
        <f>VLOOKUP(L2925,'[2]tabela de preços'!$A:$F,6,0)</f>
        <v>DILUENTE</v>
      </c>
      <c r="X2925" t="str">
        <f>VLOOKUP(L2925,'[2]tabela de preços'!$A:$G,7,0)</f>
        <v>AUTOMOTIVO</v>
      </c>
    </row>
    <row r="2926" spans="1:24" x14ac:dyDescent="0.3">
      <c r="A2926" t="s">
        <v>1905</v>
      </c>
      <c r="C2926" t="s">
        <v>2545</v>
      </c>
      <c r="D2926" s="1">
        <v>46056</v>
      </c>
      <c r="E2926" t="s">
        <v>2546</v>
      </c>
      <c r="F2926">
        <v>9</v>
      </c>
      <c r="G2926">
        <v>174</v>
      </c>
      <c r="H2926" t="str">
        <f>VLOOKUP(G2926,[1]OPERADORES!$A:$B,2,0)</f>
        <v>MIRIÃ LOBATO RODRIGUES</v>
      </c>
      <c r="I2926" t="s">
        <v>168</v>
      </c>
      <c r="J2926" t="s">
        <v>169</v>
      </c>
      <c r="K2926" t="s">
        <v>1908</v>
      </c>
      <c r="L2926">
        <v>84333</v>
      </c>
      <c r="M2926" t="s">
        <v>1025</v>
      </c>
      <c r="O2926" t="s">
        <v>11</v>
      </c>
      <c r="P2926">
        <v>6403</v>
      </c>
      <c r="Q2926">
        <v>4</v>
      </c>
      <c r="R2926">
        <v>59.98</v>
      </c>
      <c r="S2926">
        <v>239.92</v>
      </c>
      <c r="T2926">
        <v>188.16</v>
      </c>
      <c r="U2926">
        <v>21.57</v>
      </c>
      <c r="V2926" t="str">
        <f>VLOOKUP(L2926,'[2]tabela de preços'!$A:$D,4,0)</f>
        <v>BRASILUX</v>
      </c>
      <c r="W2926" t="str">
        <f>VLOOKUP(L2926,'[2]tabela de preços'!$A:$F,6,0)</f>
        <v>ESMALTES</v>
      </c>
      <c r="X2926" t="str">
        <f>VLOOKUP(L2926,'[2]tabela de preços'!$A:$G,7,0)</f>
        <v>INDUSTRIAL</v>
      </c>
    </row>
    <row r="2927" spans="1:24" x14ac:dyDescent="0.3">
      <c r="A2927" t="s">
        <v>1905</v>
      </c>
      <c r="C2927" t="s">
        <v>2545</v>
      </c>
      <c r="D2927" s="1">
        <v>46056</v>
      </c>
      <c r="E2927" t="s">
        <v>2546</v>
      </c>
      <c r="F2927">
        <v>9</v>
      </c>
      <c r="G2927">
        <v>174</v>
      </c>
      <c r="H2927" t="str">
        <f>VLOOKUP(G2927,[1]OPERADORES!$A:$B,2,0)</f>
        <v>MIRIÃ LOBATO RODRIGUES</v>
      </c>
      <c r="I2927" t="s">
        <v>168</v>
      </c>
      <c r="J2927" t="s">
        <v>169</v>
      </c>
      <c r="K2927" t="s">
        <v>1908</v>
      </c>
      <c r="L2927">
        <v>84334</v>
      </c>
      <c r="M2927" t="s">
        <v>895</v>
      </c>
      <c r="O2927" t="s">
        <v>11</v>
      </c>
      <c r="P2927">
        <v>6403</v>
      </c>
      <c r="Q2927">
        <v>4</v>
      </c>
      <c r="R2927">
        <v>59.98</v>
      </c>
      <c r="S2927">
        <v>239.92</v>
      </c>
      <c r="T2927">
        <v>190.64</v>
      </c>
      <c r="U2927">
        <v>20.54</v>
      </c>
      <c r="V2927" t="str">
        <f>VLOOKUP(L2927,'[2]tabela de preços'!$A:$D,4,0)</f>
        <v>BRASILUX</v>
      </c>
      <c r="W2927" t="str">
        <f>VLOOKUP(L2927,'[2]tabela de preços'!$A:$F,6,0)</f>
        <v>ESMALTES</v>
      </c>
      <c r="X2927" t="str">
        <f>VLOOKUP(L2927,'[2]tabela de preços'!$A:$G,7,0)</f>
        <v>INDUSTRIAL</v>
      </c>
    </row>
    <row r="2928" spans="1:24" x14ac:dyDescent="0.3">
      <c r="A2928" t="s">
        <v>1905</v>
      </c>
      <c r="C2928" t="s">
        <v>2545</v>
      </c>
      <c r="D2928" s="1">
        <v>46056</v>
      </c>
      <c r="E2928" t="s">
        <v>2546</v>
      </c>
      <c r="F2928">
        <v>9</v>
      </c>
      <c r="G2928">
        <v>174</v>
      </c>
      <c r="H2928" t="str">
        <f>VLOOKUP(G2928,[1]OPERADORES!$A:$B,2,0)</f>
        <v>MIRIÃ LOBATO RODRIGUES</v>
      </c>
      <c r="I2928" t="s">
        <v>168</v>
      </c>
      <c r="J2928" t="s">
        <v>169</v>
      </c>
      <c r="K2928" t="s">
        <v>1908</v>
      </c>
      <c r="L2928">
        <v>84346</v>
      </c>
      <c r="M2928" t="s">
        <v>1909</v>
      </c>
      <c r="O2928" t="s">
        <v>11</v>
      </c>
      <c r="P2928">
        <v>6403</v>
      </c>
      <c r="Q2928">
        <v>4</v>
      </c>
      <c r="R2928">
        <v>59.98</v>
      </c>
      <c r="S2928">
        <v>239.92</v>
      </c>
      <c r="T2928">
        <v>185.68</v>
      </c>
      <c r="U2928">
        <v>22.61</v>
      </c>
      <c r="V2928" t="str">
        <f>VLOOKUP(L2928,'[2]tabela de preços'!$A:$D,4,0)</f>
        <v>BRASILUX</v>
      </c>
      <c r="W2928" t="str">
        <f>VLOOKUP(L2928,'[2]tabela de preços'!$A:$F,6,0)</f>
        <v>ESMALTES</v>
      </c>
      <c r="X2928" t="str">
        <f>VLOOKUP(L2928,'[2]tabela de preços'!$A:$G,7,0)</f>
        <v>INDUSTRIAL</v>
      </c>
    </row>
    <row r="2929" spans="1:24" x14ac:dyDescent="0.3">
      <c r="A2929" t="s">
        <v>1905</v>
      </c>
      <c r="C2929" t="s">
        <v>2545</v>
      </c>
      <c r="D2929" s="1">
        <v>46056</v>
      </c>
      <c r="E2929" t="s">
        <v>2546</v>
      </c>
      <c r="F2929">
        <v>9</v>
      </c>
      <c r="G2929">
        <v>174</v>
      </c>
      <c r="H2929" t="str">
        <f>VLOOKUP(G2929,[1]OPERADORES!$A:$B,2,0)</f>
        <v>MIRIÃ LOBATO RODRIGUES</v>
      </c>
      <c r="I2929" t="s">
        <v>168</v>
      </c>
      <c r="J2929" t="s">
        <v>169</v>
      </c>
      <c r="K2929" t="s">
        <v>1908</v>
      </c>
      <c r="L2929">
        <v>84344</v>
      </c>
      <c r="M2929" t="s">
        <v>1000</v>
      </c>
      <c r="O2929" t="s">
        <v>11</v>
      </c>
      <c r="P2929">
        <v>6403</v>
      </c>
      <c r="Q2929">
        <v>1</v>
      </c>
      <c r="R2929">
        <v>59.98</v>
      </c>
      <c r="S2929">
        <v>59.98</v>
      </c>
      <c r="T2929">
        <v>49.66</v>
      </c>
      <c r="U2929">
        <v>17.21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2796</v>
      </c>
      <c r="C2930" t="s">
        <v>2797</v>
      </c>
      <c r="D2930" s="1">
        <v>46059</v>
      </c>
      <c r="E2930" t="s">
        <v>2798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211</v>
      </c>
      <c r="K2930" t="s">
        <v>2799</v>
      </c>
      <c r="L2930">
        <v>10298</v>
      </c>
      <c r="M2930" t="s">
        <v>85</v>
      </c>
      <c r="O2930" t="s">
        <v>11</v>
      </c>
      <c r="P2930">
        <v>5102</v>
      </c>
      <c r="Q2930">
        <v>1</v>
      </c>
      <c r="R2930">
        <v>56.89</v>
      </c>
      <c r="S2930">
        <v>56.89</v>
      </c>
      <c r="T2930">
        <v>47.38</v>
      </c>
      <c r="U2930">
        <v>16.72</v>
      </c>
      <c r="V2930" t="str">
        <f>VLOOKUP(L2930,'[2]tabela de preços'!$A:$D,4,0)</f>
        <v>ANJO</v>
      </c>
      <c r="W2930" t="str">
        <f>VLOOKUP(L2930,'[2]tabela de preços'!$A:$F,6,0)</f>
        <v>THINNER DE LIMPEZA</v>
      </c>
      <c r="X2930" t="str">
        <f>VLOOKUP(L2930,'[2]tabela de preços'!$A:$G,7,0)</f>
        <v>THINNER</v>
      </c>
    </row>
    <row r="2931" spans="1:24" x14ac:dyDescent="0.3">
      <c r="A2931" t="s">
        <v>2796</v>
      </c>
      <c r="C2931" t="s">
        <v>2797</v>
      </c>
      <c r="D2931" s="1">
        <v>46059</v>
      </c>
      <c r="E2931" t="s">
        <v>2798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211</v>
      </c>
      <c r="K2931" t="s">
        <v>2799</v>
      </c>
      <c r="L2931">
        <v>84560</v>
      </c>
      <c r="M2931" t="s">
        <v>118</v>
      </c>
      <c r="O2931" t="s">
        <v>11</v>
      </c>
      <c r="P2931">
        <v>5102</v>
      </c>
      <c r="Q2931">
        <v>1</v>
      </c>
      <c r="R2931">
        <v>47.89</v>
      </c>
      <c r="S2931">
        <v>47.89</v>
      </c>
      <c r="T2931">
        <v>39.159999999999997</v>
      </c>
      <c r="U2931">
        <v>18.23</v>
      </c>
      <c r="V2931" t="str">
        <f>VLOOKUP(L2931,'[2]tabela de preços'!$A:$D,4,0)</f>
        <v>BRASILUX</v>
      </c>
      <c r="W2931" t="str">
        <f>VLOOKUP(L2931,'[2]tabela de preços'!$A:$F,6,0)</f>
        <v>THINNER DE LIMPEZA</v>
      </c>
      <c r="X2931" t="str">
        <f>VLOOKUP(L2931,'[2]tabela de preços'!$A:$G,7,0)</f>
        <v>THINNER</v>
      </c>
    </row>
    <row r="2932" spans="1:24" x14ac:dyDescent="0.3">
      <c r="A2932" t="s">
        <v>1918</v>
      </c>
      <c r="C2932" t="s">
        <v>2712</v>
      </c>
      <c r="D2932" s="1">
        <v>46058</v>
      </c>
      <c r="E2932" t="s">
        <v>2713</v>
      </c>
      <c r="F2932">
        <v>9</v>
      </c>
      <c r="G2932">
        <v>174</v>
      </c>
      <c r="H2932" t="str">
        <f>VLOOKUP(G2932,[1]OPERADORES!$A:$B,2,0)</f>
        <v>MIRIÃ LOBATO RODRIGUES</v>
      </c>
      <c r="I2932" t="s">
        <v>21</v>
      </c>
      <c r="J2932" t="s">
        <v>1235</v>
      </c>
      <c r="K2932" t="s">
        <v>1921</v>
      </c>
      <c r="L2932">
        <v>84560</v>
      </c>
      <c r="M2932" t="s">
        <v>118</v>
      </c>
      <c r="O2932" t="s">
        <v>11</v>
      </c>
      <c r="P2932">
        <v>5102</v>
      </c>
      <c r="Q2932">
        <v>2</v>
      </c>
      <c r="R2932">
        <v>47.89</v>
      </c>
      <c r="S2932">
        <v>95.78</v>
      </c>
      <c r="T2932">
        <v>78.319999999999993</v>
      </c>
      <c r="U2932">
        <v>18.23</v>
      </c>
      <c r="V2932" t="str">
        <f>VLOOKUP(L2932,'[2]tabela de preços'!$A:$D,4,0)</f>
        <v>BRASILUX</v>
      </c>
      <c r="W2932" t="str">
        <f>VLOOKUP(L2932,'[2]tabela de preços'!$A:$F,6,0)</f>
        <v>THINNER DE LIMPEZA</v>
      </c>
      <c r="X2932" t="str">
        <f>VLOOKUP(L2932,'[2]tabela de preços'!$A:$G,7,0)</f>
        <v>THINNER</v>
      </c>
    </row>
    <row r="2933" spans="1:24" x14ac:dyDescent="0.3">
      <c r="A2933" t="s">
        <v>2547</v>
      </c>
      <c r="B2933" t="s">
        <v>2548</v>
      </c>
      <c r="C2933" t="s">
        <v>2549</v>
      </c>
      <c r="D2933" s="1">
        <v>46056</v>
      </c>
      <c r="E2933" t="s">
        <v>2550</v>
      </c>
      <c r="F2933">
        <v>9</v>
      </c>
      <c r="G2933">
        <v>145</v>
      </c>
      <c r="H2933" t="str">
        <f>VLOOKUP(G2933,[1]OPERADORES!$A:$B,2,0)</f>
        <v xml:space="preserve">FABRICIA </v>
      </c>
      <c r="I2933" t="s">
        <v>2551</v>
      </c>
      <c r="J2933" t="s">
        <v>2552</v>
      </c>
      <c r="K2933" t="s">
        <v>2553</v>
      </c>
      <c r="L2933">
        <v>84218</v>
      </c>
      <c r="M2933" t="s">
        <v>879</v>
      </c>
      <c r="O2933" t="s">
        <v>11</v>
      </c>
      <c r="P2933">
        <v>5403</v>
      </c>
      <c r="Q2933">
        <v>3</v>
      </c>
      <c r="R2933">
        <v>57.11</v>
      </c>
      <c r="S2933">
        <v>171.33</v>
      </c>
      <c r="T2933">
        <v>130.05000000000001</v>
      </c>
      <c r="U2933">
        <v>24.09</v>
      </c>
      <c r="V2933" t="str">
        <f>VLOOKUP(L2933,'[2]tabela de preços'!$A:$D,4,0)</f>
        <v>BRASILUX</v>
      </c>
      <c r="W2933" t="str">
        <f>VLOOKUP(L2933,'[2]tabela de preços'!$A:$F,6,0)</f>
        <v>ESMALTES</v>
      </c>
      <c r="X2933" t="str">
        <f>VLOOKUP(L2933,'[2]tabela de preços'!$A:$G,7,0)</f>
        <v>INDUSTRIAL</v>
      </c>
    </row>
    <row r="2934" spans="1:24" x14ac:dyDescent="0.3">
      <c r="A2934" t="s">
        <v>2547</v>
      </c>
      <c r="B2934" t="s">
        <v>2548</v>
      </c>
      <c r="C2934" t="s">
        <v>2549</v>
      </c>
      <c r="D2934" s="1">
        <v>46056</v>
      </c>
      <c r="E2934" t="s">
        <v>2550</v>
      </c>
      <c r="F2934">
        <v>9</v>
      </c>
      <c r="G2934">
        <v>145</v>
      </c>
      <c r="H2934" t="str">
        <f>VLOOKUP(G2934,[1]OPERADORES!$A:$B,2,0)</f>
        <v xml:space="preserve">FABRICIA </v>
      </c>
      <c r="I2934" t="s">
        <v>2551</v>
      </c>
      <c r="J2934" t="s">
        <v>2552</v>
      </c>
      <c r="K2934" t="s">
        <v>2553</v>
      </c>
      <c r="L2934">
        <v>84181</v>
      </c>
      <c r="M2934" t="s">
        <v>2554</v>
      </c>
      <c r="O2934" t="s">
        <v>11</v>
      </c>
      <c r="P2934">
        <v>5403</v>
      </c>
      <c r="Q2934">
        <v>3</v>
      </c>
      <c r="R2934">
        <v>103.29</v>
      </c>
      <c r="S2934">
        <v>309.87</v>
      </c>
      <c r="T2934">
        <v>235.2</v>
      </c>
      <c r="U2934">
        <v>24.1</v>
      </c>
      <c r="V2934" t="str">
        <f>VLOOKUP(L2934,'[2]tabela de preços'!$A:$D,4,0)</f>
        <v>BRASILUX</v>
      </c>
      <c r="W2934" t="str">
        <f>VLOOKUP(L2934,'[2]tabela de preços'!$A:$F,6,0)</f>
        <v>ESMALTES</v>
      </c>
      <c r="X2934" t="str">
        <f>VLOOKUP(L2934,'[2]tabela de preços'!$A:$G,7,0)</f>
        <v>INDUSTRIAL</v>
      </c>
    </row>
    <row r="2935" spans="1:24" x14ac:dyDescent="0.3">
      <c r="A2935" t="s">
        <v>1947</v>
      </c>
      <c r="B2935" t="s">
        <v>1948</v>
      </c>
      <c r="C2935" t="s">
        <v>2555</v>
      </c>
      <c r="D2935" s="1">
        <v>46056</v>
      </c>
      <c r="E2935" t="s">
        <v>2556</v>
      </c>
      <c r="F2935">
        <v>9</v>
      </c>
      <c r="G2935">
        <v>236</v>
      </c>
      <c r="H2935" t="str">
        <f>VLOOKUP(G2935,[1]OPERADORES!$A:$B,2,0)</f>
        <v>DANIEL</v>
      </c>
      <c r="I2935" t="s">
        <v>21</v>
      </c>
      <c r="J2935" t="s">
        <v>1951</v>
      </c>
      <c r="K2935" t="s">
        <v>1952</v>
      </c>
      <c r="L2935">
        <v>84419</v>
      </c>
      <c r="M2935" t="s">
        <v>2557</v>
      </c>
      <c r="O2935" t="s">
        <v>11</v>
      </c>
      <c r="P2935">
        <v>5102</v>
      </c>
      <c r="Q2935">
        <v>1</v>
      </c>
      <c r="R2935">
        <v>47.66</v>
      </c>
      <c r="S2935">
        <v>47.66</v>
      </c>
      <c r="T2935">
        <v>34.94</v>
      </c>
      <c r="U2935">
        <v>26.69</v>
      </c>
      <c r="V2935" t="str">
        <f>VLOOKUP(L2935,'[2]tabela de preços'!$A:$D,4,0)</f>
        <v>BRASPLASTICOS</v>
      </c>
      <c r="W2935" t="str">
        <f>VLOOKUP(L2935,'[2]tabela de preços'!$A:$F,6,0)</f>
        <v xml:space="preserve">MASCARAMENTO </v>
      </c>
      <c r="X2935" t="str">
        <f>VLOOKUP(L2935,'[2]tabela de preços'!$A:$G,7,0)</f>
        <v>AUTOMOTIVO</v>
      </c>
    </row>
    <row r="2936" spans="1:24" x14ac:dyDescent="0.3">
      <c r="A2936" t="s">
        <v>1979</v>
      </c>
      <c r="C2936" t="s">
        <v>2714</v>
      </c>
      <c r="D2936" s="1">
        <v>46058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762</v>
      </c>
      <c r="K2936" t="s">
        <v>1982</v>
      </c>
      <c r="L2936">
        <v>85078</v>
      </c>
      <c r="M2936" t="s">
        <v>1048</v>
      </c>
      <c r="N2936" t="s">
        <v>2715</v>
      </c>
      <c r="O2936" t="s">
        <v>11</v>
      </c>
      <c r="P2936">
        <v>1411</v>
      </c>
      <c r="Q2936">
        <v>-4</v>
      </c>
      <c r="R2936">
        <v>105.32</v>
      </c>
      <c r="S2936">
        <v>-421.28</v>
      </c>
      <c r="T2936">
        <v>-319.72000000000003</v>
      </c>
      <c r="U2936">
        <v>24.11</v>
      </c>
      <c r="V2936" t="str">
        <f>VLOOKUP(L2936,'[2]tabela de preços'!$A:$D,4,0)</f>
        <v>BRASILUX</v>
      </c>
      <c r="W2936" t="str">
        <f>VLOOKUP(L2936,'[2]tabela de preços'!$A:$F,6,0)</f>
        <v>TINTAS LACA</v>
      </c>
      <c r="X2936" t="str">
        <f>VLOOKUP(L2936,'[2]tabela de preços'!$A:$G,7,0)</f>
        <v>AUTOMOTIVO</v>
      </c>
    </row>
    <row r="2937" spans="1:24" x14ac:dyDescent="0.3">
      <c r="A2937" t="s">
        <v>1979</v>
      </c>
      <c r="C2937" t="s">
        <v>2714</v>
      </c>
      <c r="D2937" s="1">
        <v>46058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762</v>
      </c>
      <c r="K2937" t="s">
        <v>1982</v>
      </c>
      <c r="L2937">
        <v>84557</v>
      </c>
      <c r="M2937" t="s">
        <v>116</v>
      </c>
      <c r="N2937" t="s">
        <v>2715</v>
      </c>
      <c r="O2937" t="s">
        <v>11</v>
      </c>
      <c r="P2937">
        <v>1202</v>
      </c>
      <c r="Q2937">
        <v>-4</v>
      </c>
      <c r="R2937">
        <v>17.489999999999998</v>
      </c>
      <c r="S2937">
        <v>-69.959999999999994</v>
      </c>
      <c r="T2937">
        <v>-55.84</v>
      </c>
      <c r="U2937">
        <v>20.18</v>
      </c>
      <c r="V2937" t="str">
        <f>VLOOKUP(L2937,'[2]tabela de preços'!$A:$D,4,0)</f>
        <v>BRASILUX</v>
      </c>
      <c r="W2937" t="str">
        <f>VLOOKUP(L2937,'[2]tabela de preços'!$A:$F,6,0)</f>
        <v>DILUENTE</v>
      </c>
      <c r="X2937" t="str">
        <f>VLOOKUP(L2937,'[2]tabela de preços'!$A:$G,7,0)</f>
        <v>AUTOMOTIVO</v>
      </c>
    </row>
    <row r="2938" spans="1:24" x14ac:dyDescent="0.3">
      <c r="A2938" t="s">
        <v>1979</v>
      </c>
      <c r="C2938" t="s">
        <v>2714</v>
      </c>
      <c r="D2938" s="1">
        <v>46058</v>
      </c>
      <c r="F2938">
        <v>9</v>
      </c>
      <c r="G2938">
        <v>174</v>
      </c>
      <c r="H2938" t="str">
        <f>VLOOKUP(G2938,[1]OPERADORES!$A:$B,2,0)</f>
        <v>MIRIÃ LOBATO RODRIGUES</v>
      </c>
      <c r="I2938" t="s">
        <v>21</v>
      </c>
      <c r="J2938" t="s">
        <v>762</v>
      </c>
      <c r="K2938" t="s">
        <v>1982</v>
      </c>
      <c r="L2938">
        <v>84499</v>
      </c>
      <c r="M2938" t="s">
        <v>534</v>
      </c>
      <c r="N2938" t="s">
        <v>2715</v>
      </c>
      <c r="O2938" t="s">
        <v>11</v>
      </c>
      <c r="P2938">
        <v>1202</v>
      </c>
      <c r="Q2938">
        <v>-2</v>
      </c>
      <c r="R2938">
        <v>176.61</v>
      </c>
      <c r="S2938">
        <v>-353.22</v>
      </c>
      <c r="T2938">
        <v>-268.10000000000002</v>
      </c>
      <c r="U2938">
        <v>24.1</v>
      </c>
      <c r="V2938" t="str">
        <f>VLOOKUP(L2938,'[2]tabela de preços'!$A:$D,4,0)</f>
        <v>BRASILUX</v>
      </c>
      <c r="W2938" t="str">
        <f>VLOOKUP(L2938,'[2]tabela de preços'!$A:$F,6,0)</f>
        <v>THINNER DE LIMPEZA</v>
      </c>
      <c r="X2938" t="str">
        <f>VLOOKUP(L2938,'[2]tabela de preços'!$A:$G,7,0)</f>
        <v>THINNER</v>
      </c>
    </row>
    <row r="2939" spans="1:24" x14ac:dyDescent="0.3">
      <c r="A2939" t="s">
        <v>1979</v>
      </c>
      <c r="C2939" t="s">
        <v>2716</v>
      </c>
      <c r="D2939" s="1">
        <v>46058</v>
      </c>
      <c r="E2939" t="s">
        <v>2717</v>
      </c>
      <c r="F2939">
        <v>9</v>
      </c>
      <c r="G2939">
        <v>174</v>
      </c>
      <c r="H2939" t="str">
        <f>VLOOKUP(G2939,[1]OPERADORES!$A:$B,2,0)</f>
        <v>MIRIÃ LOBATO RODRIGUES</v>
      </c>
      <c r="I2939" t="s">
        <v>21</v>
      </c>
      <c r="J2939" t="s">
        <v>762</v>
      </c>
      <c r="K2939" t="s">
        <v>1982</v>
      </c>
      <c r="L2939">
        <v>85078</v>
      </c>
      <c r="M2939" t="s">
        <v>1048</v>
      </c>
      <c r="O2939" t="s">
        <v>11</v>
      </c>
      <c r="P2939">
        <v>5403</v>
      </c>
      <c r="Q2939">
        <v>4</v>
      </c>
      <c r="R2939">
        <v>107.79</v>
      </c>
      <c r="S2939">
        <v>431.16</v>
      </c>
      <c r="T2939">
        <v>319.72000000000003</v>
      </c>
      <c r="U2939">
        <v>25.85</v>
      </c>
      <c r="V2939" t="str">
        <f>VLOOKUP(L2939,'[2]tabela de preços'!$A:$D,4,0)</f>
        <v>BRASILUX</v>
      </c>
      <c r="W2939" t="str">
        <f>VLOOKUP(L2939,'[2]tabela de preços'!$A:$F,6,0)</f>
        <v>TINTAS LACA</v>
      </c>
      <c r="X2939" t="str">
        <f>VLOOKUP(L2939,'[2]tabela de preços'!$A:$G,7,0)</f>
        <v>AUTOMOTIVO</v>
      </c>
    </row>
    <row r="2940" spans="1:24" x14ac:dyDescent="0.3">
      <c r="A2940" t="s">
        <v>1979</v>
      </c>
      <c r="C2940" t="s">
        <v>2716</v>
      </c>
      <c r="D2940" s="1">
        <v>46058</v>
      </c>
      <c r="E2940" t="s">
        <v>2717</v>
      </c>
      <c r="F2940">
        <v>9</v>
      </c>
      <c r="G2940">
        <v>174</v>
      </c>
      <c r="H2940" t="str">
        <f>VLOOKUP(G2940,[1]OPERADORES!$A:$B,2,0)</f>
        <v>MIRIÃ LOBATO RODRIGUES</v>
      </c>
      <c r="I2940" t="s">
        <v>21</v>
      </c>
      <c r="J2940" t="s">
        <v>762</v>
      </c>
      <c r="K2940" t="s">
        <v>1982</v>
      </c>
      <c r="L2940">
        <v>84557</v>
      </c>
      <c r="M2940" t="s">
        <v>116</v>
      </c>
      <c r="O2940" t="s">
        <v>11</v>
      </c>
      <c r="P2940">
        <v>5102</v>
      </c>
      <c r="Q2940">
        <v>4</v>
      </c>
      <c r="R2940">
        <v>17.489999999999998</v>
      </c>
      <c r="S2940">
        <v>69.959999999999994</v>
      </c>
      <c r="T2940">
        <v>55.84</v>
      </c>
      <c r="U2940">
        <v>20.18</v>
      </c>
      <c r="V2940" t="str">
        <f>VLOOKUP(L2940,'[2]tabela de preços'!$A:$D,4,0)</f>
        <v>BRASILUX</v>
      </c>
      <c r="W2940" t="str">
        <f>VLOOKUP(L2940,'[2]tabela de preços'!$A:$F,6,0)</f>
        <v>DILUENTE</v>
      </c>
      <c r="X2940" t="str">
        <f>VLOOKUP(L2940,'[2]tabela de preços'!$A:$G,7,0)</f>
        <v>AUTOMOTIVO</v>
      </c>
    </row>
    <row r="2941" spans="1:24" x14ac:dyDescent="0.3">
      <c r="A2941" t="s">
        <v>1979</v>
      </c>
      <c r="C2941" t="s">
        <v>2716</v>
      </c>
      <c r="D2941" s="1">
        <v>46058</v>
      </c>
      <c r="E2941" t="s">
        <v>2717</v>
      </c>
      <c r="F2941">
        <v>9</v>
      </c>
      <c r="G2941">
        <v>174</v>
      </c>
      <c r="H2941" t="str">
        <f>VLOOKUP(G2941,[1]OPERADORES!$A:$B,2,0)</f>
        <v>MIRIÃ LOBATO RODRIGUES</v>
      </c>
      <c r="I2941" t="s">
        <v>21</v>
      </c>
      <c r="J2941" t="s">
        <v>762</v>
      </c>
      <c r="K2941" t="s">
        <v>1982</v>
      </c>
      <c r="L2941">
        <v>84499</v>
      </c>
      <c r="M2941" t="s">
        <v>534</v>
      </c>
      <c r="O2941" t="s">
        <v>11</v>
      </c>
      <c r="P2941">
        <v>5102</v>
      </c>
      <c r="Q2941">
        <v>2</v>
      </c>
      <c r="R2941">
        <v>176.61</v>
      </c>
      <c r="S2941">
        <v>353.22</v>
      </c>
      <c r="T2941">
        <v>268.10000000000002</v>
      </c>
      <c r="U2941">
        <v>24.1</v>
      </c>
      <c r="V2941" t="str">
        <f>VLOOKUP(L2941,'[2]tabela de preços'!$A:$D,4,0)</f>
        <v>BRASILUX</v>
      </c>
      <c r="W2941" t="str">
        <f>VLOOKUP(L2941,'[2]tabela de preços'!$A:$F,6,0)</f>
        <v>THINNER DE LIMPEZA</v>
      </c>
      <c r="X2941" t="str">
        <f>VLOOKUP(L2941,'[2]tabela de preços'!$A:$G,7,0)</f>
        <v>THINNER</v>
      </c>
    </row>
    <row r="2942" spans="1:24" x14ac:dyDescent="0.3">
      <c r="A2942" t="s">
        <v>1979</v>
      </c>
      <c r="C2942" t="s">
        <v>2800</v>
      </c>
      <c r="D2942" s="1">
        <v>46059</v>
      </c>
      <c r="E2942" t="s">
        <v>2801</v>
      </c>
      <c r="F2942">
        <v>9</v>
      </c>
      <c r="G2942">
        <v>174</v>
      </c>
      <c r="H2942" t="str">
        <f>VLOOKUP(G2942,[1]OPERADORES!$A:$B,2,0)</f>
        <v>MIRIÃ LOBATO RODRIGUES</v>
      </c>
      <c r="I2942" t="s">
        <v>21</v>
      </c>
      <c r="J2942" t="s">
        <v>762</v>
      </c>
      <c r="K2942" t="s">
        <v>1982</v>
      </c>
      <c r="L2942">
        <v>84331</v>
      </c>
      <c r="M2942" t="s">
        <v>497</v>
      </c>
      <c r="O2942" t="s">
        <v>11</v>
      </c>
      <c r="P2942">
        <v>5403</v>
      </c>
      <c r="Q2942">
        <v>3</v>
      </c>
      <c r="R2942">
        <v>59.98</v>
      </c>
      <c r="S2942">
        <v>179.94</v>
      </c>
      <c r="T2942">
        <v>156</v>
      </c>
      <c r="U2942">
        <v>13.3</v>
      </c>
      <c r="V2942" t="str">
        <f>VLOOKUP(L2942,'[2]tabela de preços'!$A:$D,4,0)</f>
        <v>BRASILUX</v>
      </c>
      <c r="W2942" t="str">
        <f>VLOOKUP(L2942,'[2]tabela de preços'!$A:$F,6,0)</f>
        <v>ESMALTES</v>
      </c>
      <c r="X2942" t="str">
        <f>VLOOKUP(L2942,'[2]tabela de preços'!$A:$G,7,0)</f>
        <v>INDUSTRIAL</v>
      </c>
    </row>
    <row r="2943" spans="1:24" x14ac:dyDescent="0.3">
      <c r="A2943" t="s">
        <v>1979</v>
      </c>
      <c r="C2943" t="s">
        <v>2800</v>
      </c>
      <c r="D2943" s="1">
        <v>46059</v>
      </c>
      <c r="E2943" t="s">
        <v>2801</v>
      </c>
      <c r="F2943">
        <v>9</v>
      </c>
      <c r="G2943">
        <v>174</v>
      </c>
      <c r="H2943" t="str">
        <f>VLOOKUP(G2943,[1]OPERADORES!$A:$B,2,0)</f>
        <v>MIRIÃ LOBATO RODRIGUES</v>
      </c>
      <c r="I2943" t="s">
        <v>21</v>
      </c>
      <c r="J2943" t="s">
        <v>762</v>
      </c>
      <c r="K2943" t="s">
        <v>1982</v>
      </c>
      <c r="L2943">
        <v>84560</v>
      </c>
      <c r="M2943" t="s">
        <v>118</v>
      </c>
      <c r="O2943" t="s">
        <v>11</v>
      </c>
      <c r="P2943">
        <v>5102</v>
      </c>
      <c r="Q2943">
        <v>1</v>
      </c>
      <c r="R2943">
        <v>47.89</v>
      </c>
      <c r="S2943">
        <v>47.89</v>
      </c>
      <c r="T2943">
        <v>39.159999999999997</v>
      </c>
      <c r="U2943">
        <v>18.23</v>
      </c>
      <c r="V2943" t="str">
        <f>VLOOKUP(L2943,'[2]tabela de preços'!$A:$D,4,0)</f>
        <v>BRASILUX</v>
      </c>
      <c r="W2943" t="str">
        <f>VLOOKUP(L2943,'[2]tabela de preços'!$A:$F,6,0)</f>
        <v>THINNER DE LIMPEZA</v>
      </c>
      <c r="X2943" t="str">
        <f>VLOOKUP(L2943,'[2]tabela de preços'!$A:$G,7,0)</f>
        <v>THINNER</v>
      </c>
    </row>
    <row r="2944" spans="1:24" x14ac:dyDescent="0.3">
      <c r="A2944" t="s">
        <v>2001</v>
      </c>
      <c r="C2944" t="s">
        <v>2462</v>
      </c>
      <c r="D2944" s="1">
        <v>46055</v>
      </c>
      <c r="F2944">
        <v>9</v>
      </c>
      <c r="G2944">
        <v>174</v>
      </c>
      <c r="H2944" t="str">
        <f>VLOOKUP(G2944,[1]OPERADORES!$A:$B,2,0)</f>
        <v>MIRIÃ LOBATO RODRIGUES</v>
      </c>
      <c r="I2944" t="s">
        <v>21</v>
      </c>
      <c r="J2944" t="s">
        <v>1427</v>
      </c>
      <c r="K2944" t="s">
        <v>2004</v>
      </c>
      <c r="L2944">
        <v>85627</v>
      </c>
      <c r="M2944" t="s">
        <v>2016</v>
      </c>
      <c r="N2944" t="s">
        <v>2464</v>
      </c>
      <c r="O2944" t="s">
        <v>11</v>
      </c>
      <c r="P2944">
        <v>1411</v>
      </c>
      <c r="Q2944">
        <v>-1</v>
      </c>
      <c r="R2944">
        <v>387.58</v>
      </c>
      <c r="S2944">
        <v>-387.58</v>
      </c>
      <c r="T2944">
        <v>-294.18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TINTA PARA PISO</v>
      </c>
      <c r="X2944" t="str">
        <f>VLOOKUP(L2944,'[2]tabela de preços'!$A:$G,7,0)</f>
        <v>IMOBILIÁRIO</v>
      </c>
    </row>
    <row r="2945" spans="1:24" x14ac:dyDescent="0.3">
      <c r="A2945" t="s">
        <v>2001</v>
      </c>
      <c r="C2945" t="s">
        <v>2462</v>
      </c>
      <c r="D2945" s="1">
        <v>46055</v>
      </c>
      <c r="F2945">
        <v>9</v>
      </c>
      <c r="G2945">
        <v>174</v>
      </c>
      <c r="H2945" t="str">
        <f>VLOOKUP(G2945,[1]OPERADORES!$A:$B,2,0)</f>
        <v>MIRIÃ LOBATO RODRIGUES</v>
      </c>
      <c r="I2945" t="s">
        <v>21</v>
      </c>
      <c r="J2945" t="s">
        <v>1427</v>
      </c>
      <c r="K2945" t="s">
        <v>2004</v>
      </c>
      <c r="L2945">
        <v>85627</v>
      </c>
      <c r="M2945" t="s">
        <v>2016</v>
      </c>
      <c r="N2945" t="s">
        <v>2463</v>
      </c>
      <c r="O2945" t="s">
        <v>11</v>
      </c>
      <c r="P2945">
        <v>1411</v>
      </c>
      <c r="Q2945">
        <v>-2</v>
      </c>
      <c r="R2945">
        <v>387.58</v>
      </c>
      <c r="S2945">
        <v>-775.16</v>
      </c>
      <c r="T2945">
        <v>-588.36</v>
      </c>
      <c r="U2945">
        <v>24.1</v>
      </c>
      <c r="V2945" t="str">
        <f>VLOOKUP(L2945,'[2]tabela de preços'!$A:$D,4,0)</f>
        <v>BRASILUX</v>
      </c>
      <c r="W2945" t="str">
        <f>VLOOKUP(L2945,'[2]tabela de preços'!$A:$F,6,0)</f>
        <v>TINTA PARA PISO</v>
      </c>
      <c r="X2945" t="str">
        <f>VLOOKUP(L2945,'[2]tabela de preços'!$A:$G,7,0)</f>
        <v>IMOBILIÁRIO</v>
      </c>
    </row>
    <row r="2946" spans="1:24" x14ac:dyDescent="0.3">
      <c r="A2946" t="s">
        <v>2001</v>
      </c>
      <c r="C2946" t="s">
        <v>2465</v>
      </c>
      <c r="D2946" s="1">
        <v>46055</v>
      </c>
      <c r="E2946" t="s">
        <v>2466</v>
      </c>
      <c r="F2946">
        <v>9</v>
      </c>
      <c r="G2946">
        <v>174</v>
      </c>
      <c r="H2946" t="str">
        <f>VLOOKUP(G2946,[1]OPERADORES!$A:$B,2,0)</f>
        <v>MIRIÃ LOBATO RODRIGUES</v>
      </c>
      <c r="I2946" t="s">
        <v>21</v>
      </c>
      <c r="J2946" t="s">
        <v>1427</v>
      </c>
      <c r="K2946" t="s">
        <v>2004</v>
      </c>
      <c r="L2946">
        <v>84894</v>
      </c>
      <c r="M2946" t="s">
        <v>1260</v>
      </c>
      <c r="O2946" t="s">
        <v>11</v>
      </c>
      <c r="P2946">
        <v>5102</v>
      </c>
      <c r="Q2946">
        <v>2</v>
      </c>
      <c r="R2946">
        <v>59.53</v>
      </c>
      <c r="S2946">
        <v>119.06</v>
      </c>
      <c r="T2946">
        <v>90.38</v>
      </c>
      <c r="U2946">
        <v>24.09</v>
      </c>
      <c r="V2946" t="str">
        <f>VLOOKUP(L2946,'[2]tabela de preços'!$A:$D,4,0)</f>
        <v>BRASILUX</v>
      </c>
      <c r="W2946" t="str">
        <f>VLOOKUP(L2946,'[2]tabela de preços'!$A:$F,6,0)</f>
        <v>DILUENTE</v>
      </c>
      <c r="X2946" t="str">
        <f>VLOOKUP(L2946,'[2]tabela de preços'!$A:$G,7,0)</f>
        <v>AUTOMOTIVO</v>
      </c>
    </row>
    <row r="2947" spans="1:24" x14ac:dyDescent="0.3">
      <c r="A2947" t="s">
        <v>2001</v>
      </c>
      <c r="C2947" t="s">
        <v>2465</v>
      </c>
      <c r="D2947" s="1">
        <v>46055</v>
      </c>
      <c r="E2947" t="s">
        <v>2466</v>
      </c>
      <c r="F2947">
        <v>9</v>
      </c>
      <c r="G2947">
        <v>174</v>
      </c>
      <c r="H2947" t="str">
        <f>VLOOKUP(G2947,[1]OPERADORES!$A:$B,2,0)</f>
        <v>MIRIÃ LOBATO RODRIGUES</v>
      </c>
      <c r="I2947" t="s">
        <v>21</v>
      </c>
      <c r="J2947" t="s">
        <v>1427</v>
      </c>
      <c r="K2947" t="s">
        <v>2004</v>
      </c>
      <c r="L2947">
        <v>84566</v>
      </c>
      <c r="M2947" t="s">
        <v>2016</v>
      </c>
      <c r="O2947" t="s">
        <v>11</v>
      </c>
      <c r="P2947">
        <v>5403</v>
      </c>
      <c r="Q2947">
        <v>3</v>
      </c>
      <c r="R2947">
        <v>479.04</v>
      </c>
      <c r="S2947" s="2">
        <v>1437.12</v>
      </c>
      <c r="T2947" s="2">
        <v>1090.8</v>
      </c>
      <c r="U2947">
        <v>24.1</v>
      </c>
      <c r="V2947" t="str">
        <f>VLOOKUP(L2947,'[2]tabela de preços'!$A:$D,4,0)</f>
        <v>BRASILUX</v>
      </c>
      <c r="W2947" t="str">
        <f>VLOOKUP(L2947,'[2]tabela de preços'!$A:$F,6,0)</f>
        <v>TINTA PARA PISO</v>
      </c>
      <c r="X2947" t="str">
        <f>VLOOKUP(L2947,'[2]tabela de preços'!$A:$G,7,0)</f>
        <v>IMOBILIÁRIO</v>
      </c>
    </row>
    <row r="2948" spans="1:24" x14ac:dyDescent="0.3">
      <c r="A2948" t="s">
        <v>2025</v>
      </c>
      <c r="C2948" t="s">
        <v>2558</v>
      </c>
      <c r="D2948" s="1">
        <v>46056</v>
      </c>
      <c r="E2948" t="s">
        <v>2559</v>
      </c>
      <c r="F2948">
        <v>9</v>
      </c>
      <c r="G2948">
        <v>174</v>
      </c>
      <c r="H2948" t="str">
        <f>VLOOKUP(G2948,[1]OPERADORES!$A:$B,2,0)</f>
        <v>MIRIÃ LOBATO RODRIGUES</v>
      </c>
      <c r="I2948" t="s">
        <v>21</v>
      </c>
      <c r="J2948" t="s">
        <v>762</v>
      </c>
      <c r="K2948" t="s">
        <v>2028</v>
      </c>
      <c r="L2948">
        <v>23295</v>
      </c>
      <c r="M2948" t="s">
        <v>789</v>
      </c>
      <c r="O2948" t="s">
        <v>11</v>
      </c>
      <c r="P2948">
        <v>5403</v>
      </c>
      <c r="Q2948">
        <v>1</v>
      </c>
      <c r="R2948">
        <v>288.70999999999998</v>
      </c>
      <c r="S2948">
        <v>288.70999999999998</v>
      </c>
      <c r="T2948">
        <v>194.09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2025</v>
      </c>
      <c r="C2949" t="s">
        <v>2558</v>
      </c>
      <c r="D2949" s="1">
        <v>46056</v>
      </c>
      <c r="E2949" t="s">
        <v>2559</v>
      </c>
      <c r="F2949">
        <v>9</v>
      </c>
      <c r="G2949">
        <v>174</v>
      </c>
      <c r="H2949" t="str">
        <f>VLOOKUP(G2949,[1]OPERADORES!$A:$B,2,0)</f>
        <v>MIRIÃ LOBATO RODRIGUES</v>
      </c>
      <c r="I2949" t="s">
        <v>21</v>
      </c>
      <c r="J2949" t="s">
        <v>762</v>
      </c>
      <c r="K2949" t="s">
        <v>2028</v>
      </c>
      <c r="L2949">
        <v>23653</v>
      </c>
      <c r="M2949" t="s">
        <v>644</v>
      </c>
      <c r="O2949" t="s">
        <v>11</v>
      </c>
      <c r="P2949">
        <v>5102</v>
      </c>
      <c r="Q2949">
        <v>2</v>
      </c>
      <c r="R2949">
        <v>67.150000000000006</v>
      </c>
      <c r="S2949">
        <v>134.30000000000001</v>
      </c>
      <c r="T2949">
        <v>101.94</v>
      </c>
      <c r="U2949">
        <v>24.1</v>
      </c>
      <c r="V2949" t="str">
        <f>VLOOKUP(L2949,'[2]tabela de preços'!$A:$D,4,0)</f>
        <v>SIKKENS</v>
      </c>
      <c r="W2949" t="str">
        <f>VLOOKUP(L2949,'[2]tabela de preços'!$A:$F,6,0)</f>
        <v>CATALISADORES INDIVIDUAS</v>
      </c>
      <c r="X2949" t="str">
        <f>VLOOKUP(L2949,'[2]tabela de preços'!$A:$G,7,0)</f>
        <v>AUTOMOTIVO</v>
      </c>
    </row>
    <row r="2950" spans="1:24" x14ac:dyDescent="0.3">
      <c r="A2950" t="s">
        <v>2025</v>
      </c>
      <c r="C2950" t="s">
        <v>2558</v>
      </c>
      <c r="D2950" s="1">
        <v>46056</v>
      </c>
      <c r="E2950" t="s">
        <v>2559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762</v>
      </c>
      <c r="K2950" t="s">
        <v>2028</v>
      </c>
      <c r="L2950">
        <v>23296</v>
      </c>
      <c r="M2950" t="s">
        <v>2032</v>
      </c>
      <c r="O2950" t="s">
        <v>11</v>
      </c>
      <c r="P2950">
        <v>5102</v>
      </c>
      <c r="Q2950">
        <v>1</v>
      </c>
      <c r="R2950">
        <v>42.14</v>
      </c>
      <c r="S2950">
        <v>42.14</v>
      </c>
      <c r="T2950">
        <v>31.99</v>
      </c>
      <c r="U2950">
        <v>24.09</v>
      </c>
      <c r="V2950" t="str">
        <f>VLOOKUP(L2950,'[2]tabela de preços'!$A:$D,4,0)</f>
        <v>SIKKENS</v>
      </c>
      <c r="W2950" t="str">
        <f>VLOOKUP(L2950,'[2]tabela de preços'!$A:$F,6,0)</f>
        <v>CATALISADORES INDIVIDUAS</v>
      </c>
      <c r="X2950" t="str">
        <f>VLOOKUP(L2950,'[2]tabela de preços'!$A:$G,7,0)</f>
        <v>AUTOMOTIVO</v>
      </c>
    </row>
    <row r="2951" spans="1:24" x14ac:dyDescent="0.3">
      <c r="A2951" t="s">
        <v>2025</v>
      </c>
      <c r="C2951" t="s">
        <v>2558</v>
      </c>
      <c r="D2951" s="1">
        <v>46056</v>
      </c>
      <c r="E2951" t="s">
        <v>2559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762</v>
      </c>
      <c r="K2951" t="s">
        <v>2028</v>
      </c>
      <c r="L2951">
        <v>9989</v>
      </c>
      <c r="M2951" t="s">
        <v>2560</v>
      </c>
      <c r="O2951" t="s">
        <v>11</v>
      </c>
      <c r="P2951">
        <v>5403</v>
      </c>
      <c r="Q2951">
        <v>1</v>
      </c>
      <c r="R2951">
        <v>57.66</v>
      </c>
      <c r="S2951">
        <v>57.66</v>
      </c>
      <c r="T2951">
        <v>43.76</v>
      </c>
      <c r="U2951">
        <v>24.11</v>
      </c>
      <c r="V2951" t="str">
        <f>VLOOKUP(L2951,'[2]tabela de preços'!$A:$D,4,0)</f>
        <v>SIKKENS</v>
      </c>
      <c r="W2951" t="str">
        <f>VLOOKUP(L2951,'[2]tabela de preços'!$A:$F,6,0)</f>
        <v>PRIMER AUTOMOTIVO</v>
      </c>
      <c r="X2951" t="str">
        <f>VLOOKUP(L2951,'[2]tabela de preços'!$A:$G,7,0)</f>
        <v>AUTOMOTIVO</v>
      </c>
    </row>
    <row r="2952" spans="1:24" x14ac:dyDescent="0.3">
      <c r="A2952" t="s">
        <v>2046</v>
      </c>
      <c r="C2952" t="s">
        <v>2561</v>
      </c>
      <c r="D2952" s="1">
        <v>46056</v>
      </c>
      <c r="E2952" t="s">
        <v>2562</v>
      </c>
      <c r="F2952">
        <v>9</v>
      </c>
      <c r="G2952">
        <v>236</v>
      </c>
      <c r="H2952" t="str">
        <f>VLOOKUP(G2952,[1]OPERADORES!$A:$B,2,0)</f>
        <v>DANIEL</v>
      </c>
      <c r="I2952" t="s">
        <v>21</v>
      </c>
      <c r="J2952" t="s">
        <v>614</v>
      </c>
      <c r="K2952" t="s">
        <v>2049</v>
      </c>
      <c r="L2952">
        <v>10277</v>
      </c>
      <c r="M2952" t="s">
        <v>135</v>
      </c>
      <c r="O2952" t="s">
        <v>11</v>
      </c>
      <c r="P2952">
        <v>5102</v>
      </c>
      <c r="Q2952">
        <v>24</v>
      </c>
      <c r="R2952">
        <v>15.89</v>
      </c>
      <c r="S2952">
        <v>381.36</v>
      </c>
      <c r="T2952">
        <v>309.12</v>
      </c>
      <c r="U2952">
        <v>18.940000000000001</v>
      </c>
      <c r="V2952" t="str">
        <f>VLOOKUP(L2952,'[2]tabela de preços'!$A:$D,4,0)</f>
        <v>RETOQUE</v>
      </c>
      <c r="W2952" t="str">
        <f>VLOOKUP(L2952,'[2]tabela de preços'!$A:$F,6,0)</f>
        <v xml:space="preserve">COLA  PLÁSTICA </v>
      </c>
      <c r="X2952" t="str">
        <f>VLOOKUP(L2952,'[2]tabela de preços'!$A:$G,7,0)</f>
        <v>AUTOMOTIVO</v>
      </c>
    </row>
    <row r="2953" spans="1:24" x14ac:dyDescent="0.3">
      <c r="A2953" t="s">
        <v>2046</v>
      </c>
      <c r="C2953" t="s">
        <v>2561</v>
      </c>
      <c r="D2953" s="1">
        <v>46056</v>
      </c>
      <c r="E2953" t="s">
        <v>2562</v>
      </c>
      <c r="F2953">
        <v>9</v>
      </c>
      <c r="G2953">
        <v>236</v>
      </c>
      <c r="H2953" t="str">
        <f>VLOOKUP(G2953,[1]OPERADORES!$A:$B,2,0)</f>
        <v>DANIEL</v>
      </c>
      <c r="I2953" t="s">
        <v>21</v>
      </c>
      <c r="J2953" t="s">
        <v>614</v>
      </c>
      <c r="K2953" t="s">
        <v>2049</v>
      </c>
      <c r="L2953">
        <v>23076</v>
      </c>
      <c r="M2953" t="s">
        <v>97</v>
      </c>
      <c r="O2953" t="s">
        <v>11</v>
      </c>
      <c r="P2953">
        <v>5403</v>
      </c>
      <c r="Q2953">
        <v>24</v>
      </c>
      <c r="R2953">
        <v>34.89</v>
      </c>
      <c r="S2953">
        <v>837.36</v>
      </c>
      <c r="T2953">
        <v>636.72</v>
      </c>
      <c r="U2953">
        <v>23.96</v>
      </c>
      <c r="V2953" t="str">
        <f>VLOOKUP(L2953,'[2]tabela de preços'!$A:$D,4,0)</f>
        <v>WANDA</v>
      </c>
      <c r="W2953" t="str">
        <f>VLOOKUP(L2953,'[2]tabela de preços'!$A:$F,6,0)</f>
        <v>PRIMER AUTOMOTIVO</v>
      </c>
      <c r="X2953" t="str">
        <f>VLOOKUP(L2953,'[2]tabela de preços'!$A:$G,7,0)</f>
        <v>AUTOMOTIVO</v>
      </c>
    </row>
    <row r="2954" spans="1:24" x14ac:dyDescent="0.3">
      <c r="A2954" t="s">
        <v>2046</v>
      </c>
      <c r="C2954" t="s">
        <v>2561</v>
      </c>
      <c r="D2954" s="1">
        <v>46056</v>
      </c>
      <c r="E2954" t="s">
        <v>2562</v>
      </c>
      <c r="F2954">
        <v>9</v>
      </c>
      <c r="G2954">
        <v>236</v>
      </c>
      <c r="H2954" t="str">
        <f>VLOOKUP(G2954,[1]OPERADORES!$A:$B,2,0)</f>
        <v>DANIEL</v>
      </c>
      <c r="I2954" t="s">
        <v>21</v>
      </c>
      <c r="J2954" t="s">
        <v>614</v>
      </c>
      <c r="K2954" t="s">
        <v>2049</v>
      </c>
      <c r="L2954">
        <v>23602</v>
      </c>
      <c r="M2954" t="s">
        <v>215</v>
      </c>
      <c r="O2954" t="s">
        <v>11</v>
      </c>
      <c r="P2954">
        <v>5403</v>
      </c>
      <c r="Q2954">
        <v>18</v>
      </c>
      <c r="R2954">
        <v>35.89</v>
      </c>
      <c r="S2954">
        <v>646.02</v>
      </c>
      <c r="T2954">
        <v>526.5</v>
      </c>
      <c r="U2954">
        <v>18.5</v>
      </c>
      <c r="V2954" t="str">
        <f>VLOOKUP(L2954,'[2]tabela de preços'!$A:$D,4,0)</f>
        <v>SHERWIN WILLIAMS</v>
      </c>
      <c r="W2954" t="str">
        <f>VLOOKUP(L2954,'[2]tabela de preços'!$A:$F,6,0)</f>
        <v>VERNIZ AUTOMOTIVO</v>
      </c>
      <c r="X2954" t="str">
        <f>VLOOKUP(L2954,'[2]tabela de preços'!$A:$G,7,0)</f>
        <v>AUTOMOTIVO</v>
      </c>
    </row>
    <row r="2955" spans="1:24" x14ac:dyDescent="0.3">
      <c r="A2955" t="s">
        <v>2046</v>
      </c>
      <c r="C2955" t="s">
        <v>2561</v>
      </c>
      <c r="D2955" s="1">
        <v>46056</v>
      </c>
      <c r="E2955" t="s">
        <v>2562</v>
      </c>
      <c r="F2955">
        <v>9</v>
      </c>
      <c r="G2955">
        <v>236</v>
      </c>
      <c r="H2955" t="str">
        <f>VLOOKUP(G2955,[1]OPERADORES!$A:$B,2,0)</f>
        <v>DANIEL</v>
      </c>
      <c r="I2955" t="s">
        <v>21</v>
      </c>
      <c r="J2955" t="s">
        <v>614</v>
      </c>
      <c r="K2955" t="s">
        <v>2049</v>
      </c>
      <c r="L2955">
        <v>20431</v>
      </c>
      <c r="M2955" t="s">
        <v>202</v>
      </c>
      <c r="O2955" t="s">
        <v>11</v>
      </c>
      <c r="P2955">
        <v>5403</v>
      </c>
      <c r="Q2955">
        <v>18</v>
      </c>
      <c r="R2955">
        <v>36.89</v>
      </c>
      <c r="S2955">
        <v>664.02</v>
      </c>
      <c r="T2955">
        <v>544.67999999999995</v>
      </c>
      <c r="U2955">
        <v>17.97</v>
      </c>
      <c r="V2955" t="str">
        <f>VLOOKUP(L2955,'[2]tabela de preços'!$A:$D,4,0)</f>
        <v>SHERWIN WILLIAMS</v>
      </c>
      <c r="W2955" t="str">
        <f>VLOOKUP(L2955,'[2]tabela de preços'!$A:$F,6,0)</f>
        <v>VERNIZ AUTOMOTIVO</v>
      </c>
      <c r="X2955" t="str">
        <f>VLOOKUP(L2955,'[2]tabela de preços'!$A:$G,7,0)</f>
        <v>AUTOMOTIVO</v>
      </c>
    </row>
    <row r="2956" spans="1:24" x14ac:dyDescent="0.3">
      <c r="A2956" t="s">
        <v>2046</v>
      </c>
      <c r="C2956" t="s">
        <v>2561</v>
      </c>
      <c r="D2956" s="1">
        <v>46056</v>
      </c>
      <c r="E2956" t="s">
        <v>2562</v>
      </c>
      <c r="F2956">
        <v>9</v>
      </c>
      <c r="G2956">
        <v>236</v>
      </c>
      <c r="H2956" t="str">
        <f>VLOOKUP(G2956,[1]OPERADORES!$A:$B,2,0)</f>
        <v>DANIEL</v>
      </c>
      <c r="I2956" t="s">
        <v>21</v>
      </c>
      <c r="J2956" t="s">
        <v>614</v>
      </c>
      <c r="K2956" t="s">
        <v>2049</v>
      </c>
      <c r="L2956">
        <v>20525</v>
      </c>
      <c r="M2956" t="s">
        <v>137</v>
      </c>
      <c r="O2956" t="s">
        <v>11</v>
      </c>
      <c r="P2956">
        <v>5102</v>
      </c>
      <c r="Q2956">
        <v>6</v>
      </c>
      <c r="R2956">
        <v>13.65</v>
      </c>
      <c r="S2956">
        <v>81.900000000000006</v>
      </c>
      <c r="T2956">
        <v>62.16</v>
      </c>
      <c r="U2956">
        <v>24.1</v>
      </c>
      <c r="V2956" t="str">
        <f>VLOOKUP(L2956,'[2]tabela de preços'!$A:$D,4,0)</f>
        <v>SHERWIN WILLIAMS</v>
      </c>
      <c r="W2956" t="str">
        <f>VLOOKUP(L2956,'[2]tabela de preços'!$A:$F,6,0)</f>
        <v>MASSA DE PEQUENOS REPAROS</v>
      </c>
      <c r="X2956" t="str">
        <f>VLOOKUP(L2956,'[2]tabela de preços'!$A:$G,7,0)</f>
        <v>AUTOMOTIVO</v>
      </c>
    </row>
    <row r="2957" spans="1:24" x14ac:dyDescent="0.3">
      <c r="A2957" t="s">
        <v>2046</v>
      </c>
      <c r="C2957" t="s">
        <v>2561</v>
      </c>
      <c r="D2957" s="1">
        <v>46056</v>
      </c>
      <c r="E2957" t="s">
        <v>2562</v>
      </c>
      <c r="F2957">
        <v>9</v>
      </c>
      <c r="G2957">
        <v>236</v>
      </c>
      <c r="H2957" t="str">
        <f>VLOOKUP(G2957,[1]OPERADORES!$A:$B,2,0)</f>
        <v>DANIEL</v>
      </c>
      <c r="I2957" t="s">
        <v>21</v>
      </c>
      <c r="J2957" t="s">
        <v>614</v>
      </c>
      <c r="K2957" t="s">
        <v>2049</v>
      </c>
      <c r="L2957">
        <v>85164</v>
      </c>
      <c r="M2957" t="s">
        <v>278</v>
      </c>
      <c r="O2957" t="s">
        <v>11</v>
      </c>
      <c r="P2957">
        <v>5102</v>
      </c>
      <c r="Q2957">
        <v>24</v>
      </c>
      <c r="R2957">
        <v>13.29</v>
      </c>
      <c r="S2957">
        <v>318.95999999999998</v>
      </c>
      <c r="T2957">
        <v>242.16</v>
      </c>
      <c r="U2957">
        <v>24.08</v>
      </c>
      <c r="V2957" t="str">
        <f>VLOOKUP(L2957,'[2]tabela de preços'!$A:$D,4,0)</f>
        <v>BRASILUX</v>
      </c>
      <c r="W2957" t="str">
        <f>VLOOKUP(L2957,'[2]tabela de preços'!$A:$F,6,0)</f>
        <v>QUEROSENE</v>
      </c>
      <c r="X2957" t="str">
        <f>VLOOKUP(L2957,'[2]tabela de preços'!$A:$G,7,0)</f>
        <v>AUTOMOTIVO</v>
      </c>
    </row>
    <row r="2958" spans="1:24" x14ac:dyDescent="0.3">
      <c r="A2958" t="s">
        <v>2073</v>
      </c>
      <c r="C2958" t="s">
        <v>2467</v>
      </c>
      <c r="D2958" s="1">
        <v>46055</v>
      </c>
      <c r="E2958" t="s">
        <v>2468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1257</v>
      </c>
      <c r="K2958" t="s">
        <v>2076</v>
      </c>
      <c r="L2958">
        <v>84331</v>
      </c>
      <c r="M2958" t="s">
        <v>497</v>
      </c>
      <c r="O2958" t="s">
        <v>11</v>
      </c>
      <c r="P2958">
        <v>5403</v>
      </c>
      <c r="Q2958">
        <v>15</v>
      </c>
      <c r="R2958">
        <v>59.98</v>
      </c>
      <c r="S2958">
        <v>899.7</v>
      </c>
      <c r="T2958">
        <v>780</v>
      </c>
      <c r="U2958">
        <v>13.3</v>
      </c>
      <c r="V2958" t="str">
        <f>VLOOKUP(L2958,'[2]tabela de preços'!$A:$D,4,0)</f>
        <v>BRASILUX</v>
      </c>
      <c r="W2958" t="str">
        <f>VLOOKUP(L2958,'[2]tabela de preços'!$A:$F,6,0)</f>
        <v>ESMALTES</v>
      </c>
      <c r="X2958" t="str">
        <f>VLOOKUP(L2958,'[2]tabela de preços'!$A:$G,7,0)</f>
        <v>INDUSTRIAL</v>
      </c>
    </row>
    <row r="2959" spans="1:24" x14ac:dyDescent="0.3">
      <c r="A2959" t="s">
        <v>2073</v>
      </c>
      <c r="C2959" t="s">
        <v>2467</v>
      </c>
      <c r="D2959" s="1">
        <v>46055</v>
      </c>
      <c r="E2959" t="s">
        <v>2468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1257</v>
      </c>
      <c r="K2959" t="s">
        <v>2076</v>
      </c>
      <c r="L2959">
        <v>84347</v>
      </c>
      <c r="M2959" t="s">
        <v>1150</v>
      </c>
      <c r="O2959" t="s">
        <v>11</v>
      </c>
      <c r="P2959">
        <v>5403</v>
      </c>
      <c r="Q2959">
        <v>8</v>
      </c>
      <c r="R2959">
        <v>59.98</v>
      </c>
      <c r="S2959">
        <v>479.84</v>
      </c>
      <c r="T2959">
        <v>416</v>
      </c>
      <c r="U2959">
        <v>13.3</v>
      </c>
      <c r="V2959" t="str">
        <f>VLOOKUP(L2959,'[2]tabela de preços'!$A:$D,4,0)</f>
        <v>BRASILUX</v>
      </c>
      <c r="W2959" t="str">
        <f>VLOOKUP(L2959,'[2]tabela de preços'!$A:$F,6,0)</f>
        <v>ESMALTES</v>
      </c>
      <c r="X2959" t="str">
        <f>VLOOKUP(L2959,'[2]tabela de preços'!$A:$G,7,0)</f>
        <v>INDUSTRIAL</v>
      </c>
    </row>
    <row r="2960" spans="1:24" x14ac:dyDescent="0.3">
      <c r="A2960" t="s">
        <v>2073</v>
      </c>
      <c r="C2960" t="s">
        <v>2718</v>
      </c>
      <c r="D2960" s="1">
        <v>46058</v>
      </c>
      <c r="E2960" t="s">
        <v>2719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1257</v>
      </c>
      <c r="K2960" t="s">
        <v>2076</v>
      </c>
      <c r="L2960">
        <v>84030</v>
      </c>
      <c r="M2960" t="s">
        <v>900</v>
      </c>
      <c r="O2960" t="s">
        <v>11</v>
      </c>
      <c r="P2960">
        <v>5102</v>
      </c>
      <c r="Q2960">
        <v>30</v>
      </c>
      <c r="R2960">
        <v>49.5</v>
      </c>
      <c r="S2960" s="2">
        <v>1485</v>
      </c>
      <c r="T2960" s="2">
        <v>1270.8</v>
      </c>
      <c r="U2960">
        <v>14.42</v>
      </c>
      <c r="V2960" t="str">
        <f>VLOOKUP(L2960,'[2]tabela de preços'!$A:$D,4,0)</f>
        <v>BRASILUX</v>
      </c>
      <c r="W2960" t="str">
        <f>VLOOKUP(L2960,'[2]tabela de preços'!$A:$F,6,0)</f>
        <v>AGUARRAS</v>
      </c>
      <c r="X2960" t="str">
        <f>VLOOKUP(L2960,'[2]tabela de preços'!$A:$G,7,0)</f>
        <v>IMOBILIÁRIO</v>
      </c>
    </row>
    <row r="2961" spans="1:24" x14ac:dyDescent="0.3">
      <c r="A2961" t="s">
        <v>2073</v>
      </c>
      <c r="C2961" t="s">
        <v>2718</v>
      </c>
      <c r="D2961" s="1">
        <v>46058</v>
      </c>
      <c r="E2961" t="s">
        <v>2719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1257</v>
      </c>
      <c r="K2961" t="s">
        <v>2076</v>
      </c>
      <c r="L2961">
        <v>84351</v>
      </c>
      <c r="M2961" t="s">
        <v>2152</v>
      </c>
      <c r="O2961" t="s">
        <v>11</v>
      </c>
      <c r="P2961">
        <v>5403</v>
      </c>
      <c r="Q2961">
        <v>50</v>
      </c>
      <c r="R2961">
        <v>59.98</v>
      </c>
      <c r="S2961" s="2">
        <v>2999</v>
      </c>
      <c r="T2961" s="2">
        <v>2600</v>
      </c>
      <c r="U2961">
        <v>13.3</v>
      </c>
      <c r="V2961" t="str">
        <f>VLOOKUP(L2961,'[2]tabela de preços'!$A:$D,4,0)</f>
        <v>BRASILUX</v>
      </c>
      <c r="W2961" t="str">
        <f>VLOOKUP(L2961,'[2]tabela de preços'!$A:$F,6,0)</f>
        <v>ESMALTES</v>
      </c>
      <c r="X2961" t="str">
        <f>VLOOKUP(L2961,'[2]tabela de preços'!$A:$G,7,0)</f>
        <v>INDUSTRIAL</v>
      </c>
    </row>
    <row r="2962" spans="1:24" x14ac:dyDescent="0.3">
      <c r="A2962" t="s">
        <v>2073</v>
      </c>
      <c r="C2962" t="s">
        <v>2718</v>
      </c>
      <c r="D2962" s="1">
        <v>46058</v>
      </c>
      <c r="E2962" t="s">
        <v>2719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1257</v>
      </c>
      <c r="K2962" t="s">
        <v>2076</v>
      </c>
      <c r="L2962">
        <v>84328</v>
      </c>
      <c r="M2962" t="s">
        <v>496</v>
      </c>
      <c r="O2962" t="s">
        <v>11</v>
      </c>
      <c r="P2962">
        <v>5403</v>
      </c>
      <c r="Q2962">
        <v>150</v>
      </c>
      <c r="R2962">
        <v>59.98</v>
      </c>
      <c r="S2962" s="2">
        <v>8997</v>
      </c>
      <c r="T2962" s="2">
        <v>6928.5</v>
      </c>
      <c r="U2962">
        <v>22.99</v>
      </c>
      <c r="V2962" t="str">
        <f>VLOOKUP(L2962,'[2]tabela de preços'!$A:$D,4,0)</f>
        <v>BRASILUX</v>
      </c>
      <c r="W2962" t="str">
        <f>VLOOKUP(L2962,'[2]tabela de preços'!$A:$F,6,0)</f>
        <v>ESMALTES</v>
      </c>
      <c r="X2962" t="str">
        <f>VLOOKUP(L2962,'[2]tabela de preços'!$A:$G,7,0)</f>
        <v>INDUSTRIAL</v>
      </c>
    </row>
    <row r="2963" spans="1:24" x14ac:dyDescent="0.3">
      <c r="A2963" t="s">
        <v>2073</v>
      </c>
      <c r="C2963" t="s">
        <v>2718</v>
      </c>
      <c r="D2963" s="1">
        <v>46058</v>
      </c>
      <c r="E2963" t="s">
        <v>2719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1257</v>
      </c>
      <c r="K2963" t="s">
        <v>2076</v>
      </c>
      <c r="L2963">
        <v>84331</v>
      </c>
      <c r="M2963" t="s">
        <v>497</v>
      </c>
      <c r="O2963" t="s">
        <v>11</v>
      </c>
      <c r="P2963">
        <v>5403</v>
      </c>
      <c r="Q2963">
        <v>20</v>
      </c>
      <c r="R2963">
        <v>59.98</v>
      </c>
      <c r="S2963" s="2">
        <v>1199.5999999999999</v>
      </c>
      <c r="T2963" s="2">
        <v>1040</v>
      </c>
      <c r="U2963">
        <v>13.3</v>
      </c>
      <c r="V2963" t="str">
        <f>VLOOKUP(L2963,'[2]tabela de preços'!$A:$D,4,0)</f>
        <v>BRASILUX</v>
      </c>
      <c r="W2963" t="str">
        <f>VLOOKUP(L2963,'[2]tabela de preços'!$A:$F,6,0)</f>
        <v>ESMALTES</v>
      </c>
      <c r="X2963" t="str">
        <f>VLOOKUP(L2963,'[2]tabela de preços'!$A:$G,7,0)</f>
        <v>INDUSTRIAL</v>
      </c>
    </row>
    <row r="2964" spans="1:24" x14ac:dyDescent="0.3">
      <c r="A2964" t="s">
        <v>2073</v>
      </c>
      <c r="C2964" t="s">
        <v>2718</v>
      </c>
      <c r="D2964" s="1">
        <v>46058</v>
      </c>
      <c r="E2964" t="s">
        <v>2719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1257</v>
      </c>
      <c r="K2964" t="s">
        <v>2076</v>
      </c>
      <c r="L2964">
        <v>84334</v>
      </c>
      <c r="M2964" t="s">
        <v>895</v>
      </c>
      <c r="O2964" t="s">
        <v>11</v>
      </c>
      <c r="P2964">
        <v>5403</v>
      </c>
      <c r="Q2964">
        <v>100</v>
      </c>
      <c r="R2964">
        <v>59.98</v>
      </c>
      <c r="S2964" s="2">
        <v>5998</v>
      </c>
      <c r="T2964" s="2">
        <v>4766</v>
      </c>
      <c r="U2964">
        <v>20.54</v>
      </c>
      <c r="V2964" t="str">
        <f>VLOOKUP(L2964,'[2]tabela de preços'!$A:$D,4,0)</f>
        <v>BRASILUX</v>
      </c>
      <c r="W2964" t="str">
        <f>VLOOKUP(L2964,'[2]tabela de preços'!$A:$F,6,0)</f>
        <v>ESMALTES</v>
      </c>
      <c r="X2964" t="str">
        <f>VLOOKUP(L2964,'[2]tabela de preços'!$A:$G,7,0)</f>
        <v>INDUSTRIAL</v>
      </c>
    </row>
    <row r="2965" spans="1:24" x14ac:dyDescent="0.3">
      <c r="A2965" t="s">
        <v>2073</v>
      </c>
      <c r="C2965" t="s">
        <v>2718</v>
      </c>
      <c r="D2965" s="1">
        <v>46058</v>
      </c>
      <c r="E2965" t="s">
        <v>2719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1257</v>
      </c>
      <c r="K2965" t="s">
        <v>2076</v>
      </c>
      <c r="L2965">
        <v>84259</v>
      </c>
      <c r="M2965" t="s">
        <v>673</v>
      </c>
      <c r="O2965" t="s">
        <v>11</v>
      </c>
      <c r="P2965">
        <v>5403</v>
      </c>
      <c r="Q2965">
        <v>100</v>
      </c>
      <c r="R2965">
        <v>32.369999999999997</v>
      </c>
      <c r="S2965" s="2">
        <v>3237</v>
      </c>
      <c r="T2965" s="2">
        <v>2264</v>
      </c>
      <c r="U2965">
        <v>30.06</v>
      </c>
      <c r="V2965" t="str">
        <f>VLOOKUP(L2965,'[2]tabela de preços'!$A:$D,4,0)</f>
        <v>BRASILUX</v>
      </c>
      <c r="W2965" t="str">
        <f>VLOOKUP(L2965,'[2]tabela de preços'!$A:$F,6,0)</f>
        <v>TINTA PAREDE</v>
      </c>
      <c r="X2965" t="str">
        <f>VLOOKUP(L2965,'[2]tabela de preços'!$A:$G,7,0)</f>
        <v>IMOBILIÁRIO</v>
      </c>
    </row>
    <row r="2966" spans="1:24" x14ac:dyDescent="0.3">
      <c r="A2966" t="s">
        <v>2073</v>
      </c>
      <c r="C2966" t="s">
        <v>2718</v>
      </c>
      <c r="D2966" s="1">
        <v>46058</v>
      </c>
      <c r="E2966" t="s">
        <v>2719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1257</v>
      </c>
      <c r="K2966" t="s">
        <v>2076</v>
      </c>
      <c r="L2966">
        <v>84411</v>
      </c>
      <c r="M2966" t="s">
        <v>35</v>
      </c>
      <c r="O2966" t="s">
        <v>11</v>
      </c>
      <c r="P2966">
        <v>5102</v>
      </c>
      <c r="Q2966">
        <v>50</v>
      </c>
      <c r="R2966">
        <v>4.29</v>
      </c>
      <c r="S2966">
        <v>214.5</v>
      </c>
      <c r="T2966">
        <v>177</v>
      </c>
      <c r="U2966">
        <v>17.48</v>
      </c>
      <c r="V2966" t="str">
        <f>VLOOKUP(L2966,'[2]tabela de preços'!$A:$D,4,0)</f>
        <v>ADERE</v>
      </c>
      <c r="W2966" t="str">
        <f>VLOOKUP(L2966,'[2]tabela de preços'!$A:$F,6,0)</f>
        <v xml:space="preserve">FITA DE USO GERAL </v>
      </c>
      <c r="X2966" t="str">
        <f>VLOOKUP(L2966,'[2]tabela de preços'!$A:$G,7,0)</f>
        <v>IMOBILIÁRIO</v>
      </c>
    </row>
    <row r="2967" spans="1:24" x14ac:dyDescent="0.3">
      <c r="A2967" t="s">
        <v>2073</v>
      </c>
      <c r="C2967" t="s">
        <v>2718</v>
      </c>
      <c r="D2967" s="1">
        <v>46058</v>
      </c>
      <c r="E2967" t="s">
        <v>2719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1257</v>
      </c>
      <c r="K2967" t="s">
        <v>2076</v>
      </c>
      <c r="L2967">
        <v>84928</v>
      </c>
      <c r="M2967" t="s">
        <v>36</v>
      </c>
      <c r="O2967" t="s">
        <v>11</v>
      </c>
      <c r="P2967">
        <v>5102</v>
      </c>
      <c r="Q2967">
        <v>20</v>
      </c>
      <c r="R2967">
        <v>9.39</v>
      </c>
      <c r="S2967">
        <v>187.8</v>
      </c>
      <c r="T2967">
        <v>142.6</v>
      </c>
      <c r="U2967">
        <v>24.07</v>
      </c>
      <c r="V2967" t="str">
        <f>VLOOKUP(L2967,'[2]tabela de preços'!$A:$D,4,0)</f>
        <v>ADERE</v>
      </c>
      <c r="W2967" t="str">
        <f>VLOOKUP(L2967,'[2]tabela de preços'!$A:$F,6,0)</f>
        <v xml:space="preserve">FITA DE USO GERAL </v>
      </c>
      <c r="X2967" t="str">
        <f>VLOOKUP(L2967,'[2]tabela de preços'!$A:$G,7,0)</f>
        <v>IMOBILIÁRIO</v>
      </c>
    </row>
    <row r="2968" spans="1:24" x14ac:dyDescent="0.3">
      <c r="A2968" t="s">
        <v>2073</v>
      </c>
      <c r="C2968" t="s">
        <v>2718</v>
      </c>
      <c r="D2968" s="1">
        <v>46058</v>
      </c>
      <c r="E2968" t="s">
        <v>2719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1257</v>
      </c>
      <c r="K2968" t="s">
        <v>2076</v>
      </c>
      <c r="L2968">
        <v>23878</v>
      </c>
      <c r="M2968" t="s">
        <v>851</v>
      </c>
      <c r="O2968" t="s">
        <v>11</v>
      </c>
      <c r="P2968">
        <v>5102</v>
      </c>
      <c r="Q2968">
        <v>100</v>
      </c>
      <c r="R2968">
        <v>7.69</v>
      </c>
      <c r="S2968">
        <v>769</v>
      </c>
      <c r="T2968">
        <v>584</v>
      </c>
      <c r="U2968">
        <v>24.06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2073</v>
      </c>
      <c r="C2969" t="s">
        <v>2718</v>
      </c>
      <c r="D2969" s="1">
        <v>46058</v>
      </c>
      <c r="E2969" t="s">
        <v>2719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1257</v>
      </c>
      <c r="K2969" t="s">
        <v>2076</v>
      </c>
      <c r="L2969">
        <v>84016</v>
      </c>
      <c r="M2969" t="s">
        <v>862</v>
      </c>
      <c r="O2969" t="s">
        <v>11</v>
      </c>
      <c r="P2969">
        <v>5102</v>
      </c>
      <c r="Q2969">
        <v>300</v>
      </c>
      <c r="R2969">
        <v>0.6</v>
      </c>
      <c r="S2969">
        <v>180</v>
      </c>
      <c r="T2969">
        <v>138</v>
      </c>
      <c r="U2969">
        <v>23.33</v>
      </c>
      <c r="V2969" t="str">
        <f>VLOOKUP(L2969,'[2]tabela de preços'!$A:$D,4,0)</f>
        <v>3M</v>
      </c>
      <c r="W2969" t="str">
        <f>VLOOKUP(L2969,'[2]tabela de preços'!$A:$F,6,0)</f>
        <v>LIXA MASSA  /MADEIRA / PAREDE</v>
      </c>
      <c r="X2969" t="str">
        <f>VLOOKUP(L2969,'[2]tabela de preços'!$A:$G,7,0)</f>
        <v>IMOBILIÁRIO</v>
      </c>
    </row>
    <row r="2970" spans="1:24" x14ac:dyDescent="0.3">
      <c r="A2970" t="s">
        <v>2073</v>
      </c>
      <c r="C2970" t="s">
        <v>2718</v>
      </c>
      <c r="D2970" s="1">
        <v>46058</v>
      </c>
      <c r="E2970" t="s">
        <v>2719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1257</v>
      </c>
      <c r="K2970" t="s">
        <v>2076</v>
      </c>
      <c r="L2970">
        <v>85344</v>
      </c>
      <c r="M2970" t="s">
        <v>839</v>
      </c>
      <c r="O2970" t="s">
        <v>11</v>
      </c>
      <c r="P2970">
        <v>5102</v>
      </c>
      <c r="Q2970">
        <v>90</v>
      </c>
      <c r="R2970">
        <v>35.74</v>
      </c>
      <c r="S2970" s="2">
        <v>3216.6</v>
      </c>
      <c r="T2970" s="2">
        <v>2441.6999999999998</v>
      </c>
      <c r="U2970">
        <v>24.09</v>
      </c>
      <c r="V2970" t="str">
        <f>VLOOKUP(L2970,'[2]tabela de preços'!$A:$D,4,0)</f>
        <v>DÁVILA  INOVE</v>
      </c>
      <c r="W2970" t="str">
        <f>VLOOKUP(L2970,'[2]tabela de preços'!$A:$F,6,0)</f>
        <v>MASSA CORRIDA / ACRÍLICA</v>
      </c>
      <c r="X2970" t="str">
        <f>VLOOKUP(L2970,'[2]tabela de preços'!$A:$G,7,0)</f>
        <v>IMOBILIÁRIO</v>
      </c>
    </row>
    <row r="2971" spans="1:24" x14ac:dyDescent="0.3">
      <c r="A2971" t="s">
        <v>2073</v>
      </c>
      <c r="C2971" t="s">
        <v>2718</v>
      </c>
      <c r="D2971" s="1">
        <v>46058</v>
      </c>
      <c r="E2971" t="s">
        <v>2719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1257</v>
      </c>
      <c r="K2971" t="s">
        <v>2076</v>
      </c>
      <c r="L2971">
        <v>84186</v>
      </c>
      <c r="M2971" t="s">
        <v>2720</v>
      </c>
      <c r="O2971" t="s">
        <v>11</v>
      </c>
      <c r="P2971">
        <v>5403</v>
      </c>
      <c r="Q2971">
        <v>10</v>
      </c>
      <c r="R2971">
        <v>69.37</v>
      </c>
      <c r="S2971">
        <v>693.7</v>
      </c>
      <c r="T2971">
        <v>562.4</v>
      </c>
      <c r="U2971">
        <v>18.93</v>
      </c>
      <c r="V2971" t="str">
        <f>VLOOKUP(L2971,'[2]tabela de preços'!$A:$D,4,0)</f>
        <v>BRASILUX</v>
      </c>
      <c r="W2971" t="str">
        <f>VLOOKUP(L2971,'[2]tabela de preços'!$A:$F,6,0)</f>
        <v>LINHA MOVELEIRA</v>
      </c>
      <c r="X2971" t="str">
        <f>VLOOKUP(L2971,'[2]tabela de preços'!$A:$G,7,0)</f>
        <v>MOVELEIRA</v>
      </c>
    </row>
    <row r="2972" spans="1:24" x14ac:dyDescent="0.3">
      <c r="A2972" t="s">
        <v>2073</v>
      </c>
      <c r="C2972" t="s">
        <v>2718</v>
      </c>
      <c r="D2972" s="1">
        <v>46058</v>
      </c>
      <c r="E2972" t="s">
        <v>2719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1257</v>
      </c>
      <c r="K2972" t="s">
        <v>2076</v>
      </c>
      <c r="L2972">
        <v>84439</v>
      </c>
      <c r="M2972" t="s">
        <v>2721</v>
      </c>
      <c r="O2972" t="s">
        <v>11</v>
      </c>
      <c r="P2972">
        <v>5102</v>
      </c>
      <c r="Q2972">
        <v>3</v>
      </c>
      <c r="R2972">
        <v>34.44</v>
      </c>
      <c r="S2972">
        <v>103.32</v>
      </c>
      <c r="T2972">
        <v>78.42</v>
      </c>
      <c r="U2972">
        <v>24.1</v>
      </c>
      <c r="V2972" t="str">
        <f>VLOOKUP(L2972,'[2]tabela de preços'!$A:$D,4,0)</f>
        <v>ATLAS</v>
      </c>
      <c r="W2972" t="str">
        <f>VLOOKUP(L2972,'[2]tabela de preços'!$A:$F,6,0)</f>
        <v>ROLOS / TRINCHAS / PINCÉIS / ESPÁTULAS</v>
      </c>
      <c r="X2972" t="str">
        <f>VLOOKUP(L2972,'[2]tabela de preços'!$A:$G,7,0)</f>
        <v>IMOBILIÁRIO</v>
      </c>
    </row>
    <row r="2973" spans="1:24" x14ac:dyDescent="0.3">
      <c r="A2973" t="s">
        <v>2073</v>
      </c>
      <c r="C2973" t="s">
        <v>2718</v>
      </c>
      <c r="D2973" s="1">
        <v>46058</v>
      </c>
      <c r="E2973" t="s">
        <v>2719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1257</v>
      </c>
      <c r="K2973" t="s">
        <v>2076</v>
      </c>
      <c r="L2973">
        <v>84427</v>
      </c>
      <c r="M2973" t="s">
        <v>1398</v>
      </c>
      <c r="O2973" t="s">
        <v>11</v>
      </c>
      <c r="P2973">
        <v>5102</v>
      </c>
      <c r="Q2973">
        <v>100</v>
      </c>
      <c r="R2973">
        <v>6.89</v>
      </c>
      <c r="S2973">
        <v>689</v>
      </c>
      <c r="T2973">
        <v>523</v>
      </c>
      <c r="U2973">
        <v>24.09</v>
      </c>
      <c r="V2973" t="str">
        <f>VLOOKUP(L2973,'[2]tabela de preços'!$A:$D,4,0)</f>
        <v>ATLAS</v>
      </c>
      <c r="W2973" t="str">
        <f>VLOOKUP(L2973,'[2]tabela de preços'!$A:$F,6,0)</f>
        <v>ROLOS / TRINCHAS / PINCÉIS / ESPÁTULAS</v>
      </c>
      <c r="X2973" t="str">
        <f>VLOOKUP(L2973,'[2]tabela de preços'!$A:$G,7,0)</f>
        <v>IMOBILIÁRIO</v>
      </c>
    </row>
    <row r="2974" spans="1:24" x14ac:dyDescent="0.3">
      <c r="A2974" t="s">
        <v>2073</v>
      </c>
      <c r="C2974" t="s">
        <v>2718</v>
      </c>
      <c r="D2974" s="1">
        <v>46058</v>
      </c>
      <c r="E2974" t="s">
        <v>2719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1257</v>
      </c>
      <c r="K2974" t="s">
        <v>2076</v>
      </c>
      <c r="L2974">
        <v>84425</v>
      </c>
      <c r="M2974" t="s">
        <v>616</v>
      </c>
      <c r="O2974" t="s">
        <v>11</v>
      </c>
      <c r="P2974">
        <v>5102</v>
      </c>
      <c r="Q2974">
        <v>100</v>
      </c>
      <c r="R2974">
        <v>3.52</v>
      </c>
      <c r="S2974">
        <v>352</v>
      </c>
      <c r="T2974">
        <v>267</v>
      </c>
      <c r="U2974">
        <v>24.15</v>
      </c>
      <c r="V2974" t="str">
        <f>VLOOKUP(L2974,'[2]tabela de preços'!$A:$D,4,0)</f>
        <v>ATLAS</v>
      </c>
      <c r="W2974" t="str">
        <f>VLOOKUP(L2974,'[2]tabela de preços'!$A:$F,6,0)</f>
        <v>ROLOS / TRINCHAS / PINCÉIS / ESPÁTULAS</v>
      </c>
      <c r="X2974" t="str">
        <f>VLOOKUP(L2974,'[2]tabela de preços'!$A:$G,7,0)</f>
        <v>IMOBILIÁRIO</v>
      </c>
    </row>
    <row r="2975" spans="1:24" x14ac:dyDescent="0.3">
      <c r="A2975" t="s">
        <v>2073</v>
      </c>
      <c r="C2975" t="s">
        <v>2718</v>
      </c>
      <c r="D2975" s="1">
        <v>46058</v>
      </c>
      <c r="E2975" t="s">
        <v>2719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1257</v>
      </c>
      <c r="K2975" t="s">
        <v>2076</v>
      </c>
      <c r="L2975">
        <v>84426</v>
      </c>
      <c r="M2975" t="s">
        <v>1957</v>
      </c>
      <c r="O2975" t="s">
        <v>11</v>
      </c>
      <c r="P2975">
        <v>5102</v>
      </c>
      <c r="Q2975">
        <v>100</v>
      </c>
      <c r="R2975">
        <v>4.3</v>
      </c>
      <c r="S2975">
        <v>430</v>
      </c>
      <c r="T2975">
        <v>328</v>
      </c>
      <c r="U2975">
        <v>23.72</v>
      </c>
      <c r="V2975" t="str">
        <f>VLOOKUP(L2975,'[2]tabela de preços'!$A:$D,4,0)</f>
        <v>ATLAS</v>
      </c>
      <c r="W2975" t="str">
        <f>VLOOKUP(L2975,'[2]tabela de preços'!$A:$F,6,0)</f>
        <v>ROLOS / TRINCHAS / PINCÉIS / ESPÁTULAS</v>
      </c>
      <c r="X2975" t="str">
        <f>VLOOKUP(L2975,'[2]tabela de preços'!$A:$G,7,0)</f>
        <v>IMOBILIÁRIO</v>
      </c>
    </row>
    <row r="2976" spans="1:24" x14ac:dyDescent="0.3">
      <c r="A2976" t="s">
        <v>2073</v>
      </c>
      <c r="C2976" t="s">
        <v>2718</v>
      </c>
      <c r="D2976" s="1">
        <v>46058</v>
      </c>
      <c r="E2976" t="s">
        <v>2719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1257</v>
      </c>
      <c r="K2976" t="s">
        <v>2076</v>
      </c>
      <c r="L2976">
        <v>85224</v>
      </c>
      <c r="M2976" t="s">
        <v>1597</v>
      </c>
      <c r="O2976" t="s">
        <v>11</v>
      </c>
      <c r="P2976">
        <v>5102</v>
      </c>
      <c r="Q2976">
        <v>100</v>
      </c>
      <c r="R2976">
        <v>12.19</v>
      </c>
      <c r="S2976" s="2">
        <v>1219</v>
      </c>
      <c r="T2976">
        <v>925</v>
      </c>
      <c r="U2976">
        <v>24.12</v>
      </c>
      <c r="V2976" t="str">
        <f>VLOOKUP(L2976,'[2]tabela de preços'!$A:$D,4,0)</f>
        <v>ATLAS</v>
      </c>
      <c r="W2976" t="str">
        <f>VLOOKUP(L2976,'[2]tabela de preços'!$A:$F,6,0)</f>
        <v>ROLOS / TRINCHAS / PINCÉIS / ESPÁTULAS</v>
      </c>
      <c r="X2976" t="str">
        <f>VLOOKUP(L2976,'[2]tabela de preços'!$A:$G,7,0)</f>
        <v>IMOBILIÁRIO</v>
      </c>
    </row>
    <row r="2977" spans="1:24" x14ac:dyDescent="0.3">
      <c r="A2977" t="s">
        <v>2073</v>
      </c>
      <c r="C2977" t="s">
        <v>2718</v>
      </c>
      <c r="D2977" s="1">
        <v>46058</v>
      </c>
      <c r="E2977" t="s">
        <v>2719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1257</v>
      </c>
      <c r="K2977" t="s">
        <v>2076</v>
      </c>
      <c r="L2977">
        <v>85339</v>
      </c>
      <c r="M2977" t="s">
        <v>1410</v>
      </c>
      <c r="O2977" t="s">
        <v>11</v>
      </c>
      <c r="P2977">
        <v>5403</v>
      </c>
      <c r="Q2977">
        <v>50</v>
      </c>
      <c r="R2977">
        <v>59.9</v>
      </c>
      <c r="S2977" s="2">
        <v>2995</v>
      </c>
      <c r="T2977" s="2">
        <v>2460</v>
      </c>
      <c r="U2977">
        <v>17.86</v>
      </c>
      <c r="V2977" t="str">
        <f>VLOOKUP(L2977,'[2]tabela de preços'!$A:$D,4,0)</f>
        <v>DÁVILA  INOVE</v>
      </c>
      <c r="W2977" t="str">
        <f>VLOOKUP(L2977,'[2]tabela de preços'!$A:$F,6,0)</f>
        <v>TEXTURA</v>
      </c>
      <c r="X2977" t="str">
        <f>VLOOKUP(L2977,'[2]tabela de preços'!$A:$G,7,0)</f>
        <v>IMOBILIÁRIO</v>
      </c>
    </row>
    <row r="2978" spans="1:24" x14ac:dyDescent="0.3">
      <c r="A2978" t="s">
        <v>2073</v>
      </c>
      <c r="C2978" t="s">
        <v>2718</v>
      </c>
      <c r="D2978" s="1">
        <v>46058</v>
      </c>
      <c r="E2978" t="s">
        <v>2719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1257</v>
      </c>
      <c r="K2978" t="s">
        <v>2076</v>
      </c>
      <c r="L2978">
        <v>85584</v>
      </c>
      <c r="M2978" t="s">
        <v>1101</v>
      </c>
      <c r="O2978" t="s">
        <v>11</v>
      </c>
      <c r="P2978">
        <v>5403</v>
      </c>
      <c r="Q2978">
        <v>50</v>
      </c>
      <c r="R2978">
        <v>59.9</v>
      </c>
      <c r="S2978" s="2">
        <v>2995</v>
      </c>
      <c r="T2978" s="2">
        <v>2460</v>
      </c>
      <c r="U2978">
        <v>17.86</v>
      </c>
      <c r="V2978" t="str">
        <f>VLOOKUP(L2978,'[2]tabela de preços'!$A:$D,4,0)</f>
        <v>DÁVILA  INOVE</v>
      </c>
      <c r="W2978" t="str">
        <f>VLOOKUP(L2978,'[2]tabela de preços'!$A:$F,6,0)</f>
        <v>TEXTURA</v>
      </c>
      <c r="X2978" t="str">
        <f>VLOOKUP(L2978,'[2]tabela de preços'!$A:$G,7,0)</f>
        <v>IMOBILIÁRIO</v>
      </c>
    </row>
    <row r="2979" spans="1:24" x14ac:dyDescent="0.3">
      <c r="A2979" t="s">
        <v>2073</v>
      </c>
      <c r="C2979" t="s">
        <v>2718</v>
      </c>
      <c r="D2979" s="1">
        <v>46058</v>
      </c>
      <c r="E2979" t="s">
        <v>2719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1257</v>
      </c>
      <c r="K2979" t="s">
        <v>2076</v>
      </c>
      <c r="L2979">
        <v>84560</v>
      </c>
      <c r="M2979" t="s">
        <v>118</v>
      </c>
      <c r="O2979" t="s">
        <v>11</v>
      </c>
      <c r="P2979">
        <v>5102</v>
      </c>
      <c r="Q2979">
        <v>50</v>
      </c>
      <c r="R2979">
        <v>47.89</v>
      </c>
      <c r="S2979" s="2">
        <v>2394.5</v>
      </c>
      <c r="T2979" s="2">
        <v>1958</v>
      </c>
      <c r="U2979">
        <v>18.23</v>
      </c>
      <c r="V2979" t="str">
        <f>VLOOKUP(L2979,'[2]tabela de preços'!$A:$D,4,0)</f>
        <v>BRASILUX</v>
      </c>
      <c r="W2979" t="str">
        <f>VLOOKUP(L2979,'[2]tabela de preços'!$A:$F,6,0)</f>
        <v>THINNER DE LIMPEZA</v>
      </c>
      <c r="X2979" t="str">
        <f>VLOOKUP(L2979,'[2]tabela de preços'!$A:$G,7,0)</f>
        <v>THINNER</v>
      </c>
    </row>
    <row r="2980" spans="1:24" x14ac:dyDescent="0.3">
      <c r="A2980" t="s">
        <v>2073</v>
      </c>
      <c r="C2980" t="s">
        <v>2718</v>
      </c>
      <c r="D2980" s="1">
        <v>46058</v>
      </c>
      <c r="E2980" t="s">
        <v>2719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1257</v>
      </c>
      <c r="K2980" t="s">
        <v>2076</v>
      </c>
      <c r="L2980">
        <v>10114</v>
      </c>
      <c r="M2980" t="s">
        <v>571</v>
      </c>
      <c r="O2980" t="s">
        <v>11</v>
      </c>
      <c r="P2980">
        <v>5102</v>
      </c>
      <c r="Q2980">
        <v>100</v>
      </c>
      <c r="R2980">
        <v>3.63</v>
      </c>
      <c r="S2980">
        <v>363</v>
      </c>
      <c r="T2980">
        <v>300</v>
      </c>
      <c r="U2980">
        <v>17.36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2073</v>
      </c>
      <c r="C2981" t="s">
        <v>2718</v>
      </c>
      <c r="D2981" s="1">
        <v>46058</v>
      </c>
      <c r="E2981" t="s">
        <v>2719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1257</v>
      </c>
      <c r="K2981" t="s">
        <v>2076</v>
      </c>
      <c r="L2981">
        <v>10117</v>
      </c>
      <c r="M2981" t="s">
        <v>1043</v>
      </c>
      <c r="O2981" t="s">
        <v>11</v>
      </c>
      <c r="P2981">
        <v>5102</v>
      </c>
      <c r="Q2981">
        <v>100</v>
      </c>
      <c r="R2981">
        <v>6.01</v>
      </c>
      <c r="S2981">
        <v>601</v>
      </c>
      <c r="T2981">
        <v>495</v>
      </c>
      <c r="U2981">
        <v>17.64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2073</v>
      </c>
      <c r="C2982" t="s">
        <v>2718</v>
      </c>
      <c r="D2982" s="1">
        <v>46058</v>
      </c>
      <c r="E2982" t="s">
        <v>2719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1257</v>
      </c>
      <c r="K2982" t="s">
        <v>2076</v>
      </c>
      <c r="L2982">
        <v>10120</v>
      </c>
      <c r="M2982" t="s">
        <v>2356</v>
      </c>
      <c r="O2982" t="s">
        <v>11</v>
      </c>
      <c r="P2982">
        <v>5102</v>
      </c>
      <c r="Q2982">
        <v>100</v>
      </c>
      <c r="R2982">
        <v>9.18</v>
      </c>
      <c r="S2982">
        <v>918</v>
      </c>
      <c r="T2982">
        <v>757</v>
      </c>
      <c r="U2982">
        <v>17.54</v>
      </c>
      <c r="V2982" t="str">
        <f>VLOOKUP(L2982,'[2]tabela de preços'!$A:$D,4,0)</f>
        <v>ATLAS</v>
      </c>
      <c r="W2982" t="str">
        <f>VLOOKUP(L2982,'[2]tabela de preços'!$A:$F,6,0)</f>
        <v>ROLOS / TRINCHAS / PINCÉIS / ESPÁTULAS</v>
      </c>
      <c r="X2982" t="str">
        <f>VLOOKUP(L2982,'[2]tabela de preços'!$A:$G,7,0)</f>
        <v>IMOBILIÁRIO</v>
      </c>
    </row>
    <row r="2983" spans="1:24" x14ac:dyDescent="0.3">
      <c r="A2983" t="s">
        <v>2073</v>
      </c>
      <c r="C2983" t="s">
        <v>2718</v>
      </c>
      <c r="D2983" s="1">
        <v>46058</v>
      </c>
      <c r="E2983" t="s">
        <v>2719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1257</v>
      </c>
      <c r="K2983" t="s">
        <v>2076</v>
      </c>
      <c r="L2983">
        <v>10121</v>
      </c>
      <c r="M2983" t="s">
        <v>2357</v>
      </c>
      <c r="O2983" t="s">
        <v>11</v>
      </c>
      <c r="P2983">
        <v>5102</v>
      </c>
      <c r="Q2983">
        <v>100</v>
      </c>
      <c r="R2983">
        <v>10.52</v>
      </c>
      <c r="S2983" s="2">
        <v>1052</v>
      </c>
      <c r="T2983">
        <v>867</v>
      </c>
      <c r="U2983">
        <v>17.59</v>
      </c>
      <c r="V2983" t="str">
        <f>VLOOKUP(L2983,'[2]tabela de preços'!$A:$D,4,0)</f>
        <v>ATLAS</v>
      </c>
      <c r="W2983" t="str">
        <f>VLOOKUP(L2983,'[2]tabela de preços'!$A:$F,6,0)</f>
        <v>ROLOS / TRINCHAS / PINCÉIS / ESPÁTULAS</v>
      </c>
      <c r="X2983" t="str">
        <f>VLOOKUP(L2983,'[2]tabela de preços'!$A:$G,7,0)</f>
        <v>IMOBILIÁRIO</v>
      </c>
    </row>
    <row r="2984" spans="1:24" x14ac:dyDescent="0.3">
      <c r="A2984" t="s">
        <v>2469</v>
      </c>
      <c r="C2984" t="s">
        <v>2470</v>
      </c>
      <c r="D2984" s="1">
        <v>46055</v>
      </c>
      <c r="E2984" t="s">
        <v>2471</v>
      </c>
      <c r="F2984">
        <v>9</v>
      </c>
      <c r="G2984">
        <v>145</v>
      </c>
      <c r="H2984" t="str">
        <f>VLOOKUP(G2984,[1]OPERADORES!$A:$B,2,0)</f>
        <v xml:space="preserve">FABRICIA </v>
      </c>
      <c r="I2984" t="s">
        <v>244</v>
      </c>
      <c r="J2984" t="s">
        <v>967</v>
      </c>
      <c r="K2984" t="s">
        <v>2472</v>
      </c>
      <c r="L2984">
        <v>84114</v>
      </c>
      <c r="M2984" t="s">
        <v>292</v>
      </c>
      <c r="O2984" t="s">
        <v>11</v>
      </c>
      <c r="P2984">
        <v>6403</v>
      </c>
      <c r="Q2984">
        <v>2</v>
      </c>
      <c r="R2984">
        <v>153.99</v>
      </c>
      <c r="S2984">
        <v>307.98</v>
      </c>
      <c r="T2984">
        <v>233.76</v>
      </c>
      <c r="U2984">
        <v>24.1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2469</v>
      </c>
      <c r="C2985" t="s">
        <v>2470</v>
      </c>
      <c r="D2985" s="1">
        <v>46055</v>
      </c>
      <c r="E2985" t="s">
        <v>2471</v>
      </c>
      <c r="F2985">
        <v>9</v>
      </c>
      <c r="G2985">
        <v>145</v>
      </c>
      <c r="H2985" t="str">
        <f>VLOOKUP(G2985,[1]OPERADORES!$A:$B,2,0)</f>
        <v xml:space="preserve">FABRICIA </v>
      </c>
      <c r="I2985" t="s">
        <v>244</v>
      </c>
      <c r="J2985" t="s">
        <v>967</v>
      </c>
      <c r="K2985" t="s">
        <v>2472</v>
      </c>
      <c r="L2985">
        <v>84116</v>
      </c>
      <c r="M2985" t="s">
        <v>2417</v>
      </c>
      <c r="O2985" t="s">
        <v>11</v>
      </c>
      <c r="P2985">
        <v>6403</v>
      </c>
      <c r="Q2985">
        <v>2</v>
      </c>
      <c r="R2985">
        <v>153.99</v>
      </c>
      <c r="S2985">
        <v>307.98</v>
      </c>
      <c r="T2985">
        <v>233.76</v>
      </c>
      <c r="U2985">
        <v>24.1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2113</v>
      </c>
      <c r="C2986" t="s">
        <v>2722</v>
      </c>
      <c r="D2986" s="1">
        <v>46058</v>
      </c>
      <c r="E2986" t="s">
        <v>2723</v>
      </c>
      <c r="F2986">
        <v>9</v>
      </c>
      <c r="G2986">
        <v>236</v>
      </c>
      <c r="H2986" t="str">
        <f>VLOOKUP(G2986,[1]OPERADORES!$A:$B,2,0)</f>
        <v>DANIEL</v>
      </c>
      <c r="I2986" t="s">
        <v>21</v>
      </c>
      <c r="J2986" t="s">
        <v>211</v>
      </c>
      <c r="K2986" t="s">
        <v>2116</v>
      </c>
      <c r="L2986">
        <v>85448</v>
      </c>
      <c r="M2986" t="s">
        <v>1259</v>
      </c>
      <c r="O2986" t="s">
        <v>11</v>
      </c>
      <c r="P2986">
        <v>5403</v>
      </c>
      <c r="Q2986">
        <v>1</v>
      </c>
      <c r="R2986">
        <v>98.77</v>
      </c>
      <c r="S2986">
        <v>98.77</v>
      </c>
      <c r="T2986">
        <v>72.41</v>
      </c>
      <c r="U2986">
        <v>26.69</v>
      </c>
      <c r="V2986" t="str">
        <f>VLOOKUP(L2986,'[2]tabela de preços'!$A:$D,4,0)</f>
        <v>BRASILUX</v>
      </c>
      <c r="W2986" t="str">
        <f>VLOOKUP(L2986,'[2]tabela de preços'!$A:$F,6,0)</f>
        <v>TINTAS LACA</v>
      </c>
      <c r="X2986" t="str">
        <f>VLOOKUP(L2986,'[2]tabela de preços'!$A:$G,7,0)</f>
        <v>AUTOMOTIVO</v>
      </c>
    </row>
    <row r="2987" spans="1:24" x14ac:dyDescent="0.3">
      <c r="A2987" t="s">
        <v>2113</v>
      </c>
      <c r="C2987" t="s">
        <v>2722</v>
      </c>
      <c r="D2987" s="1">
        <v>46058</v>
      </c>
      <c r="E2987" t="s">
        <v>2723</v>
      </c>
      <c r="F2987">
        <v>9</v>
      </c>
      <c r="G2987">
        <v>236</v>
      </c>
      <c r="H2987" t="str">
        <f>VLOOKUP(G2987,[1]OPERADORES!$A:$B,2,0)</f>
        <v>DANIEL</v>
      </c>
      <c r="I2987" t="s">
        <v>21</v>
      </c>
      <c r="J2987" t="s">
        <v>211</v>
      </c>
      <c r="K2987" t="s">
        <v>2116</v>
      </c>
      <c r="L2987">
        <v>10297</v>
      </c>
      <c r="M2987" t="s">
        <v>41</v>
      </c>
      <c r="O2987" t="s">
        <v>11</v>
      </c>
      <c r="P2987">
        <v>5102</v>
      </c>
      <c r="Q2987">
        <v>2</v>
      </c>
      <c r="R2987">
        <v>10.89</v>
      </c>
      <c r="S2987">
        <v>21.78</v>
      </c>
      <c r="T2987">
        <v>18.34</v>
      </c>
      <c r="U2987">
        <v>15.79</v>
      </c>
      <c r="V2987" t="str">
        <f>VLOOKUP(L2987,'[2]tabela de preços'!$A:$D,4,0)</f>
        <v>ANJO</v>
      </c>
      <c r="W2987" t="str">
        <f>VLOOKUP(L2987,'[2]tabela de preços'!$A:$F,6,0)</f>
        <v>THINNER DE LIMPEZA</v>
      </c>
      <c r="X2987" t="str">
        <f>VLOOKUP(L2987,'[2]tabela de preços'!$A:$G,7,0)</f>
        <v>THINNER</v>
      </c>
    </row>
    <row r="2988" spans="1:24" x14ac:dyDescent="0.3">
      <c r="A2988" t="s">
        <v>2724</v>
      </c>
      <c r="C2988" t="s">
        <v>2725</v>
      </c>
      <c r="D2988" s="1">
        <v>46058</v>
      </c>
      <c r="E2988" t="s">
        <v>2726</v>
      </c>
      <c r="F2988">
        <v>9</v>
      </c>
      <c r="G2988">
        <v>197</v>
      </c>
      <c r="H2988" t="str">
        <f>VLOOKUP(G2988,[1]OPERADORES!$A:$B,2,0)</f>
        <v xml:space="preserve">POLIANA LORRANE DE AMORIM </v>
      </c>
      <c r="I2988" t="s">
        <v>21</v>
      </c>
      <c r="J2988" t="s">
        <v>1018</v>
      </c>
      <c r="K2988" t="s">
        <v>2727</v>
      </c>
      <c r="L2988">
        <v>86995</v>
      </c>
      <c r="M2988" t="s">
        <v>37</v>
      </c>
      <c r="O2988" t="s">
        <v>11</v>
      </c>
      <c r="P2988">
        <v>5102</v>
      </c>
      <c r="Q2988">
        <v>6</v>
      </c>
      <c r="R2988">
        <v>7.29</v>
      </c>
      <c r="S2988">
        <v>43.74</v>
      </c>
      <c r="T2988">
        <v>34.979999999999997</v>
      </c>
      <c r="U2988">
        <v>20.03</v>
      </c>
      <c r="V2988" t="str">
        <f>VLOOKUP(L2988,'[2]tabela de preços'!$A:$D,4,0)</f>
        <v>AUTOAMERICA</v>
      </c>
      <c r="W2988" t="str">
        <f>VLOOKUP(L2988,'[2]tabela de preços'!$A:$F,6,0)</f>
        <v>FLANELAS / PANOS</v>
      </c>
      <c r="X2988" t="str">
        <f>VLOOKUP(L2988,'[2]tabela de preços'!$A:$G,7,0)</f>
        <v>AUTOMOTIVO</v>
      </c>
    </row>
    <row r="2989" spans="1:24" x14ac:dyDescent="0.3">
      <c r="A2989" t="s">
        <v>2724</v>
      </c>
      <c r="C2989" t="s">
        <v>2725</v>
      </c>
      <c r="D2989" s="1">
        <v>46058</v>
      </c>
      <c r="E2989" t="s">
        <v>2726</v>
      </c>
      <c r="F2989">
        <v>9</v>
      </c>
      <c r="G2989">
        <v>197</v>
      </c>
      <c r="H2989" t="str">
        <f>VLOOKUP(G2989,[1]OPERADORES!$A:$B,2,0)</f>
        <v xml:space="preserve">POLIANA LORRANE DE AMORIM </v>
      </c>
      <c r="I2989" t="s">
        <v>21</v>
      </c>
      <c r="J2989" t="s">
        <v>1018</v>
      </c>
      <c r="K2989" t="s">
        <v>2727</v>
      </c>
      <c r="L2989">
        <v>20455</v>
      </c>
      <c r="M2989" t="s">
        <v>2104</v>
      </c>
      <c r="O2989" t="s">
        <v>11</v>
      </c>
      <c r="P2989">
        <v>5403</v>
      </c>
      <c r="Q2989">
        <v>6</v>
      </c>
      <c r="R2989">
        <v>29.5</v>
      </c>
      <c r="S2989">
        <v>177</v>
      </c>
      <c r="T2989">
        <v>134.34</v>
      </c>
      <c r="U2989">
        <v>24.1</v>
      </c>
      <c r="V2989" t="str">
        <f>VLOOKUP(L2989,'[2]tabela de preços'!$A:$D,4,0)</f>
        <v>SHERWIN WILLIAMS</v>
      </c>
      <c r="W2989" t="str">
        <f>VLOOKUP(L2989,'[2]tabela de preços'!$A:$F,6,0)</f>
        <v>VERNIZ AUTOMOTIVO</v>
      </c>
      <c r="X2989" t="str">
        <f>VLOOKUP(L2989,'[2]tabela de preços'!$A:$G,7,0)</f>
        <v>AUTOMOTIVO</v>
      </c>
    </row>
    <row r="2990" spans="1:24" x14ac:dyDescent="0.3">
      <c r="A2990" t="s">
        <v>2724</v>
      </c>
      <c r="C2990" t="s">
        <v>2725</v>
      </c>
      <c r="D2990" s="1">
        <v>46058</v>
      </c>
      <c r="E2990" t="s">
        <v>2726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1018</v>
      </c>
      <c r="K2990" t="s">
        <v>2727</v>
      </c>
      <c r="L2990">
        <v>23602</v>
      </c>
      <c r="M2990" t="s">
        <v>215</v>
      </c>
      <c r="O2990" t="s">
        <v>11</v>
      </c>
      <c r="P2990">
        <v>5403</v>
      </c>
      <c r="Q2990">
        <v>12</v>
      </c>
      <c r="R2990">
        <v>35.89</v>
      </c>
      <c r="S2990">
        <v>430.68</v>
      </c>
      <c r="T2990">
        <v>351</v>
      </c>
      <c r="U2990">
        <v>18.5</v>
      </c>
      <c r="V2990" t="str">
        <f>VLOOKUP(L2990,'[2]tabela de preços'!$A:$D,4,0)</f>
        <v>SHERWIN WILLIAMS</v>
      </c>
      <c r="W2990" t="str">
        <f>VLOOKUP(L2990,'[2]tabela de preços'!$A:$F,6,0)</f>
        <v>VERNIZ AUTOMOTIVO</v>
      </c>
      <c r="X2990" t="str">
        <f>VLOOKUP(L2990,'[2]tabela de preços'!$A:$G,7,0)</f>
        <v>AUTOMOTIVO</v>
      </c>
    </row>
    <row r="2991" spans="1:24" x14ac:dyDescent="0.3">
      <c r="A2991" t="s">
        <v>2724</v>
      </c>
      <c r="C2991" t="s">
        <v>2725</v>
      </c>
      <c r="D2991" s="1">
        <v>46058</v>
      </c>
      <c r="E2991" t="s">
        <v>2726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1018</v>
      </c>
      <c r="K2991" t="s">
        <v>2727</v>
      </c>
      <c r="L2991">
        <v>20431</v>
      </c>
      <c r="M2991" t="s">
        <v>202</v>
      </c>
      <c r="O2991" t="s">
        <v>11</v>
      </c>
      <c r="P2991">
        <v>5403</v>
      </c>
      <c r="Q2991">
        <v>6</v>
      </c>
      <c r="R2991">
        <v>36.89</v>
      </c>
      <c r="S2991">
        <v>221.34</v>
      </c>
      <c r="T2991">
        <v>181.56</v>
      </c>
      <c r="U2991">
        <v>17.97</v>
      </c>
      <c r="V2991" t="str">
        <f>VLOOKUP(L2991,'[2]tabela de preços'!$A:$D,4,0)</f>
        <v>SHERWIN WILLIAMS</v>
      </c>
      <c r="W2991" t="str">
        <f>VLOOKUP(L2991,'[2]tabela de preços'!$A:$F,6,0)</f>
        <v>VERNIZ AUTOMOTIVO</v>
      </c>
      <c r="X2991" t="str">
        <f>VLOOKUP(L2991,'[2]tabela de preços'!$A:$G,7,0)</f>
        <v>AUTOMOTIVO</v>
      </c>
    </row>
    <row r="2992" spans="1:24" x14ac:dyDescent="0.3">
      <c r="A2992" t="s">
        <v>2724</v>
      </c>
      <c r="C2992" t="s">
        <v>2725</v>
      </c>
      <c r="D2992" s="1">
        <v>46058</v>
      </c>
      <c r="E2992" t="s">
        <v>2726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1018</v>
      </c>
      <c r="K2992" t="s">
        <v>2727</v>
      </c>
      <c r="L2992">
        <v>20846</v>
      </c>
      <c r="M2992" t="s">
        <v>163</v>
      </c>
      <c r="O2992" t="s">
        <v>11</v>
      </c>
      <c r="P2992">
        <v>5102</v>
      </c>
      <c r="Q2992">
        <v>2</v>
      </c>
      <c r="R2992">
        <v>32.44</v>
      </c>
      <c r="S2992">
        <v>64.88</v>
      </c>
      <c r="T2992">
        <v>49.24</v>
      </c>
      <c r="U2992">
        <v>24.11</v>
      </c>
      <c r="V2992" t="str">
        <f>VLOOKUP(L2992,'[2]tabela de preços'!$A:$D,4,0)</f>
        <v>SHERWIN WILLIAMS</v>
      </c>
      <c r="W2992" t="str">
        <f>VLOOKUP(L2992,'[2]tabela de preços'!$A:$F,6,0)</f>
        <v>TINTAS POLIÉSTER</v>
      </c>
      <c r="X2992" t="str">
        <f>VLOOKUP(L2992,'[2]tabela de preços'!$A:$G,7,0)</f>
        <v>AUTOMOTIVO</v>
      </c>
    </row>
    <row r="2993" spans="1:24" x14ac:dyDescent="0.3">
      <c r="A2993" t="s">
        <v>2724</v>
      </c>
      <c r="C2993" t="s">
        <v>2725</v>
      </c>
      <c r="D2993" s="1">
        <v>46058</v>
      </c>
      <c r="E2993" t="s">
        <v>2726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1018</v>
      </c>
      <c r="K2993" t="s">
        <v>2727</v>
      </c>
      <c r="L2993">
        <v>20817</v>
      </c>
      <c r="M2993" t="s">
        <v>153</v>
      </c>
      <c r="O2993" t="s">
        <v>11</v>
      </c>
      <c r="P2993">
        <v>5102</v>
      </c>
      <c r="Q2993">
        <v>3</v>
      </c>
      <c r="R2993">
        <v>22.89</v>
      </c>
      <c r="S2993">
        <v>68.67</v>
      </c>
      <c r="T2993">
        <v>55.86</v>
      </c>
      <c r="U2993">
        <v>18.649999999999999</v>
      </c>
      <c r="V2993" t="str">
        <f>VLOOKUP(L2993,'[2]tabela de preços'!$A:$D,4,0)</f>
        <v>AUTO AMERICA</v>
      </c>
      <c r="W2993" t="str">
        <f>VLOOKUP(L2993,'[2]tabela de preços'!$A:$F,6,0)</f>
        <v>MASSA DE POLIR</v>
      </c>
      <c r="X2993" t="str">
        <f>VLOOKUP(L2993,'[2]tabela de preços'!$A:$G,7,0)</f>
        <v>AUTOMOTIVO</v>
      </c>
    </row>
    <row r="2994" spans="1:24" x14ac:dyDescent="0.3">
      <c r="A2994" t="s">
        <v>2724</v>
      </c>
      <c r="C2994" t="s">
        <v>2725</v>
      </c>
      <c r="D2994" s="1">
        <v>46058</v>
      </c>
      <c r="E2994" t="s">
        <v>2726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1018</v>
      </c>
      <c r="K2994" t="s">
        <v>2727</v>
      </c>
      <c r="L2994">
        <v>87043</v>
      </c>
      <c r="M2994" t="s">
        <v>217</v>
      </c>
      <c r="O2994" t="s">
        <v>11</v>
      </c>
      <c r="P2994">
        <v>5102</v>
      </c>
      <c r="Q2994">
        <v>12</v>
      </c>
      <c r="R2994">
        <v>21.95</v>
      </c>
      <c r="S2994">
        <v>263.39999999999998</v>
      </c>
      <c r="T2994">
        <v>216.24</v>
      </c>
      <c r="U2994">
        <v>17.899999999999999</v>
      </c>
      <c r="V2994" t="str">
        <f>VLOOKUP(L2994,'[2]tabela de preços'!$A:$D,4,0)</f>
        <v>ROBERLO</v>
      </c>
      <c r="W2994" t="str">
        <f>VLOOKUP(L2994,'[2]tabela de preços'!$A:$F,6,0)</f>
        <v>MASSA POLIÉSTER</v>
      </c>
      <c r="X2994" t="str">
        <f>VLOOKUP(L2994,'[2]tabela de preços'!$A:$G,7,0)</f>
        <v>AUTOMOTIVO</v>
      </c>
    </row>
    <row r="2995" spans="1:24" x14ac:dyDescent="0.3">
      <c r="A2995" t="s">
        <v>2724</v>
      </c>
      <c r="C2995" t="s">
        <v>2725</v>
      </c>
      <c r="D2995" s="1">
        <v>46058</v>
      </c>
      <c r="E2995" t="s">
        <v>2726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1018</v>
      </c>
      <c r="K2995" t="s">
        <v>2727</v>
      </c>
      <c r="L2995">
        <v>20414</v>
      </c>
      <c r="M2995" t="s">
        <v>112</v>
      </c>
      <c r="O2995" t="s">
        <v>11</v>
      </c>
      <c r="P2995">
        <v>5102</v>
      </c>
      <c r="Q2995">
        <v>6</v>
      </c>
      <c r="R2995">
        <v>21.89</v>
      </c>
      <c r="S2995">
        <v>131.34</v>
      </c>
      <c r="T2995">
        <v>108</v>
      </c>
      <c r="U2995">
        <v>17.77</v>
      </c>
      <c r="V2995" t="str">
        <f>VLOOKUP(L2995,'[2]tabela de preços'!$A:$D,4,0)</f>
        <v>SHERWIN WILLIAMS</v>
      </c>
      <c r="W2995" t="str">
        <f>VLOOKUP(L2995,'[2]tabela de preços'!$A:$F,6,0)</f>
        <v>DILUENTE</v>
      </c>
      <c r="X2995" t="str">
        <f>VLOOKUP(L2995,'[2]tabela de preços'!$A:$G,7,0)</f>
        <v>AUTOMOTIVO</v>
      </c>
    </row>
    <row r="2996" spans="1:24" x14ac:dyDescent="0.3">
      <c r="A2996" t="s">
        <v>2164</v>
      </c>
      <c r="C2996" t="s">
        <v>2473</v>
      </c>
      <c r="D2996" s="1">
        <v>46055</v>
      </c>
      <c r="E2996" t="s">
        <v>2474</v>
      </c>
      <c r="F2996">
        <v>9</v>
      </c>
      <c r="G2996">
        <v>236</v>
      </c>
      <c r="H2996" t="str">
        <f>VLOOKUP(G2996,[1]OPERADORES!$A:$B,2,0)</f>
        <v>DANIEL</v>
      </c>
      <c r="I2996" t="s">
        <v>21</v>
      </c>
      <c r="J2996" t="s">
        <v>2167</v>
      </c>
      <c r="K2996" t="s">
        <v>2168</v>
      </c>
      <c r="L2996">
        <v>83992</v>
      </c>
      <c r="M2996" t="s">
        <v>1038</v>
      </c>
      <c r="O2996" t="s">
        <v>11</v>
      </c>
      <c r="P2996">
        <v>5102</v>
      </c>
      <c r="Q2996">
        <v>150</v>
      </c>
      <c r="R2996">
        <v>2.84</v>
      </c>
      <c r="S2996">
        <v>426</v>
      </c>
      <c r="T2996">
        <v>274.5</v>
      </c>
      <c r="U2996">
        <v>35.56</v>
      </c>
      <c r="V2996" t="str">
        <f>VLOOKUP(L2996,'[2]tabela de preços'!$A:$D,4,0)</f>
        <v>3M</v>
      </c>
      <c r="W2996" t="str">
        <f>VLOOKUP(L2996,'[2]tabela de preços'!$A:$F,6,0)</f>
        <v>LIXA FERRO</v>
      </c>
      <c r="X2996" t="str">
        <f>VLOOKUP(L2996,'[2]tabela de preços'!$A:$G,7,0)</f>
        <v>IMOBILIÁRIO</v>
      </c>
    </row>
    <row r="2997" spans="1:24" x14ac:dyDescent="0.3">
      <c r="A2997" t="s">
        <v>2171</v>
      </c>
      <c r="C2997" t="s">
        <v>2728</v>
      </c>
      <c r="D2997" s="1">
        <v>46057</v>
      </c>
      <c r="E2997" t="s">
        <v>2729</v>
      </c>
      <c r="F2997">
        <v>9</v>
      </c>
      <c r="G2997">
        <v>230</v>
      </c>
      <c r="H2997" t="str">
        <f>VLOOKUP(G2997,[1]OPERADORES!$A:$B,2,0)</f>
        <v>SÔNIA</v>
      </c>
      <c r="I2997" t="s">
        <v>21</v>
      </c>
      <c r="J2997" t="s">
        <v>2174</v>
      </c>
      <c r="K2997" t="s">
        <v>2175</v>
      </c>
      <c r="L2997">
        <v>9804</v>
      </c>
      <c r="M2997" t="s">
        <v>1190</v>
      </c>
      <c r="O2997" t="s">
        <v>11</v>
      </c>
      <c r="P2997">
        <v>5102</v>
      </c>
      <c r="Q2997">
        <v>1</v>
      </c>
      <c r="R2997">
        <v>37.04</v>
      </c>
      <c r="S2997">
        <v>37.04</v>
      </c>
      <c r="T2997">
        <v>28.11</v>
      </c>
      <c r="U2997">
        <v>24.11</v>
      </c>
      <c r="V2997" t="str">
        <f>VLOOKUP(L2997,'[2]tabela de preços'!$A:$D,4,0)</f>
        <v>WANDA</v>
      </c>
      <c r="W2997" t="str">
        <f>VLOOKUP(L2997,'[2]tabela de preços'!$A:$F,6,0)</f>
        <v>DESENGRAXANTE</v>
      </c>
      <c r="X2997" t="str">
        <f>VLOOKUP(L2997,'[2]tabela de preços'!$A:$G,7,0)</f>
        <v>AUTOMOTIVO</v>
      </c>
    </row>
    <row r="2998" spans="1:24" x14ac:dyDescent="0.3">
      <c r="A2998" t="s">
        <v>2171</v>
      </c>
      <c r="C2998" t="s">
        <v>2728</v>
      </c>
      <c r="D2998" s="1">
        <v>46057</v>
      </c>
      <c r="E2998" t="s">
        <v>2729</v>
      </c>
      <c r="F2998">
        <v>9</v>
      </c>
      <c r="G2998">
        <v>230</v>
      </c>
      <c r="H2998" t="str">
        <f>VLOOKUP(G2998,[1]OPERADORES!$A:$B,2,0)</f>
        <v>SÔNIA</v>
      </c>
      <c r="I2998" t="s">
        <v>21</v>
      </c>
      <c r="J2998" t="s">
        <v>2174</v>
      </c>
      <c r="K2998" t="s">
        <v>2175</v>
      </c>
      <c r="L2998">
        <v>10266</v>
      </c>
      <c r="M2998" t="s">
        <v>117</v>
      </c>
      <c r="O2998" t="s">
        <v>11</v>
      </c>
      <c r="P2998">
        <v>5102</v>
      </c>
      <c r="Q2998">
        <v>5</v>
      </c>
      <c r="R2998">
        <v>11.41</v>
      </c>
      <c r="S2998">
        <v>57.05</v>
      </c>
      <c r="T2998">
        <v>43.3</v>
      </c>
      <c r="U2998">
        <v>24.1</v>
      </c>
      <c r="V2998" t="str">
        <f>VLOOKUP(L2998,'[2]tabela de preços'!$A:$D,4,0)</f>
        <v>NORTON</v>
      </c>
      <c r="W2998" t="str">
        <f>VLOOKUP(L2998,'[2]tabela de preços'!$A:$F,6,0)</f>
        <v xml:space="preserve">DISCOS / LIXAS / ABRASIVOS </v>
      </c>
      <c r="X2998" t="str">
        <f>VLOOKUP(L2998,'[2]tabela de preços'!$A:$G,7,0)</f>
        <v>AUTOMOTIVO</v>
      </c>
    </row>
    <row r="2999" spans="1:24" x14ac:dyDescent="0.3">
      <c r="A2999" t="s">
        <v>2171</v>
      </c>
      <c r="C2999" t="s">
        <v>2728</v>
      </c>
      <c r="D2999" s="1">
        <v>46057</v>
      </c>
      <c r="E2999" t="s">
        <v>2729</v>
      </c>
      <c r="F2999">
        <v>9</v>
      </c>
      <c r="G2999">
        <v>230</v>
      </c>
      <c r="H2999" t="str">
        <f>VLOOKUP(G2999,[1]OPERADORES!$A:$B,2,0)</f>
        <v>SÔNIA</v>
      </c>
      <c r="I2999" t="s">
        <v>21</v>
      </c>
      <c r="J2999" t="s">
        <v>2174</v>
      </c>
      <c r="K2999" t="s">
        <v>2175</v>
      </c>
      <c r="L2999">
        <v>5</v>
      </c>
      <c r="M2999" t="s">
        <v>147</v>
      </c>
      <c r="O2999" t="s">
        <v>11</v>
      </c>
      <c r="P2999">
        <v>5102</v>
      </c>
      <c r="Q2999">
        <v>1</v>
      </c>
      <c r="R2999">
        <v>6.06</v>
      </c>
      <c r="S2999">
        <v>6.06</v>
      </c>
      <c r="T2999">
        <v>3.91</v>
      </c>
      <c r="U2999">
        <v>35.479999999999997</v>
      </c>
      <c r="V2999" t="str">
        <f>VLOOKUP(L2999,'[2]tabela de preços'!$A:$D,4,0)</f>
        <v>BRILHO ESTOPA</v>
      </c>
      <c r="W2999" t="str">
        <f>VLOOKUP(L2999,'[2]tabela de preços'!$A:$F,6,0)</f>
        <v>ESTOPAS</v>
      </c>
      <c r="X2999" t="str">
        <f>VLOOKUP(L2999,'[2]tabela de preços'!$A:$G,7,0)</f>
        <v>AUTOMOTIVO</v>
      </c>
    </row>
    <row r="3000" spans="1:24" x14ac:dyDescent="0.3">
      <c r="A3000" t="s">
        <v>2171</v>
      </c>
      <c r="C3000" t="s">
        <v>2728</v>
      </c>
      <c r="D3000" s="1">
        <v>46057</v>
      </c>
      <c r="E3000" t="s">
        <v>2729</v>
      </c>
      <c r="F3000">
        <v>9</v>
      </c>
      <c r="G3000">
        <v>230</v>
      </c>
      <c r="H3000" t="str">
        <f>VLOOKUP(G3000,[1]OPERADORES!$A:$B,2,0)</f>
        <v>SÔNIA</v>
      </c>
      <c r="I3000" t="s">
        <v>21</v>
      </c>
      <c r="J3000" t="s">
        <v>2174</v>
      </c>
      <c r="K3000" t="s">
        <v>2175</v>
      </c>
      <c r="L3000">
        <v>22173</v>
      </c>
      <c r="M3000" t="s">
        <v>194</v>
      </c>
      <c r="O3000" t="s">
        <v>11</v>
      </c>
      <c r="P3000">
        <v>5102</v>
      </c>
      <c r="Q3000">
        <v>4</v>
      </c>
      <c r="R3000">
        <v>4.58</v>
      </c>
      <c r="S3000">
        <v>18.32</v>
      </c>
      <c r="T3000">
        <v>13.92</v>
      </c>
      <c r="U3000">
        <v>24.02</v>
      </c>
      <c r="V3000" t="str">
        <f>VLOOKUP(L3000,'[2]tabela de preços'!$A:$D,4,0)</f>
        <v>3M</v>
      </c>
      <c r="W3000" t="str">
        <f>VLOOKUP(L3000,'[2]tabela de preços'!$A:$F,6,0)</f>
        <v>FITA AUTOMOTIVA</v>
      </c>
      <c r="X3000" t="str">
        <f>VLOOKUP(L3000,'[2]tabela de preços'!$A:$G,7,0)</f>
        <v>AUTOMOTIVO</v>
      </c>
    </row>
    <row r="3001" spans="1:24" x14ac:dyDescent="0.3">
      <c r="A3001" t="s">
        <v>2171</v>
      </c>
      <c r="C3001" t="s">
        <v>2728</v>
      </c>
      <c r="D3001" s="1">
        <v>46057</v>
      </c>
      <c r="E3001" t="s">
        <v>2729</v>
      </c>
      <c r="F3001">
        <v>9</v>
      </c>
      <c r="G3001">
        <v>230</v>
      </c>
      <c r="H3001" t="str">
        <f>VLOOKUP(G3001,[1]OPERADORES!$A:$B,2,0)</f>
        <v>SÔNIA</v>
      </c>
      <c r="I3001" t="s">
        <v>21</v>
      </c>
      <c r="J3001" t="s">
        <v>2174</v>
      </c>
      <c r="K3001" t="s">
        <v>2175</v>
      </c>
      <c r="L3001">
        <v>22188</v>
      </c>
      <c r="M3001" t="s">
        <v>78</v>
      </c>
      <c r="O3001" t="s">
        <v>11</v>
      </c>
      <c r="P3001">
        <v>5102</v>
      </c>
      <c r="Q3001">
        <v>2</v>
      </c>
      <c r="R3001">
        <v>14.35</v>
      </c>
      <c r="S3001">
        <v>28.7</v>
      </c>
      <c r="T3001">
        <v>21.78</v>
      </c>
      <c r="U3001">
        <v>24.11</v>
      </c>
      <c r="V3001" t="str">
        <f>VLOOKUP(L3001,'[2]tabela de preços'!$A:$D,4,0)</f>
        <v>3M</v>
      </c>
      <c r="W3001" t="str">
        <f>VLOOKUP(L3001,'[2]tabela de preços'!$A:$F,6,0)</f>
        <v>FITA AUTOMOTIVA</v>
      </c>
      <c r="X3001" t="str">
        <f>VLOOKUP(L3001,'[2]tabela de preços'!$A:$G,7,0)</f>
        <v>AUTOMOTIVO</v>
      </c>
    </row>
    <row r="3002" spans="1:24" x14ac:dyDescent="0.3">
      <c r="A3002" t="s">
        <v>2171</v>
      </c>
      <c r="C3002" t="s">
        <v>2728</v>
      </c>
      <c r="D3002" s="1">
        <v>46057</v>
      </c>
      <c r="E3002" t="s">
        <v>2729</v>
      </c>
      <c r="F3002">
        <v>9</v>
      </c>
      <c r="G3002">
        <v>230</v>
      </c>
      <c r="H3002" t="str">
        <f>VLOOKUP(G3002,[1]OPERADORES!$A:$B,2,0)</f>
        <v>SÔNIA</v>
      </c>
      <c r="I3002" t="s">
        <v>21</v>
      </c>
      <c r="J3002" t="s">
        <v>2174</v>
      </c>
      <c r="K3002" t="s">
        <v>2175</v>
      </c>
      <c r="L3002">
        <v>9775</v>
      </c>
      <c r="M3002" t="s">
        <v>708</v>
      </c>
      <c r="O3002" t="s">
        <v>11</v>
      </c>
      <c r="P3002">
        <v>5102</v>
      </c>
      <c r="Q3002">
        <v>1</v>
      </c>
      <c r="R3002">
        <v>54.57</v>
      </c>
      <c r="S3002">
        <v>54.57</v>
      </c>
      <c r="T3002">
        <v>41.42</v>
      </c>
      <c r="U3002">
        <v>24.1</v>
      </c>
      <c r="V3002" t="str">
        <f>VLOOKUP(L3002,'[2]tabela de preços'!$A:$D,4,0)</f>
        <v>SIKKENS</v>
      </c>
      <c r="W3002" t="str">
        <f>VLOOKUP(L3002,'[2]tabela de preços'!$A:$F,6,0)</f>
        <v>CATALISADORES INDIVIDUAS</v>
      </c>
      <c r="X3002" t="str">
        <f>VLOOKUP(L3002,'[2]tabela de preços'!$A:$G,7,0)</f>
        <v>AUTOMOTIVO</v>
      </c>
    </row>
    <row r="3003" spans="1:24" x14ac:dyDescent="0.3">
      <c r="A3003" t="s">
        <v>2171</v>
      </c>
      <c r="C3003" t="s">
        <v>2728</v>
      </c>
      <c r="D3003" s="1">
        <v>46057</v>
      </c>
      <c r="E3003" t="s">
        <v>2729</v>
      </c>
      <c r="F3003">
        <v>9</v>
      </c>
      <c r="G3003">
        <v>230</v>
      </c>
      <c r="H3003" t="str">
        <f>VLOOKUP(G3003,[1]OPERADORES!$A:$B,2,0)</f>
        <v>SÔNIA</v>
      </c>
      <c r="I3003" t="s">
        <v>21</v>
      </c>
      <c r="J3003" t="s">
        <v>2174</v>
      </c>
      <c r="K3003" t="s">
        <v>2175</v>
      </c>
      <c r="L3003">
        <v>87109</v>
      </c>
      <c r="M3003" t="s">
        <v>2201</v>
      </c>
      <c r="O3003" t="s">
        <v>11</v>
      </c>
      <c r="P3003">
        <v>5102</v>
      </c>
      <c r="Q3003">
        <v>1</v>
      </c>
      <c r="R3003">
        <v>41.35</v>
      </c>
      <c r="S3003">
        <v>41.35</v>
      </c>
      <c r="T3003">
        <v>31.39</v>
      </c>
      <c r="U3003">
        <v>24.09</v>
      </c>
      <c r="V3003" t="str">
        <f>VLOOKUP(L3003,'[2]tabela de preços'!$A:$D,4,0)</f>
        <v>SHERWIN WILLIAMS</v>
      </c>
      <c r="W3003" t="str">
        <f>VLOOKUP(L3003,'[2]tabela de preços'!$A:$F,6,0)</f>
        <v>TINTAS PU</v>
      </c>
      <c r="X3003" t="str">
        <f>VLOOKUP(L3003,'[2]tabela de preços'!$A:$G,7,0)</f>
        <v>AUTOMOTIVO</v>
      </c>
    </row>
    <row r="3004" spans="1:24" x14ac:dyDescent="0.3">
      <c r="A3004" t="s">
        <v>2171</v>
      </c>
      <c r="C3004" t="s">
        <v>2728</v>
      </c>
      <c r="D3004" s="1">
        <v>46057</v>
      </c>
      <c r="E3004" t="s">
        <v>2729</v>
      </c>
      <c r="F3004">
        <v>9</v>
      </c>
      <c r="G3004">
        <v>230</v>
      </c>
      <c r="H3004" t="str">
        <f>VLOOKUP(G3004,[1]OPERADORES!$A:$B,2,0)</f>
        <v>SÔNIA</v>
      </c>
      <c r="I3004" t="s">
        <v>21</v>
      </c>
      <c r="J3004" t="s">
        <v>2174</v>
      </c>
      <c r="K3004" t="s">
        <v>2175</v>
      </c>
      <c r="L3004">
        <v>16</v>
      </c>
      <c r="M3004" t="s">
        <v>122</v>
      </c>
      <c r="O3004" t="s">
        <v>11</v>
      </c>
      <c r="P3004">
        <v>5102</v>
      </c>
      <c r="Q3004">
        <v>8</v>
      </c>
      <c r="R3004">
        <v>2.9</v>
      </c>
      <c r="S3004">
        <v>23.2</v>
      </c>
      <c r="T3004">
        <v>17.600000000000001</v>
      </c>
      <c r="U3004">
        <v>24.14</v>
      </c>
      <c r="V3004" t="str">
        <f>VLOOKUP(L3004,'[2]tabela de preços'!$A:$D,4,0)</f>
        <v>3M</v>
      </c>
      <c r="W3004" t="str">
        <f>VLOOKUP(L3004,'[2]tabela de preços'!$A:$F,6,0)</f>
        <v>LIXA DÁGUA</v>
      </c>
      <c r="X3004" t="str">
        <f>VLOOKUP(L3004,'[2]tabela de preços'!$A:$G,7,0)</f>
        <v>AUTOMOTIVO</v>
      </c>
    </row>
    <row r="3005" spans="1:24" x14ac:dyDescent="0.3">
      <c r="A3005" t="s">
        <v>2171</v>
      </c>
      <c r="C3005" t="s">
        <v>2728</v>
      </c>
      <c r="D3005" s="1">
        <v>46057</v>
      </c>
      <c r="E3005" t="s">
        <v>2729</v>
      </c>
      <c r="F3005">
        <v>9</v>
      </c>
      <c r="G3005">
        <v>230</v>
      </c>
      <c r="H3005" t="str">
        <f>VLOOKUP(G3005,[1]OPERADORES!$A:$B,2,0)</f>
        <v>SÔNIA</v>
      </c>
      <c r="I3005" t="s">
        <v>21</v>
      </c>
      <c r="J3005" t="s">
        <v>2174</v>
      </c>
      <c r="K3005" t="s">
        <v>2175</v>
      </c>
      <c r="L3005">
        <v>10243</v>
      </c>
      <c r="M3005" t="s">
        <v>83</v>
      </c>
      <c r="O3005" t="s">
        <v>11</v>
      </c>
      <c r="P3005">
        <v>5102</v>
      </c>
      <c r="Q3005">
        <v>5</v>
      </c>
      <c r="R3005">
        <v>2.79</v>
      </c>
      <c r="S3005">
        <v>13.95</v>
      </c>
      <c r="T3005">
        <v>9.65</v>
      </c>
      <c r="U3005">
        <v>30.82</v>
      </c>
      <c r="V3005" t="str">
        <f>VLOOKUP(L3005,'[2]tabela de preços'!$A:$D,4,0)</f>
        <v>NORTON</v>
      </c>
      <c r="W3005" t="str">
        <f>VLOOKUP(L3005,'[2]tabela de preços'!$A:$F,6,0)</f>
        <v xml:space="preserve">DISCOS / LIXAS / ABRASIVOS </v>
      </c>
      <c r="X3005" t="str">
        <f>VLOOKUP(L3005,'[2]tabela de preços'!$A:$G,7,0)</f>
        <v>AUTOMOTIVO</v>
      </c>
    </row>
    <row r="3006" spans="1:24" x14ac:dyDescent="0.3">
      <c r="A3006" t="s">
        <v>2171</v>
      </c>
      <c r="C3006" t="s">
        <v>2728</v>
      </c>
      <c r="D3006" s="1">
        <v>46057</v>
      </c>
      <c r="E3006" t="s">
        <v>2729</v>
      </c>
      <c r="F3006">
        <v>9</v>
      </c>
      <c r="G3006">
        <v>230</v>
      </c>
      <c r="H3006" t="str">
        <f>VLOOKUP(G3006,[1]OPERADORES!$A:$B,2,0)</f>
        <v>SÔNIA</v>
      </c>
      <c r="I3006" t="s">
        <v>21</v>
      </c>
      <c r="J3006" t="s">
        <v>2174</v>
      </c>
      <c r="K3006" t="s">
        <v>2175</v>
      </c>
      <c r="L3006">
        <v>10244</v>
      </c>
      <c r="M3006" t="s">
        <v>84</v>
      </c>
      <c r="O3006" t="s">
        <v>11</v>
      </c>
      <c r="P3006">
        <v>5102</v>
      </c>
      <c r="Q3006">
        <v>5</v>
      </c>
      <c r="R3006">
        <v>2.79</v>
      </c>
      <c r="S3006">
        <v>13.95</v>
      </c>
      <c r="T3006">
        <v>9.65</v>
      </c>
      <c r="U3006">
        <v>30.82</v>
      </c>
      <c r="V3006" t="str">
        <f>VLOOKUP(L3006,'[2]tabela de preços'!$A:$D,4,0)</f>
        <v>NORTON</v>
      </c>
      <c r="W3006" t="str">
        <f>VLOOKUP(L3006,'[2]tabela de preços'!$A:$F,6,0)</f>
        <v xml:space="preserve">DISCOS / LIXAS / ABRASIVOS </v>
      </c>
      <c r="X3006" t="str">
        <f>VLOOKUP(L3006,'[2]tabela de preços'!$A:$G,7,0)</f>
        <v>AUTOMOTIVO</v>
      </c>
    </row>
    <row r="3007" spans="1:24" x14ac:dyDescent="0.3">
      <c r="A3007" t="s">
        <v>2171</v>
      </c>
      <c r="C3007" t="s">
        <v>2728</v>
      </c>
      <c r="D3007" s="1">
        <v>46057</v>
      </c>
      <c r="E3007" t="s">
        <v>2729</v>
      </c>
      <c r="F3007">
        <v>9</v>
      </c>
      <c r="G3007">
        <v>230</v>
      </c>
      <c r="H3007" t="str">
        <f>VLOOKUP(G3007,[1]OPERADORES!$A:$B,2,0)</f>
        <v>SÔNIA</v>
      </c>
      <c r="I3007" t="s">
        <v>21</v>
      </c>
      <c r="J3007" t="s">
        <v>2174</v>
      </c>
      <c r="K3007" t="s">
        <v>2175</v>
      </c>
      <c r="L3007">
        <v>10245</v>
      </c>
      <c r="M3007" t="s">
        <v>195</v>
      </c>
      <c r="O3007" t="s">
        <v>11</v>
      </c>
      <c r="P3007">
        <v>5102</v>
      </c>
      <c r="Q3007">
        <v>5</v>
      </c>
      <c r="R3007">
        <v>2.79</v>
      </c>
      <c r="S3007">
        <v>13.95</v>
      </c>
      <c r="T3007">
        <v>9.65</v>
      </c>
      <c r="U3007">
        <v>30.82</v>
      </c>
      <c r="V3007" t="str">
        <f>VLOOKUP(L3007,'[2]tabela de preços'!$A:$D,4,0)</f>
        <v>NORTON</v>
      </c>
      <c r="W3007" t="str">
        <f>VLOOKUP(L3007,'[2]tabela de preços'!$A:$F,6,0)</f>
        <v xml:space="preserve">DISCOS / LIXAS / ABRASIVOS </v>
      </c>
      <c r="X3007" t="str">
        <f>VLOOKUP(L3007,'[2]tabela de preços'!$A:$G,7,0)</f>
        <v>AUTOMOTIVO</v>
      </c>
    </row>
    <row r="3008" spans="1:24" x14ac:dyDescent="0.3">
      <c r="A3008" t="s">
        <v>2171</v>
      </c>
      <c r="C3008" t="s">
        <v>2728</v>
      </c>
      <c r="D3008" s="1">
        <v>46057</v>
      </c>
      <c r="E3008" t="s">
        <v>2729</v>
      </c>
      <c r="F3008">
        <v>9</v>
      </c>
      <c r="G3008">
        <v>230</v>
      </c>
      <c r="H3008" t="str">
        <f>VLOOKUP(G3008,[1]OPERADORES!$A:$B,2,0)</f>
        <v>SÔNIA</v>
      </c>
      <c r="I3008" t="s">
        <v>21</v>
      </c>
      <c r="J3008" t="s">
        <v>2174</v>
      </c>
      <c r="K3008" t="s">
        <v>2175</v>
      </c>
      <c r="L3008">
        <v>9994</v>
      </c>
      <c r="M3008" t="s">
        <v>2730</v>
      </c>
      <c r="O3008" t="s">
        <v>11</v>
      </c>
      <c r="P3008">
        <v>5102</v>
      </c>
      <c r="Q3008">
        <v>1</v>
      </c>
      <c r="R3008">
        <v>44.97</v>
      </c>
      <c r="S3008">
        <v>44.97</v>
      </c>
      <c r="T3008">
        <v>34.14</v>
      </c>
      <c r="U3008">
        <v>24.08</v>
      </c>
      <c r="V3008" t="str">
        <f>VLOOKUP(L3008,'[2]tabela de preços'!$A:$D,4,0)</f>
        <v>SIKKENS</v>
      </c>
      <c r="W3008" t="str">
        <f>VLOOKUP(L3008,'[2]tabela de preços'!$A:$F,6,0)</f>
        <v>DILUENTE</v>
      </c>
      <c r="X3008" t="str">
        <f>VLOOKUP(L3008,'[2]tabela de preços'!$A:$G,7,0)</f>
        <v>AUTOMOTIVO</v>
      </c>
    </row>
    <row r="3009" spans="1:24" x14ac:dyDescent="0.3">
      <c r="A3009" t="s">
        <v>2171</v>
      </c>
      <c r="C3009" t="s">
        <v>2728</v>
      </c>
      <c r="D3009" s="1">
        <v>46057</v>
      </c>
      <c r="E3009" t="s">
        <v>2729</v>
      </c>
      <c r="F3009">
        <v>9</v>
      </c>
      <c r="G3009">
        <v>230</v>
      </c>
      <c r="H3009" t="str">
        <f>VLOOKUP(G3009,[1]OPERADORES!$A:$B,2,0)</f>
        <v>SÔNIA</v>
      </c>
      <c r="I3009" t="s">
        <v>21</v>
      </c>
      <c r="J3009" t="s">
        <v>2174</v>
      </c>
      <c r="K3009" t="s">
        <v>2175</v>
      </c>
      <c r="L3009">
        <v>20212</v>
      </c>
      <c r="M3009" t="s">
        <v>198</v>
      </c>
      <c r="O3009" t="s">
        <v>11</v>
      </c>
      <c r="P3009">
        <v>5403</v>
      </c>
      <c r="Q3009">
        <v>1</v>
      </c>
      <c r="R3009">
        <v>26.95</v>
      </c>
      <c r="S3009">
        <v>26.95</v>
      </c>
      <c r="T3009">
        <v>20.46</v>
      </c>
      <c r="U3009">
        <v>24.08</v>
      </c>
      <c r="V3009" t="str">
        <f>VLOOKUP(L3009,'[2]tabela de preços'!$A:$D,4,0)</f>
        <v>MAXI RUBBER</v>
      </c>
      <c r="W3009" t="str">
        <f>VLOOKUP(L3009,'[2]tabela de preços'!$A:$F,6,0)</f>
        <v>SELADORA P/ PLASTICO</v>
      </c>
      <c r="X3009" t="str">
        <f>VLOOKUP(L3009,'[2]tabela de preços'!$A:$G,7,0)</f>
        <v>AUTOMOTIVO</v>
      </c>
    </row>
    <row r="3010" spans="1:24" x14ac:dyDescent="0.3">
      <c r="A3010" t="s">
        <v>2171</v>
      </c>
      <c r="C3010" t="s">
        <v>2728</v>
      </c>
      <c r="D3010" s="1">
        <v>46057</v>
      </c>
      <c r="E3010" t="s">
        <v>2729</v>
      </c>
      <c r="F3010">
        <v>9</v>
      </c>
      <c r="G3010">
        <v>230</v>
      </c>
      <c r="H3010" t="str">
        <f>VLOOKUP(G3010,[1]OPERADORES!$A:$B,2,0)</f>
        <v>SÔNIA</v>
      </c>
      <c r="I3010" t="s">
        <v>21</v>
      </c>
      <c r="J3010" t="s">
        <v>2174</v>
      </c>
      <c r="K3010" t="s">
        <v>2175</v>
      </c>
      <c r="L3010">
        <v>9989</v>
      </c>
      <c r="M3010" t="s">
        <v>2560</v>
      </c>
      <c r="O3010" t="s">
        <v>11</v>
      </c>
      <c r="P3010">
        <v>5403</v>
      </c>
      <c r="Q3010">
        <v>1</v>
      </c>
      <c r="R3010">
        <v>57.66</v>
      </c>
      <c r="S3010">
        <v>57.66</v>
      </c>
      <c r="T3010">
        <v>43.76</v>
      </c>
      <c r="U3010">
        <v>24.11</v>
      </c>
      <c r="V3010" t="str">
        <f>VLOOKUP(L3010,'[2]tabela de preços'!$A:$D,4,0)</f>
        <v>SIKKENS</v>
      </c>
      <c r="W3010" t="str">
        <f>VLOOKUP(L3010,'[2]tabela de preços'!$A:$F,6,0)</f>
        <v>PRIMER AUTOMOTIVO</v>
      </c>
      <c r="X3010" t="str">
        <f>VLOOKUP(L3010,'[2]tabela de preços'!$A:$G,7,0)</f>
        <v>AUTOMOTIVO</v>
      </c>
    </row>
    <row r="3011" spans="1:24" x14ac:dyDescent="0.3">
      <c r="A3011" t="s">
        <v>2171</v>
      </c>
      <c r="C3011" t="s">
        <v>2728</v>
      </c>
      <c r="D3011" s="1">
        <v>46057</v>
      </c>
      <c r="E3011" t="s">
        <v>2729</v>
      </c>
      <c r="F3011">
        <v>9</v>
      </c>
      <c r="G3011">
        <v>230</v>
      </c>
      <c r="H3011" t="str">
        <f>VLOOKUP(G3011,[1]OPERADORES!$A:$B,2,0)</f>
        <v>SÔNIA</v>
      </c>
      <c r="I3011" t="s">
        <v>21</v>
      </c>
      <c r="J3011" t="s">
        <v>2174</v>
      </c>
      <c r="K3011" t="s">
        <v>2175</v>
      </c>
      <c r="L3011">
        <v>10298</v>
      </c>
      <c r="M3011" t="s">
        <v>85</v>
      </c>
      <c r="O3011" t="s">
        <v>11</v>
      </c>
      <c r="P3011">
        <v>5102</v>
      </c>
      <c r="Q3011">
        <v>1</v>
      </c>
      <c r="R3011">
        <v>56.89</v>
      </c>
      <c r="S3011">
        <v>56.89</v>
      </c>
      <c r="T3011">
        <v>47.38</v>
      </c>
      <c r="U3011">
        <v>16.72</v>
      </c>
      <c r="V3011" t="str">
        <f>VLOOKUP(L3011,'[2]tabela de preços'!$A:$D,4,0)</f>
        <v>ANJO</v>
      </c>
      <c r="W3011" t="str">
        <f>VLOOKUP(L3011,'[2]tabela de preços'!$A:$F,6,0)</f>
        <v>THINNER DE LIMPEZA</v>
      </c>
      <c r="X3011" t="str">
        <f>VLOOKUP(L3011,'[2]tabela de preços'!$A:$G,7,0)</f>
        <v>THINNER</v>
      </c>
    </row>
    <row r="3012" spans="1:24" x14ac:dyDescent="0.3">
      <c r="A3012" t="s">
        <v>2171</v>
      </c>
      <c r="C3012" t="s">
        <v>2728</v>
      </c>
      <c r="D3012" s="1">
        <v>46057</v>
      </c>
      <c r="E3012" t="s">
        <v>2729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2174</v>
      </c>
      <c r="K3012" t="s">
        <v>2175</v>
      </c>
      <c r="L3012">
        <v>10404</v>
      </c>
      <c r="M3012" t="s">
        <v>130</v>
      </c>
      <c r="O3012" t="s">
        <v>11</v>
      </c>
      <c r="P3012">
        <v>5102</v>
      </c>
      <c r="Q3012">
        <v>4</v>
      </c>
      <c r="R3012">
        <v>13.85</v>
      </c>
      <c r="S3012">
        <v>55.4</v>
      </c>
      <c r="T3012">
        <v>50.04</v>
      </c>
      <c r="U3012">
        <v>9.68</v>
      </c>
      <c r="V3012" t="str">
        <f>VLOOKUP(L3012,'[2]tabela de preços'!$A:$D,4,0)</f>
        <v>MAXI RUBBER</v>
      </c>
      <c r="W3012" t="str">
        <f>VLOOKUP(L3012,'[2]tabela de preços'!$A:$F,6,0)</f>
        <v>VEDADORES / SELANTES</v>
      </c>
      <c r="X3012" t="str">
        <f>VLOOKUP(L3012,'[2]tabela de preços'!$A:$G,7,0)</f>
        <v>AUTOMOTIVO</v>
      </c>
    </row>
    <row r="3013" spans="1:24" x14ac:dyDescent="0.3">
      <c r="A3013" t="s">
        <v>2213</v>
      </c>
      <c r="C3013" t="s">
        <v>2802</v>
      </c>
      <c r="D3013" s="1">
        <v>46059</v>
      </c>
      <c r="E3013" t="s">
        <v>2803</v>
      </c>
      <c r="F3013">
        <v>9</v>
      </c>
      <c r="G3013">
        <v>236</v>
      </c>
      <c r="H3013" t="str">
        <f>VLOOKUP(G3013,[1]OPERADORES!$A:$B,2,0)</f>
        <v>DANIEL</v>
      </c>
      <c r="I3013" t="s">
        <v>21</v>
      </c>
      <c r="J3013" t="s">
        <v>1816</v>
      </c>
      <c r="K3013" t="s">
        <v>2216</v>
      </c>
      <c r="L3013">
        <v>85271</v>
      </c>
      <c r="M3013" t="s">
        <v>850</v>
      </c>
      <c r="O3013" t="s">
        <v>11</v>
      </c>
      <c r="P3013">
        <v>5403</v>
      </c>
      <c r="Q3013">
        <v>1</v>
      </c>
      <c r="R3013">
        <v>166.31</v>
      </c>
      <c r="S3013">
        <v>166.31</v>
      </c>
      <c r="T3013">
        <v>112.94</v>
      </c>
      <c r="U3013">
        <v>32.090000000000003</v>
      </c>
      <c r="V3013" t="str">
        <f>VLOOKUP(L3013,'[2]tabela de preços'!$A:$D,4,0)</f>
        <v>BRASILUX</v>
      </c>
      <c r="W3013" t="str">
        <f>VLOOKUP(L3013,'[2]tabela de preços'!$A:$F,6,0)</f>
        <v>TINTA PARA PISO</v>
      </c>
      <c r="X3013" t="str">
        <f>VLOOKUP(L3013,'[2]tabela de preços'!$A:$G,7,0)</f>
        <v>IMOBILIÁRIO</v>
      </c>
    </row>
    <row r="3014" spans="1:24" x14ac:dyDescent="0.3">
      <c r="A3014" t="s">
        <v>2231</v>
      </c>
      <c r="C3014" t="s">
        <v>2731</v>
      </c>
      <c r="D3014" s="1">
        <v>46058</v>
      </c>
      <c r="E3014" t="s">
        <v>2732</v>
      </c>
      <c r="F3014">
        <v>9</v>
      </c>
      <c r="G3014">
        <v>236</v>
      </c>
      <c r="H3014" t="str">
        <f>VLOOKUP(G3014,[1]OPERADORES!$A:$B,2,0)</f>
        <v>DANIEL</v>
      </c>
      <c r="I3014" t="s">
        <v>21</v>
      </c>
      <c r="J3014" t="s">
        <v>494</v>
      </c>
      <c r="K3014" t="s">
        <v>2234</v>
      </c>
      <c r="L3014">
        <v>84331</v>
      </c>
      <c r="M3014" t="s">
        <v>497</v>
      </c>
      <c r="O3014" t="s">
        <v>11</v>
      </c>
      <c r="P3014">
        <v>5403</v>
      </c>
      <c r="Q3014">
        <v>3</v>
      </c>
      <c r="R3014">
        <v>59.98</v>
      </c>
      <c r="S3014">
        <v>179.94</v>
      </c>
      <c r="T3014">
        <v>156</v>
      </c>
      <c r="U3014">
        <v>13.3</v>
      </c>
      <c r="V3014" t="str">
        <f>VLOOKUP(L3014,'[2]tabela de preços'!$A:$D,4,0)</f>
        <v>BRASILUX</v>
      </c>
      <c r="W3014" t="str">
        <f>VLOOKUP(L3014,'[2]tabela de preços'!$A:$F,6,0)</f>
        <v>ESMALTES</v>
      </c>
      <c r="X3014" t="str">
        <f>VLOOKUP(L3014,'[2]tabela de preços'!$A:$G,7,0)</f>
        <v>INDUSTRIAL</v>
      </c>
    </row>
    <row r="3015" spans="1:24" x14ac:dyDescent="0.3">
      <c r="A3015" t="s">
        <v>2327</v>
      </c>
      <c r="C3015" t="s">
        <v>2733</v>
      </c>
      <c r="D3015" s="1">
        <v>46057</v>
      </c>
      <c r="E3015" t="s">
        <v>2734</v>
      </c>
      <c r="F3015">
        <v>9</v>
      </c>
      <c r="G3015">
        <v>230</v>
      </c>
      <c r="H3015" t="str">
        <f>VLOOKUP(G3015,[1]OPERADORES!$A:$B,2,0)</f>
        <v>SÔNIA</v>
      </c>
      <c r="I3015" t="s">
        <v>21</v>
      </c>
      <c r="J3015" t="s">
        <v>66</v>
      </c>
      <c r="K3015" t="s">
        <v>2330</v>
      </c>
      <c r="L3015">
        <v>21643</v>
      </c>
      <c r="M3015" t="s">
        <v>2735</v>
      </c>
      <c r="O3015" t="s">
        <v>11</v>
      </c>
      <c r="P3015">
        <v>5102</v>
      </c>
      <c r="Q3015">
        <v>1</v>
      </c>
      <c r="R3015">
        <v>34.75</v>
      </c>
      <c r="S3015">
        <v>34.75</v>
      </c>
      <c r="T3015">
        <v>22.27</v>
      </c>
      <c r="U3015">
        <v>35.909999999999997</v>
      </c>
      <c r="V3015" t="str">
        <f>VLOOKUP(L3015,'[2]tabela de preços'!$A:$D,4,0)</f>
        <v>MAXI RUBBER</v>
      </c>
      <c r="W3015" t="str">
        <f>VLOOKUP(L3015,'[2]tabela de preços'!$A:$F,6,0)</f>
        <v>COLA INST./ ADESIVOS COLANTES</v>
      </c>
      <c r="X3015" t="str">
        <f>VLOOKUP(L3015,'[2]tabela de preços'!$A:$G,7,0)</f>
        <v>AUTOMOTIVO</v>
      </c>
    </row>
    <row r="3016" spans="1:24" x14ac:dyDescent="0.3">
      <c r="A3016" t="s">
        <v>2327</v>
      </c>
      <c r="C3016" t="s">
        <v>2733</v>
      </c>
      <c r="D3016" s="1">
        <v>46057</v>
      </c>
      <c r="E3016" t="s">
        <v>2734</v>
      </c>
      <c r="F3016">
        <v>9</v>
      </c>
      <c r="G3016">
        <v>230</v>
      </c>
      <c r="H3016" t="str">
        <f>VLOOKUP(G3016,[1]OPERADORES!$A:$B,2,0)</f>
        <v>SÔNIA</v>
      </c>
      <c r="I3016" t="s">
        <v>21</v>
      </c>
      <c r="J3016" t="s">
        <v>66</v>
      </c>
      <c r="K3016" t="s">
        <v>2330</v>
      </c>
      <c r="L3016">
        <v>22173</v>
      </c>
      <c r="M3016" t="s">
        <v>194</v>
      </c>
      <c r="O3016" t="s">
        <v>11</v>
      </c>
      <c r="P3016">
        <v>5102</v>
      </c>
      <c r="Q3016">
        <v>11</v>
      </c>
      <c r="R3016">
        <v>4.58</v>
      </c>
      <c r="S3016">
        <v>50.38</v>
      </c>
      <c r="T3016">
        <v>38.28</v>
      </c>
      <c r="U3016">
        <v>24.02</v>
      </c>
      <c r="V3016" t="str">
        <f>VLOOKUP(L3016,'[2]tabela de preços'!$A:$D,4,0)</f>
        <v>3M</v>
      </c>
      <c r="W3016" t="str">
        <f>VLOOKUP(L3016,'[2]tabela de preços'!$A:$F,6,0)</f>
        <v>FITA AUTOMOTIVA</v>
      </c>
      <c r="X3016" t="str">
        <f>VLOOKUP(L3016,'[2]tabela de preços'!$A:$G,7,0)</f>
        <v>AUTOMOTIVO</v>
      </c>
    </row>
    <row r="3017" spans="1:24" x14ac:dyDescent="0.3">
      <c r="A3017" t="s">
        <v>2327</v>
      </c>
      <c r="C3017" t="s">
        <v>2733</v>
      </c>
      <c r="D3017" s="1">
        <v>46057</v>
      </c>
      <c r="E3017" t="s">
        <v>2734</v>
      </c>
      <c r="F3017">
        <v>9</v>
      </c>
      <c r="G3017">
        <v>230</v>
      </c>
      <c r="H3017" t="str">
        <f>VLOOKUP(G3017,[1]OPERADORES!$A:$B,2,0)</f>
        <v>SÔNIA</v>
      </c>
      <c r="I3017" t="s">
        <v>21</v>
      </c>
      <c r="J3017" t="s">
        <v>66</v>
      </c>
      <c r="K3017" t="s">
        <v>2330</v>
      </c>
      <c r="L3017">
        <v>20375</v>
      </c>
      <c r="M3017" t="s">
        <v>148</v>
      </c>
      <c r="O3017" t="s">
        <v>11</v>
      </c>
      <c r="P3017">
        <v>5403</v>
      </c>
      <c r="Q3017">
        <v>5</v>
      </c>
      <c r="R3017">
        <v>35.69</v>
      </c>
      <c r="S3017">
        <v>178.45</v>
      </c>
      <c r="T3017">
        <v>127.25</v>
      </c>
      <c r="U3017">
        <v>28.69</v>
      </c>
      <c r="V3017" t="str">
        <f>VLOOKUP(L3017,'[2]tabela de preços'!$A:$D,4,0)</f>
        <v>SHERWIN WILLIAMS</v>
      </c>
      <c r="W3017" t="str">
        <f>VLOOKUP(L3017,'[2]tabela de preços'!$A:$F,6,0)</f>
        <v>TINTAS POLIÉSTER</v>
      </c>
      <c r="X3017" t="str">
        <f>VLOOKUP(L3017,'[2]tabela de preços'!$A:$G,7,0)</f>
        <v>AUTOMOTIVO</v>
      </c>
    </row>
    <row r="3018" spans="1:24" x14ac:dyDescent="0.3">
      <c r="A3018" t="s">
        <v>2327</v>
      </c>
      <c r="C3018" t="s">
        <v>2733</v>
      </c>
      <c r="D3018" s="1">
        <v>46057</v>
      </c>
      <c r="E3018" t="s">
        <v>2734</v>
      </c>
      <c r="F3018">
        <v>9</v>
      </c>
      <c r="G3018">
        <v>230</v>
      </c>
      <c r="H3018" t="str">
        <f>VLOOKUP(G3018,[1]OPERADORES!$A:$B,2,0)</f>
        <v>SÔNIA</v>
      </c>
      <c r="I3018" t="s">
        <v>21</v>
      </c>
      <c r="J3018" t="s">
        <v>66</v>
      </c>
      <c r="K3018" t="s">
        <v>2330</v>
      </c>
      <c r="L3018">
        <v>22180</v>
      </c>
      <c r="M3018" t="s">
        <v>404</v>
      </c>
      <c r="O3018" t="s">
        <v>11</v>
      </c>
      <c r="P3018">
        <v>5102</v>
      </c>
      <c r="Q3018">
        <v>1</v>
      </c>
      <c r="R3018">
        <v>19.29</v>
      </c>
      <c r="S3018">
        <v>19.29</v>
      </c>
      <c r="T3018">
        <v>14.64</v>
      </c>
      <c r="U3018">
        <v>24.11</v>
      </c>
      <c r="V3018" t="str">
        <f>VLOOKUP(L3018,'[2]tabela de preços'!$A:$D,4,0)</f>
        <v>MADRUGA</v>
      </c>
      <c r="W3018" t="str">
        <f>VLOOKUP(L3018,'[2]tabela de preços'!$A:$F,6,0)</f>
        <v>PAPEL DE MASCARAMENTO</v>
      </c>
      <c r="X3018" t="str">
        <f>VLOOKUP(L3018,'[2]tabela de preços'!$A:$G,7,0)</f>
        <v>AUTOMOTIVO</v>
      </c>
    </row>
    <row r="3019" spans="1:24" x14ac:dyDescent="0.3">
      <c r="A3019" t="s">
        <v>2327</v>
      </c>
      <c r="C3019" t="s">
        <v>2733</v>
      </c>
      <c r="D3019" s="1">
        <v>46057</v>
      </c>
      <c r="E3019" t="s">
        <v>2734</v>
      </c>
      <c r="F3019">
        <v>9</v>
      </c>
      <c r="G3019">
        <v>230</v>
      </c>
      <c r="H3019" t="str">
        <f>VLOOKUP(G3019,[1]OPERADORES!$A:$B,2,0)</f>
        <v>SÔNIA</v>
      </c>
      <c r="I3019" t="s">
        <v>21</v>
      </c>
      <c r="J3019" t="s">
        <v>66</v>
      </c>
      <c r="K3019" t="s">
        <v>2330</v>
      </c>
      <c r="L3019">
        <v>10394</v>
      </c>
      <c r="M3019" t="s">
        <v>2736</v>
      </c>
      <c r="O3019" t="s">
        <v>11</v>
      </c>
      <c r="P3019">
        <v>5102</v>
      </c>
      <c r="Q3019">
        <v>5</v>
      </c>
      <c r="R3019">
        <v>12.93</v>
      </c>
      <c r="S3019">
        <v>64.650000000000006</v>
      </c>
      <c r="T3019">
        <v>49.05</v>
      </c>
      <c r="U3019">
        <v>24.13</v>
      </c>
      <c r="V3019" t="str">
        <f>VLOOKUP(L3019,'[2]tabela de preços'!$A:$D,4,0)</f>
        <v>MAXI RUBBER</v>
      </c>
      <c r="W3019" t="str">
        <f>VLOOKUP(L3019,'[2]tabela de preços'!$A:$F,6,0)</f>
        <v xml:space="preserve">COLA  PLÁSTICA </v>
      </c>
      <c r="X3019" t="str">
        <f>VLOOKUP(L3019,'[2]tabela de preços'!$A:$G,7,0)</f>
        <v>AUTOMOTIVO</v>
      </c>
    </row>
    <row r="3020" spans="1:24" x14ac:dyDescent="0.3">
      <c r="A3020" t="s">
        <v>2327</v>
      </c>
      <c r="C3020" t="s">
        <v>2737</v>
      </c>
      <c r="D3020" s="1">
        <v>46057</v>
      </c>
      <c r="E3020" t="s">
        <v>2738</v>
      </c>
      <c r="F3020">
        <v>9</v>
      </c>
      <c r="G3020">
        <v>230</v>
      </c>
      <c r="H3020" t="str">
        <f>VLOOKUP(G3020,[1]OPERADORES!$A:$B,2,0)</f>
        <v>SÔNIA</v>
      </c>
      <c r="I3020" t="s">
        <v>21</v>
      </c>
      <c r="J3020" t="s">
        <v>66</v>
      </c>
      <c r="K3020" t="s">
        <v>2330</v>
      </c>
      <c r="L3020">
        <v>21643</v>
      </c>
      <c r="M3020" t="s">
        <v>2735</v>
      </c>
      <c r="O3020" t="s">
        <v>11</v>
      </c>
      <c r="P3020">
        <v>5102</v>
      </c>
      <c r="Q3020">
        <v>1</v>
      </c>
      <c r="R3020">
        <v>34.520000000000003</v>
      </c>
      <c r="S3020">
        <v>34.520000000000003</v>
      </c>
      <c r="T3020">
        <v>22.27</v>
      </c>
      <c r="U3020">
        <v>35.49</v>
      </c>
      <c r="V3020" t="str">
        <f>VLOOKUP(L3020,'[2]tabela de preços'!$A:$D,4,0)</f>
        <v>MAXI RUBBER</v>
      </c>
      <c r="W3020" t="str">
        <f>VLOOKUP(L3020,'[2]tabela de preços'!$A:$F,6,0)</f>
        <v>COLA INST./ ADESIVOS COLANTES</v>
      </c>
      <c r="X3020" t="str">
        <f>VLOOKUP(L3020,'[2]tabela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2026-02-06T21:06:21Z</dcterms:modified>
</cp:coreProperties>
</file>