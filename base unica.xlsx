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5EC2B99F-3E73-4DB8-A613-C36E4EF07799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4186" i="1" l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190" i="1"/>
  <c r="W4190" i="1"/>
  <c r="X4190" i="1"/>
  <c r="V3978" i="1"/>
  <c r="W3978" i="1"/>
  <c r="X3978" i="1"/>
  <c r="V3979" i="1"/>
  <c r="W3979" i="1"/>
  <c r="X3979" i="1"/>
  <c r="V4191" i="1"/>
  <c r="W4191" i="1"/>
  <c r="X4191" i="1"/>
  <c r="V4192" i="1"/>
  <c r="W4192" i="1"/>
  <c r="X4192" i="1"/>
  <c r="V4193" i="1"/>
  <c r="W4193" i="1"/>
  <c r="X4193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194" i="1"/>
  <c r="W4194" i="1"/>
  <c r="X4194" i="1"/>
  <c r="V4195" i="1"/>
  <c r="W4195" i="1"/>
  <c r="X4195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200" i="1"/>
  <c r="W4200" i="1"/>
  <c r="X4200" i="1"/>
  <c r="V4201" i="1"/>
  <c r="W4201" i="1"/>
  <c r="X4201" i="1"/>
  <c r="V4202" i="1"/>
  <c r="W4202" i="1"/>
  <c r="X4202" i="1"/>
  <c r="V4203" i="1"/>
  <c r="W4203" i="1"/>
  <c r="X4203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V4214" i="1"/>
  <c r="W4214" i="1"/>
  <c r="X4214" i="1"/>
  <c r="V4215" i="1"/>
  <c r="W4215" i="1"/>
  <c r="X4215" i="1"/>
  <c r="V4216" i="1"/>
  <c r="W4216" i="1"/>
  <c r="X4216" i="1"/>
  <c r="V4217" i="1"/>
  <c r="W4217" i="1"/>
  <c r="X4217" i="1"/>
  <c r="V4218" i="1"/>
  <c r="W4218" i="1"/>
  <c r="X4218" i="1"/>
  <c r="V4219" i="1"/>
  <c r="W4219" i="1"/>
  <c r="X4219" i="1"/>
  <c r="V4220" i="1"/>
  <c r="W4220" i="1"/>
  <c r="X4220" i="1"/>
  <c r="V4221" i="1"/>
  <c r="W4221" i="1"/>
  <c r="X4221" i="1"/>
  <c r="V4222" i="1"/>
  <c r="W4222" i="1"/>
  <c r="X4222" i="1"/>
  <c r="V4223" i="1"/>
  <c r="W4223" i="1"/>
  <c r="X4223" i="1"/>
  <c r="V4224" i="1"/>
  <c r="W4224" i="1"/>
  <c r="X4224" i="1"/>
  <c r="V4225" i="1"/>
  <c r="W4225" i="1"/>
  <c r="X4225" i="1"/>
  <c r="V4226" i="1"/>
  <c r="W4226" i="1"/>
  <c r="X4226" i="1"/>
  <c r="V3993" i="1"/>
  <c r="W3993" i="1"/>
  <c r="X3993" i="1"/>
  <c r="V4227" i="1"/>
  <c r="W4227" i="1"/>
  <c r="X4227" i="1"/>
  <c r="V4228" i="1"/>
  <c r="W4228" i="1"/>
  <c r="X4228" i="1"/>
  <c r="V4229" i="1"/>
  <c r="W4229" i="1"/>
  <c r="X4229" i="1"/>
  <c r="V4230" i="1"/>
  <c r="W4230" i="1"/>
  <c r="X4230" i="1"/>
  <c r="V4231" i="1"/>
  <c r="W4231" i="1"/>
  <c r="X4231" i="1"/>
  <c r="V4232" i="1"/>
  <c r="W4232" i="1"/>
  <c r="X4232" i="1"/>
  <c r="V4233" i="1"/>
  <c r="W4233" i="1"/>
  <c r="X423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234" i="1"/>
  <c r="W4234" i="1"/>
  <c r="X423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235" i="1"/>
  <c r="W4235" i="1"/>
  <c r="X4235" i="1"/>
  <c r="V4236" i="1"/>
  <c r="W4236" i="1"/>
  <c r="X4236" i="1"/>
  <c r="V4237" i="1"/>
  <c r="W4237" i="1"/>
  <c r="X4237" i="1"/>
  <c r="V4238" i="1"/>
  <c r="W4238" i="1"/>
  <c r="X4238" i="1"/>
  <c r="V4239" i="1"/>
  <c r="W4239" i="1"/>
  <c r="X4239" i="1"/>
  <c r="V4240" i="1"/>
  <c r="W4240" i="1"/>
  <c r="X4240" i="1"/>
  <c r="V4241" i="1"/>
  <c r="W4241" i="1"/>
  <c r="X4241" i="1"/>
  <c r="V4242" i="1"/>
  <c r="W4242" i="1"/>
  <c r="X4242" i="1"/>
  <c r="V4243" i="1"/>
  <c r="W4243" i="1"/>
  <c r="X4243" i="1"/>
  <c r="V4244" i="1"/>
  <c r="W4244" i="1"/>
  <c r="X4244" i="1"/>
  <c r="V4245" i="1"/>
  <c r="W4245" i="1"/>
  <c r="X4245" i="1"/>
  <c r="V4246" i="1"/>
  <c r="W4246" i="1"/>
  <c r="X4246" i="1"/>
  <c r="V3997" i="1"/>
  <c r="W3997" i="1"/>
  <c r="X3997" i="1"/>
  <c r="V3998" i="1"/>
  <c r="W3998" i="1"/>
  <c r="X3998" i="1"/>
  <c r="V4122" i="1"/>
  <c r="W4122" i="1"/>
  <c r="X4122" i="1"/>
  <c r="V4247" i="1"/>
  <c r="W4247" i="1"/>
  <c r="X4247" i="1"/>
  <c r="V4123" i="1"/>
  <c r="W4123" i="1"/>
  <c r="X4123" i="1"/>
  <c r="V4124" i="1"/>
  <c r="W4124" i="1"/>
  <c r="X4124" i="1"/>
  <c r="V4125" i="1"/>
  <c r="W4125" i="1"/>
  <c r="X4125" i="1"/>
  <c r="V4248" i="1"/>
  <c r="W4248" i="1"/>
  <c r="X4248" i="1"/>
  <c r="V4249" i="1"/>
  <c r="W4249" i="1"/>
  <c r="X4249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250" i="1"/>
  <c r="W4250" i="1"/>
  <c r="X4250" i="1"/>
  <c r="V4251" i="1"/>
  <c r="W4251" i="1"/>
  <c r="X4251" i="1"/>
  <c r="V4252" i="1"/>
  <c r="W4252" i="1"/>
  <c r="X4252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253" i="1"/>
  <c r="W4253" i="1"/>
  <c r="X4253" i="1"/>
  <c r="V4254" i="1"/>
  <c r="W4254" i="1"/>
  <c r="X4254" i="1"/>
  <c r="V4255" i="1"/>
  <c r="W4255" i="1"/>
  <c r="X4255" i="1"/>
  <c r="V4139" i="1"/>
  <c r="W4139" i="1"/>
  <c r="X4139" i="1"/>
  <c r="V4140" i="1"/>
  <c r="W4140" i="1"/>
  <c r="X4140" i="1"/>
  <c r="V4141" i="1"/>
  <c r="W4141" i="1"/>
  <c r="X4141" i="1"/>
  <c r="V4256" i="1"/>
  <c r="W4256" i="1"/>
  <c r="X4256" i="1"/>
  <c r="V4257" i="1"/>
  <c r="W4257" i="1"/>
  <c r="X4257" i="1"/>
  <c r="V4258" i="1"/>
  <c r="W4258" i="1"/>
  <c r="X4258" i="1"/>
  <c r="V4259" i="1"/>
  <c r="W4259" i="1"/>
  <c r="X4259" i="1"/>
  <c r="V4260" i="1"/>
  <c r="W4260" i="1"/>
  <c r="X4260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261" i="1"/>
  <c r="W4261" i="1"/>
  <c r="X4261" i="1"/>
  <c r="V4262" i="1"/>
  <c r="W4262" i="1"/>
  <c r="X4262" i="1"/>
  <c r="V4263" i="1"/>
  <c r="W4263" i="1"/>
  <c r="X4263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264" i="1"/>
  <c r="W4264" i="1"/>
  <c r="X4264" i="1"/>
  <c r="V4265" i="1"/>
  <c r="W4265" i="1"/>
  <c r="X4265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266" i="1"/>
  <c r="W4266" i="1"/>
  <c r="X4266" i="1"/>
  <c r="V4267" i="1"/>
  <c r="W4267" i="1"/>
  <c r="X4267" i="1"/>
  <c r="V4268" i="1"/>
  <c r="W4268" i="1"/>
  <c r="X4268" i="1"/>
  <c r="V4269" i="1"/>
  <c r="W4269" i="1"/>
  <c r="X4269" i="1"/>
  <c r="V4270" i="1"/>
  <c r="W4270" i="1"/>
  <c r="X4270" i="1"/>
  <c r="V4271" i="1"/>
  <c r="W4271" i="1"/>
  <c r="X4271" i="1"/>
  <c r="V4272" i="1"/>
  <c r="W4272" i="1"/>
  <c r="X4272" i="1"/>
  <c r="V4035" i="1"/>
  <c r="W4035" i="1"/>
  <c r="X4035" i="1"/>
  <c r="V4036" i="1"/>
  <c r="W4036" i="1"/>
  <c r="X4036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281" i="1"/>
  <c r="W4281" i="1"/>
  <c r="X4281" i="1"/>
  <c r="V4282" i="1"/>
  <c r="W4282" i="1"/>
  <c r="X4282" i="1"/>
  <c r="V4156" i="1"/>
  <c r="W4156" i="1"/>
  <c r="X4156" i="1"/>
  <c r="V4157" i="1"/>
  <c r="W4157" i="1"/>
  <c r="X4157" i="1"/>
  <c r="V4283" i="1"/>
  <c r="W4283" i="1"/>
  <c r="X4283" i="1"/>
  <c r="V4284" i="1"/>
  <c r="W4284" i="1"/>
  <c r="X4284" i="1"/>
  <c r="V4037" i="1"/>
  <c r="W4037" i="1"/>
  <c r="X4037" i="1"/>
  <c r="V4038" i="1"/>
  <c r="W4038" i="1"/>
  <c r="X4038" i="1"/>
  <c r="V4039" i="1"/>
  <c r="W4039" i="1"/>
  <c r="X4039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99" i="1"/>
  <c r="W4299" i="1"/>
  <c r="X4299" i="1"/>
  <c r="V4300" i="1"/>
  <c r="W4300" i="1"/>
  <c r="X4300" i="1"/>
  <c r="V4301" i="1"/>
  <c r="W4301" i="1"/>
  <c r="X4301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302" i="1"/>
  <c r="W4302" i="1"/>
  <c r="X4302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303" i="1"/>
  <c r="W4303" i="1"/>
  <c r="X4303" i="1"/>
  <c r="V4304" i="1"/>
  <c r="W4304" i="1"/>
  <c r="X4304" i="1"/>
  <c r="V4305" i="1"/>
  <c r="W4305" i="1"/>
  <c r="X4305" i="1"/>
  <c r="V4306" i="1"/>
  <c r="W4306" i="1"/>
  <c r="X4306" i="1"/>
  <c r="V4307" i="1"/>
  <c r="W4307" i="1"/>
  <c r="X4307" i="1"/>
  <c r="V4308" i="1"/>
  <c r="W4308" i="1"/>
  <c r="X4308" i="1"/>
  <c r="V4309" i="1"/>
  <c r="W4309" i="1"/>
  <c r="X4309" i="1"/>
  <c r="V4310" i="1"/>
  <c r="W4310" i="1"/>
  <c r="X4310" i="1"/>
  <c r="V4311" i="1"/>
  <c r="W4311" i="1"/>
  <c r="X4311" i="1"/>
  <c r="V4312" i="1"/>
  <c r="W4312" i="1"/>
  <c r="X4312" i="1"/>
  <c r="V4313" i="1"/>
  <c r="W4313" i="1"/>
  <c r="X4313" i="1"/>
  <c r="V4073" i="1"/>
  <c r="W4073" i="1"/>
  <c r="X4073" i="1"/>
  <c r="V4074" i="1"/>
  <c r="W4074" i="1"/>
  <c r="X4074" i="1"/>
  <c r="V4075" i="1"/>
  <c r="W4075" i="1"/>
  <c r="X4075" i="1"/>
  <c r="V4314" i="1"/>
  <c r="W4314" i="1"/>
  <c r="X4314" i="1"/>
  <c r="V4315" i="1"/>
  <c r="W4315" i="1"/>
  <c r="X4315" i="1"/>
  <c r="V4316" i="1"/>
  <c r="W4316" i="1"/>
  <c r="X4316" i="1"/>
  <c r="V4317" i="1"/>
  <c r="W4317" i="1"/>
  <c r="X4317" i="1"/>
  <c r="V4318" i="1"/>
  <c r="W4318" i="1"/>
  <c r="X4318" i="1"/>
  <c r="V4319" i="1"/>
  <c r="W4319" i="1"/>
  <c r="X4319" i="1"/>
  <c r="V4320" i="1"/>
  <c r="W4320" i="1"/>
  <c r="X4320" i="1"/>
  <c r="V4321" i="1"/>
  <c r="W4321" i="1"/>
  <c r="X4321" i="1"/>
  <c r="V4322" i="1"/>
  <c r="W4322" i="1"/>
  <c r="X4322" i="1"/>
  <c r="V4323" i="1"/>
  <c r="W4323" i="1"/>
  <c r="X4323" i="1"/>
  <c r="V4324" i="1"/>
  <c r="W4324" i="1"/>
  <c r="X4324" i="1"/>
  <c r="V4325" i="1"/>
  <c r="W4325" i="1"/>
  <c r="X4325" i="1"/>
  <c r="V4326" i="1"/>
  <c r="W4326" i="1"/>
  <c r="X4326" i="1"/>
  <c r="V4327" i="1"/>
  <c r="W4327" i="1"/>
  <c r="X4327" i="1"/>
  <c r="V4328" i="1"/>
  <c r="W4328" i="1"/>
  <c r="X4328" i="1"/>
  <c r="V4329" i="1"/>
  <c r="W4329" i="1"/>
  <c r="X4329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<sst xmlns="http://schemas.openxmlformats.org/spreadsheetml/2006/main" count="37497" uniqueCount="3888">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</sst>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  <sheetName val="Planilha5"/>
      <sheetName val="Planilha6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4564" totalsRowShown="0">
  <autoFilter ref="A1:X4564" xr:uid="{98BFBED1-B99E-441A-BA7E-5533E4B19798}"/>
  <sortState xmlns:xlrd2="http://schemas.microsoft.com/office/spreadsheetml/2017/richdata2" ref="A2:X4329">
    <sortCondition ref="D1:D4329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4564"/>
  <sheetViews>
    <sheetView tabSelected="1" topLeftCell="N1" zoomScale="90" zoomScaleNormal="90" workbookViewId="0">
      <selection activeCell="W4420" sqref="W1:W4420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123</v>
      </c>
      <c r="C4186" t="s">
        <v>3724</v>
      </c>
      <c r="D4186" s="1">
        <v>46080</v>
      </c>
      <c r="E4186" t="s">
        <v>3725</v>
      </c>
      <c r="F4186">
        <v>9</v>
      </c>
      <c r="G4186">
        <v>174</v>
      </c>
      <c r="H4186" t="str">
        <f>VLOOKUP(G4186,[1]OPERADORES!$A:$B,2,0)</f>
        <v>MIRIÃ LOBATO RODRIGUES</v>
      </c>
      <c r="I4186" t="s">
        <v>126</v>
      </c>
      <c r="J4186" t="s">
        <v>127</v>
      </c>
      <c r="K4186" t="s">
        <v>128</v>
      </c>
      <c r="L4186">
        <v>23580</v>
      </c>
      <c r="M4186" t="s">
        <v>115</v>
      </c>
      <c r="O4186" t="s">
        <v>11</v>
      </c>
      <c r="P4186">
        <v>6102</v>
      </c>
      <c r="Q4186">
        <v>20</v>
      </c>
      <c r="R4186">
        <v>0.56000000000000005</v>
      </c>
      <c r="S4186">
        <v>11.2</v>
      </c>
      <c r="T4186">
        <v>7.2</v>
      </c>
      <c r="U4186">
        <v>35.71</v>
      </c>
      <c r="V4186" t="str">
        <f>VLOOKUP(L4186,'[2]tabela de preços'!$A:$D,4,0)</f>
        <v>RENOVA COADORES</v>
      </c>
      <c r="W4186" t="str">
        <f>VLOOKUP(L4186,'[2]tabela de preços'!$A:$F,6,0)</f>
        <v>COADORES</v>
      </c>
      <c r="X4186" t="str">
        <f>VLOOKUP(L4186,'[2]tabela de preços'!$A:$G,7,0)</f>
        <v>AUTOMOTIVO</v>
      </c>
    </row>
    <row r="4187" spans="1:24" x14ac:dyDescent="0.3">
      <c r="A4187" t="s">
        <v>123</v>
      </c>
      <c r="C4187" t="s">
        <v>3724</v>
      </c>
      <c r="D4187" s="1">
        <v>46080</v>
      </c>
      <c r="E4187" t="s">
        <v>3725</v>
      </c>
      <c r="F4187">
        <v>9</v>
      </c>
      <c r="G4187">
        <v>174</v>
      </c>
      <c r="H4187" t="str">
        <f>VLOOKUP(G4187,[1]OPERADORES!$A:$B,2,0)</f>
        <v>MIRIÃ LOBATO RODRIGUES</v>
      </c>
      <c r="I4187" t="s">
        <v>126</v>
      </c>
      <c r="J4187" t="s">
        <v>127</v>
      </c>
      <c r="K4187" t="s">
        <v>128</v>
      </c>
      <c r="L4187">
        <v>84557</v>
      </c>
      <c r="M4187" t="s">
        <v>116</v>
      </c>
      <c r="O4187" t="s">
        <v>11</v>
      </c>
      <c r="P4187">
        <v>6102</v>
      </c>
      <c r="Q4187">
        <v>4</v>
      </c>
      <c r="R4187">
        <v>17.489999999999998</v>
      </c>
      <c r="S4187">
        <v>69.959999999999994</v>
      </c>
      <c r="T4187">
        <v>55.84</v>
      </c>
      <c r="U4187">
        <v>20.18</v>
      </c>
      <c r="V4187" t="str">
        <f>VLOOKUP(L4187,'[2]tabela de preços'!$A:$D,4,0)</f>
        <v>BRASILUX</v>
      </c>
      <c r="W4187" t="str">
        <f>VLOOKUP(L4187,'[2]tabela de preços'!$A:$F,6,0)</f>
        <v>DILUENTE</v>
      </c>
      <c r="X4187" t="str">
        <f>VLOOKUP(L4187,'[2]tabela de preços'!$A:$G,7,0)</f>
        <v>AUTOMOTIVO</v>
      </c>
    </row>
    <row r="4188" spans="1:24" x14ac:dyDescent="0.3">
      <c r="A4188" t="s">
        <v>123</v>
      </c>
      <c r="C4188" t="s">
        <v>3724</v>
      </c>
      <c r="D4188" s="1">
        <v>46080</v>
      </c>
      <c r="E4188" t="s">
        <v>3725</v>
      </c>
      <c r="F4188">
        <v>9</v>
      </c>
      <c r="G4188">
        <v>174</v>
      </c>
      <c r="H4188" t="str">
        <f>VLOOKUP(G4188,[1]OPERADORES!$A:$B,2,0)</f>
        <v>MIRIÃ LOBATO RODRIGUES</v>
      </c>
      <c r="I4188" t="s">
        <v>126</v>
      </c>
      <c r="J4188" t="s">
        <v>127</v>
      </c>
      <c r="K4188" t="s">
        <v>128</v>
      </c>
      <c r="L4188">
        <v>24248</v>
      </c>
      <c r="M4188" t="s">
        <v>107</v>
      </c>
      <c r="O4188" t="s">
        <v>11</v>
      </c>
      <c r="P4188">
        <v>6102</v>
      </c>
      <c r="Q4188">
        <v>6</v>
      </c>
      <c r="R4188">
        <v>8</v>
      </c>
      <c r="S4188">
        <v>48</v>
      </c>
      <c r="T4188">
        <v>39</v>
      </c>
      <c r="U4188">
        <v>18.75</v>
      </c>
      <c r="V4188" t="str">
        <f>VLOOKUP(L4188,'[2]tabela de preços'!$A:$D,4,0)</f>
        <v>SHERWIN WILLIAMS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123</v>
      </c>
      <c r="C4189" t="s">
        <v>3724</v>
      </c>
      <c r="D4189" s="1">
        <v>46080</v>
      </c>
      <c r="E4189" t="s">
        <v>3725</v>
      </c>
      <c r="F4189">
        <v>9</v>
      </c>
      <c r="G4189">
        <v>174</v>
      </c>
      <c r="H4189" t="str">
        <f>VLOOKUP(G4189,[1]OPERADORES!$A:$B,2,0)</f>
        <v>MIRIÃ LOBATO RODRIGUES</v>
      </c>
      <c r="I4189" t="s">
        <v>126</v>
      </c>
      <c r="J4189" t="s">
        <v>127</v>
      </c>
      <c r="K4189" t="s">
        <v>128</v>
      </c>
      <c r="L4189">
        <v>5</v>
      </c>
      <c r="M4189" t="s">
        <v>147</v>
      </c>
      <c r="O4189" t="s">
        <v>11</v>
      </c>
      <c r="P4189">
        <v>6102</v>
      </c>
      <c r="Q4189">
        <v>4</v>
      </c>
      <c r="R4189">
        <v>5.15</v>
      </c>
      <c r="S4189">
        <v>20.6</v>
      </c>
      <c r="T4189">
        <v>15.64</v>
      </c>
      <c r="U4189">
        <v>24.08</v>
      </c>
      <c r="V4189" t="str">
        <f>VLOOKUP(L4189,'[2]tabela de preços'!$A:$D,4,0)</f>
        <v>BRILHO ESTOPA</v>
      </c>
      <c r="W4189" t="str">
        <f>VLOOKUP(L4189,'[2]tabela de preços'!$A:$F,6,0)</f>
        <v>ESTOPAS</v>
      </c>
      <c r="X4189" t="str">
        <f>VLOOKUP(L4189,'[2]tabela de preços'!$A:$G,7,0)</f>
        <v>AUTOMOTIVO</v>
      </c>
    </row>
    <row r="4190" spans="1:24" x14ac:dyDescent="0.3">
      <c r="A4190" t="s">
        <v>123</v>
      </c>
      <c r="C4190" t="s">
        <v>3724</v>
      </c>
      <c r="D4190" s="1">
        <v>46080</v>
      </c>
      <c r="E4190" t="s">
        <v>3725</v>
      </c>
      <c r="F4190">
        <v>9</v>
      </c>
      <c r="G4190">
        <v>174</v>
      </c>
      <c r="H4190" t="str">
        <f>VLOOKUP(G4190,[1]OPERADORES!$A:$B,2,0)</f>
        <v>MIRIÃ LOBATO RODRIGUES</v>
      </c>
      <c r="I4190" t="s">
        <v>126</v>
      </c>
      <c r="J4190" t="s">
        <v>127</v>
      </c>
      <c r="K4190" t="s">
        <v>128</v>
      </c>
      <c r="L4190">
        <v>20325</v>
      </c>
      <c r="M4190" t="s">
        <v>150</v>
      </c>
      <c r="O4190" t="s">
        <v>11</v>
      </c>
      <c r="P4190">
        <v>6403</v>
      </c>
      <c r="Q4190">
        <v>1</v>
      </c>
      <c r="R4190">
        <v>32.299999999999997</v>
      </c>
      <c r="S4190">
        <v>32.299999999999997</v>
      </c>
      <c r="T4190">
        <v>23.03</v>
      </c>
      <c r="U4190">
        <v>28.7</v>
      </c>
      <c r="V4190" t="str">
        <f>VLOOKUP(L4190,'[2]tabela de preços'!$A:$D,4,0)</f>
        <v>SHERWIN WILLIAMS</v>
      </c>
      <c r="W4190" t="str">
        <f>VLOOKUP(L4190,'[2]tabela de preços'!$A:$F,6,0)</f>
        <v>TINTAS POLIÉSTER</v>
      </c>
      <c r="X4190" t="str">
        <f>VLOOKUP(L4190,'[2]tabela de preços'!$A:$G,7,0)</f>
        <v>AUTOMOTIVO</v>
      </c>
    </row>
    <row r="4191" spans="1:24" x14ac:dyDescent="0.3">
      <c r="A4191" t="s">
        <v>123</v>
      </c>
      <c r="C4191" t="s">
        <v>3724</v>
      </c>
      <c r="D4191" s="1">
        <v>46080</v>
      </c>
      <c r="E4191" t="s">
        <v>3725</v>
      </c>
      <c r="F4191">
        <v>9</v>
      </c>
      <c r="G4191">
        <v>174</v>
      </c>
      <c r="H4191" t="str">
        <f>VLOOKUP(G4191,[1]OPERADORES!$A:$B,2,0)</f>
        <v>MIRIÃ LOBATO RODRIGUES</v>
      </c>
      <c r="I4191" t="s">
        <v>126</v>
      </c>
      <c r="J4191" t="s">
        <v>127</v>
      </c>
      <c r="K4191" t="s">
        <v>128</v>
      </c>
      <c r="L4191">
        <v>20384</v>
      </c>
      <c r="M4191" t="s">
        <v>648</v>
      </c>
      <c r="O4191" t="s">
        <v>11</v>
      </c>
      <c r="P4191">
        <v>6403</v>
      </c>
      <c r="Q4191">
        <v>1</v>
      </c>
      <c r="R4191">
        <v>32.340000000000003</v>
      </c>
      <c r="S4191">
        <v>32.340000000000003</v>
      </c>
      <c r="T4191">
        <v>23.06</v>
      </c>
      <c r="U4191">
        <v>28.7</v>
      </c>
      <c r="V4191" t="str">
        <f>VLOOKUP(L4191,'[2]tabela de preços'!$A:$D,4,0)</f>
        <v>SHERWIN WILLIAMS</v>
      </c>
      <c r="W4191" t="str">
        <f>VLOOKUP(L4191,'[2]tabela de preços'!$A:$F,6,0)</f>
        <v>TINTAS PU</v>
      </c>
      <c r="X4191" t="str">
        <f>VLOOKUP(L4191,'[2]tabela de preços'!$A:$G,7,0)</f>
        <v>AUTOMOTIVO</v>
      </c>
    </row>
    <row r="4192" spans="1:24" x14ac:dyDescent="0.3">
      <c r="A4192" t="s">
        <v>123</v>
      </c>
      <c r="C4192" t="s">
        <v>3724</v>
      </c>
      <c r="D4192" s="1">
        <v>46080</v>
      </c>
      <c r="E4192" t="s">
        <v>3725</v>
      </c>
      <c r="F4192">
        <v>9</v>
      </c>
      <c r="G4192">
        <v>174</v>
      </c>
      <c r="H4192" t="str">
        <f>VLOOKUP(G4192,[1]OPERADORES!$A:$B,2,0)</f>
        <v>MIRIÃ LOBATO RODRIGUES</v>
      </c>
      <c r="I4192" t="s">
        <v>126</v>
      </c>
      <c r="J4192" t="s">
        <v>127</v>
      </c>
      <c r="K4192" t="s">
        <v>128</v>
      </c>
      <c r="L4192">
        <v>21078</v>
      </c>
      <c r="M4192" t="s">
        <v>141</v>
      </c>
      <c r="O4192" t="s">
        <v>11</v>
      </c>
      <c r="P4192">
        <v>6102</v>
      </c>
      <c r="Q4192">
        <v>3</v>
      </c>
      <c r="R4192">
        <v>22.89</v>
      </c>
      <c r="S4192">
        <v>68.67</v>
      </c>
      <c r="T4192">
        <v>55.98</v>
      </c>
      <c r="U4192">
        <v>18.48</v>
      </c>
      <c r="V4192" t="str">
        <f>VLOOKUP(L4192,'[2]tabela de preços'!$A:$D,4,0)</f>
        <v>SHERWIN WILLIAMS</v>
      </c>
      <c r="W4192" t="str">
        <f>VLOOKUP(L4192,'[2]tabela de preços'!$A:$F,6,0)</f>
        <v>MASSA POLIÉSTER</v>
      </c>
      <c r="X4192" t="str">
        <f>VLOOKUP(L4192,'[2]tabela de preços'!$A:$G,7,0)</f>
        <v>AUTOMOTIVO</v>
      </c>
    </row>
    <row r="4193" spans="1:24" x14ac:dyDescent="0.3">
      <c r="A4193" t="s">
        <v>123</v>
      </c>
      <c r="C4193" t="s">
        <v>3724</v>
      </c>
      <c r="D4193" s="1">
        <v>46080</v>
      </c>
      <c r="E4193" t="s">
        <v>3725</v>
      </c>
      <c r="F4193">
        <v>9</v>
      </c>
      <c r="G4193">
        <v>174</v>
      </c>
      <c r="H4193" t="str">
        <f>VLOOKUP(G4193,[1]OPERADORES!$A:$B,2,0)</f>
        <v>MIRIÃ LOBATO RODRIGUES</v>
      </c>
      <c r="I4193" t="s">
        <v>126</v>
      </c>
      <c r="J4193" t="s">
        <v>127</v>
      </c>
      <c r="K4193" t="s">
        <v>128</v>
      </c>
      <c r="L4193">
        <v>24247</v>
      </c>
      <c r="M4193" t="s">
        <v>160</v>
      </c>
      <c r="O4193" t="s">
        <v>11</v>
      </c>
      <c r="P4193">
        <v>6403</v>
      </c>
      <c r="Q4193">
        <v>6</v>
      </c>
      <c r="R4193">
        <v>21</v>
      </c>
      <c r="S4193">
        <v>126</v>
      </c>
      <c r="T4193">
        <v>101.22</v>
      </c>
      <c r="U4193">
        <v>19.670000000000002</v>
      </c>
      <c r="V4193" t="str">
        <f>VLOOKUP(L4193,'[2]tabela de preços'!$A:$D,4,0)</f>
        <v>SHERWIN WILLIAMS</v>
      </c>
      <c r="W4193" t="str">
        <f>VLOOKUP(L4193,'[2]tabela de preços'!$A:$F,6,0)</f>
        <v>PRIMER AUTOMOTIVO</v>
      </c>
      <c r="X4193" t="str">
        <f>VLOOKUP(L4193,'[2]tabela de preços'!$A:$G,7,0)</f>
        <v>AUTOMOTIVO</v>
      </c>
    </row>
    <row r="4194" spans="1:24" x14ac:dyDescent="0.3">
      <c r="A4194" t="s">
        <v>123</v>
      </c>
      <c r="C4194" t="s">
        <v>3724</v>
      </c>
      <c r="D4194" s="1">
        <v>46080</v>
      </c>
      <c r="E4194" t="s">
        <v>3725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126</v>
      </c>
      <c r="J4194" t="s">
        <v>127</v>
      </c>
      <c r="K4194" t="s">
        <v>128</v>
      </c>
      <c r="L4194">
        <v>10404</v>
      </c>
      <c r="M4194" t="s">
        <v>130</v>
      </c>
      <c r="O4194" t="s">
        <v>11</v>
      </c>
      <c r="P4194">
        <v>6102</v>
      </c>
      <c r="Q4194">
        <v>4</v>
      </c>
      <c r="R4194">
        <v>16.29</v>
      </c>
      <c r="S4194">
        <v>65.16</v>
      </c>
      <c r="T4194">
        <v>55</v>
      </c>
      <c r="U4194">
        <v>15.59</v>
      </c>
      <c r="V4194" t="str">
        <f>VLOOKUP(L4194,'[2]tabela de preços'!$A:$D,4,0)</f>
        <v>MAXI RUBBER</v>
      </c>
      <c r="W4194" t="str">
        <f>VLOOKUP(L4194,'[2]tabela de preços'!$A:$F,6,0)</f>
        <v>VEDADORES / SELANTES</v>
      </c>
      <c r="X4194" t="str">
        <f>VLOOKUP(L4194,'[2]tabela de preços'!$A:$G,7,0)</f>
        <v>AUTOMOTIVO</v>
      </c>
    </row>
    <row r="4195" spans="1:24" x14ac:dyDescent="0.3">
      <c r="A4195" t="s">
        <v>208</v>
      </c>
      <c r="C4195" t="s">
        <v>3726</v>
      </c>
      <c r="D4195" s="1">
        <v>46079</v>
      </c>
      <c r="E4195" t="s">
        <v>3727</v>
      </c>
      <c r="F4195">
        <v>9</v>
      </c>
      <c r="G4195">
        <v>236</v>
      </c>
      <c r="H4195" t="str">
        <f>VLOOKUP(G4195,[1]OPERADORES!$A:$B,2,0)</f>
        <v>DANIEL</v>
      </c>
      <c r="I4195" t="s">
        <v>21</v>
      </c>
      <c r="J4195" t="s">
        <v>211</v>
      </c>
      <c r="K4195" t="s">
        <v>212</v>
      </c>
      <c r="L4195">
        <v>84823</v>
      </c>
      <c r="M4195" t="s">
        <v>331</v>
      </c>
      <c r="O4195" t="s">
        <v>11</v>
      </c>
      <c r="P4195">
        <v>5102</v>
      </c>
      <c r="Q4195">
        <v>1</v>
      </c>
      <c r="R4195">
        <v>96.87</v>
      </c>
      <c r="S4195">
        <v>96.87</v>
      </c>
      <c r="T4195">
        <v>71.83</v>
      </c>
      <c r="U4195">
        <v>25.85</v>
      </c>
      <c r="V4195" t="str">
        <f>VLOOKUP(L4195,'[2]tabela de preços'!$A:$D,4,0)</f>
        <v>BRASILUX</v>
      </c>
      <c r="W4195" t="str">
        <f>VLOOKUP(L4195,'[2]tabela de preços'!$A:$F,6,0)</f>
        <v>DILUENTE</v>
      </c>
      <c r="X4195" t="str">
        <f>VLOOKUP(L4195,'[2]tabela de preços'!$A:$G,7,0)</f>
        <v>AUTOMOTIVO</v>
      </c>
    </row>
    <row r="4196" spans="1:24" x14ac:dyDescent="0.3">
      <c r="A4196" t="s">
        <v>208</v>
      </c>
      <c r="C4196" t="s">
        <v>3726</v>
      </c>
      <c r="D4196" s="1">
        <v>46079</v>
      </c>
      <c r="E4196" t="s">
        <v>3727</v>
      </c>
      <c r="F4196">
        <v>9</v>
      </c>
      <c r="G4196">
        <v>236</v>
      </c>
      <c r="H4196" t="str">
        <f>VLOOKUP(G4196,[1]OPERADORES!$A:$B,2,0)</f>
        <v>DANIEL</v>
      </c>
      <c r="I4196" t="s">
        <v>21</v>
      </c>
      <c r="J4196" t="s">
        <v>211</v>
      </c>
      <c r="K4196" t="s">
        <v>212</v>
      </c>
      <c r="L4196">
        <v>10236</v>
      </c>
      <c r="M4196" t="s">
        <v>133</v>
      </c>
      <c r="O4196" t="s">
        <v>11</v>
      </c>
      <c r="P4196">
        <v>5102</v>
      </c>
      <c r="Q4196">
        <v>102</v>
      </c>
      <c r="R4196">
        <v>2.79</v>
      </c>
      <c r="S4196">
        <v>284.58</v>
      </c>
      <c r="T4196">
        <v>236.64</v>
      </c>
      <c r="U4196">
        <v>16.850000000000001</v>
      </c>
      <c r="V4196" t="str">
        <f>VLOOKUP(L4196,'[2]tabela de preços'!$A:$D,4,0)</f>
        <v>NORTON</v>
      </c>
      <c r="W4196" t="str">
        <f>VLOOKUP(L4196,'[2]tabela de preços'!$A:$F,6,0)</f>
        <v xml:space="preserve">DISCOS / LIXAS / ABRASIVOS </v>
      </c>
      <c r="X4196" t="str">
        <f>VLOOKUP(L4196,'[2]tabela de preços'!$A:$G,7,0)</f>
        <v>AUTOMOTIVO</v>
      </c>
    </row>
    <row r="4197" spans="1:24" x14ac:dyDescent="0.3">
      <c r="A4197" t="s">
        <v>208</v>
      </c>
      <c r="C4197" t="s">
        <v>3726</v>
      </c>
      <c r="D4197" s="1">
        <v>46079</v>
      </c>
      <c r="E4197" t="s">
        <v>3727</v>
      </c>
      <c r="F4197">
        <v>9</v>
      </c>
      <c r="G4197">
        <v>236</v>
      </c>
      <c r="H4197" t="str">
        <f>VLOOKUP(G4197,[1]OPERADORES!$A:$B,2,0)</f>
        <v>DANIEL</v>
      </c>
      <c r="I4197" t="s">
        <v>21</v>
      </c>
      <c r="J4197" t="s">
        <v>211</v>
      </c>
      <c r="K4197" t="s">
        <v>212</v>
      </c>
      <c r="L4197">
        <v>24248</v>
      </c>
      <c r="M4197" t="s">
        <v>107</v>
      </c>
      <c r="O4197" t="s">
        <v>11</v>
      </c>
      <c r="P4197">
        <v>5102</v>
      </c>
      <c r="Q4197">
        <v>6</v>
      </c>
      <c r="R4197">
        <v>8</v>
      </c>
      <c r="S4197">
        <v>48</v>
      </c>
      <c r="T4197">
        <v>39</v>
      </c>
      <c r="U4197">
        <v>18.75</v>
      </c>
      <c r="V4197" t="str">
        <f>VLOOKUP(L4197,'[2]tabela de preços'!$A:$D,4,0)</f>
        <v>SHERWIN WILLIAMS</v>
      </c>
      <c r="W4197" t="str">
        <f>VLOOKUP(L4197,'[2]tabela de preços'!$A:$F,6,0)</f>
        <v>PRIMER AUTOMOTIVO</v>
      </c>
      <c r="X4197" t="str">
        <f>VLOOKUP(L4197,'[2]tabela de preços'!$A:$G,7,0)</f>
        <v>AUTOMOTIVO</v>
      </c>
    </row>
    <row r="4198" spans="1:24" x14ac:dyDescent="0.3">
      <c r="A4198" t="s">
        <v>208</v>
      </c>
      <c r="C4198" t="s">
        <v>3726</v>
      </c>
      <c r="D4198" s="1">
        <v>46079</v>
      </c>
      <c r="E4198" t="s">
        <v>3727</v>
      </c>
      <c r="F4198">
        <v>9</v>
      </c>
      <c r="G4198">
        <v>236</v>
      </c>
      <c r="H4198" t="str">
        <f>VLOOKUP(G4198,[1]OPERADORES!$A:$B,2,0)</f>
        <v>DANIEL</v>
      </c>
      <c r="I4198" t="s">
        <v>21</v>
      </c>
      <c r="J4198" t="s">
        <v>211</v>
      </c>
      <c r="K4198" t="s">
        <v>212</v>
      </c>
      <c r="L4198">
        <v>21077</v>
      </c>
      <c r="M4198" t="s">
        <v>207</v>
      </c>
      <c r="O4198" t="s">
        <v>11</v>
      </c>
      <c r="P4198">
        <v>5102</v>
      </c>
      <c r="Q4198">
        <v>1</v>
      </c>
      <c r="R4198">
        <v>45.74</v>
      </c>
      <c r="S4198">
        <v>45.74</v>
      </c>
      <c r="T4198">
        <v>33.92</v>
      </c>
      <c r="U4198">
        <v>25.84</v>
      </c>
      <c r="V4198" t="str">
        <f>VLOOKUP(L4198,'[2]tabela de preços'!$A:$D,4,0)</f>
        <v>SHERWIN WILLIAMS</v>
      </c>
      <c r="W4198" t="str">
        <f>VLOOKUP(L4198,'[2]tabela de preços'!$A:$F,6,0)</f>
        <v>MASSA POLIÉSTER</v>
      </c>
      <c r="X4198" t="str">
        <f>VLOOKUP(L4198,'[2]tabela de preços'!$A:$G,7,0)</f>
        <v>AUTOMOTIVO</v>
      </c>
    </row>
    <row r="4199" spans="1:24" x14ac:dyDescent="0.3">
      <c r="A4199" t="s">
        <v>208</v>
      </c>
      <c r="C4199" t="s">
        <v>3726</v>
      </c>
      <c r="D4199" s="1">
        <v>46079</v>
      </c>
      <c r="E4199" t="s">
        <v>3727</v>
      </c>
      <c r="F4199">
        <v>9</v>
      </c>
      <c r="G4199">
        <v>236</v>
      </c>
      <c r="H4199" t="str">
        <f>VLOOKUP(G4199,[1]OPERADORES!$A:$B,2,0)</f>
        <v>DANIEL</v>
      </c>
      <c r="I4199" t="s">
        <v>21</v>
      </c>
      <c r="J4199" t="s">
        <v>211</v>
      </c>
      <c r="K4199" t="s">
        <v>212</v>
      </c>
      <c r="L4199">
        <v>87043</v>
      </c>
      <c r="M4199" t="s">
        <v>217</v>
      </c>
      <c r="O4199" t="s">
        <v>11</v>
      </c>
      <c r="P4199">
        <v>5102</v>
      </c>
      <c r="Q4199">
        <v>8</v>
      </c>
      <c r="R4199">
        <v>21.95</v>
      </c>
      <c r="S4199">
        <v>175.6</v>
      </c>
      <c r="T4199">
        <v>144.16</v>
      </c>
      <c r="U4199">
        <v>17.899999999999999</v>
      </c>
      <c r="V4199" t="str">
        <f>VLOOKUP(L4199,'[2]tabela de preços'!$A:$D,4,0)</f>
        <v>ROBERLO</v>
      </c>
      <c r="W4199" t="str">
        <f>VLOOKUP(L4199,'[2]tabela de preços'!$A:$F,6,0)</f>
        <v>MASSA POLIÉSTER</v>
      </c>
      <c r="X4199" t="str">
        <f>VLOOKUP(L4199,'[2]tabela de preços'!$A:$G,7,0)</f>
        <v>AUTOMOTIVO</v>
      </c>
    </row>
    <row r="4200" spans="1:24" x14ac:dyDescent="0.3">
      <c r="A4200" t="s">
        <v>208</v>
      </c>
      <c r="C4200" t="s">
        <v>3726</v>
      </c>
      <c r="D4200" s="1">
        <v>46079</v>
      </c>
      <c r="E4200" t="s">
        <v>3727</v>
      </c>
      <c r="F4200">
        <v>9</v>
      </c>
      <c r="G4200">
        <v>236</v>
      </c>
      <c r="H4200" t="str">
        <f>VLOOKUP(G4200,[1]OPERADORES!$A:$B,2,0)</f>
        <v>DANIEL</v>
      </c>
      <c r="I4200" t="s">
        <v>21</v>
      </c>
      <c r="J4200" t="s">
        <v>211</v>
      </c>
      <c r="K4200" t="s">
        <v>212</v>
      </c>
      <c r="L4200">
        <v>24247</v>
      </c>
      <c r="M4200" t="s">
        <v>160</v>
      </c>
      <c r="O4200" t="s">
        <v>11</v>
      </c>
      <c r="P4200">
        <v>5403</v>
      </c>
      <c r="Q4200">
        <v>6</v>
      </c>
      <c r="R4200">
        <v>21</v>
      </c>
      <c r="S4200">
        <v>126</v>
      </c>
      <c r="T4200">
        <v>101.22</v>
      </c>
      <c r="U4200">
        <v>19.670000000000002</v>
      </c>
      <c r="V4200" t="str">
        <f>VLOOKUP(L4200,'[2]tabela de preços'!$A:$D,4,0)</f>
        <v>SHERWIN WILLIAMS</v>
      </c>
      <c r="W4200" t="str">
        <f>VLOOKUP(L4200,'[2]tabela de preços'!$A:$F,6,0)</f>
        <v>PRIMER AUTOMOTIVO</v>
      </c>
      <c r="X4200" t="str">
        <f>VLOOKUP(L4200,'[2]tabela de preços'!$A:$G,7,0)</f>
        <v>AUTOMOTIVO</v>
      </c>
    </row>
    <row r="4201" spans="1:24" x14ac:dyDescent="0.3">
      <c r="A4201" t="s">
        <v>3030</v>
      </c>
      <c r="C4201" t="s">
        <v>3728</v>
      </c>
      <c r="D4201" s="1">
        <v>46080</v>
      </c>
      <c r="E4201" t="s">
        <v>3729</v>
      </c>
      <c r="F4201">
        <v>9</v>
      </c>
      <c r="G4201">
        <v>236</v>
      </c>
      <c r="H4201" t="str">
        <f>VLOOKUP(G4201,[1]OPERADORES!$A:$B,2,0)</f>
        <v>DANIEL</v>
      </c>
      <c r="I4201" t="s">
        <v>3033</v>
      </c>
      <c r="J4201" t="s">
        <v>3034</v>
      </c>
      <c r="K4201" t="s">
        <v>3035</v>
      </c>
      <c r="L4201">
        <v>10236</v>
      </c>
      <c r="M4201" t="s">
        <v>133</v>
      </c>
      <c r="O4201" t="s">
        <v>11</v>
      </c>
      <c r="P4201">
        <v>6102</v>
      </c>
      <c r="Q4201">
        <v>50</v>
      </c>
      <c r="R4201">
        <v>2.79</v>
      </c>
      <c r="S4201">
        <v>139.5</v>
      </c>
      <c r="T4201">
        <v>116</v>
      </c>
      <c r="U4201">
        <v>16.850000000000001</v>
      </c>
      <c r="V4201" t="str">
        <f>VLOOKUP(L4201,'[2]tabela de preços'!$A:$D,4,0)</f>
        <v>NORTON</v>
      </c>
      <c r="W4201" t="str">
        <f>VLOOKUP(L4201,'[2]tabela de preços'!$A:$F,6,0)</f>
        <v xml:space="preserve">DISCOS / LIXAS / ABRASIVOS </v>
      </c>
      <c r="X4201" t="str">
        <f>VLOOKUP(L4201,'[2]tabela de preços'!$A:$G,7,0)</f>
        <v>AUTOMOTIVO</v>
      </c>
    </row>
    <row r="4202" spans="1:24" x14ac:dyDescent="0.3">
      <c r="A4202" t="s">
        <v>3030</v>
      </c>
      <c r="C4202" t="s">
        <v>3728</v>
      </c>
      <c r="D4202" s="1">
        <v>46080</v>
      </c>
      <c r="E4202" t="s">
        <v>3729</v>
      </c>
      <c r="F4202">
        <v>9</v>
      </c>
      <c r="G4202">
        <v>236</v>
      </c>
      <c r="H4202" t="str">
        <f>VLOOKUP(G4202,[1]OPERADORES!$A:$B,2,0)</f>
        <v>DANIEL</v>
      </c>
      <c r="I4202" t="s">
        <v>3033</v>
      </c>
      <c r="J4202" t="s">
        <v>3034</v>
      </c>
      <c r="K4202" t="s">
        <v>3035</v>
      </c>
      <c r="L4202">
        <v>10226</v>
      </c>
      <c r="M4202" t="s">
        <v>145</v>
      </c>
      <c r="O4202" t="s">
        <v>11</v>
      </c>
      <c r="P4202">
        <v>6102</v>
      </c>
      <c r="Q4202">
        <v>50</v>
      </c>
      <c r="R4202">
        <v>2.79</v>
      </c>
      <c r="S4202">
        <v>139.5</v>
      </c>
      <c r="T4202">
        <v>116</v>
      </c>
      <c r="U4202">
        <v>16.850000000000001</v>
      </c>
      <c r="V4202" t="str">
        <f>VLOOKUP(L4202,'[2]tabela de preços'!$A:$D,4,0)</f>
        <v>NORTON</v>
      </c>
      <c r="W4202" t="str">
        <f>VLOOKUP(L4202,'[2]tabela de preços'!$A:$F,6,0)</f>
        <v xml:space="preserve">DISCOS / LIXAS / ABRASIVOS </v>
      </c>
      <c r="X4202" t="str">
        <f>VLOOKUP(L4202,'[2]tabela de preços'!$A:$G,7,0)</f>
        <v>AUTOMOTIVO</v>
      </c>
    </row>
    <row r="4203" spans="1:24" x14ac:dyDescent="0.3">
      <c r="A4203" t="s">
        <v>3030</v>
      </c>
      <c r="C4203" t="s">
        <v>3728</v>
      </c>
      <c r="D4203" s="1">
        <v>46080</v>
      </c>
      <c r="E4203" t="s">
        <v>3729</v>
      </c>
      <c r="F4203">
        <v>9</v>
      </c>
      <c r="G4203">
        <v>236</v>
      </c>
      <c r="H4203" t="str">
        <f>VLOOKUP(G4203,[1]OPERADORES!$A:$B,2,0)</f>
        <v>DANIEL</v>
      </c>
      <c r="I4203" t="s">
        <v>3033</v>
      </c>
      <c r="J4203" t="s">
        <v>3034</v>
      </c>
      <c r="K4203" t="s">
        <v>3035</v>
      </c>
      <c r="L4203">
        <v>10232</v>
      </c>
      <c r="M4203" t="s">
        <v>134</v>
      </c>
      <c r="O4203" t="s">
        <v>11</v>
      </c>
      <c r="P4203">
        <v>6102</v>
      </c>
      <c r="Q4203">
        <v>50</v>
      </c>
      <c r="R4203">
        <v>2.79</v>
      </c>
      <c r="S4203">
        <v>139.5</v>
      </c>
      <c r="T4203">
        <v>112.5</v>
      </c>
      <c r="U4203">
        <v>19.350000000000001</v>
      </c>
      <c r="V4203" t="str">
        <f>VLOOKUP(L4203,'[2]tabela de preços'!$A:$D,4,0)</f>
        <v>NORTON</v>
      </c>
      <c r="W4203" t="str">
        <f>VLOOKUP(L4203,'[2]tabela de preços'!$A:$F,6,0)</f>
        <v xml:space="preserve">DISCOS / LIXAS / ABRASIVOS </v>
      </c>
      <c r="X4203" t="str">
        <f>VLOOKUP(L4203,'[2]tabela de preços'!$A:$G,7,0)</f>
        <v>AUTOMOTIVO</v>
      </c>
    </row>
    <row r="4204" spans="1:24" x14ac:dyDescent="0.3">
      <c r="A4204" t="s">
        <v>3030</v>
      </c>
      <c r="C4204" t="s">
        <v>3728</v>
      </c>
      <c r="D4204" s="1">
        <v>46080</v>
      </c>
      <c r="E4204" t="s">
        <v>3729</v>
      </c>
      <c r="F4204">
        <v>9</v>
      </c>
      <c r="G4204">
        <v>236</v>
      </c>
      <c r="H4204" t="str">
        <f>VLOOKUP(G4204,[1]OPERADORES!$A:$B,2,0)</f>
        <v>DANIEL</v>
      </c>
      <c r="I4204" t="s">
        <v>3033</v>
      </c>
      <c r="J4204" t="s">
        <v>3034</v>
      </c>
      <c r="K4204" t="s">
        <v>3035</v>
      </c>
      <c r="L4204">
        <v>24240</v>
      </c>
      <c r="M4204" t="s">
        <v>240</v>
      </c>
      <c r="O4204" t="s">
        <v>11</v>
      </c>
      <c r="P4204">
        <v>6102</v>
      </c>
      <c r="Q4204">
        <v>20</v>
      </c>
      <c r="R4204">
        <v>3.81</v>
      </c>
      <c r="S4204">
        <v>76.2</v>
      </c>
      <c r="T4204">
        <v>65.599999999999994</v>
      </c>
      <c r="U4204">
        <v>13.91</v>
      </c>
      <c r="V4204" t="str">
        <f>VLOOKUP(L4204,'[2]tabela de preços'!$A:$D,4,0)</f>
        <v>ADERE</v>
      </c>
      <c r="W4204" t="str">
        <f>VLOOKUP(L4204,'[2]tabela de preços'!$A:$F,6,0)</f>
        <v>FITA AUTOMOTIVA</v>
      </c>
      <c r="X4204" t="str">
        <f>VLOOKUP(L4204,'[2]tabela de preços'!$A:$G,7,0)</f>
        <v>AUTOMOTIVO</v>
      </c>
    </row>
    <row r="4205" spans="1:24" x14ac:dyDescent="0.3">
      <c r="A4205" t="s">
        <v>3030</v>
      </c>
      <c r="C4205" t="s">
        <v>3728</v>
      </c>
      <c r="D4205" s="1">
        <v>46080</v>
      </c>
      <c r="E4205" t="s">
        <v>3729</v>
      </c>
      <c r="F4205">
        <v>9</v>
      </c>
      <c r="G4205">
        <v>236</v>
      </c>
      <c r="H4205" t="str">
        <f>VLOOKUP(G4205,[1]OPERADORES!$A:$B,2,0)</f>
        <v>DANIEL</v>
      </c>
      <c r="I4205" t="s">
        <v>3033</v>
      </c>
      <c r="J4205" t="s">
        <v>3034</v>
      </c>
      <c r="K4205" t="s">
        <v>3035</v>
      </c>
      <c r="L4205">
        <v>10238</v>
      </c>
      <c r="M4205" t="s">
        <v>79</v>
      </c>
      <c r="O4205" t="s">
        <v>11</v>
      </c>
      <c r="P4205">
        <v>6102</v>
      </c>
      <c r="Q4205">
        <v>50</v>
      </c>
      <c r="R4205">
        <v>2.79</v>
      </c>
      <c r="S4205">
        <v>139.5</v>
      </c>
      <c r="T4205">
        <v>112</v>
      </c>
      <c r="U4205">
        <v>19.71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3030</v>
      </c>
      <c r="C4206" t="s">
        <v>3728</v>
      </c>
      <c r="D4206" s="1">
        <v>46080</v>
      </c>
      <c r="E4206" t="s">
        <v>3729</v>
      </c>
      <c r="F4206">
        <v>9</v>
      </c>
      <c r="G4206">
        <v>236</v>
      </c>
      <c r="H4206" t="str">
        <f>VLOOKUP(G4206,[1]OPERADORES!$A:$B,2,0)</f>
        <v>DANIEL</v>
      </c>
      <c r="I4206" t="s">
        <v>3033</v>
      </c>
      <c r="J4206" t="s">
        <v>3034</v>
      </c>
      <c r="K4206" t="s">
        <v>3035</v>
      </c>
      <c r="L4206">
        <v>10240</v>
      </c>
      <c r="M4206" t="s">
        <v>81</v>
      </c>
      <c r="O4206" t="s">
        <v>11</v>
      </c>
      <c r="P4206">
        <v>6102</v>
      </c>
      <c r="Q4206">
        <v>50</v>
      </c>
      <c r="R4206">
        <v>2.79</v>
      </c>
      <c r="S4206">
        <v>139.5</v>
      </c>
      <c r="T4206">
        <v>112</v>
      </c>
      <c r="U4206">
        <v>19.71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3030</v>
      </c>
      <c r="C4207" t="s">
        <v>3728</v>
      </c>
      <c r="D4207" s="1">
        <v>46080</v>
      </c>
      <c r="E4207" t="s">
        <v>3729</v>
      </c>
      <c r="F4207">
        <v>9</v>
      </c>
      <c r="G4207">
        <v>236</v>
      </c>
      <c r="H4207" t="str">
        <f>VLOOKUP(G4207,[1]OPERADORES!$A:$B,2,0)</f>
        <v>DANIEL</v>
      </c>
      <c r="I4207" t="s">
        <v>3033</v>
      </c>
      <c r="J4207" t="s">
        <v>3034</v>
      </c>
      <c r="K4207" t="s">
        <v>3035</v>
      </c>
      <c r="L4207">
        <v>10243</v>
      </c>
      <c r="M4207" t="s">
        <v>83</v>
      </c>
      <c r="O4207" t="s">
        <v>11</v>
      </c>
      <c r="P4207">
        <v>6102</v>
      </c>
      <c r="Q4207">
        <v>50</v>
      </c>
      <c r="R4207">
        <v>2.79</v>
      </c>
      <c r="S4207">
        <v>139.5</v>
      </c>
      <c r="T4207">
        <v>96.5</v>
      </c>
      <c r="U4207">
        <v>30.82</v>
      </c>
      <c r="V4207" t="str">
        <f>VLOOKUP(L4207,'[2]tabela de preços'!$A:$D,4,0)</f>
        <v>NORTON</v>
      </c>
      <c r="W4207" t="str">
        <f>VLOOKUP(L4207,'[2]tabela de preços'!$A:$F,6,0)</f>
        <v xml:space="preserve">DISCOS / LIXAS / ABRASIVOS </v>
      </c>
      <c r="X4207" t="str">
        <f>VLOOKUP(L4207,'[2]tabela de preços'!$A:$G,7,0)</f>
        <v>AUTOMOTIVO</v>
      </c>
    </row>
    <row r="4208" spans="1:24" x14ac:dyDescent="0.3">
      <c r="A4208" t="s">
        <v>3030</v>
      </c>
      <c r="C4208" t="s">
        <v>3728</v>
      </c>
      <c r="D4208" s="1">
        <v>46080</v>
      </c>
      <c r="E4208" t="s">
        <v>3729</v>
      </c>
      <c r="F4208">
        <v>9</v>
      </c>
      <c r="G4208">
        <v>236</v>
      </c>
      <c r="H4208" t="str">
        <f>VLOOKUP(G4208,[1]OPERADORES!$A:$B,2,0)</f>
        <v>DANIEL</v>
      </c>
      <c r="I4208" t="s">
        <v>3033</v>
      </c>
      <c r="J4208" t="s">
        <v>3034</v>
      </c>
      <c r="K4208" t="s">
        <v>3035</v>
      </c>
      <c r="L4208">
        <v>10244</v>
      </c>
      <c r="M4208" t="s">
        <v>84</v>
      </c>
      <c r="O4208" t="s">
        <v>11</v>
      </c>
      <c r="P4208">
        <v>6102</v>
      </c>
      <c r="Q4208">
        <v>50</v>
      </c>
      <c r="R4208">
        <v>2.79</v>
      </c>
      <c r="S4208">
        <v>139.5</v>
      </c>
      <c r="T4208">
        <v>96.5</v>
      </c>
      <c r="U4208">
        <v>30.82</v>
      </c>
      <c r="V4208" t="str">
        <f>VLOOKUP(L4208,'[2]tabela de preços'!$A:$D,4,0)</f>
        <v>NORTON</v>
      </c>
      <c r="W4208" t="str">
        <f>VLOOKUP(L4208,'[2]tabela de preços'!$A:$F,6,0)</f>
        <v xml:space="preserve">DISCOS / LIXAS / ABRASIVOS </v>
      </c>
      <c r="X4208" t="str">
        <f>VLOOKUP(L4208,'[2]tabela de preços'!$A:$G,7,0)</f>
        <v>AUTOMOTIVO</v>
      </c>
    </row>
    <row r="4209" spans="1:24" x14ac:dyDescent="0.3">
      <c r="A4209" t="s">
        <v>3030</v>
      </c>
      <c r="C4209" t="s">
        <v>3728</v>
      </c>
      <c r="D4209" s="1">
        <v>46080</v>
      </c>
      <c r="E4209" t="s">
        <v>3729</v>
      </c>
      <c r="F4209">
        <v>9</v>
      </c>
      <c r="G4209">
        <v>236</v>
      </c>
      <c r="H4209" t="str">
        <f>VLOOKUP(G4209,[1]OPERADORES!$A:$B,2,0)</f>
        <v>DANIEL</v>
      </c>
      <c r="I4209" t="s">
        <v>3033</v>
      </c>
      <c r="J4209" t="s">
        <v>3034</v>
      </c>
      <c r="K4209" t="s">
        <v>3035</v>
      </c>
      <c r="L4209">
        <v>10245</v>
      </c>
      <c r="M4209" t="s">
        <v>195</v>
      </c>
      <c r="O4209" t="s">
        <v>11</v>
      </c>
      <c r="P4209">
        <v>6102</v>
      </c>
      <c r="Q4209">
        <v>50</v>
      </c>
      <c r="R4209">
        <v>2.79</v>
      </c>
      <c r="S4209">
        <v>139.5</v>
      </c>
      <c r="T4209">
        <v>96.5</v>
      </c>
      <c r="U4209">
        <v>30.82</v>
      </c>
      <c r="V4209" t="str">
        <f>VLOOKUP(L4209,'[2]tabela de preços'!$A:$D,4,0)</f>
        <v>NORTON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3527</v>
      </c>
      <c r="C4210" t="s">
        <v>3528</v>
      </c>
      <c r="D4210" s="1">
        <v>46078</v>
      </c>
      <c r="E4210" t="s">
        <v>3529</v>
      </c>
      <c r="F4210">
        <v>9</v>
      </c>
      <c r="G4210">
        <v>197</v>
      </c>
      <c r="H4210" t="str">
        <f>VLOOKUP(G4210,[1]OPERADORES!$A:$B,2,0)</f>
        <v xml:space="preserve">POLIANA LORRANE DE AMORIM </v>
      </c>
      <c r="I4210" t="s">
        <v>282</v>
      </c>
      <c r="J4210" t="s">
        <v>3530</v>
      </c>
      <c r="K4210" t="s">
        <v>3531</v>
      </c>
      <c r="L4210">
        <v>84381</v>
      </c>
      <c r="M4210" t="s">
        <v>91</v>
      </c>
      <c r="O4210" t="s">
        <v>11</v>
      </c>
      <c r="P4210">
        <v>6403</v>
      </c>
      <c r="Q4210">
        <v>6</v>
      </c>
      <c r="R4210">
        <v>159.9</v>
      </c>
      <c r="S4210">
        <v>959.4</v>
      </c>
      <c r="T4210">
        <v>825.66</v>
      </c>
      <c r="U4210">
        <v>13.94</v>
      </c>
      <c r="V4210" t="str">
        <f>VLOOKUP(L4210,'[2]tabela de preços'!$A:$D,4,0)</f>
        <v>BRASILUX</v>
      </c>
      <c r="W4210" t="str">
        <f>VLOOKUP(L4210,'[2]tabela de preços'!$A:$F,6,0)</f>
        <v>TINTA PARA PISO</v>
      </c>
      <c r="X4210" t="str">
        <f>VLOOKUP(L4210,'[2]tabela de preços'!$A:$G,7,0)</f>
        <v>IMOBILIÁRIO</v>
      </c>
    </row>
    <row r="4211" spans="1:24" x14ac:dyDescent="0.3">
      <c r="A4211" t="s">
        <v>3527</v>
      </c>
      <c r="C4211" t="s">
        <v>3528</v>
      </c>
      <c r="D4211" s="1">
        <v>46078</v>
      </c>
      <c r="E4211" t="s">
        <v>3529</v>
      </c>
      <c r="F4211">
        <v>9</v>
      </c>
      <c r="G4211">
        <v>197</v>
      </c>
      <c r="H4211" t="str">
        <f>VLOOKUP(G4211,[1]OPERADORES!$A:$B,2,0)</f>
        <v xml:space="preserve">POLIANA LORRANE DE AMORIM </v>
      </c>
      <c r="I4211" t="s">
        <v>282</v>
      </c>
      <c r="J4211" t="s">
        <v>3530</v>
      </c>
      <c r="K4211" t="s">
        <v>3531</v>
      </c>
      <c r="L4211">
        <v>84389</v>
      </c>
      <c r="M4211" t="s">
        <v>832</v>
      </c>
      <c r="O4211" t="s">
        <v>11</v>
      </c>
      <c r="P4211">
        <v>6403</v>
      </c>
      <c r="Q4211">
        <v>12</v>
      </c>
      <c r="R4211">
        <v>159.9</v>
      </c>
      <c r="S4211" s="2">
        <v>1918.8</v>
      </c>
      <c r="T4211" s="2">
        <v>1651.32</v>
      </c>
      <c r="U4211">
        <v>13.94</v>
      </c>
      <c r="V4211" t="str">
        <f>VLOOKUP(L4211,'[2]tabela de preços'!$A:$D,4,0)</f>
        <v>BRASILUX</v>
      </c>
      <c r="W4211" t="str">
        <f>VLOOKUP(L4211,'[2]tabela de preços'!$A:$F,6,0)</f>
        <v>TINTA PARA PISO</v>
      </c>
      <c r="X4211" t="str">
        <f>VLOOKUP(L4211,'[2]tabela de preços'!$A:$G,7,0)</f>
        <v>IMOBILIÁRIO</v>
      </c>
    </row>
    <row r="4212" spans="1:24" x14ac:dyDescent="0.3">
      <c r="A4212" t="s">
        <v>3527</v>
      </c>
      <c r="C4212" t="s">
        <v>3528</v>
      </c>
      <c r="D4212" s="1">
        <v>46078</v>
      </c>
      <c r="E4212" t="s">
        <v>3529</v>
      </c>
      <c r="F4212">
        <v>9</v>
      </c>
      <c r="G4212">
        <v>197</v>
      </c>
      <c r="H4212" t="str">
        <f>VLOOKUP(G4212,[1]OPERADORES!$A:$B,2,0)</f>
        <v xml:space="preserve">POLIANA LORRANE DE AMORIM </v>
      </c>
      <c r="I4212" t="s">
        <v>282</v>
      </c>
      <c r="J4212" t="s">
        <v>3530</v>
      </c>
      <c r="K4212" t="s">
        <v>3531</v>
      </c>
      <c r="L4212">
        <v>10298</v>
      </c>
      <c r="M4212" t="s">
        <v>85</v>
      </c>
      <c r="O4212" t="s">
        <v>11</v>
      </c>
      <c r="P4212">
        <v>6102</v>
      </c>
      <c r="Q4212">
        <v>20</v>
      </c>
      <c r="R4212">
        <v>54.9</v>
      </c>
      <c r="S4212" s="2">
        <v>1098</v>
      </c>
      <c r="T4212">
        <v>947.6</v>
      </c>
      <c r="U4212">
        <v>13.7</v>
      </c>
      <c r="V4212" t="str">
        <f>VLOOKUP(L4212,'[2]tabela de preços'!$A:$D,4,0)</f>
        <v>ANJO</v>
      </c>
      <c r="W4212" t="str">
        <f>VLOOKUP(L4212,'[2]tabela de preços'!$A:$F,6,0)</f>
        <v>THINNER DE LIMPEZA</v>
      </c>
      <c r="X4212" t="str">
        <f>VLOOKUP(L4212,'[2]tabela de preços'!$A:$G,7,0)</f>
        <v>THINNER</v>
      </c>
    </row>
    <row r="4213" spans="1:24" x14ac:dyDescent="0.3">
      <c r="A4213" t="s">
        <v>3527</v>
      </c>
      <c r="C4213" t="s">
        <v>3528</v>
      </c>
      <c r="D4213" s="1">
        <v>46078</v>
      </c>
      <c r="E4213" t="s">
        <v>3529</v>
      </c>
      <c r="F4213">
        <v>9</v>
      </c>
      <c r="G4213">
        <v>197</v>
      </c>
      <c r="H4213" t="str">
        <f>VLOOKUP(G4213,[1]OPERADORES!$A:$B,2,0)</f>
        <v xml:space="preserve">POLIANA LORRANE DE AMORIM </v>
      </c>
      <c r="I4213" t="s">
        <v>282</v>
      </c>
      <c r="J4213" t="s">
        <v>3530</v>
      </c>
      <c r="K4213" t="s">
        <v>3531</v>
      </c>
      <c r="L4213">
        <v>10297</v>
      </c>
      <c r="M4213" t="s">
        <v>41</v>
      </c>
      <c r="O4213" t="s">
        <v>11</v>
      </c>
      <c r="P4213">
        <v>6102</v>
      </c>
      <c r="Q4213">
        <v>36</v>
      </c>
      <c r="R4213">
        <v>10.49</v>
      </c>
      <c r="S4213">
        <v>377.64</v>
      </c>
      <c r="T4213">
        <v>330.12</v>
      </c>
      <c r="U4213">
        <v>12.58</v>
      </c>
      <c r="V4213" t="str">
        <f>VLOOKUP(L4213,'[2]tabela de preços'!$A:$D,4,0)</f>
        <v>ANJO</v>
      </c>
      <c r="W4213" t="str">
        <f>VLOOKUP(L4213,'[2]tabela de preços'!$A:$F,6,0)</f>
        <v>THINNER DE LIMPEZA</v>
      </c>
      <c r="X4213" t="str">
        <f>VLOOKUP(L4213,'[2]tabela de preços'!$A:$G,7,0)</f>
        <v>THINNER</v>
      </c>
    </row>
    <row r="4214" spans="1:24" x14ac:dyDescent="0.3">
      <c r="A4214" t="s">
        <v>3541</v>
      </c>
      <c r="C4214" t="s">
        <v>3542</v>
      </c>
      <c r="D4214" s="1">
        <v>46078</v>
      </c>
      <c r="E4214" t="s">
        <v>3543</v>
      </c>
      <c r="F4214">
        <v>9</v>
      </c>
      <c r="G4214">
        <v>236</v>
      </c>
      <c r="H4214" t="str">
        <f>VLOOKUP(G4214,[1]OPERADORES!$A:$B,2,0)</f>
        <v>DANIEL</v>
      </c>
      <c r="I4214" t="s">
        <v>21</v>
      </c>
      <c r="J4214" t="s">
        <v>339</v>
      </c>
      <c r="K4214" t="s">
        <v>3544</v>
      </c>
      <c r="L4214">
        <v>84895</v>
      </c>
      <c r="M4214" t="s">
        <v>3545</v>
      </c>
      <c r="O4214" t="s">
        <v>11</v>
      </c>
      <c r="P4214">
        <v>5403</v>
      </c>
      <c r="Q4214">
        <v>1</v>
      </c>
      <c r="R4214">
        <v>175</v>
      </c>
      <c r="S4214">
        <v>175</v>
      </c>
      <c r="T4214">
        <v>121.12</v>
      </c>
      <c r="U4214">
        <v>30.79</v>
      </c>
      <c r="V4214" t="str">
        <f>VLOOKUP(L4214,'[2]tabela de preços'!$A:$D,4,0)</f>
        <v>BRASILUX</v>
      </c>
      <c r="W4214" t="str">
        <f>VLOOKUP(L4214,'[2]tabela de preços'!$A:$F,6,0)</f>
        <v>EPOXI</v>
      </c>
      <c r="X4214" t="str">
        <f>VLOOKUP(L4214,'[2]tabela de preços'!$A:$G,7,0)</f>
        <v>INDUSTRIAL</v>
      </c>
    </row>
    <row r="4215" spans="1:24" x14ac:dyDescent="0.3">
      <c r="A4215" t="s">
        <v>426</v>
      </c>
      <c r="B4215" t="s">
        <v>427</v>
      </c>
      <c r="C4215" t="s">
        <v>3546</v>
      </c>
      <c r="D4215" s="1">
        <v>46078</v>
      </c>
      <c r="E4215" t="s">
        <v>3547</v>
      </c>
      <c r="F4215">
        <v>9</v>
      </c>
      <c r="G4215">
        <v>231</v>
      </c>
      <c r="H4215" t="str">
        <f>VLOOKUP(G4215,[1]OPERADORES!$A:$B,2,0)</f>
        <v>EDIJANE</v>
      </c>
      <c r="I4215" t="s">
        <v>21</v>
      </c>
      <c r="J4215" t="s">
        <v>430</v>
      </c>
      <c r="K4215" t="s">
        <v>431</v>
      </c>
      <c r="L4215">
        <v>23364</v>
      </c>
      <c r="M4215" t="s">
        <v>3548</v>
      </c>
      <c r="O4215" t="s">
        <v>11</v>
      </c>
      <c r="P4215">
        <v>5102</v>
      </c>
      <c r="Q4215">
        <v>9</v>
      </c>
      <c r="R4215">
        <v>6.19</v>
      </c>
      <c r="S4215">
        <v>55.71</v>
      </c>
      <c r="T4215">
        <v>44.19</v>
      </c>
      <c r="U4215">
        <v>20.68</v>
      </c>
      <c r="V4215" t="str">
        <f>VLOOKUP(L4215,'[2]tabela de preços'!$A:$D,4,0)</f>
        <v>AUTO AMERICA</v>
      </c>
      <c r="W4215" t="str">
        <f>VLOOKUP(L4215,'[2]tabela de preços'!$A:$F,6,0)</f>
        <v>FLANELAS / PANOS</v>
      </c>
      <c r="X4215" t="str">
        <f>VLOOKUP(L4215,'[2]tabela de preços'!$A:$G,7,0)</f>
        <v>AUTOMOTIVO</v>
      </c>
    </row>
    <row r="4216" spans="1:24" x14ac:dyDescent="0.3">
      <c r="A4216" t="s">
        <v>426</v>
      </c>
      <c r="B4216" t="s">
        <v>427</v>
      </c>
      <c r="C4216" t="s">
        <v>3549</v>
      </c>
      <c r="D4216" s="1">
        <v>46078</v>
      </c>
      <c r="E4216" t="s">
        <v>3550</v>
      </c>
      <c r="F4216">
        <v>9</v>
      </c>
      <c r="G4216">
        <v>145</v>
      </c>
      <c r="H4216" t="str">
        <f>VLOOKUP(G4216,[1]OPERADORES!$A:$B,2,0)</f>
        <v xml:space="preserve">FABRICIA </v>
      </c>
      <c r="I4216" t="s">
        <v>21</v>
      </c>
      <c r="J4216" t="s">
        <v>430</v>
      </c>
      <c r="K4216" t="s">
        <v>431</v>
      </c>
      <c r="L4216">
        <v>84178</v>
      </c>
      <c r="M4216" t="s">
        <v>2255</v>
      </c>
      <c r="O4216" t="s">
        <v>11</v>
      </c>
      <c r="P4216">
        <v>5405</v>
      </c>
      <c r="Q4216">
        <v>1</v>
      </c>
      <c r="R4216">
        <v>31.16</v>
      </c>
      <c r="S4216">
        <v>31.16</v>
      </c>
      <c r="T4216">
        <v>18.79</v>
      </c>
      <c r="U4216">
        <v>39.700000000000003</v>
      </c>
      <c r="V4216" t="str">
        <f>VLOOKUP(L4216,'[2]tabela de preços'!$A:$D,4,0)</f>
        <v>BRASILUX</v>
      </c>
      <c r="W4216" t="str">
        <f>VLOOKUP(L4216,'[2]tabela de preços'!$A:$F,6,0)</f>
        <v>ESMALTES</v>
      </c>
      <c r="X4216" t="str">
        <f>VLOOKUP(L4216,'[2]tabela de preços'!$A:$G,7,0)</f>
        <v>INDUSTRIAL</v>
      </c>
    </row>
    <row r="4217" spans="1:24" x14ac:dyDescent="0.3">
      <c r="A4217" t="s">
        <v>3551</v>
      </c>
      <c r="C4217" t="s">
        <v>3552</v>
      </c>
      <c r="D4217" s="1">
        <v>46078</v>
      </c>
      <c r="E4217" t="s">
        <v>3553</v>
      </c>
      <c r="F4217">
        <v>9</v>
      </c>
      <c r="G4217">
        <v>236</v>
      </c>
      <c r="H4217" t="str">
        <f>VLOOKUP(G4217,[1]OPERADORES!$A:$B,2,0)</f>
        <v>DANIEL</v>
      </c>
      <c r="I4217" t="s">
        <v>21</v>
      </c>
      <c r="J4217" t="s">
        <v>104</v>
      </c>
      <c r="K4217" t="s">
        <v>3554</v>
      </c>
      <c r="L4217">
        <v>85381</v>
      </c>
      <c r="M4217" t="s">
        <v>3555</v>
      </c>
      <c r="O4217" t="s">
        <v>11</v>
      </c>
      <c r="P4217">
        <v>5102</v>
      </c>
      <c r="Q4217">
        <v>1</v>
      </c>
      <c r="R4217">
        <v>739.98</v>
      </c>
      <c r="S4217">
        <v>739.98</v>
      </c>
      <c r="T4217">
        <v>498.3</v>
      </c>
      <c r="U4217">
        <v>32.659999999999997</v>
      </c>
      <c r="V4217" t="str">
        <f>VLOOKUP(L4217,'[2]tabela de preços'!$A:$D,4,0)</f>
        <v>BRASILUX</v>
      </c>
      <c r="W4217" t="str">
        <f>VLOOKUP(L4217,'[2]tabela de preços'!$A:$F,6,0)</f>
        <v>TINTA EM PÓ</v>
      </c>
      <c r="X4217" t="str">
        <f>VLOOKUP(L4217,'[2]tabela de preços'!$A:$G,7,0)</f>
        <v>INDUSTRIAL</v>
      </c>
    </row>
    <row r="4218" spans="1:24" x14ac:dyDescent="0.3">
      <c r="A4218" t="s">
        <v>3730</v>
      </c>
      <c r="C4218" t="s">
        <v>3731</v>
      </c>
      <c r="D4218" s="1">
        <v>46079</v>
      </c>
      <c r="E4218" t="s">
        <v>3732</v>
      </c>
      <c r="F4218">
        <v>9</v>
      </c>
      <c r="G4218">
        <v>236</v>
      </c>
      <c r="H4218" t="str">
        <f>VLOOKUP(G4218,[1]OPERADORES!$A:$B,2,0)</f>
        <v>DANIEL</v>
      </c>
      <c r="I4218" t="s">
        <v>21</v>
      </c>
      <c r="J4218" t="s">
        <v>3733</v>
      </c>
      <c r="K4218" t="s">
        <v>3734</v>
      </c>
      <c r="L4218">
        <v>84815</v>
      </c>
      <c r="M4218" t="s">
        <v>949</v>
      </c>
      <c r="O4218" t="s">
        <v>11</v>
      </c>
      <c r="P4218">
        <v>5403</v>
      </c>
      <c r="Q4218">
        <v>3</v>
      </c>
      <c r="R4218">
        <v>34.25</v>
      </c>
      <c r="S4218">
        <v>102.75</v>
      </c>
      <c r="T4218">
        <v>73.650000000000006</v>
      </c>
      <c r="U4218">
        <v>28.32</v>
      </c>
      <c r="V4218" t="str">
        <f>VLOOKUP(L4218,'[2]tabela de preços'!$A:$D,4,0)</f>
        <v>BRASILUX</v>
      </c>
      <c r="W4218" t="str">
        <f>VLOOKUP(L4218,'[2]tabela de preços'!$A:$F,6,0)</f>
        <v>KIT BRASCORTEN</v>
      </c>
      <c r="X4218" t="str">
        <f>VLOOKUP(L4218,'[2]tabela de preços'!$A:$G,7,0)</f>
        <v>IMOBILIÁRIO</v>
      </c>
    </row>
    <row r="4219" spans="1:24" x14ac:dyDescent="0.3">
      <c r="A4219" t="s">
        <v>3730</v>
      </c>
      <c r="C4219" t="s">
        <v>3731</v>
      </c>
      <c r="D4219" s="1">
        <v>46079</v>
      </c>
      <c r="E4219" t="s">
        <v>3732</v>
      </c>
      <c r="F4219">
        <v>9</v>
      </c>
      <c r="G4219">
        <v>236</v>
      </c>
      <c r="H4219" t="str">
        <f>VLOOKUP(G4219,[1]OPERADORES!$A:$B,2,0)</f>
        <v>DANIEL</v>
      </c>
      <c r="I4219" t="s">
        <v>21</v>
      </c>
      <c r="J4219" t="s">
        <v>3733</v>
      </c>
      <c r="K4219" t="s">
        <v>3734</v>
      </c>
      <c r="L4219">
        <v>84814</v>
      </c>
      <c r="M4219" t="s">
        <v>950</v>
      </c>
      <c r="O4219" t="s">
        <v>11</v>
      </c>
      <c r="P4219">
        <v>5403</v>
      </c>
      <c r="Q4219">
        <v>3</v>
      </c>
      <c r="R4219">
        <v>125.93</v>
      </c>
      <c r="S4219">
        <v>377.79</v>
      </c>
      <c r="T4219">
        <v>270.81</v>
      </c>
      <c r="U4219">
        <v>28.32</v>
      </c>
      <c r="V4219" t="str">
        <f>VLOOKUP(L4219,'[2]tabela de preços'!$A:$D,4,0)</f>
        <v>BRASILUX</v>
      </c>
      <c r="W4219" t="str">
        <f>VLOOKUP(L4219,'[2]tabela de preços'!$A:$F,6,0)</f>
        <v>KIT BRASCORTEN</v>
      </c>
      <c r="X4219" t="str">
        <f>VLOOKUP(L4219,'[2]tabela de preços'!$A:$G,7,0)</f>
        <v>IMOBILIÁRIO</v>
      </c>
    </row>
    <row r="4220" spans="1:24" x14ac:dyDescent="0.3">
      <c r="A4220" t="s">
        <v>3730</v>
      </c>
      <c r="C4220" t="s">
        <v>3731</v>
      </c>
      <c r="D4220" s="1">
        <v>46079</v>
      </c>
      <c r="E4220" t="s">
        <v>3732</v>
      </c>
      <c r="F4220">
        <v>9</v>
      </c>
      <c r="G4220">
        <v>236</v>
      </c>
      <c r="H4220" t="str">
        <f>VLOOKUP(G4220,[1]OPERADORES!$A:$B,2,0)</f>
        <v>DANIEL</v>
      </c>
      <c r="I4220" t="s">
        <v>21</v>
      </c>
      <c r="J4220" t="s">
        <v>3733</v>
      </c>
      <c r="K4220" t="s">
        <v>3734</v>
      </c>
      <c r="L4220">
        <v>84928</v>
      </c>
      <c r="M4220" t="s">
        <v>36</v>
      </c>
      <c r="O4220" t="s">
        <v>11</v>
      </c>
      <c r="P4220">
        <v>5102</v>
      </c>
      <c r="Q4220">
        <v>2</v>
      </c>
      <c r="R4220">
        <v>9.9499999999999993</v>
      </c>
      <c r="S4220">
        <v>19.899999999999999</v>
      </c>
      <c r="T4220">
        <v>14.26</v>
      </c>
      <c r="U4220">
        <v>28.34</v>
      </c>
      <c r="V4220" t="str">
        <f>VLOOKUP(L4220,'[2]tabela de preços'!$A:$D,4,0)</f>
        <v>ADERE</v>
      </c>
      <c r="W4220" t="str">
        <f>VLOOKUP(L4220,'[2]tabela de preços'!$A:$F,6,0)</f>
        <v xml:space="preserve">FITA DE USO GERAL </v>
      </c>
      <c r="X4220" t="str">
        <f>VLOOKUP(L4220,'[2]tabela de preços'!$A:$G,7,0)</f>
        <v>IMOBILIÁRIO</v>
      </c>
    </row>
    <row r="4221" spans="1:24" x14ac:dyDescent="0.3">
      <c r="A4221" t="s">
        <v>3730</v>
      </c>
      <c r="C4221" t="s">
        <v>3731</v>
      </c>
      <c r="D4221" s="1">
        <v>46079</v>
      </c>
      <c r="E4221" t="s">
        <v>3732</v>
      </c>
      <c r="F4221">
        <v>9</v>
      </c>
      <c r="G4221">
        <v>236</v>
      </c>
      <c r="H4221" t="str">
        <f>VLOOKUP(G4221,[1]OPERADORES!$A:$B,2,0)</f>
        <v>DANIEL</v>
      </c>
      <c r="I4221" t="s">
        <v>21</v>
      </c>
      <c r="J4221" t="s">
        <v>3733</v>
      </c>
      <c r="K4221" t="s">
        <v>3734</v>
      </c>
      <c r="L4221">
        <v>84209</v>
      </c>
      <c r="M4221" t="s">
        <v>1037</v>
      </c>
      <c r="O4221" t="s">
        <v>11</v>
      </c>
      <c r="P4221">
        <v>5403</v>
      </c>
      <c r="Q4221">
        <v>3</v>
      </c>
      <c r="R4221">
        <v>101.49</v>
      </c>
      <c r="S4221">
        <v>304.47000000000003</v>
      </c>
      <c r="T4221">
        <v>218.28</v>
      </c>
      <c r="U4221">
        <v>28.31</v>
      </c>
      <c r="V4221" t="str">
        <f>VLOOKUP(L4221,'[2]tabela de preços'!$A:$D,4,0)</f>
        <v>BRASILUX</v>
      </c>
      <c r="W4221" t="str">
        <f>VLOOKUP(L4221,'[2]tabela de preços'!$A:$F,6,0)</f>
        <v>ESMALTES</v>
      </c>
      <c r="X4221" t="str">
        <f>VLOOKUP(L4221,'[2]tabela de preços'!$A:$G,7,0)</f>
        <v>INDUSTRIAL</v>
      </c>
    </row>
    <row r="4222" spans="1:24" x14ac:dyDescent="0.3">
      <c r="A4222" t="s">
        <v>3730</v>
      </c>
      <c r="C4222" t="s">
        <v>3731</v>
      </c>
      <c r="D4222" s="1">
        <v>46079</v>
      </c>
      <c r="E4222" t="s">
        <v>3732</v>
      </c>
      <c r="F4222">
        <v>9</v>
      </c>
      <c r="G4222">
        <v>236</v>
      </c>
      <c r="H4222" t="str">
        <f>VLOOKUP(G4222,[1]OPERADORES!$A:$B,2,0)</f>
        <v>DANIEL</v>
      </c>
      <c r="I4222" t="s">
        <v>21</v>
      </c>
      <c r="J4222" t="s">
        <v>3733</v>
      </c>
      <c r="K4222" t="s">
        <v>3734</v>
      </c>
      <c r="L4222">
        <v>85139</v>
      </c>
      <c r="M4222" t="s">
        <v>45</v>
      </c>
      <c r="O4222" t="s">
        <v>46</v>
      </c>
      <c r="P4222">
        <v>5403</v>
      </c>
      <c r="Q4222">
        <v>1</v>
      </c>
      <c r="R4222">
        <v>109.34</v>
      </c>
      <c r="S4222">
        <v>109.34</v>
      </c>
      <c r="T4222">
        <v>78.38</v>
      </c>
      <c r="U4222">
        <v>28.32</v>
      </c>
      <c r="V4222" t="str">
        <f>VLOOKUP(L4222,'[2]tabela de preços'!$A:$D,4,0)</f>
        <v>MULTILONA</v>
      </c>
      <c r="W4222" t="str">
        <f>VLOOKUP(L4222,'[2]tabela de preços'!$A:$F,6,0)</f>
        <v>LONAS</v>
      </c>
      <c r="X4222" t="str">
        <f>VLOOKUP(L4222,'[2]tabela de preços'!$A:$G,7,0)</f>
        <v>IMOBILIÁRIO</v>
      </c>
    </row>
    <row r="4223" spans="1:24" x14ac:dyDescent="0.3">
      <c r="A4223" t="s">
        <v>3730</v>
      </c>
      <c r="C4223" t="s">
        <v>3731</v>
      </c>
      <c r="D4223" s="1">
        <v>46079</v>
      </c>
      <c r="E4223" t="s">
        <v>3732</v>
      </c>
      <c r="F4223">
        <v>9</v>
      </c>
      <c r="G4223">
        <v>236</v>
      </c>
      <c r="H4223" t="str">
        <f>VLOOKUP(G4223,[1]OPERADORES!$A:$B,2,0)</f>
        <v>DANIEL</v>
      </c>
      <c r="I4223" t="s">
        <v>21</v>
      </c>
      <c r="J4223" t="s">
        <v>3733</v>
      </c>
      <c r="K4223" t="s">
        <v>3734</v>
      </c>
      <c r="L4223">
        <v>10298</v>
      </c>
      <c r="M4223" t="s">
        <v>85</v>
      </c>
      <c r="O4223" t="s">
        <v>11</v>
      </c>
      <c r="P4223">
        <v>5102</v>
      </c>
      <c r="Q4223">
        <v>1</v>
      </c>
      <c r="R4223">
        <v>56.89</v>
      </c>
      <c r="S4223">
        <v>56.89</v>
      </c>
      <c r="T4223">
        <v>47.38</v>
      </c>
      <c r="U4223">
        <v>16.72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528</v>
      </c>
      <c r="C4224" t="s">
        <v>3735</v>
      </c>
      <c r="D4224" s="1">
        <v>46079</v>
      </c>
      <c r="E4224" t="s">
        <v>3736</v>
      </c>
      <c r="F4224">
        <v>9</v>
      </c>
      <c r="G4224">
        <v>231</v>
      </c>
      <c r="H4224" t="str">
        <f>VLOOKUP(G4224,[1]OPERADORES!$A:$B,2,0)</f>
        <v>EDIJANE</v>
      </c>
      <c r="I4224" t="s">
        <v>21</v>
      </c>
      <c r="J4224" t="s">
        <v>531</v>
      </c>
      <c r="K4224" t="s">
        <v>532</v>
      </c>
      <c r="L4224">
        <v>85316</v>
      </c>
      <c r="M4224" t="s">
        <v>365</v>
      </c>
      <c r="O4224" t="s">
        <v>11</v>
      </c>
      <c r="P4224">
        <v>5102</v>
      </c>
      <c r="Q4224">
        <v>1</v>
      </c>
      <c r="R4224">
        <v>668</v>
      </c>
      <c r="S4224">
        <v>668</v>
      </c>
      <c r="T4224">
        <v>478.31</v>
      </c>
      <c r="U4224">
        <v>28.4</v>
      </c>
      <c r="V4224" t="str">
        <f>VLOOKUP(L4224,'[2]tabela de preços'!$A:$D,4,0)</f>
        <v>BRASILUX</v>
      </c>
      <c r="W4224" t="str">
        <f>VLOOKUP(L4224,'[2]tabela de preços'!$A:$F,6,0)</f>
        <v>TINTA EM PÓ</v>
      </c>
      <c r="X4224" t="str">
        <f>VLOOKUP(L4224,'[2]tabela de preços'!$A:$G,7,0)</f>
        <v>INDUSTRIAL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20194</v>
      </c>
      <c r="M4225" t="s">
        <v>701</v>
      </c>
      <c r="O4225" t="s">
        <v>11</v>
      </c>
      <c r="P4225">
        <v>5403</v>
      </c>
      <c r="Q4225">
        <v>1</v>
      </c>
      <c r="R4225">
        <v>340.46</v>
      </c>
      <c r="S4225">
        <v>340.46</v>
      </c>
      <c r="T4225">
        <v>222.52</v>
      </c>
      <c r="U4225">
        <v>34.64</v>
      </c>
      <c r="V4225" t="str">
        <f>VLOOKUP(L4225,'[2]tabela de preços'!$A:$D,4,0)</f>
        <v>SIKKENS</v>
      </c>
      <c r="W4225" t="str">
        <f>VLOOKUP(L4225,'[2]tabela de preços'!$A:$F,6,0)</f>
        <v>VERNIZ AUTOMOTIVO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10067</v>
      </c>
      <c r="M4226" t="s">
        <v>177</v>
      </c>
      <c r="O4226" t="s">
        <v>11</v>
      </c>
      <c r="P4226">
        <v>5102</v>
      </c>
      <c r="Q4226">
        <v>1</v>
      </c>
      <c r="R4226">
        <v>96.94</v>
      </c>
      <c r="S4226">
        <v>96.94</v>
      </c>
      <c r="T4226">
        <v>73.58</v>
      </c>
      <c r="U4226">
        <v>24.1</v>
      </c>
      <c r="V4226" t="str">
        <f>VLOOKUP(L4226,'[2]tabela de preços'!$A:$D,4,0)</f>
        <v>3M</v>
      </c>
      <c r="W4226" t="str">
        <f>VLOOKUP(L4226,'[2]tabela de preços'!$A:$F,6,0)</f>
        <v>BOINAS PARA POLIMENTO</v>
      </c>
      <c r="X4226" t="str">
        <f>VLOOKUP(L4226,'[2]tabela de preços'!$A:$G,7,0)</f>
        <v>AUTOMOTIVO</v>
      </c>
    </row>
    <row r="4227" spans="1:24" x14ac:dyDescent="0.3">
      <c r="A4227" t="s">
        <v>626</v>
      </c>
      <c r="B4227" t="s">
        <v>627</v>
      </c>
      <c r="C4227" t="s">
        <v>3564</v>
      </c>
      <c r="D4227" s="1">
        <v>46078</v>
      </c>
      <c r="E4227" t="s">
        <v>3565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630</v>
      </c>
      <c r="K4227" t="s">
        <v>631</v>
      </c>
      <c r="L4227">
        <v>84564</v>
      </c>
      <c r="M4227" t="s">
        <v>2176</v>
      </c>
      <c r="O4227" t="s">
        <v>11</v>
      </c>
      <c r="P4227">
        <v>5403</v>
      </c>
      <c r="Q4227">
        <v>1</v>
      </c>
      <c r="R4227">
        <v>24.07</v>
      </c>
      <c r="S4227">
        <v>24.07</v>
      </c>
      <c r="T4227">
        <v>18.27</v>
      </c>
      <c r="U4227">
        <v>24.1</v>
      </c>
      <c r="V4227" t="str">
        <f>VLOOKUP(L4227,'[2]tabela de preços'!$A:$D,4,0)</f>
        <v>BRASILUX</v>
      </c>
      <c r="W4227" t="str">
        <f>VLOOKUP(L4227,'[2]tabela de preços'!$A:$F,6,0)</f>
        <v>PRETO FOSCO VINÍLICO</v>
      </c>
      <c r="X4227" t="str">
        <f>VLOOKUP(L4227,'[2]tabela de preços'!$A:$G,7,0)</f>
        <v>AUTOMOTIVO</v>
      </c>
    </row>
    <row r="4228" spans="1:24" x14ac:dyDescent="0.3">
      <c r="A4228" t="s">
        <v>626</v>
      </c>
      <c r="B4228" t="s">
        <v>627</v>
      </c>
      <c r="C4228" t="s">
        <v>3564</v>
      </c>
      <c r="D4228" s="1">
        <v>46078</v>
      </c>
      <c r="E4228" t="s">
        <v>3565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630</v>
      </c>
      <c r="K4228" t="s">
        <v>631</v>
      </c>
      <c r="L4228">
        <v>84565</v>
      </c>
      <c r="M4228" t="s">
        <v>236</v>
      </c>
      <c r="O4228" t="s">
        <v>11</v>
      </c>
      <c r="P4228">
        <v>5102</v>
      </c>
      <c r="Q4228">
        <v>1</v>
      </c>
      <c r="R4228">
        <v>9.24</v>
      </c>
      <c r="S4228">
        <v>9.24</v>
      </c>
      <c r="T4228">
        <v>7.01</v>
      </c>
      <c r="U4228">
        <v>24.13</v>
      </c>
      <c r="V4228" t="str">
        <f>VLOOKUP(L4228,'[2]tabela de preços'!$A:$D,4,0)</f>
        <v>BRASILUX</v>
      </c>
      <c r="W4228" t="str">
        <f>VLOOKUP(L4228,'[2]tabela de preços'!$A:$F,6,0)</f>
        <v>PRETO FOSCO VINÍLICO</v>
      </c>
      <c r="X4228" t="str">
        <f>VLOOKUP(L4228,'[2]tabela de preços'!$A:$G,7,0)</f>
        <v>AUTOMOTIVO</v>
      </c>
    </row>
    <row r="4229" spans="1:24" x14ac:dyDescent="0.3">
      <c r="A4229" t="s">
        <v>626</v>
      </c>
      <c r="B4229" t="s">
        <v>627</v>
      </c>
      <c r="C4229" t="s">
        <v>3564</v>
      </c>
      <c r="D4229" s="1">
        <v>46078</v>
      </c>
      <c r="E4229" t="s">
        <v>3565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630</v>
      </c>
      <c r="K4229" t="s">
        <v>631</v>
      </c>
      <c r="L4229">
        <v>24248</v>
      </c>
      <c r="M4229" t="s">
        <v>107</v>
      </c>
      <c r="O4229" t="s">
        <v>11</v>
      </c>
      <c r="P4229">
        <v>5102</v>
      </c>
      <c r="Q4229">
        <v>12</v>
      </c>
      <c r="R4229">
        <v>8</v>
      </c>
      <c r="S4229">
        <v>96</v>
      </c>
      <c r="T4229">
        <v>78</v>
      </c>
      <c r="U4229">
        <v>18.75</v>
      </c>
      <c r="V4229" t="str">
        <f>VLOOKUP(L4229,'[2]tabela de preços'!$A:$D,4,0)</f>
        <v>SHERWIN WILLIAMS</v>
      </c>
      <c r="W4229" t="str">
        <f>VLOOKUP(L4229,'[2]tabela de preços'!$A:$F,6,0)</f>
        <v>PRIMER AUTOMOTIVO</v>
      </c>
      <c r="X4229" t="str">
        <f>VLOOKUP(L4229,'[2]tabela de preços'!$A:$G,7,0)</f>
        <v>AUTOMOTIVO</v>
      </c>
    </row>
    <row r="4230" spans="1:24" x14ac:dyDescent="0.3">
      <c r="A4230" t="s">
        <v>626</v>
      </c>
      <c r="B4230" t="s">
        <v>627</v>
      </c>
      <c r="C4230" t="s">
        <v>3564</v>
      </c>
      <c r="D4230" s="1">
        <v>46078</v>
      </c>
      <c r="E4230" t="s">
        <v>3565</v>
      </c>
      <c r="F4230">
        <v>9</v>
      </c>
      <c r="G4230">
        <v>174</v>
      </c>
      <c r="H4230" t="str">
        <f>VLOOKUP(G4230,[1]OPERADORES!$A:$B,2,0)</f>
        <v>MIRIÃ LOBATO RODRIGUES</v>
      </c>
      <c r="I4230" t="s">
        <v>21</v>
      </c>
      <c r="J4230" t="s">
        <v>630</v>
      </c>
      <c r="K4230" t="s">
        <v>631</v>
      </c>
      <c r="L4230">
        <v>20245</v>
      </c>
      <c r="M4230" t="s">
        <v>146</v>
      </c>
      <c r="O4230" t="s">
        <v>11</v>
      </c>
      <c r="P4230">
        <v>5102</v>
      </c>
      <c r="Q4230">
        <v>12</v>
      </c>
      <c r="R4230">
        <v>1.78</v>
      </c>
      <c r="S4230">
        <v>21.36</v>
      </c>
      <c r="T4230">
        <v>16.2</v>
      </c>
      <c r="U4230">
        <v>24.16</v>
      </c>
      <c r="V4230" t="str">
        <f>VLOOKUP(L4230,'[2]tabela de preços'!$A:$D,4,0)</f>
        <v>ATLAS</v>
      </c>
      <c r="W4230" t="str">
        <f>VLOOKUP(L4230,'[2]tabela de preços'!$A:$F,6,0)</f>
        <v>APLICADORES / ADAPTADORES / ENGATES / SUPORTES</v>
      </c>
      <c r="X4230" t="str">
        <f>VLOOKUP(L4230,'[2]tabela de preços'!$A:$G,7,0)</f>
        <v>AUTOMOTIVO</v>
      </c>
    </row>
    <row r="4231" spans="1:24" x14ac:dyDescent="0.3">
      <c r="A4231" t="s">
        <v>626</v>
      </c>
      <c r="B4231" t="s">
        <v>627</v>
      </c>
      <c r="C4231" t="s">
        <v>3564</v>
      </c>
      <c r="D4231" s="1">
        <v>46078</v>
      </c>
      <c r="E4231" t="s">
        <v>3565</v>
      </c>
      <c r="F4231">
        <v>9</v>
      </c>
      <c r="G4231">
        <v>174</v>
      </c>
      <c r="H4231" t="str">
        <f>VLOOKUP(G4231,[1]OPERADORES!$A:$B,2,0)</f>
        <v>MIRIÃ LOBATO RODRIGUES</v>
      </c>
      <c r="I4231" t="s">
        <v>21</v>
      </c>
      <c r="J4231" t="s">
        <v>630</v>
      </c>
      <c r="K4231" t="s">
        <v>631</v>
      </c>
      <c r="L4231">
        <v>22684</v>
      </c>
      <c r="M4231" t="s">
        <v>73</v>
      </c>
      <c r="O4231" t="s">
        <v>11</v>
      </c>
      <c r="P4231">
        <v>5102</v>
      </c>
      <c r="Q4231">
        <v>160</v>
      </c>
      <c r="R4231">
        <v>3.65</v>
      </c>
      <c r="S4231">
        <v>584</v>
      </c>
      <c r="T4231">
        <v>492.8</v>
      </c>
      <c r="U4231">
        <v>15.62</v>
      </c>
      <c r="V4231" t="str">
        <f>VLOOKUP(L4231,'[2]tabela de preços'!$A:$D,4,0)</f>
        <v>3M</v>
      </c>
      <c r="W4231" t="str">
        <f>VLOOKUP(L4231,'[2]tabela de preços'!$A:$F,6,0)</f>
        <v>FITA AUTOMOTIVA</v>
      </c>
      <c r="X4231" t="str">
        <f>VLOOKUP(L4231,'[2]tabela de preços'!$A:$G,7,0)</f>
        <v>AUTOMOTIVO</v>
      </c>
    </row>
    <row r="4232" spans="1:24" x14ac:dyDescent="0.3">
      <c r="A4232" t="s">
        <v>626</v>
      </c>
      <c r="B4232" t="s">
        <v>627</v>
      </c>
      <c r="C4232" t="s">
        <v>3564</v>
      </c>
      <c r="D4232" s="1">
        <v>46078</v>
      </c>
      <c r="E4232" t="s">
        <v>3565</v>
      </c>
      <c r="F4232">
        <v>9</v>
      </c>
      <c r="G4232">
        <v>174</v>
      </c>
      <c r="H4232" t="str">
        <f>VLOOKUP(G4232,[1]OPERADORES!$A:$B,2,0)</f>
        <v>MIRIÃ LOBATO RODRIGUES</v>
      </c>
      <c r="I4232" t="s">
        <v>21</v>
      </c>
      <c r="J4232" t="s">
        <v>630</v>
      </c>
      <c r="K4232" t="s">
        <v>631</v>
      </c>
      <c r="L4232">
        <v>22233</v>
      </c>
      <c r="M4232" t="s">
        <v>184</v>
      </c>
      <c r="O4232" t="s">
        <v>11</v>
      </c>
      <c r="P4232">
        <v>5102</v>
      </c>
      <c r="Q4232">
        <v>3</v>
      </c>
      <c r="R4232">
        <v>30.17</v>
      </c>
      <c r="S4232">
        <v>90.51</v>
      </c>
      <c r="T4232">
        <v>68.7</v>
      </c>
      <c r="U4232">
        <v>24.1</v>
      </c>
      <c r="V4232" t="str">
        <f>VLOOKUP(L4232,'[2]tabela de preços'!$A:$D,4,0)</f>
        <v>3M</v>
      </c>
      <c r="W4232" t="str">
        <f>VLOOKUP(L4232,'[2]tabela de preços'!$A:$F,6,0)</f>
        <v>FITA DUPLA FACE</v>
      </c>
      <c r="X4232" t="str">
        <f>VLOOKUP(L4232,'[2]tabela de preços'!$A:$G,7,0)</f>
        <v>AUTOMOTIVO</v>
      </c>
    </row>
    <row r="4233" spans="1:24" x14ac:dyDescent="0.3">
      <c r="A4233" t="s">
        <v>626</v>
      </c>
      <c r="B4233" t="s">
        <v>627</v>
      </c>
      <c r="C4233" t="s">
        <v>3564</v>
      </c>
      <c r="D4233" s="1">
        <v>46078</v>
      </c>
      <c r="E4233" t="s">
        <v>3565</v>
      </c>
      <c r="F4233">
        <v>9</v>
      </c>
      <c r="G4233">
        <v>174</v>
      </c>
      <c r="H4233" t="str">
        <f>VLOOKUP(G4233,[1]OPERADORES!$A:$B,2,0)</f>
        <v>MIRIÃ LOBATO RODRIGUES</v>
      </c>
      <c r="I4233" t="s">
        <v>21</v>
      </c>
      <c r="J4233" t="s">
        <v>630</v>
      </c>
      <c r="K4233" t="s">
        <v>631</v>
      </c>
      <c r="L4233">
        <v>23364</v>
      </c>
      <c r="M4233" t="s">
        <v>3548</v>
      </c>
      <c r="O4233" t="s">
        <v>11</v>
      </c>
      <c r="P4233">
        <v>5102</v>
      </c>
      <c r="Q4233">
        <v>10</v>
      </c>
      <c r="R4233">
        <v>6.19</v>
      </c>
      <c r="S4233">
        <v>61.9</v>
      </c>
      <c r="T4233">
        <v>49.1</v>
      </c>
      <c r="U4233">
        <v>20.68</v>
      </c>
      <c r="V4233" t="str">
        <f>VLOOKUP(L4233,'[2]tabela de preços'!$A:$D,4,0)</f>
        <v>AUTO AMERICA</v>
      </c>
      <c r="W4233" t="str">
        <f>VLOOKUP(L4233,'[2]tabela de preços'!$A:$F,6,0)</f>
        <v>FLANELAS / PANOS</v>
      </c>
      <c r="X4233" t="str">
        <f>VLOOKUP(L4233,'[2]tabela de preços'!$A:$G,7,0)</f>
        <v>AUTOMOTIVO</v>
      </c>
    </row>
    <row r="4234" spans="1:24" x14ac:dyDescent="0.3">
      <c r="A4234" t="s">
        <v>626</v>
      </c>
      <c r="B4234" t="s">
        <v>627</v>
      </c>
      <c r="C4234" t="s">
        <v>3564</v>
      </c>
      <c r="D4234" s="1">
        <v>46078</v>
      </c>
      <c r="E4234" t="s">
        <v>3565</v>
      </c>
      <c r="F4234">
        <v>9</v>
      </c>
      <c r="G4234">
        <v>174</v>
      </c>
      <c r="H4234" t="str">
        <f>VLOOKUP(G4234,[1]OPERADORES!$A:$B,2,0)</f>
        <v>MIRIÃ LOBATO RODRIGUES</v>
      </c>
      <c r="I4234" t="s">
        <v>21</v>
      </c>
      <c r="J4234" t="s">
        <v>630</v>
      </c>
      <c r="K4234" t="s">
        <v>631</v>
      </c>
      <c r="L4234">
        <v>9773</v>
      </c>
      <c r="M4234" t="s">
        <v>703</v>
      </c>
      <c r="O4234" t="s">
        <v>11</v>
      </c>
      <c r="P4234">
        <v>5102</v>
      </c>
      <c r="Q4234">
        <v>2</v>
      </c>
      <c r="R4234">
        <v>95.77</v>
      </c>
      <c r="S4234">
        <v>191.54</v>
      </c>
      <c r="T4234">
        <v>145.38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CATALISADORES INDIVIDUAS</v>
      </c>
      <c r="X4234" t="str">
        <f>VLOOKUP(L4234,'[2]tabela de preços'!$A:$G,7,0)</f>
        <v>AUTOMOTIVO</v>
      </c>
    </row>
    <row r="4235" spans="1:24" x14ac:dyDescent="0.3">
      <c r="A4235" t="s">
        <v>626</v>
      </c>
      <c r="B4235" t="s">
        <v>627</v>
      </c>
      <c r="C4235" t="s">
        <v>3564</v>
      </c>
      <c r="D4235" s="1">
        <v>46078</v>
      </c>
      <c r="E4235" t="s">
        <v>3565</v>
      </c>
      <c r="F4235">
        <v>9</v>
      </c>
      <c r="G4235">
        <v>174</v>
      </c>
      <c r="H4235" t="str">
        <f>VLOOKUP(G4235,[1]OPERADORES!$A:$B,2,0)</f>
        <v>MIRIÃ LOBATO RODRIGUES</v>
      </c>
      <c r="I4235" t="s">
        <v>21</v>
      </c>
      <c r="J4235" t="s">
        <v>630</v>
      </c>
      <c r="K4235" t="s">
        <v>631</v>
      </c>
      <c r="L4235">
        <v>9775</v>
      </c>
      <c r="M4235" t="s">
        <v>708</v>
      </c>
      <c r="O4235" t="s">
        <v>11</v>
      </c>
      <c r="P4235">
        <v>5102</v>
      </c>
      <c r="Q4235">
        <v>1</v>
      </c>
      <c r="R4235">
        <v>54.57</v>
      </c>
      <c r="S4235">
        <v>54.57</v>
      </c>
      <c r="T4235">
        <v>41.42</v>
      </c>
      <c r="U4235">
        <v>24.1</v>
      </c>
      <c r="V4235" t="str">
        <f>VLOOKUP(L4235,'[2]tabela de preços'!$A:$D,4,0)</f>
        <v>SIKKENS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626</v>
      </c>
      <c r="B4236" t="s">
        <v>627</v>
      </c>
      <c r="C4236" t="s">
        <v>3564</v>
      </c>
      <c r="D4236" s="1">
        <v>46078</v>
      </c>
      <c r="E4236" t="s">
        <v>3565</v>
      </c>
      <c r="F4236">
        <v>9</v>
      </c>
      <c r="G4236">
        <v>174</v>
      </c>
      <c r="H4236" t="str">
        <f>VLOOKUP(G4236,[1]OPERADORES!$A:$B,2,0)</f>
        <v>MIRIÃ LOBATO RODRIGUES</v>
      </c>
      <c r="I4236" t="s">
        <v>21</v>
      </c>
      <c r="J4236" t="s">
        <v>630</v>
      </c>
      <c r="K4236" t="s">
        <v>631</v>
      </c>
      <c r="L4236">
        <v>23076</v>
      </c>
      <c r="M4236" t="s">
        <v>97</v>
      </c>
      <c r="O4236" t="s">
        <v>11</v>
      </c>
      <c r="P4236">
        <v>5403</v>
      </c>
      <c r="Q4236">
        <v>6</v>
      </c>
      <c r="R4236">
        <v>34.89</v>
      </c>
      <c r="S4236">
        <v>209.34</v>
      </c>
      <c r="T4236">
        <v>159.18</v>
      </c>
      <c r="U4236">
        <v>23.96</v>
      </c>
      <c r="V4236" t="str">
        <f>VLOOKUP(L4236,'[2]tabela de preços'!$A:$D,4,0)</f>
        <v>WANDA</v>
      </c>
      <c r="W4236" t="str">
        <f>VLOOKUP(L4236,'[2]tabela de preços'!$A:$F,6,0)</f>
        <v>PRIMER AUTOMOTIVO</v>
      </c>
      <c r="X4236" t="str">
        <f>VLOOKUP(L4236,'[2]tabela de preços'!$A:$G,7,0)</f>
        <v>AUTOMOTIVO</v>
      </c>
    </row>
    <row r="4237" spans="1:24" x14ac:dyDescent="0.3">
      <c r="A4237" t="s">
        <v>626</v>
      </c>
      <c r="B4237" t="s">
        <v>627</v>
      </c>
      <c r="C4237" t="s">
        <v>3564</v>
      </c>
      <c r="D4237" s="1">
        <v>46078</v>
      </c>
      <c r="E4237" t="s">
        <v>3565</v>
      </c>
      <c r="F4237">
        <v>9</v>
      </c>
      <c r="G4237">
        <v>174</v>
      </c>
      <c r="H4237" t="str">
        <f>VLOOKUP(G4237,[1]OPERADORES!$A:$B,2,0)</f>
        <v>MIRIÃ LOBATO RODRIGUES</v>
      </c>
      <c r="I4237" t="s">
        <v>21</v>
      </c>
      <c r="J4237" t="s">
        <v>630</v>
      </c>
      <c r="K4237" t="s">
        <v>631</v>
      </c>
      <c r="L4237">
        <v>23690</v>
      </c>
      <c r="M4237" t="s">
        <v>98</v>
      </c>
      <c r="O4237" t="s">
        <v>11</v>
      </c>
      <c r="P4237">
        <v>5403</v>
      </c>
      <c r="Q4237">
        <v>6</v>
      </c>
      <c r="R4237">
        <v>39.89</v>
      </c>
      <c r="S4237">
        <v>239.34</v>
      </c>
      <c r="T4237">
        <v>189.66</v>
      </c>
      <c r="U4237">
        <v>20.76</v>
      </c>
      <c r="V4237" t="str">
        <f>VLOOKUP(L4237,'[2]tabela de preços'!$A:$D,4,0)</f>
        <v>WANDA</v>
      </c>
      <c r="W4237" t="str">
        <f>VLOOKUP(L4237,'[2]tabela de preços'!$A:$F,6,0)</f>
        <v>VERNIZ AUTOMOTIVO</v>
      </c>
      <c r="X4237" t="str">
        <f>VLOOKUP(L4237,'[2]tabela de preços'!$A:$G,7,0)</f>
        <v>AUTOMOTIVO</v>
      </c>
    </row>
    <row r="4238" spans="1:24" x14ac:dyDescent="0.3">
      <c r="A4238" t="s">
        <v>626</v>
      </c>
      <c r="B4238" t="s">
        <v>627</v>
      </c>
      <c r="C4238" t="s">
        <v>3564</v>
      </c>
      <c r="D4238" s="1">
        <v>46078</v>
      </c>
      <c r="E4238" t="s">
        <v>3565</v>
      </c>
      <c r="F4238">
        <v>9</v>
      </c>
      <c r="G4238">
        <v>174</v>
      </c>
      <c r="H4238" t="str">
        <f>VLOOKUP(G4238,[1]OPERADORES!$A:$B,2,0)</f>
        <v>MIRIÃ LOBATO RODRIGUES</v>
      </c>
      <c r="I4238" t="s">
        <v>21</v>
      </c>
      <c r="J4238" t="s">
        <v>630</v>
      </c>
      <c r="K4238" t="s">
        <v>631</v>
      </c>
      <c r="L4238">
        <v>20325</v>
      </c>
      <c r="M4238" t="s">
        <v>150</v>
      </c>
      <c r="O4238" t="s">
        <v>11</v>
      </c>
      <c r="P4238">
        <v>5403</v>
      </c>
      <c r="Q4238">
        <v>2</v>
      </c>
      <c r="R4238">
        <v>32.299999999999997</v>
      </c>
      <c r="S4238">
        <v>64.599999999999994</v>
      </c>
      <c r="T4238">
        <v>46.06</v>
      </c>
      <c r="U4238">
        <v>28.7</v>
      </c>
      <c r="V4238" t="str">
        <f>VLOOKUP(L4238,'[2]tabela de preços'!$A:$D,4,0)</f>
        <v>SHERWIN WILLIAMS</v>
      </c>
      <c r="W4238" t="str">
        <f>VLOOKUP(L4238,'[2]tabela de preços'!$A:$F,6,0)</f>
        <v>TINTAS POLIÉSTER</v>
      </c>
      <c r="X4238" t="str">
        <f>VLOOKUP(L4238,'[2]tabela de preços'!$A:$G,7,0)</f>
        <v>AUTOMOTIVO</v>
      </c>
    </row>
    <row r="4239" spans="1:24" x14ac:dyDescent="0.3">
      <c r="A4239" t="s">
        <v>626</v>
      </c>
      <c r="B4239" t="s">
        <v>627</v>
      </c>
      <c r="C4239" t="s">
        <v>3564</v>
      </c>
      <c r="D4239" s="1">
        <v>46078</v>
      </c>
      <c r="E4239" t="s">
        <v>3565</v>
      </c>
      <c r="F4239">
        <v>9</v>
      </c>
      <c r="G4239">
        <v>174</v>
      </c>
      <c r="H4239" t="str">
        <f>VLOOKUP(G4239,[1]OPERADORES!$A:$B,2,0)</f>
        <v>MIRIÃ LOBATO RODRIGUES</v>
      </c>
      <c r="I4239" t="s">
        <v>21</v>
      </c>
      <c r="J4239" t="s">
        <v>630</v>
      </c>
      <c r="K4239" t="s">
        <v>631</v>
      </c>
      <c r="L4239">
        <v>20383</v>
      </c>
      <c r="M4239" t="s">
        <v>129</v>
      </c>
      <c r="O4239" t="s">
        <v>11</v>
      </c>
      <c r="P4239">
        <v>5403</v>
      </c>
      <c r="Q4239">
        <v>2</v>
      </c>
      <c r="R4239">
        <v>33.79</v>
      </c>
      <c r="S4239">
        <v>67.58</v>
      </c>
      <c r="T4239">
        <v>48.18</v>
      </c>
      <c r="U4239">
        <v>28.71</v>
      </c>
      <c r="V4239" t="str">
        <f>VLOOKUP(L4239,'[2]tabela de preços'!$A:$D,4,0)</f>
        <v>SHERWIN WILLIAMS</v>
      </c>
      <c r="W4239" t="str">
        <f>VLOOKUP(L4239,'[2]tabela de preços'!$A:$F,6,0)</f>
        <v>TINTAS POLIÉSTER</v>
      </c>
      <c r="X4239" t="str">
        <f>VLOOKUP(L4239,'[2]tabela de preços'!$A:$G,7,0)</f>
        <v>AUTOMOTIVO</v>
      </c>
    </row>
    <row r="4240" spans="1:24" x14ac:dyDescent="0.3">
      <c r="A4240" t="s">
        <v>626</v>
      </c>
      <c r="B4240" t="s">
        <v>627</v>
      </c>
      <c r="C4240" t="s">
        <v>3564</v>
      </c>
      <c r="D4240" s="1">
        <v>46078</v>
      </c>
      <c r="E4240" t="s">
        <v>3565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630</v>
      </c>
      <c r="K4240" t="s">
        <v>631</v>
      </c>
      <c r="L4240">
        <v>23101</v>
      </c>
      <c r="M4240" t="s">
        <v>410</v>
      </c>
      <c r="O4240" t="s">
        <v>411</v>
      </c>
      <c r="P4240">
        <v>5102</v>
      </c>
      <c r="Q4240">
        <v>200</v>
      </c>
      <c r="R4240">
        <v>2.35</v>
      </c>
      <c r="S4240">
        <v>470</v>
      </c>
      <c r="T4240">
        <v>338</v>
      </c>
      <c r="U4240">
        <v>28.09</v>
      </c>
      <c r="V4240" t="str">
        <f>VLOOKUP(L4240,'[2]tabela de preços'!$A:$D,4,0)</f>
        <v>3M</v>
      </c>
      <c r="W4240" t="str">
        <f>VLOOKUP(L4240,'[2]tabela de preços'!$A:$F,6,0)</f>
        <v xml:space="preserve">DISCOS / LIXAS / ABRASIVOS </v>
      </c>
      <c r="X4240" t="str">
        <f>VLOOKUP(L4240,'[2]tabela de preços'!$A:$G,7,0)</f>
        <v>AUTOMOTIVO</v>
      </c>
    </row>
    <row r="4241" spans="1:24" x14ac:dyDescent="0.3">
      <c r="A4241" t="s">
        <v>626</v>
      </c>
      <c r="B4241" t="s">
        <v>627</v>
      </c>
      <c r="C4241" t="s">
        <v>3564</v>
      </c>
      <c r="D4241" s="1">
        <v>46078</v>
      </c>
      <c r="E4241" t="s">
        <v>3565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630</v>
      </c>
      <c r="K4241" t="s">
        <v>631</v>
      </c>
      <c r="L4241">
        <v>23099</v>
      </c>
      <c r="M4241" t="s">
        <v>420</v>
      </c>
      <c r="O4241" t="s">
        <v>411</v>
      </c>
      <c r="P4241">
        <v>5102</v>
      </c>
      <c r="Q4241">
        <v>200</v>
      </c>
      <c r="R4241">
        <v>2.35</v>
      </c>
      <c r="S4241">
        <v>470</v>
      </c>
      <c r="T4241">
        <v>338</v>
      </c>
      <c r="U4241">
        <v>28.09</v>
      </c>
      <c r="V4241" t="str">
        <f>VLOOKUP(L4241,'[2]tabela de preços'!$A:$D,4,0)</f>
        <v>3M</v>
      </c>
      <c r="W4241" t="str">
        <f>VLOOKUP(L4241,'[2]tabela de preços'!$A:$F,6,0)</f>
        <v xml:space="preserve">DISCOS / LIXAS / ABRASIVOS </v>
      </c>
      <c r="X4241" t="str">
        <f>VLOOKUP(L4241,'[2]tabela de preços'!$A:$G,7,0)</f>
        <v>AUTOMOTIVO</v>
      </c>
    </row>
    <row r="4242" spans="1:24" x14ac:dyDescent="0.3">
      <c r="A4242" t="s">
        <v>626</v>
      </c>
      <c r="B4242" t="s">
        <v>627</v>
      </c>
      <c r="C4242" t="s">
        <v>3564</v>
      </c>
      <c r="D4242" s="1">
        <v>46078</v>
      </c>
      <c r="E4242" t="s">
        <v>3565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630</v>
      </c>
      <c r="K4242" t="s">
        <v>631</v>
      </c>
      <c r="L4242">
        <v>23096</v>
      </c>
      <c r="M4242" t="s">
        <v>656</v>
      </c>
      <c r="O4242" t="s">
        <v>411</v>
      </c>
      <c r="P4242">
        <v>5102</v>
      </c>
      <c r="Q4242">
        <v>200</v>
      </c>
      <c r="R4242">
        <v>2.35</v>
      </c>
      <c r="S4242">
        <v>470</v>
      </c>
      <c r="T4242">
        <v>338</v>
      </c>
      <c r="U4242">
        <v>28.09</v>
      </c>
      <c r="V4242" t="str">
        <f>VLOOKUP(L4242,'[2]tabela de preços'!$A:$D,4,0)</f>
        <v>3M</v>
      </c>
      <c r="W4242" t="str">
        <f>VLOOKUP(L4242,'[2]tabela de preços'!$A:$F,6,0)</f>
        <v xml:space="preserve">DISCOS / LIXAS / ABRASIVOS </v>
      </c>
      <c r="X4242" t="str">
        <f>VLOOKUP(L4242,'[2]tabela de preços'!$A:$G,7,0)</f>
        <v>AUTOMOTIVO</v>
      </c>
    </row>
    <row r="4243" spans="1:24" x14ac:dyDescent="0.3">
      <c r="A4243" t="s">
        <v>626</v>
      </c>
      <c r="B4243" t="s">
        <v>627</v>
      </c>
      <c r="C4243" t="s">
        <v>3564</v>
      </c>
      <c r="D4243" s="1">
        <v>46078</v>
      </c>
      <c r="E4243" t="s">
        <v>3565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630</v>
      </c>
      <c r="K4243" t="s">
        <v>631</v>
      </c>
      <c r="L4243">
        <v>23097</v>
      </c>
      <c r="M4243" t="s">
        <v>412</v>
      </c>
      <c r="O4243" t="s">
        <v>411</v>
      </c>
      <c r="P4243">
        <v>5102</v>
      </c>
      <c r="Q4243">
        <v>200</v>
      </c>
      <c r="R4243">
        <v>2.35</v>
      </c>
      <c r="S4243">
        <v>470</v>
      </c>
      <c r="T4243">
        <v>272</v>
      </c>
      <c r="U4243">
        <v>42.13</v>
      </c>
      <c r="V4243" t="str">
        <f>VLOOKUP(L4243,'[2]tabela de preços'!$A:$D,4,0)</f>
        <v>3M</v>
      </c>
      <c r="W4243" t="str">
        <f>VLOOKUP(L4243,'[2]tabela de preços'!$A:$F,6,0)</f>
        <v xml:space="preserve">DISCOS / LIXAS / ABRASIVOS </v>
      </c>
      <c r="X4243" t="str">
        <f>VLOOKUP(L4243,'[2]tabela de preços'!$A:$G,7,0)</f>
        <v>AUTOMOTIVO</v>
      </c>
    </row>
    <row r="4244" spans="1:24" x14ac:dyDescent="0.3">
      <c r="A4244" t="s">
        <v>626</v>
      </c>
      <c r="B4244" t="s">
        <v>627</v>
      </c>
      <c r="C4244" t="s">
        <v>3564</v>
      </c>
      <c r="D4244" s="1">
        <v>46078</v>
      </c>
      <c r="E4244" t="s">
        <v>3565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630</v>
      </c>
      <c r="K4244" t="s">
        <v>631</v>
      </c>
      <c r="L4244">
        <v>23102</v>
      </c>
      <c r="M4244" t="s">
        <v>413</v>
      </c>
      <c r="O4244" t="s">
        <v>11</v>
      </c>
      <c r="P4244">
        <v>5102</v>
      </c>
      <c r="Q4244">
        <v>100</v>
      </c>
      <c r="R4244">
        <v>2.35</v>
      </c>
      <c r="S4244">
        <v>235</v>
      </c>
      <c r="T4244">
        <v>129</v>
      </c>
      <c r="U4244">
        <v>45.11</v>
      </c>
      <c r="V4244" t="str">
        <f>VLOOKUP(L4244,'[2]tabela de preços'!$A:$D,4,0)</f>
        <v>3M</v>
      </c>
      <c r="W4244" t="str">
        <f>VLOOKUP(L4244,'[2]tabela de preços'!$A:$F,6,0)</f>
        <v xml:space="preserve">DISCOS / LIXAS / ABRASIVOS </v>
      </c>
      <c r="X4244" t="str">
        <f>VLOOKUP(L4244,'[2]tabela de preços'!$A:$G,7,0)</f>
        <v>AUTOMOTIVO</v>
      </c>
    </row>
    <row r="4245" spans="1:24" x14ac:dyDescent="0.3">
      <c r="A4245" t="s">
        <v>626</v>
      </c>
      <c r="B4245" t="s">
        <v>627</v>
      </c>
      <c r="C4245" t="s">
        <v>3564</v>
      </c>
      <c r="D4245" s="1">
        <v>46078</v>
      </c>
      <c r="E4245" t="s">
        <v>3565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630</v>
      </c>
      <c r="K4245" t="s">
        <v>631</v>
      </c>
      <c r="L4245">
        <v>23103</v>
      </c>
      <c r="M4245" t="s">
        <v>414</v>
      </c>
      <c r="O4245" t="s">
        <v>11</v>
      </c>
      <c r="P4245">
        <v>5102</v>
      </c>
      <c r="Q4245">
        <v>100</v>
      </c>
      <c r="R4245">
        <v>2.35</v>
      </c>
      <c r="S4245">
        <v>235</v>
      </c>
      <c r="T4245">
        <v>169</v>
      </c>
      <c r="U4245">
        <v>28.09</v>
      </c>
      <c r="V4245" t="str">
        <f>VLOOKUP(L4245,'[2]tabela de preços'!$A:$D,4,0)</f>
        <v>3M</v>
      </c>
      <c r="W4245" t="str">
        <f>VLOOKUP(L4245,'[2]tabela de preços'!$A:$F,6,0)</f>
        <v xml:space="preserve">DISCOS / LIXAS / ABRASIVOS </v>
      </c>
      <c r="X4245" t="str">
        <f>VLOOKUP(L4245,'[2]tabela de preços'!$A:$G,7,0)</f>
        <v>AUTOMOTIVO</v>
      </c>
    </row>
    <row r="4246" spans="1:24" x14ac:dyDescent="0.3">
      <c r="A4246" t="s">
        <v>626</v>
      </c>
      <c r="B4246" t="s">
        <v>627</v>
      </c>
      <c r="C4246" t="s">
        <v>3564</v>
      </c>
      <c r="D4246" s="1">
        <v>46078</v>
      </c>
      <c r="E4246" t="s">
        <v>3565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630</v>
      </c>
      <c r="K4246" t="s">
        <v>631</v>
      </c>
      <c r="L4246">
        <v>13</v>
      </c>
      <c r="M4246" t="s">
        <v>152</v>
      </c>
      <c r="O4246" t="s">
        <v>11</v>
      </c>
      <c r="P4246">
        <v>5102</v>
      </c>
      <c r="Q4246">
        <v>50</v>
      </c>
      <c r="R4246">
        <v>5.79</v>
      </c>
      <c r="S4246">
        <v>289.5</v>
      </c>
      <c r="T4246">
        <v>208</v>
      </c>
      <c r="U4246">
        <v>28.15</v>
      </c>
      <c r="V4246" t="str">
        <f>VLOOKUP(L4246,'[2]tabela de preços'!$A:$D,4,0)</f>
        <v>3M</v>
      </c>
      <c r="W4246" t="str">
        <f>VLOOKUP(L4246,'[2]tabela de preços'!$A:$F,6,0)</f>
        <v>LIXA DÁGUA</v>
      </c>
      <c r="X4246" t="str">
        <f>VLOOKUP(L4246,'[2]tabela de preços'!$A:$G,7,0)</f>
        <v>AUTOMOTIVO</v>
      </c>
    </row>
    <row r="4247" spans="1:24" x14ac:dyDescent="0.3">
      <c r="A4247" t="s">
        <v>626</v>
      </c>
      <c r="B4247" t="s">
        <v>627</v>
      </c>
      <c r="C4247" t="s">
        <v>3564</v>
      </c>
      <c r="D4247" s="1">
        <v>46078</v>
      </c>
      <c r="E4247" t="s">
        <v>3565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21</v>
      </c>
      <c r="J4247" t="s">
        <v>630</v>
      </c>
      <c r="K4247" t="s">
        <v>631</v>
      </c>
      <c r="L4247">
        <v>15</v>
      </c>
      <c r="M4247" t="s">
        <v>205</v>
      </c>
      <c r="O4247" t="s">
        <v>11</v>
      </c>
      <c r="P4247">
        <v>5102</v>
      </c>
      <c r="Q4247">
        <v>50</v>
      </c>
      <c r="R4247">
        <v>5.79</v>
      </c>
      <c r="S4247">
        <v>289.5</v>
      </c>
      <c r="T4247">
        <v>208</v>
      </c>
      <c r="U4247">
        <v>28.15</v>
      </c>
      <c r="V4247" t="str">
        <f>VLOOKUP(L4247,'[2]tabela de preços'!$A:$D,4,0)</f>
        <v>3M</v>
      </c>
      <c r="W4247" t="str">
        <f>VLOOKUP(L4247,'[2]tabela de preços'!$A:$F,6,0)</f>
        <v>LIXA DÁGUA</v>
      </c>
      <c r="X4247" t="str">
        <f>VLOOKUP(L4247,'[2]tabela de preços'!$A:$G,7,0)</f>
        <v>AUTOMOTIVO</v>
      </c>
    </row>
    <row r="4248" spans="1:24" x14ac:dyDescent="0.3">
      <c r="A4248" t="s">
        <v>626</v>
      </c>
      <c r="B4248" t="s">
        <v>627</v>
      </c>
      <c r="C4248" t="s">
        <v>3564</v>
      </c>
      <c r="D4248" s="1">
        <v>46078</v>
      </c>
      <c r="E4248" t="s">
        <v>3565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21</v>
      </c>
      <c r="J4248" t="s">
        <v>630</v>
      </c>
      <c r="K4248" t="s">
        <v>631</v>
      </c>
      <c r="L4248">
        <v>16</v>
      </c>
      <c r="M4248" t="s">
        <v>122</v>
      </c>
      <c r="O4248" t="s">
        <v>11</v>
      </c>
      <c r="P4248">
        <v>5102</v>
      </c>
      <c r="Q4248">
        <v>100</v>
      </c>
      <c r="R4248">
        <v>2.9</v>
      </c>
      <c r="S4248">
        <v>290</v>
      </c>
      <c r="T4248">
        <v>220</v>
      </c>
      <c r="U4248">
        <v>24.14</v>
      </c>
      <c r="V4248" t="str">
        <f>VLOOKUP(L4248,'[2]tabela de preços'!$A:$D,4,0)</f>
        <v>3M</v>
      </c>
      <c r="W4248" t="str">
        <f>VLOOKUP(L4248,'[2]tabela de preços'!$A:$F,6,0)</f>
        <v>LIXA DÁGUA</v>
      </c>
      <c r="X4248" t="str">
        <f>VLOOKUP(L4248,'[2]tabela de preços'!$A:$G,7,0)</f>
        <v>AUTOMOTIVO</v>
      </c>
    </row>
    <row r="4249" spans="1:24" x14ac:dyDescent="0.3">
      <c r="A4249" t="s">
        <v>626</v>
      </c>
      <c r="B4249" t="s">
        <v>627</v>
      </c>
      <c r="C4249" t="s">
        <v>3564</v>
      </c>
      <c r="D4249" s="1">
        <v>46078</v>
      </c>
      <c r="E4249" t="s">
        <v>3565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21</v>
      </c>
      <c r="J4249" t="s">
        <v>630</v>
      </c>
      <c r="K4249" t="s">
        <v>631</v>
      </c>
      <c r="L4249">
        <v>20525</v>
      </c>
      <c r="M4249" t="s">
        <v>137</v>
      </c>
      <c r="O4249" t="s">
        <v>11</v>
      </c>
      <c r="P4249">
        <v>5102</v>
      </c>
      <c r="Q4249">
        <v>3</v>
      </c>
      <c r="R4249">
        <v>13.65</v>
      </c>
      <c r="S4249">
        <v>40.950000000000003</v>
      </c>
      <c r="T4249">
        <v>31.08</v>
      </c>
      <c r="U4249">
        <v>24.1</v>
      </c>
      <c r="V4249" t="str">
        <f>VLOOKUP(L4249,'[2]tabela de preços'!$A:$D,4,0)</f>
        <v>SHERWIN WILLIAMS</v>
      </c>
      <c r="W4249" t="str">
        <f>VLOOKUP(L4249,'[2]tabela de preços'!$A:$F,6,0)</f>
        <v>MASSA DE PEQUENOS REPAROS</v>
      </c>
      <c r="X4249" t="str">
        <f>VLOOKUP(L4249,'[2]tabela de preços'!$A:$G,7,0)</f>
        <v>AUTOMOTIVO</v>
      </c>
    </row>
    <row r="4250" spans="1:24" x14ac:dyDescent="0.3">
      <c r="A4250" t="s">
        <v>626</v>
      </c>
      <c r="B4250" t="s">
        <v>627</v>
      </c>
      <c r="C4250" t="s">
        <v>3564</v>
      </c>
      <c r="D4250" s="1">
        <v>46078</v>
      </c>
      <c r="E4250" t="s">
        <v>3565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630</v>
      </c>
      <c r="K4250" t="s">
        <v>631</v>
      </c>
      <c r="L4250">
        <v>21077</v>
      </c>
      <c r="M4250" t="s">
        <v>207</v>
      </c>
      <c r="O4250" t="s">
        <v>11</v>
      </c>
      <c r="P4250">
        <v>5102</v>
      </c>
      <c r="Q4250">
        <v>6</v>
      </c>
      <c r="R4250">
        <v>44.68</v>
      </c>
      <c r="S4250">
        <v>268.08</v>
      </c>
      <c r="T4250">
        <v>203.52</v>
      </c>
      <c r="U4250">
        <v>24.08</v>
      </c>
      <c r="V4250" t="str">
        <f>VLOOKUP(L4250,'[2]tabela de preços'!$A:$D,4,0)</f>
        <v>SHERWIN WILLIAMS</v>
      </c>
      <c r="W4250" t="str">
        <f>VLOOKUP(L4250,'[2]tabela de preços'!$A:$F,6,0)</f>
        <v>MASSA POLIÉSTER</v>
      </c>
      <c r="X4250" t="str">
        <f>VLOOKUP(L4250,'[2]tabela de preços'!$A:$G,7,0)</f>
        <v>AUTOMOTIVO</v>
      </c>
    </row>
    <row r="4251" spans="1:24" x14ac:dyDescent="0.3">
      <c r="A4251" t="s">
        <v>626</v>
      </c>
      <c r="B4251" t="s">
        <v>627</v>
      </c>
      <c r="C4251" t="s">
        <v>3564</v>
      </c>
      <c r="D4251" s="1">
        <v>46078</v>
      </c>
      <c r="E4251" t="s">
        <v>3565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630</v>
      </c>
      <c r="K4251" t="s">
        <v>631</v>
      </c>
      <c r="L4251">
        <v>24247</v>
      </c>
      <c r="M4251" t="s">
        <v>160</v>
      </c>
      <c r="O4251" t="s">
        <v>11</v>
      </c>
      <c r="P4251">
        <v>5403</v>
      </c>
      <c r="Q4251">
        <v>12</v>
      </c>
      <c r="R4251">
        <v>21</v>
      </c>
      <c r="S4251">
        <v>252</v>
      </c>
      <c r="T4251">
        <v>202.44</v>
      </c>
      <c r="U4251">
        <v>19.670000000000002</v>
      </c>
      <c r="V4251" t="str">
        <f>VLOOKUP(L4251,'[2]tabela de preços'!$A:$D,4,0)</f>
        <v>SHERWIN WILLIAMS</v>
      </c>
      <c r="W4251" t="str">
        <f>VLOOKUP(L4251,'[2]tabela de preços'!$A:$F,6,0)</f>
        <v>PRIMER AUTOMOTIVO</v>
      </c>
      <c r="X4251" t="str">
        <f>VLOOKUP(L4251,'[2]tabela de preços'!$A:$G,7,0)</f>
        <v>AUTOMOTIVO</v>
      </c>
    </row>
    <row r="4252" spans="1:24" x14ac:dyDescent="0.3">
      <c r="A4252" t="s">
        <v>626</v>
      </c>
      <c r="B4252" t="s">
        <v>627</v>
      </c>
      <c r="C4252" t="s">
        <v>3564</v>
      </c>
      <c r="D4252" s="1">
        <v>46078</v>
      </c>
      <c r="E4252" t="s">
        <v>3565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630</v>
      </c>
      <c r="K4252" t="s">
        <v>631</v>
      </c>
      <c r="L4252">
        <v>20232</v>
      </c>
      <c r="M4252" t="s">
        <v>3566</v>
      </c>
      <c r="O4252" t="s">
        <v>11</v>
      </c>
      <c r="P4252">
        <v>5102</v>
      </c>
      <c r="Q4252">
        <v>1</v>
      </c>
      <c r="R4252">
        <v>25.96</v>
      </c>
      <c r="S4252">
        <v>25.96</v>
      </c>
      <c r="T4252">
        <v>19.71</v>
      </c>
      <c r="U4252">
        <v>24.08</v>
      </c>
      <c r="V4252" t="str">
        <f>VLOOKUP(L4252,'[2]tabela de preços'!$A:$D,4,0)</f>
        <v>SIKKENS</v>
      </c>
      <c r="W4252" t="str">
        <f>VLOOKUP(L4252,'[2]tabela de preços'!$A:$F,6,0)</f>
        <v>APLICADORES / ADAPTADORES / ENGATES / SUPORTES</v>
      </c>
      <c r="X4252" t="str">
        <f>VLOOKUP(L4252,'[2]tabela de preços'!$A:$G,7,0)</f>
        <v>AUTOMOTIVO</v>
      </c>
    </row>
    <row r="4253" spans="1:24" x14ac:dyDescent="0.3">
      <c r="A4253" t="s">
        <v>626</v>
      </c>
      <c r="B4253" t="s">
        <v>627</v>
      </c>
      <c r="C4253" t="s">
        <v>3564</v>
      </c>
      <c r="D4253" s="1">
        <v>46078</v>
      </c>
      <c r="E4253" t="s">
        <v>3565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630</v>
      </c>
      <c r="K4253" t="s">
        <v>631</v>
      </c>
      <c r="L4253">
        <v>20212</v>
      </c>
      <c r="M4253" t="s">
        <v>198</v>
      </c>
      <c r="O4253" t="s">
        <v>11</v>
      </c>
      <c r="P4253">
        <v>5403</v>
      </c>
      <c r="Q4253">
        <v>2</v>
      </c>
      <c r="R4253">
        <v>27.69</v>
      </c>
      <c r="S4253">
        <v>55.38</v>
      </c>
      <c r="T4253">
        <v>42.04</v>
      </c>
      <c r="U4253">
        <v>24.09</v>
      </c>
      <c r="V4253" t="str">
        <f>VLOOKUP(L4253,'[2]tabela de preços'!$A:$D,4,0)</f>
        <v>MAXI RUBBER</v>
      </c>
      <c r="W4253" t="str">
        <f>VLOOKUP(L4253,'[2]tabela de preços'!$A:$F,6,0)</f>
        <v>SELADORA P/ PLASTICO</v>
      </c>
      <c r="X4253" t="str">
        <f>VLOOKUP(L4253,'[2]tabela de preços'!$A:$G,7,0)</f>
        <v>AUTOMOTIVO</v>
      </c>
    </row>
    <row r="4254" spans="1:24" x14ac:dyDescent="0.3">
      <c r="A4254" t="s">
        <v>626</v>
      </c>
      <c r="B4254" t="s">
        <v>627</v>
      </c>
      <c r="C4254" t="s">
        <v>3564</v>
      </c>
      <c r="D4254" s="1">
        <v>46078</v>
      </c>
      <c r="E4254" t="s">
        <v>3565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630</v>
      </c>
      <c r="K4254" t="s">
        <v>631</v>
      </c>
      <c r="L4254">
        <v>10297</v>
      </c>
      <c r="M4254" t="s">
        <v>41</v>
      </c>
      <c r="O4254" t="s">
        <v>11</v>
      </c>
      <c r="P4254">
        <v>5102</v>
      </c>
      <c r="Q4254">
        <v>12</v>
      </c>
      <c r="R4254">
        <v>10.89</v>
      </c>
      <c r="S4254">
        <v>130.68</v>
      </c>
      <c r="T4254">
        <v>110.04</v>
      </c>
      <c r="U4254">
        <v>15.79</v>
      </c>
      <c r="V4254" t="str">
        <f>VLOOKUP(L4254,'[2]tabela de preços'!$A:$D,4,0)</f>
        <v>ANJO</v>
      </c>
      <c r="W4254" t="str">
        <f>VLOOKUP(L4254,'[2]tabela de preços'!$A:$F,6,0)</f>
        <v>THINNER DE LIMPEZA</v>
      </c>
      <c r="X4254" t="str">
        <f>VLOOKUP(L4254,'[2]tabela de preços'!$A:$G,7,0)</f>
        <v>THINNER</v>
      </c>
    </row>
    <row r="4255" spans="1:24" x14ac:dyDescent="0.3">
      <c r="A4255" t="s">
        <v>626</v>
      </c>
      <c r="B4255" t="s">
        <v>627</v>
      </c>
      <c r="C4255" t="s">
        <v>3564</v>
      </c>
      <c r="D4255" s="1">
        <v>46078</v>
      </c>
      <c r="E4255" t="s">
        <v>3565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630</v>
      </c>
      <c r="K4255" t="s">
        <v>631</v>
      </c>
      <c r="L4255">
        <v>9997</v>
      </c>
      <c r="M4255" t="s">
        <v>2487</v>
      </c>
      <c r="O4255" t="s">
        <v>11</v>
      </c>
      <c r="P4255">
        <v>5102</v>
      </c>
      <c r="Q4255">
        <v>1</v>
      </c>
      <c r="R4255">
        <v>41.04</v>
      </c>
      <c r="S4255">
        <v>41.04</v>
      </c>
      <c r="T4255">
        <v>31.15</v>
      </c>
      <c r="U4255">
        <v>24.1</v>
      </c>
      <c r="V4255" t="str">
        <f>VLOOKUP(L4255,'[2]tabela de preços'!$A:$D,4,0)</f>
        <v>SIKKENS</v>
      </c>
      <c r="W4255" t="str">
        <f>VLOOKUP(L4255,'[2]tabela de preços'!$A:$F,6,0)</f>
        <v>DILUENTE</v>
      </c>
      <c r="X4255" t="str">
        <f>VLOOKUP(L4255,'[2]tabela de preços'!$A:$G,7,0)</f>
        <v>AUTOMOTIVO</v>
      </c>
    </row>
    <row r="4256" spans="1:24" x14ac:dyDescent="0.3">
      <c r="A4256" t="s">
        <v>626</v>
      </c>
      <c r="B4256" t="s">
        <v>627</v>
      </c>
      <c r="C4256" t="s">
        <v>3564</v>
      </c>
      <c r="D4256" s="1">
        <v>46078</v>
      </c>
      <c r="E4256" t="s">
        <v>3565</v>
      </c>
      <c r="F4256">
        <v>9</v>
      </c>
      <c r="G4256">
        <v>174</v>
      </c>
      <c r="H4256" t="str">
        <f>VLOOKUP(G4256,[1]OPERADORES!$A:$B,2,0)</f>
        <v>MIRIÃ LOBATO RODRIGUES</v>
      </c>
      <c r="I4256" t="s">
        <v>21</v>
      </c>
      <c r="J4256" t="s">
        <v>630</v>
      </c>
      <c r="K4256" t="s">
        <v>631</v>
      </c>
      <c r="L4256">
        <v>24332</v>
      </c>
      <c r="M4256" t="s">
        <v>1700</v>
      </c>
      <c r="O4256" t="s">
        <v>11</v>
      </c>
      <c r="P4256">
        <v>5102</v>
      </c>
      <c r="Q4256">
        <v>2</v>
      </c>
      <c r="R4256">
        <v>30.55</v>
      </c>
      <c r="S4256">
        <v>61.1</v>
      </c>
      <c r="T4256">
        <v>46.38</v>
      </c>
      <c r="U4256">
        <v>24.09</v>
      </c>
      <c r="V4256" t="str">
        <f>VLOOKUP(L4256,'[2]tabela de preços'!$A:$D,4,0)</f>
        <v>VONIXX</v>
      </c>
      <c r="W4256" t="str">
        <f>VLOOKUP(L4256,'[2]tabela de preços'!$A:$F,6,0)</f>
        <v>LINHA DE HIGENIZAÇÃO E ESTÉTICA  AUTOMOTIVA</v>
      </c>
      <c r="X4256" t="str">
        <f>VLOOKUP(L4256,'[2]tabela de preços'!$A:$G,7,0)</f>
        <v>AUTOMOTIVO</v>
      </c>
    </row>
    <row r="4257" spans="1:24" x14ac:dyDescent="0.3">
      <c r="A4257" t="s">
        <v>626</v>
      </c>
      <c r="B4257" t="s">
        <v>627</v>
      </c>
      <c r="C4257" t="s">
        <v>3564</v>
      </c>
      <c r="D4257" s="1">
        <v>46078</v>
      </c>
      <c r="E4257" t="s">
        <v>3565</v>
      </c>
      <c r="F4257">
        <v>9</v>
      </c>
      <c r="G4257">
        <v>174</v>
      </c>
      <c r="H4257" t="str">
        <f>VLOOKUP(G4257,[1]OPERADORES!$A:$B,2,0)</f>
        <v>MIRIÃ LOBATO RODRIGUES</v>
      </c>
      <c r="I4257" t="s">
        <v>21</v>
      </c>
      <c r="J4257" t="s">
        <v>630</v>
      </c>
      <c r="K4257" t="s">
        <v>631</v>
      </c>
      <c r="L4257">
        <v>20399</v>
      </c>
      <c r="M4257" t="s">
        <v>465</v>
      </c>
      <c r="O4257" t="s">
        <v>11</v>
      </c>
      <c r="P4257">
        <v>5403</v>
      </c>
      <c r="Q4257">
        <v>4</v>
      </c>
      <c r="R4257">
        <v>35.26</v>
      </c>
      <c r="S4257">
        <v>141.04</v>
      </c>
      <c r="T4257">
        <v>107.12</v>
      </c>
      <c r="U4257">
        <v>24.05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626</v>
      </c>
      <c r="B4258" t="s">
        <v>627</v>
      </c>
      <c r="C4258" t="s">
        <v>3737</v>
      </c>
      <c r="D4258" s="1">
        <v>46079</v>
      </c>
      <c r="E4258" t="s">
        <v>3738</v>
      </c>
      <c r="F4258">
        <v>9</v>
      </c>
      <c r="G4258">
        <v>174</v>
      </c>
      <c r="H4258" t="str">
        <f>VLOOKUP(G4258,[1]OPERADORES!$A:$B,2,0)</f>
        <v>MIRIÃ LOBATO RODRIGUES</v>
      </c>
      <c r="I4258" t="s">
        <v>21</v>
      </c>
      <c r="J4258" t="s">
        <v>630</v>
      </c>
      <c r="K4258" t="s">
        <v>631</v>
      </c>
      <c r="L4258">
        <v>20414</v>
      </c>
      <c r="M4258" t="s">
        <v>112</v>
      </c>
      <c r="O4258" t="s">
        <v>11</v>
      </c>
      <c r="P4258">
        <v>5102</v>
      </c>
      <c r="Q4258">
        <v>20</v>
      </c>
      <c r="R4258">
        <v>21.89</v>
      </c>
      <c r="S4258">
        <v>437.8</v>
      </c>
      <c r="T4258">
        <v>360</v>
      </c>
      <c r="U4258">
        <v>17.77</v>
      </c>
      <c r="V4258" t="str">
        <f>VLOOKUP(L4258,'[2]tabela de preços'!$A:$D,4,0)</f>
        <v>SHERWIN WILLIAMS</v>
      </c>
      <c r="W4258" t="str">
        <f>VLOOKUP(L4258,'[2]tabela de preços'!$A:$F,6,0)</f>
        <v>DILUENTE</v>
      </c>
      <c r="X4258" t="str">
        <f>VLOOKUP(L4258,'[2]tabela de preços'!$A:$G,7,0)</f>
        <v>AUTOMOTIVO</v>
      </c>
    </row>
    <row r="4259" spans="1:24" x14ac:dyDescent="0.3">
      <c r="A4259" t="s">
        <v>626</v>
      </c>
      <c r="B4259" t="s">
        <v>627</v>
      </c>
      <c r="C4259" t="s">
        <v>3739</v>
      </c>
      <c r="D4259" s="1">
        <v>46080</v>
      </c>
      <c r="E4259" t="s">
        <v>3740</v>
      </c>
      <c r="F4259">
        <v>9</v>
      </c>
      <c r="G4259">
        <v>174</v>
      </c>
      <c r="H4259" t="str">
        <f>VLOOKUP(G4259,[1]OPERADORES!$A:$B,2,0)</f>
        <v>MIRIÃ LOBATO RODRIGUES</v>
      </c>
      <c r="I4259" t="s">
        <v>21</v>
      </c>
      <c r="J4259" t="s">
        <v>630</v>
      </c>
      <c r="K4259" t="s">
        <v>631</v>
      </c>
      <c r="L4259">
        <v>10067</v>
      </c>
      <c r="M4259" t="s">
        <v>177</v>
      </c>
      <c r="O4259" t="s">
        <v>11</v>
      </c>
      <c r="P4259">
        <v>5102</v>
      </c>
      <c r="Q4259">
        <v>1</v>
      </c>
      <c r="R4259">
        <v>96.94</v>
      </c>
      <c r="S4259">
        <v>96.94</v>
      </c>
      <c r="T4259">
        <v>73.58</v>
      </c>
      <c r="U4259">
        <v>24.1</v>
      </c>
      <c r="V4259" t="str">
        <f>VLOOKUP(L4259,'[2]tabela de preços'!$A:$D,4,0)</f>
        <v>3M</v>
      </c>
      <c r="W4259" t="str">
        <f>VLOOKUP(L4259,'[2]tabela de preços'!$A:$F,6,0)</f>
        <v>BOINAS PARA POLIMENTO</v>
      </c>
      <c r="X4259" t="str">
        <f>VLOOKUP(L4259,'[2]tabela de preços'!$A:$G,7,0)</f>
        <v>AUTOMOTIVO</v>
      </c>
    </row>
    <row r="4260" spans="1:24" x14ac:dyDescent="0.3">
      <c r="A4260" t="s">
        <v>626</v>
      </c>
      <c r="B4260" t="s">
        <v>627</v>
      </c>
      <c r="C4260" t="s">
        <v>3739</v>
      </c>
      <c r="D4260" s="1">
        <v>46080</v>
      </c>
      <c r="E4260" t="s">
        <v>3740</v>
      </c>
      <c r="F4260">
        <v>9</v>
      </c>
      <c r="G4260">
        <v>174</v>
      </c>
      <c r="H4260" t="str">
        <f>VLOOKUP(G4260,[1]OPERADORES!$A:$B,2,0)</f>
        <v>MIRIÃ LOBATO RODRIGUES</v>
      </c>
      <c r="I4260" t="s">
        <v>21</v>
      </c>
      <c r="J4260" t="s">
        <v>630</v>
      </c>
      <c r="K4260" t="s">
        <v>631</v>
      </c>
      <c r="L4260">
        <v>85649</v>
      </c>
      <c r="M4260" t="s">
        <v>478</v>
      </c>
      <c r="O4260" t="s">
        <v>11</v>
      </c>
      <c r="P4260">
        <v>5403</v>
      </c>
      <c r="Q4260">
        <v>12</v>
      </c>
      <c r="R4260">
        <v>9.1199999999999992</v>
      </c>
      <c r="S4260">
        <v>109.44</v>
      </c>
      <c r="T4260">
        <v>83.04</v>
      </c>
      <c r="U4260">
        <v>24.12</v>
      </c>
      <c r="V4260" t="str">
        <f>VLOOKUP(L4260,'[2]tabela de preços'!$A:$D,4,0)</f>
        <v>UNIPEGA</v>
      </c>
      <c r="W4260" t="str">
        <f>VLOOKUP(L4260,'[2]tabela de preços'!$A:$F,6,0)</f>
        <v xml:space="preserve">SPRAYS </v>
      </c>
      <c r="X4260" t="str">
        <f>VLOOKUP(L4260,'[2]tabela de preços'!$A:$G,7,0)</f>
        <v>AUTOMOTIVO</v>
      </c>
    </row>
    <row r="4261" spans="1:24" x14ac:dyDescent="0.3">
      <c r="A4261" t="s">
        <v>626</v>
      </c>
      <c r="B4261" t="s">
        <v>627</v>
      </c>
      <c r="C4261" t="s">
        <v>3741</v>
      </c>
      <c r="D4261" s="1">
        <v>46080</v>
      </c>
      <c r="E4261" t="s">
        <v>3742</v>
      </c>
      <c r="F4261">
        <v>9</v>
      </c>
      <c r="G4261">
        <v>174</v>
      </c>
      <c r="H4261" t="str">
        <f>VLOOKUP(G4261,[1]OPERADORES!$A:$B,2,0)</f>
        <v>MIRIÃ LOBATO RODRIGUES</v>
      </c>
      <c r="I4261" t="s">
        <v>21</v>
      </c>
      <c r="J4261" t="s">
        <v>630</v>
      </c>
      <c r="K4261" t="s">
        <v>631</v>
      </c>
      <c r="L4261">
        <v>23295</v>
      </c>
      <c r="M4261" t="s">
        <v>789</v>
      </c>
      <c r="O4261" t="s">
        <v>11</v>
      </c>
      <c r="P4261">
        <v>5403</v>
      </c>
      <c r="Q4261">
        <v>1</v>
      </c>
      <c r="R4261">
        <v>288.70999999999998</v>
      </c>
      <c r="S4261">
        <v>288.70999999999998</v>
      </c>
      <c r="T4261">
        <v>194.09</v>
      </c>
      <c r="U4261">
        <v>32.770000000000003</v>
      </c>
      <c r="V4261" t="str">
        <f>VLOOKUP(L4261,'[2]tabela de preços'!$A:$D,4,0)</f>
        <v>SIKKENS</v>
      </c>
      <c r="W4261" t="str">
        <f>VLOOKUP(L4261,'[2]tabela de preços'!$A:$F,6,0)</f>
        <v>VERNIZ AUTOMOTIVO</v>
      </c>
      <c r="X4261" t="str">
        <f>VLOOKUP(L4261,'[2]tabela de preços'!$A:$G,7,0)</f>
        <v>AUTOMOTIVO</v>
      </c>
    </row>
    <row r="4262" spans="1:24" x14ac:dyDescent="0.3">
      <c r="A4262" t="s">
        <v>626</v>
      </c>
      <c r="B4262" t="s">
        <v>627</v>
      </c>
      <c r="C4262" t="s">
        <v>3741</v>
      </c>
      <c r="D4262" s="1">
        <v>46080</v>
      </c>
      <c r="E4262" t="s">
        <v>3742</v>
      </c>
      <c r="F4262">
        <v>9</v>
      </c>
      <c r="G4262">
        <v>174</v>
      </c>
      <c r="H4262" t="str">
        <f>VLOOKUP(G4262,[1]OPERADORES!$A:$B,2,0)</f>
        <v>MIRIÃ LOBATO RODRIGUES</v>
      </c>
      <c r="I4262" t="s">
        <v>21</v>
      </c>
      <c r="J4262" t="s">
        <v>630</v>
      </c>
      <c r="K4262" t="s">
        <v>631</v>
      </c>
      <c r="L4262">
        <v>85078</v>
      </c>
      <c r="M4262" t="s">
        <v>1048</v>
      </c>
      <c r="O4262" t="s">
        <v>11</v>
      </c>
      <c r="P4262">
        <v>5403</v>
      </c>
      <c r="Q4262">
        <v>1</v>
      </c>
      <c r="R4262">
        <v>108.57</v>
      </c>
      <c r="S4262">
        <v>108.57</v>
      </c>
      <c r="T4262">
        <v>82.4</v>
      </c>
      <c r="U4262">
        <v>24.1</v>
      </c>
      <c r="V4262" t="str">
        <f>VLOOKUP(L4262,'[2]tabela de preços'!$A:$D,4,0)</f>
        <v>BRASILUX</v>
      </c>
      <c r="W4262" t="str">
        <f>VLOOKUP(L4262,'[2]tabela de preços'!$A:$F,6,0)</f>
        <v>TINTAS LACA</v>
      </c>
      <c r="X4262" t="str">
        <f>VLOOKUP(L4262,'[2]tabela de preços'!$A:$G,7,0)</f>
        <v>AUTOMOTIVO</v>
      </c>
    </row>
    <row r="4263" spans="1:24" x14ac:dyDescent="0.3">
      <c r="A4263" t="s">
        <v>626</v>
      </c>
      <c r="B4263" t="s">
        <v>627</v>
      </c>
      <c r="C4263" t="s">
        <v>3741</v>
      </c>
      <c r="D4263" s="1">
        <v>46080</v>
      </c>
      <c r="E4263" t="s">
        <v>3742</v>
      </c>
      <c r="F4263">
        <v>9</v>
      </c>
      <c r="G4263">
        <v>174</v>
      </c>
      <c r="H4263" t="str">
        <f>VLOOKUP(G4263,[1]OPERADORES!$A:$B,2,0)</f>
        <v>MIRIÃ LOBATO RODRIGUES</v>
      </c>
      <c r="I4263" t="s">
        <v>21</v>
      </c>
      <c r="J4263" t="s">
        <v>630</v>
      </c>
      <c r="K4263" t="s">
        <v>631</v>
      </c>
      <c r="L4263">
        <v>84487</v>
      </c>
      <c r="M4263" t="s">
        <v>633</v>
      </c>
      <c r="O4263" t="s">
        <v>11</v>
      </c>
      <c r="P4263">
        <v>5403</v>
      </c>
      <c r="Q4263">
        <v>6</v>
      </c>
      <c r="R4263">
        <v>28.84</v>
      </c>
      <c r="S4263">
        <v>173.04</v>
      </c>
      <c r="T4263">
        <v>131.34</v>
      </c>
      <c r="U4263">
        <v>24.1</v>
      </c>
      <c r="V4263" t="str">
        <f>VLOOKUP(L4263,'[2]tabela de preços'!$A:$D,4,0)</f>
        <v>BRASILUX</v>
      </c>
      <c r="W4263" t="str">
        <f>VLOOKUP(L4263,'[2]tabela de preços'!$A:$F,6,0)</f>
        <v>TINTAS LACA</v>
      </c>
      <c r="X4263" t="str">
        <f>VLOOKUP(L4263,'[2]tabela de preços'!$A:$G,7,0)</f>
        <v>AUTOMOTIVO</v>
      </c>
    </row>
    <row r="4264" spans="1:24" x14ac:dyDescent="0.3">
      <c r="A4264" t="s">
        <v>626</v>
      </c>
      <c r="B4264" t="s">
        <v>627</v>
      </c>
      <c r="C4264" t="s">
        <v>3741</v>
      </c>
      <c r="D4264" s="1">
        <v>46080</v>
      </c>
      <c r="E4264" t="s">
        <v>3742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630</v>
      </c>
      <c r="K4264" t="s">
        <v>631</v>
      </c>
      <c r="L4264">
        <v>84108</v>
      </c>
      <c r="M4264" t="s">
        <v>144</v>
      </c>
      <c r="O4264" t="s">
        <v>11</v>
      </c>
      <c r="P4264">
        <v>5403</v>
      </c>
      <c r="Q4264">
        <v>3</v>
      </c>
      <c r="R4264">
        <v>27.29</v>
      </c>
      <c r="S4264">
        <v>81.87</v>
      </c>
      <c r="T4264">
        <v>62.13</v>
      </c>
      <c r="U4264">
        <v>24.11</v>
      </c>
      <c r="V4264" t="str">
        <f>VLOOKUP(L4264,'[2]tabela de preços'!$A:$D,4,0)</f>
        <v>BRASILUX</v>
      </c>
      <c r="W4264" t="str">
        <f>VLOOKUP(L4264,'[2]tabela de preços'!$A:$F,6,0)</f>
        <v>TINTAS LACA</v>
      </c>
      <c r="X4264" t="str">
        <f>VLOOKUP(L4264,'[2]tabela de preços'!$A:$G,7,0)</f>
        <v>AUTOMOTIVO</v>
      </c>
    </row>
    <row r="4265" spans="1:24" x14ac:dyDescent="0.3">
      <c r="A4265" t="s">
        <v>626</v>
      </c>
      <c r="B4265" t="s">
        <v>627</v>
      </c>
      <c r="C4265" t="s">
        <v>3741</v>
      </c>
      <c r="D4265" s="1">
        <v>46080</v>
      </c>
      <c r="E4265" t="s">
        <v>3742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630</v>
      </c>
      <c r="K4265" t="s">
        <v>631</v>
      </c>
      <c r="L4265">
        <v>21437</v>
      </c>
      <c r="M4265" t="s">
        <v>1832</v>
      </c>
      <c r="O4265" t="s">
        <v>11</v>
      </c>
      <c r="P4265">
        <v>5102</v>
      </c>
      <c r="Q4265">
        <v>12</v>
      </c>
      <c r="R4265">
        <v>8.41</v>
      </c>
      <c r="S4265">
        <v>100.92</v>
      </c>
      <c r="T4265">
        <v>76.56</v>
      </c>
      <c r="U4265">
        <v>24.14</v>
      </c>
      <c r="V4265" t="str">
        <f>VLOOKUP(L4265,'[2]tabela de preços'!$A:$D,4,0)</f>
        <v>ROBERLO</v>
      </c>
      <c r="W4265" t="str">
        <f>VLOOKUP(L4265,'[2]tabela de preços'!$A:$F,6,0)</f>
        <v>PRIMER AUTOMOTIVO</v>
      </c>
      <c r="X4265" t="str">
        <f>VLOOKUP(L4265,'[2]tabela de preços'!$A:$G,7,0)</f>
        <v>AUTOMOTIVO</v>
      </c>
    </row>
    <row r="4266" spans="1:24" x14ac:dyDescent="0.3">
      <c r="A4266" t="s">
        <v>626</v>
      </c>
      <c r="B4266" t="s">
        <v>627</v>
      </c>
      <c r="C4266" t="s">
        <v>3741</v>
      </c>
      <c r="D4266" s="1">
        <v>46080</v>
      </c>
      <c r="E4266" t="s">
        <v>3742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630</v>
      </c>
      <c r="K4266" t="s">
        <v>631</v>
      </c>
      <c r="L4266">
        <v>23653</v>
      </c>
      <c r="M4266" t="s">
        <v>644</v>
      </c>
      <c r="O4266" t="s">
        <v>11</v>
      </c>
      <c r="P4266">
        <v>5102</v>
      </c>
      <c r="Q4266">
        <v>2</v>
      </c>
      <c r="R4266">
        <v>67.150000000000006</v>
      </c>
      <c r="S4266">
        <v>134.30000000000001</v>
      </c>
      <c r="T4266">
        <v>101.94</v>
      </c>
      <c r="U4266">
        <v>24.1</v>
      </c>
      <c r="V4266" t="str">
        <f>VLOOKUP(L4266,'[2]tabela de preços'!$A:$D,4,0)</f>
        <v>SIKKENS</v>
      </c>
      <c r="W4266" t="str">
        <f>VLOOKUP(L4266,'[2]tabela de preços'!$A:$F,6,0)</f>
        <v>CATALISADORES INDIVIDUAS</v>
      </c>
      <c r="X4266" t="str">
        <f>VLOOKUP(L4266,'[2]tabela de preços'!$A:$G,7,0)</f>
        <v>AUTOMOTIVO</v>
      </c>
    </row>
    <row r="4267" spans="1:24" x14ac:dyDescent="0.3">
      <c r="A4267" t="s">
        <v>626</v>
      </c>
      <c r="B4267" t="s">
        <v>627</v>
      </c>
      <c r="C4267" t="s">
        <v>3741</v>
      </c>
      <c r="D4267" s="1">
        <v>46080</v>
      </c>
      <c r="E4267" t="s">
        <v>3742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630</v>
      </c>
      <c r="K4267" t="s">
        <v>631</v>
      </c>
      <c r="L4267">
        <v>23076</v>
      </c>
      <c r="M4267" t="s">
        <v>97</v>
      </c>
      <c r="O4267" t="s">
        <v>11</v>
      </c>
      <c r="P4267">
        <v>5403</v>
      </c>
      <c r="Q4267">
        <v>18</v>
      </c>
      <c r="R4267">
        <v>34.89</v>
      </c>
      <c r="S4267">
        <v>628.02</v>
      </c>
      <c r="T4267">
        <v>477.54</v>
      </c>
      <c r="U4267">
        <v>23.96</v>
      </c>
      <c r="V4267" t="str">
        <f>VLOOKUP(L4267,'[2]tabela de preços'!$A:$D,4,0)</f>
        <v>WANDA</v>
      </c>
      <c r="W4267" t="str">
        <f>VLOOKUP(L4267,'[2]tabela de preços'!$A:$F,6,0)</f>
        <v>PRIMER AUTOMOTIVO</v>
      </c>
      <c r="X4267" t="str">
        <f>VLOOKUP(L4267,'[2]tabela de preços'!$A:$G,7,0)</f>
        <v>AUTOMOTIVO</v>
      </c>
    </row>
    <row r="4268" spans="1:24" x14ac:dyDescent="0.3">
      <c r="A4268" t="s">
        <v>626</v>
      </c>
      <c r="B4268" t="s">
        <v>627</v>
      </c>
      <c r="C4268" t="s">
        <v>3741</v>
      </c>
      <c r="D4268" s="1">
        <v>46080</v>
      </c>
      <c r="E4268" t="s">
        <v>3742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630</v>
      </c>
      <c r="K4268" t="s">
        <v>631</v>
      </c>
      <c r="L4268">
        <v>23602</v>
      </c>
      <c r="M4268" t="s">
        <v>215</v>
      </c>
      <c r="O4268" t="s">
        <v>11</v>
      </c>
      <c r="P4268">
        <v>5403</v>
      </c>
      <c r="Q4268">
        <v>9</v>
      </c>
      <c r="R4268">
        <v>35.89</v>
      </c>
      <c r="S4268">
        <v>323.01</v>
      </c>
      <c r="T4268">
        <v>263.25</v>
      </c>
      <c r="U4268">
        <v>18.5</v>
      </c>
      <c r="V4268" t="str">
        <f>VLOOKUP(L4268,'[2]tabela de preços'!$A:$D,4,0)</f>
        <v>SHERWIN WILLIAMS</v>
      </c>
      <c r="W4268" t="str">
        <f>VLOOKUP(L4268,'[2]tabela de preços'!$A:$F,6,0)</f>
        <v>VERNIZ AUTOMOTIVO</v>
      </c>
      <c r="X4268" t="str">
        <f>VLOOKUP(L4268,'[2]tabela de preços'!$A:$G,7,0)</f>
        <v>AUTOMOTIVO</v>
      </c>
    </row>
    <row r="4269" spans="1:24" x14ac:dyDescent="0.3">
      <c r="A4269" t="s">
        <v>626</v>
      </c>
      <c r="B4269" t="s">
        <v>627</v>
      </c>
      <c r="C4269" t="s">
        <v>3741</v>
      </c>
      <c r="D4269" s="1">
        <v>46080</v>
      </c>
      <c r="E4269" t="s">
        <v>3742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630</v>
      </c>
      <c r="K4269" t="s">
        <v>631</v>
      </c>
      <c r="L4269">
        <v>20431</v>
      </c>
      <c r="M4269" t="s">
        <v>202</v>
      </c>
      <c r="O4269" t="s">
        <v>11</v>
      </c>
      <c r="P4269">
        <v>5403</v>
      </c>
      <c r="Q4269">
        <v>18</v>
      </c>
      <c r="R4269">
        <v>36.89</v>
      </c>
      <c r="S4269">
        <v>664.02</v>
      </c>
      <c r="T4269">
        <v>544.67999999999995</v>
      </c>
      <c r="U4269">
        <v>17.97</v>
      </c>
      <c r="V4269" t="str">
        <f>VLOOKUP(L4269,'[2]tabela de preços'!$A:$D,4,0)</f>
        <v>SHERWIN WILLIAMS</v>
      </c>
      <c r="W4269" t="str">
        <f>VLOOKUP(L4269,'[2]tabela de preços'!$A:$F,6,0)</f>
        <v>VERNIZ AUTOMOTIVO</v>
      </c>
      <c r="X4269" t="str">
        <f>VLOOKUP(L4269,'[2]tabela de preços'!$A:$G,7,0)</f>
        <v>AUTOMOTIVO</v>
      </c>
    </row>
    <row r="4270" spans="1:24" x14ac:dyDescent="0.3">
      <c r="A4270" t="s">
        <v>626</v>
      </c>
      <c r="B4270" t="s">
        <v>627</v>
      </c>
      <c r="C4270" t="s">
        <v>3741</v>
      </c>
      <c r="D4270" s="1">
        <v>46080</v>
      </c>
      <c r="E4270" t="s">
        <v>3742</v>
      </c>
      <c r="F4270">
        <v>9</v>
      </c>
      <c r="G4270">
        <v>174</v>
      </c>
      <c r="H4270" t="str">
        <f>VLOOKUP(G4270,[1]OPERADORES!$A:$B,2,0)</f>
        <v>MIRIÃ LOBATO RODRIGUES</v>
      </c>
      <c r="I4270" t="s">
        <v>21</v>
      </c>
      <c r="J4270" t="s">
        <v>630</v>
      </c>
      <c r="K4270" t="s">
        <v>631</v>
      </c>
      <c r="L4270">
        <v>20817</v>
      </c>
      <c r="M4270" t="s">
        <v>153</v>
      </c>
      <c r="O4270" t="s">
        <v>11</v>
      </c>
      <c r="P4270">
        <v>5102</v>
      </c>
      <c r="Q4270">
        <v>6</v>
      </c>
      <c r="R4270">
        <v>22.89</v>
      </c>
      <c r="S4270">
        <v>137.34</v>
      </c>
      <c r="T4270">
        <v>111.72</v>
      </c>
      <c r="U4270">
        <v>18.649999999999999</v>
      </c>
      <c r="V4270" t="str">
        <f>VLOOKUP(L4270,'[2]tabela de preços'!$A:$D,4,0)</f>
        <v>AUTO AMERICA</v>
      </c>
      <c r="W4270" t="str">
        <f>VLOOKUP(L4270,'[2]tabela de preços'!$A:$F,6,0)</f>
        <v>MASSA DE POLIR</v>
      </c>
      <c r="X4270" t="str">
        <f>VLOOKUP(L4270,'[2]tabela de preços'!$A:$G,7,0)</f>
        <v>AUTOMOTIVO</v>
      </c>
    </row>
    <row r="4271" spans="1:24" x14ac:dyDescent="0.3">
      <c r="A4271" t="s">
        <v>626</v>
      </c>
      <c r="B4271" t="s">
        <v>627</v>
      </c>
      <c r="C4271" t="s">
        <v>3741</v>
      </c>
      <c r="D4271" s="1">
        <v>46080</v>
      </c>
      <c r="E4271" t="s">
        <v>3742</v>
      </c>
      <c r="F4271">
        <v>9</v>
      </c>
      <c r="G4271">
        <v>174</v>
      </c>
      <c r="H4271" t="str">
        <f>VLOOKUP(G4271,[1]OPERADORES!$A:$B,2,0)</f>
        <v>MIRIÃ LOBATO RODRIGUES</v>
      </c>
      <c r="I4271" t="s">
        <v>21</v>
      </c>
      <c r="J4271" t="s">
        <v>630</v>
      </c>
      <c r="K4271" t="s">
        <v>631</v>
      </c>
      <c r="L4271">
        <v>23837</v>
      </c>
      <c r="M4271" t="s">
        <v>3743</v>
      </c>
      <c r="O4271" t="s">
        <v>11</v>
      </c>
      <c r="P4271">
        <v>5102</v>
      </c>
      <c r="Q4271">
        <v>1</v>
      </c>
      <c r="R4271" s="2">
        <v>1111.3499999999999</v>
      </c>
      <c r="S4271" s="2">
        <v>1111.3499999999999</v>
      </c>
      <c r="T4271">
        <v>843.53</v>
      </c>
      <c r="U4271">
        <v>24.1</v>
      </c>
      <c r="V4271" t="str">
        <f>VLOOKUP(L4271,'[2]tabela de preços'!$A:$D,4,0)</f>
        <v>MAXI RUBBER</v>
      </c>
      <c r="W4271" t="str">
        <f>VLOOKUP(L4271,'[2]tabela de preços'!$A:$F,6,0)</f>
        <v>PISTOLAS</v>
      </c>
      <c r="X4271" t="str">
        <f>VLOOKUP(L4271,'[2]tabela de preços'!$A:$G,7,0)</f>
        <v>AUTOMOTIVO</v>
      </c>
    </row>
    <row r="4272" spans="1:24" x14ac:dyDescent="0.3">
      <c r="A4272" t="s">
        <v>626</v>
      </c>
      <c r="B4272" t="s">
        <v>627</v>
      </c>
      <c r="C4272" t="s">
        <v>3741</v>
      </c>
      <c r="D4272" s="1">
        <v>46080</v>
      </c>
      <c r="E4272" t="s">
        <v>3742</v>
      </c>
      <c r="F4272">
        <v>9</v>
      </c>
      <c r="G4272">
        <v>174</v>
      </c>
      <c r="H4272" t="str">
        <f>VLOOKUP(G4272,[1]OPERADORES!$A:$B,2,0)</f>
        <v>MIRIÃ LOBATO RODRIGUES</v>
      </c>
      <c r="I4272" t="s">
        <v>21</v>
      </c>
      <c r="J4272" t="s">
        <v>630</v>
      </c>
      <c r="K4272" t="s">
        <v>631</v>
      </c>
      <c r="L4272">
        <v>23926</v>
      </c>
      <c r="M4272" t="s">
        <v>645</v>
      </c>
      <c r="O4272" t="s">
        <v>11</v>
      </c>
      <c r="P4272">
        <v>5403</v>
      </c>
      <c r="Q4272">
        <v>2</v>
      </c>
      <c r="R4272">
        <v>147.1</v>
      </c>
      <c r="S4272">
        <v>294.2</v>
      </c>
      <c r="T4272">
        <v>197.78</v>
      </c>
      <c r="U4272">
        <v>32.770000000000003</v>
      </c>
      <c r="V4272" t="str">
        <f>VLOOKUP(L4272,'[2]tabela de preços'!$A:$D,4,0)</f>
        <v>SIKKENS</v>
      </c>
      <c r="W4272" t="str">
        <f>VLOOKUP(L4272,'[2]tabela de preços'!$A:$F,6,0)</f>
        <v>PRIMER AUTOMOTIVO</v>
      </c>
      <c r="X4272" t="str">
        <f>VLOOKUP(L4272,'[2]tabela de preços'!$A:$G,7,0)</f>
        <v>AUTOMOTIVO</v>
      </c>
    </row>
    <row r="4273" spans="1:24" x14ac:dyDescent="0.3">
      <c r="A4273" t="s">
        <v>626</v>
      </c>
      <c r="B4273" t="s">
        <v>627</v>
      </c>
      <c r="C4273" t="s">
        <v>3741</v>
      </c>
      <c r="D4273" s="1">
        <v>46080</v>
      </c>
      <c r="E4273" t="s">
        <v>3742</v>
      </c>
      <c r="F4273">
        <v>9</v>
      </c>
      <c r="G4273">
        <v>174</v>
      </c>
      <c r="H4273" t="str">
        <f>VLOOKUP(G4273,[1]OPERADORES!$A:$B,2,0)</f>
        <v>MIRIÃ LOBATO RODRIGUES</v>
      </c>
      <c r="I4273" t="s">
        <v>21</v>
      </c>
      <c r="J4273" t="s">
        <v>630</v>
      </c>
      <c r="K4273" t="s">
        <v>631</v>
      </c>
      <c r="L4273">
        <v>21436</v>
      </c>
      <c r="M4273" t="s">
        <v>1833</v>
      </c>
      <c r="O4273" t="s">
        <v>11</v>
      </c>
      <c r="P4273">
        <v>5102</v>
      </c>
      <c r="Q4273">
        <v>12</v>
      </c>
      <c r="R4273">
        <v>34.659999999999997</v>
      </c>
      <c r="S4273">
        <v>415.92</v>
      </c>
      <c r="T4273">
        <v>315.72000000000003</v>
      </c>
      <c r="U4273">
        <v>24.09</v>
      </c>
      <c r="V4273" t="str">
        <f>VLOOKUP(L4273,'[2]tabela de preços'!$A:$D,4,0)</f>
        <v>ROBERLO</v>
      </c>
      <c r="W4273" t="str">
        <f>VLOOKUP(L4273,'[2]tabela de preços'!$A:$F,6,0)</f>
        <v>PRIMER AUTOMOTIVO</v>
      </c>
      <c r="X4273" t="str">
        <f>VLOOKUP(L4273,'[2]tabela de preços'!$A:$G,7,0)</f>
        <v>AUTOMOTIVO</v>
      </c>
    </row>
    <row r="4274" spans="1:24" x14ac:dyDescent="0.3">
      <c r="A4274" t="s">
        <v>626</v>
      </c>
      <c r="B4274" t="s">
        <v>627</v>
      </c>
      <c r="C4274" t="s">
        <v>3741</v>
      </c>
      <c r="D4274" s="1">
        <v>46080</v>
      </c>
      <c r="E4274" t="s">
        <v>3742</v>
      </c>
      <c r="F4274">
        <v>9</v>
      </c>
      <c r="G4274">
        <v>174</v>
      </c>
      <c r="H4274" t="str">
        <f>VLOOKUP(G4274,[1]OPERADORES!$A:$B,2,0)</f>
        <v>MIRIÃ LOBATO RODRIGUES</v>
      </c>
      <c r="I4274" t="s">
        <v>21</v>
      </c>
      <c r="J4274" t="s">
        <v>630</v>
      </c>
      <c r="K4274" t="s">
        <v>631</v>
      </c>
      <c r="L4274">
        <v>21067</v>
      </c>
      <c r="M4274" t="s">
        <v>640</v>
      </c>
      <c r="O4274" t="s">
        <v>11</v>
      </c>
      <c r="P4274">
        <v>5102</v>
      </c>
      <c r="Q4274">
        <v>1</v>
      </c>
      <c r="R4274">
        <v>36.07</v>
      </c>
      <c r="S4274">
        <v>36.07</v>
      </c>
      <c r="T4274">
        <v>27.38</v>
      </c>
      <c r="U4274">
        <v>24.09</v>
      </c>
      <c r="V4274" t="str">
        <f>VLOOKUP(L4274,'[2]tabela de preços'!$A:$D,4,0)</f>
        <v>SIKKENS</v>
      </c>
      <c r="W4274" t="str">
        <f>VLOOKUP(L4274,'[2]tabela de preços'!$A:$F,6,0)</f>
        <v>DILUENTE</v>
      </c>
      <c r="X4274" t="str">
        <f>VLOOKUP(L4274,'[2]tabela de preços'!$A:$G,7,0)</f>
        <v>AUTOMOTIVO</v>
      </c>
    </row>
    <row r="4275" spans="1:24" x14ac:dyDescent="0.3">
      <c r="A4275" t="s">
        <v>626</v>
      </c>
      <c r="B4275" t="s">
        <v>627</v>
      </c>
      <c r="C4275" t="s">
        <v>3741</v>
      </c>
      <c r="D4275" s="1">
        <v>46080</v>
      </c>
      <c r="E4275" t="s">
        <v>3742</v>
      </c>
      <c r="F4275">
        <v>9</v>
      </c>
      <c r="G4275">
        <v>174</v>
      </c>
      <c r="H4275" t="str">
        <f>VLOOKUP(G4275,[1]OPERADORES!$A:$B,2,0)</f>
        <v>MIRIÃ LOBATO RODRIGUES</v>
      </c>
      <c r="I4275" t="s">
        <v>21</v>
      </c>
      <c r="J4275" t="s">
        <v>630</v>
      </c>
      <c r="K4275" t="s">
        <v>631</v>
      </c>
      <c r="L4275">
        <v>20212</v>
      </c>
      <c r="M4275" t="s">
        <v>198</v>
      </c>
      <c r="O4275" t="s">
        <v>11</v>
      </c>
      <c r="P4275">
        <v>5403</v>
      </c>
      <c r="Q4275">
        <v>1</v>
      </c>
      <c r="R4275">
        <v>27.69</v>
      </c>
      <c r="S4275">
        <v>27.69</v>
      </c>
      <c r="T4275">
        <v>21.02</v>
      </c>
      <c r="U4275">
        <v>24.09</v>
      </c>
      <c r="V4275" t="str">
        <f>VLOOKUP(L4275,'[2]tabela de preços'!$A:$D,4,0)</f>
        <v>MAXI RUBBER</v>
      </c>
      <c r="W4275" t="str">
        <f>VLOOKUP(L4275,'[2]tabela de preços'!$A:$F,6,0)</f>
        <v>SELADORA P/ PLASTICO</v>
      </c>
      <c r="X4275" t="str">
        <f>VLOOKUP(L4275,'[2]tabela de preços'!$A:$G,7,0)</f>
        <v>AUTOMOTIVO</v>
      </c>
    </row>
    <row r="4276" spans="1:24" x14ac:dyDescent="0.3">
      <c r="A4276" t="s">
        <v>626</v>
      </c>
      <c r="B4276" t="s">
        <v>627</v>
      </c>
      <c r="C4276" t="s">
        <v>3741</v>
      </c>
      <c r="D4276" s="1">
        <v>46080</v>
      </c>
      <c r="E4276" t="s">
        <v>3742</v>
      </c>
      <c r="F4276">
        <v>9</v>
      </c>
      <c r="G4276">
        <v>174</v>
      </c>
      <c r="H4276" t="str">
        <f>VLOOKUP(G4276,[1]OPERADORES!$A:$B,2,0)</f>
        <v>MIRIÃ LOBATO RODRIGUES</v>
      </c>
      <c r="I4276" t="s">
        <v>21</v>
      </c>
      <c r="J4276" t="s">
        <v>630</v>
      </c>
      <c r="K4276" t="s">
        <v>631</v>
      </c>
      <c r="L4276">
        <v>84560</v>
      </c>
      <c r="M4276" t="s">
        <v>118</v>
      </c>
      <c r="O4276" t="s">
        <v>11</v>
      </c>
      <c r="P4276">
        <v>5102</v>
      </c>
      <c r="Q4276">
        <v>20</v>
      </c>
      <c r="R4276">
        <v>47.89</v>
      </c>
      <c r="S4276">
        <v>957.8</v>
      </c>
      <c r="T4276">
        <v>802.8</v>
      </c>
      <c r="U4276">
        <v>16.18</v>
      </c>
      <c r="V4276" t="str">
        <f>VLOOKUP(L4276,'[2]tabela de preços'!$A:$D,4,0)</f>
        <v>BRASILUX</v>
      </c>
      <c r="W4276" t="str">
        <f>VLOOKUP(L4276,'[2]tabela de preços'!$A:$F,6,0)</f>
        <v>THINNER DE LIMPEZA</v>
      </c>
      <c r="X4276" t="str">
        <f>VLOOKUP(L4276,'[2]tabela de preços'!$A:$G,7,0)</f>
        <v>THINNER</v>
      </c>
    </row>
    <row r="4277" spans="1:24" x14ac:dyDescent="0.3">
      <c r="A4277" t="s">
        <v>3744</v>
      </c>
      <c r="C4277" t="s">
        <v>3745</v>
      </c>
      <c r="D4277" s="1">
        <v>46080</v>
      </c>
      <c r="E4277" t="s">
        <v>3746</v>
      </c>
      <c r="F4277">
        <v>9</v>
      </c>
      <c r="G4277">
        <v>236</v>
      </c>
      <c r="H4277" t="str">
        <f>VLOOKUP(G4277,[1]OPERADORES!$A:$B,2,0)</f>
        <v>DANIEL</v>
      </c>
      <c r="I4277" t="s">
        <v>244</v>
      </c>
      <c r="J4277" t="s">
        <v>3747</v>
      </c>
      <c r="K4277" t="s">
        <v>3748</v>
      </c>
      <c r="L4277">
        <v>85135</v>
      </c>
      <c r="M4277" t="s">
        <v>3749</v>
      </c>
      <c r="O4277" t="s">
        <v>11</v>
      </c>
      <c r="P4277">
        <v>6403</v>
      </c>
      <c r="Q4277">
        <v>1</v>
      </c>
      <c r="R4277">
        <v>171.95</v>
      </c>
      <c r="S4277">
        <v>171.95</v>
      </c>
      <c r="T4277">
        <v>91.95</v>
      </c>
      <c r="U4277">
        <v>46.53</v>
      </c>
      <c r="V4277" t="str">
        <f>VLOOKUP(L4277,'[2]tabela de preços'!$A:$D,4,0)</f>
        <v>BRASILUX</v>
      </c>
      <c r="W4277" t="str">
        <f>VLOOKUP(L4277,'[2]tabela de preços'!$A:$F,6,0)</f>
        <v>TINTA DE LABORATÓRIO</v>
      </c>
      <c r="X4277" t="str">
        <f>VLOOKUP(L4277,'[2]tabela de preços'!$A:$G,7,0)</f>
        <v>AUTOMOTIVO</v>
      </c>
    </row>
    <row r="4278" spans="1:24" x14ac:dyDescent="0.3">
      <c r="A4278" t="s">
        <v>3744</v>
      </c>
      <c r="C4278" t="s">
        <v>3745</v>
      </c>
      <c r="D4278" s="1">
        <v>46080</v>
      </c>
      <c r="E4278" t="s">
        <v>3746</v>
      </c>
      <c r="F4278">
        <v>9</v>
      </c>
      <c r="G4278">
        <v>236</v>
      </c>
      <c r="H4278" t="str">
        <f>VLOOKUP(G4278,[1]OPERADORES!$A:$B,2,0)</f>
        <v>DANIEL</v>
      </c>
      <c r="I4278" t="s">
        <v>244</v>
      </c>
      <c r="J4278" t="s">
        <v>3747</v>
      </c>
      <c r="K4278" t="s">
        <v>3748</v>
      </c>
      <c r="L4278">
        <v>85135</v>
      </c>
      <c r="M4278" t="s">
        <v>3750</v>
      </c>
      <c r="O4278" t="s">
        <v>11</v>
      </c>
      <c r="P4278">
        <v>6403</v>
      </c>
      <c r="Q4278">
        <v>1</v>
      </c>
      <c r="R4278">
        <v>163.89</v>
      </c>
      <c r="S4278">
        <v>163.89</v>
      </c>
      <c r="T4278">
        <v>87.64</v>
      </c>
      <c r="U4278">
        <v>46.53</v>
      </c>
      <c r="V4278" t="str">
        <f>VLOOKUP(L4278,'[2]tabela de preços'!$A:$D,4,0)</f>
        <v>BRASILUX</v>
      </c>
      <c r="W4278" t="str">
        <f>VLOOKUP(L4278,'[2]tabela de preços'!$A:$F,6,0)</f>
        <v>TINTA DE LABORATÓRIO</v>
      </c>
      <c r="X4278" t="str">
        <f>VLOOKUP(L4278,'[2]tabela de preços'!$A:$G,7,0)</f>
        <v>AUTOMOTIVO</v>
      </c>
    </row>
    <row r="4279" spans="1:24" x14ac:dyDescent="0.3">
      <c r="A4279" t="s">
        <v>3744</v>
      </c>
      <c r="C4279" t="s">
        <v>3745</v>
      </c>
      <c r="D4279" s="1">
        <v>46080</v>
      </c>
      <c r="E4279" t="s">
        <v>3746</v>
      </c>
      <c r="F4279">
        <v>9</v>
      </c>
      <c r="G4279">
        <v>236</v>
      </c>
      <c r="H4279" t="str">
        <f>VLOOKUP(G4279,[1]OPERADORES!$A:$B,2,0)</f>
        <v>DANIEL</v>
      </c>
      <c r="I4279" t="s">
        <v>244</v>
      </c>
      <c r="J4279" t="s">
        <v>3747</v>
      </c>
      <c r="K4279" t="s">
        <v>3748</v>
      </c>
      <c r="L4279">
        <v>85362</v>
      </c>
      <c r="M4279" t="s">
        <v>2135</v>
      </c>
      <c r="O4279" t="s">
        <v>11</v>
      </c>
      <c r="P4279">
        <v>6102</v>
      </c>
      <c r="Q4279">
        <v>1</v>
      </c>
      <c r="R4279">
        <v>161.88</v>
      </c>
      <c r="S4279">
        <v>161.88</v>
      </c>
      <c r="T4279">
        <v>118.68</v>
      </c>
      <c r="U4279">
        <v>26.69</v>
      </c>
      <c r="V4279" t="str">
        <f>VLOOKUP(L4279,'[2]tabela de preços'!$A:$D,4,0)</f>
        <v>BRASILUX</v>
      </c>
      <c r="W4279" t="str">
        <f>VLOOKUP(L4279,'[2]tabela de preços'!$A:$F,6,0)</f>
        <v>PRETO FOSCO VINÍLICO</v>
      </c>
      <c r="X4279" t="str">
        <f>VLOOKUP(L4279,'[2]tabela de preços'!$A:$G,7,0)</f>
        <v>AUTOMOTIVO</v>
      </c>
    </row>
    <row r="4280" spans="1:24" x14ac:dyDescent="0.3">
      <c r="A4280" t="s">
        <v>3744</v>
      </c>
      <c r="C4280" t="s">
        <v>3745</v>
      </c>
      <c r="D4280" s="1">
        <v>46080</v>
      </c>
      <c r="E4280" t="s">
        <v>3746</v>
      </c>
      <c r="F4280">
        <v>9</v>
      </c>
      <c r="G4280">
        <v>236</v>
      </c>
      <c r="H4280" t="str">
        <f>VLOOKUP(G4280,[1]OPERADORES!$A:$B,2,0)</f>
        <v>DANIEL</v>
      </c>
      <c r="I4280" t="s">
        <v>244</v>
      </c>
      <c r="J4280" t="s">
        <v>3747</v>
      </c>
      <c r="K4280" t="s">
        <v>3748</v>
      </c>
      <c r="L4280">
        <v>85280</v>
      </c>
      <c r="M4280" t="s">
        <v>943</v>
      </c>
      <c r="O4280" t="s">
        <v>11</v>
      </c>
      <c r="P4280">
        <v>6102</v>
      </c>
      <c r="Q4280">
        <v>2</v>
      </c>
      <c r="R4280">
        <v>57.68</v>
      </c>
      <c r="S4280">
        <v>115.36</v>
      </c>
      <c r="T4280">
        <v>84.58</v>
      </c>
      <c r="U4280">
        <v>26.68</v>
      </c>
      <c r="V4280" t="str">
        <f>VLOOKUP(L4280,'[2]tabela de preços'!$A:$D,4,0)</f>
        <v>BRASILUX</v>
      </c>
      <c r="W4280" t="str">
        <f>VLOOKUP(L4280,'[2]tabela de preços'!$A:$F,6,0)</f>
        <v>CATALISADORES INDIVIDUAIS</v>
      </c>
      <c r="X4280" t="str">
        <f>VLOOKUP(L4280,'[2]tabela de preços'!$A:$G,7,0)</f>
        <v>IMOBILIÁRIO</v>
      </c>
    </row>
    <row r="4281" spans="1:24" x14ac:dyDescent="0.3">
      <c r="A4281" t="s">
        <v>3744</v>
      </c>
      <c r="C4281" t="s">
        <v>3745</v>
      </c>
      <c r="D4281" s="1">
        <v>46080</v>
      </c>
      <c r="E4281" t="s">
        <v>3746</v>
      </c>
      <c r="F4281">
        <v>9</v>
      </c>
      <c r="G4281">
        <v>236</v>
      </c>
      <c r="H4281" t="str">
        <f>VLOOKUP(G4281,[1]OPERADORES!$A:$B,2,0)</f>
        <v>DANIEL</v>
      </c>
      <c r="I4281" t="s">
        <v>244</v>
      </c>
      <c r="J4281" t="s">
        <v>3747</v>
      </c>
      <c r="K4281" t="s">
        <v>3748</v>
      </c>
      <c r="L4281">
        <v>85364</v>
      </c>
      <c r="M4281" t="s">
        <v>3751</v>
      </c>
      <c r="O4281" t="s">
        <v>11</v>
      </c>
      <c r="P4281">
        <v>6102</v>
      </c>
      <c r="Q4281">
        <v>1</v>
      </c>
      <c r="R4281">
        <v>20.64</v>
      </c>
      <c r="S4281">
        <v>20.64</v>
      </c>
      <c r="T4281">
        <v>15.13</v>
      </c>
      <c r="U4281">
        <v>26.7</v>
      </c>
      <c r="V4281" t="str">
        <f>VLOOKUP(L4281,'[2]tabela de preços'!$A:$D,4,0)</f>
        <v>BRASILUX</v>
      </c>
      <c r="W4281" t="str">
        <f>VLOOKUP(L4281,'[2]tabela de preços'!$A:$F,6,0)</f>
        <v>PRETO FOSCO VINÍLICO</v>
      </c>
      <c r="X4281" t="str">
        <f>VLOOKUP(L4281,'[2]tabela de preços'!$A:$G,7,0)</f>
        <v>AUTOMOTIVO</v>
      </c>
    </row>
    <row r="4282" spans="1:24" x14ac:dyDescent="0.3">
      <c r="A4282" t="s">
        <v>3744</v>
      </c>
      <c r="C4282" t="s">
        <v>3745</v>
      </c>
      <c r="D4282" s="1">
        <v>46080</v>
      </c>
      <c r="E4282" t="s">
        <v>3746</v>
      </c>
      <c r="F4282">
        <v>9</v>
      </c>
      <c r="G4282">
        <v>236</v>
      </c>
      <c r="H4282" t="str">
        <f>VLOOKUP(G4282,[1]OPERADORES!$A:$B,2,0)</f>
        <v>DANIEL</v>
      </c>
      <c r="I4282" t="s">
        <v>244</v>
      </c>
      <c r="J4282" t="s">
        <v>3747</v>
      </c>
      <c r="K4282" t="s">
        <v>3748</v>
      </c>
      <c r="L4282">
        <v>23104</v>
      </c>
      <c r="M4282" t="s">
        <v>1336</v>
      </c>
      <c r="O4282" t="s">
        <v>11</v>
      </c>
      <c r="P4282">
        <v>6102</v>
      </c>
      <c r="Q4282">
        <v>9</v>
      </c>
      <c r="R4282">
        <v>2.35</v>
      </c>
      <c r="S4282">
        <v>21.15</v>
      </c>
      <c r="T4282">
        <v>16.649999999999999</v>
      </c>
      <c r="U4282">
        <v>21.28</v>
      </c>
      <c r="V4282" t="str">
        <f>VLOOKUP(L4282,'[2]tabela de preços'!$A:$D,4,0)</f>
        <v>3M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3744</v>
      </c>
      <c r="C4283" t="s">
        <v>3745</v>
      </c>
      <c r="D4283" s="1">
        <v>46080</v>
      </c>
      <c r="E4283" t="s">
        <v>3746</v>
      </c>
      <c r="F4283">
        <v>9</v>
      </c>
      <c r="G4283">
        <v>236</v>
      </c>
      <c r="H4283" t="str">
        <f>VLOOKUP(G4283,[1]OPERADORES!$A:$B,2,0)</f>
        <v>DANIEL</v>
      </c>
      <c r="I4283" t="s">
        <v>244</v>
      </c>
      <c r="J4283" t="s">
        <v>3747</v>
      </c>
      <c r="K4283" t="s">
        <v>3748</v>
      </c>
      <c r="L4283">
        <v>23105</v>
      </c>
      <c r="M4283" t="s">
        <v>402</v>
      </c>
      <c r="O4283" t="s">
        <v>11</v>
      </c>
      <c r="P4283">
        <v>6102</v>
      </c>
      <c r="Q4283">
        <v>10</v>
      </c>
      <c r="R4283">
        <v>2.35</v>
      </c>
      <c r="S4283">
        <v>23.5</v>
      </c>
      <c r="T4283">
        <v>19.2</v>
      </c>
      <c r="U4283">
        <v>18.3</v>
      </c>
      <c r="V4283" t="str">
        <f>VLOOKUP(L4283,'[2]tabela de preços'!$A:$D,4,0)</f>
        <v>3M</v>
      </c>
      <c r="W4283" t="str">
        <f>VLOOKUP(L4283,'[2]tabela de preços'!$A:$F,6,0)</f>
        <v xml:space="preserve">DISCOS / LIXAS / ABRASIVOS </v>
      </c>
      <c r="X4283" t="str">
        <f>VLOOKUP(L4283,'[2]tabela de preços'!$A:$G,7,0)</f>
        <v>AUTOMOTIVO</v>
      </c>
    </row>
    <row r="4284" spans="1:24" x14ac:dyDescent="0.3">
      <c r="A4284" t="s">
        <v>3744</v>
      </c>
      <c r="C4284" t="s">
        <v>3745</v>
      </c>
      <c r="D4284" s="1">
        <v>46080</v>
      </c>
      <c r="E4284" t="s">
        <v>3746</v>
      </c>
      <c r="F4284">
        <v>9</v>
      </c>
      <c r="G4284">
        <v>236</v>
      </c>
      <c r="H4284" t="str">
        <f>VLOOKUP(G4284,[1]OPERADORES!$A:$B,2,0)</f>
        <v>DANIEL</v>
      </c>
      <c r="I4284" t="s">
        <v>244</v>
      </c>
      <c r="J4284" t="s">
        <v>3747</v>
      </c>
      <c r="K4284" t="s">
        <v>3748</v>
      </c>
      <c r="L4284">
        <v>23125</v>
      </c>
      <c r="M4284" t="s">
        <v>3752</v>
      </c>
      <c r="O4284" t="s">
        <v>11</v>
      </c>
      <c r="P4284">
        <v>6102</v>
      </c>
      <c r="Q4284">
        <v>6</v>
      </c>
      <c r="R4284">
        <v>2.35</v>
      </c>
      <c r="S4284">
        <v>14.1</v>
      </c>
      <c r="T4284">
        <v>11.52</v>
      </c>
      <c r="U4284">
        <v>18.3</v>
      </c>
      <c r="V4284" t="str">
        <f>VLOOKUP(L4284,'[2]tabela de preços'!$A:$D,4,0)</f>
        <v>3M</v>
      </c>
      <c r="W4284" t="str">
        <f>VLOOKUP(L4284,'[2]tabela de preços'!$A:$F,6,0)</f>
        <v xml:space="preserve">DISCOS / LIXAS / ABRASIVOS </v>
      </c>
      <c r="X4284" t="str">
        <f>VLOOKUP(L4284,'[2]tabela de preços'!$A:$G,7,0)</f>
        <v>AUTOMOTIVO</v>
      </c>
    </row>
    <row r="4285" spans="1:24" x14ac:dyDescent="0.3">
      <c r="A4285" t="s">
        <v>3744</v>
      </c>
      <c r="C4285" t="s">
        <v>3745</v>
      </c>
      <c r="D4285" s="1">
        <v>46080</v>
      </c>
      <c r="E4285" t="s">
        <v>3746</v>
      </c>
      <c r="F4285">
        <v>9</v>
      </c>
      <c r="G4285">
        <v>236</v>
      </c>
      <c r="H4285" t="str">
        <f>VLOOKUP(G4285,[1]OPERADORES!$A:$B,2,0)</f>
        <v>DANIEL</v>
      </c>
      <c r="I4285" t="s">
        <v>244</v>
      </c>
      <c r="J4285" t="s">
        <v>3747</v>
      </c>
      <c r="K4285" t="s">
        <v>3748</v>
      </c>
      <c r="L4285">
        <v>84785</v>
      </c>
      <c r="M4285" t="s">
        <v>944</v>
      </c>
      <c r="O4285" t="s">
        <v>11</v>
      </c>
      <c r="P4285">
        <v>6403</v>
      </c>
      <c r="Q4285">
        <v>1</v>
      </c>
      <c r="R4285">
        <v>178.31</v>
      </c>
      <c r="S4285">
        <v>178.31</v>
      </c>
      <c r="T4285">
        <v>130.72</v>
      </c>
      <c r="U4285">
        <v>26.69</v>
      </c>
      <c r="V4285" t="str">
        <f>VLOOKUP(L4285,'[2]tabela de preços'!$A:$D,4,0)</f>
        <v>BRASILUX</v>
      </c>
      <c r="W4285" t="str">
        <f>VLOOKUP(L4285,'[2]tabela de preços'!$A:$F,6,0)</f>
        <v>EPOXI</v>
      </c>
      <c r="X4285" t="str">
        <f>VLOOKUP(L4285,'[2]tabela de preços'!$A:$G,7,0)</f>
        <v>INDUSTRIAL</v>
      </c>
    </row>
    <row r="4286" spans="1:24" x14ac:dyDescent="0.3">
      <c r="A4286" t="s">
        <v>3744</v>
      </c>
      <c r="C4286" t="s">
        <v>3745</v>
      </c>
      <c r="D4286" s="1">
        <v>46080</v>
      </c>
      <c r="E4286" t="s">
        <v>3746</v>
      </c>
      <c r="F4286">
        <v>9</v>
      </c>
      <c r="G4286">
        <v>236</v>
      </c>
      <c r="H4286" t="str">
        <f>VLOOKUP(G4286,[1]OPERADORES!$A:$B,2,0)</f>
        <v>DANIEL</v>
      </c>
      <c r="I4286" t="s">
        <v>244</v>
      </c>
      <c r="J4286" t="s">
        <v>3747</v>
      </c>
      <c r="K4286" t="s">
        <v>3748</v>
      </c>
      <c r="L4286">
        <v>58</v>
      </c>
      <c r="M4286" t="s">
        <v>389</v>
      </c>
      <c r="O4286" t="s">
        <v>11</v>
      </c>
      <c r="P4286">
        <v>6102</v>
      </c>
      <c r="Q4286">
        <v>6</v>
      </c>
      <c r="R4286">
        <v>1.05</v>
      </c>
      <c r="S4286">
        <v>6.3</v>
      </c>
      <c r="T4286">
        <v>4.62</v>
      </c>
      <c r="U4286">
        <v>26.67</v>
      </c>
      <c r="V4286" t="str">
        <f>VLOOKUP(L4286,'[2]tabela de preços'!$A:$D,4,0)</f>
        <v>3M</v>
      </c>
      <c r="W4286" t="str">
        <f>VLOOKUP(L4286,'[2]tabela de preços'!$A:$F,6,0)</f>
        <v>LIXA DÁGUA</v>
      </c>
      <c r="X4286" t="str">
        <f>VLOOKUP(L4286,'[2]tabela de preços'!$A:$G,7,0)</f>
        <v>AUTOMOTIVO</v>
      </c>
    </row>
    <row r="4287" spans="1:24" x14ac:dyDescent="0.3">
      <c r="A4287" t="s">
        <v>3744</v>
      </c>
      <c r="C4287" t="s">
        <v>3745</v>
      </c>
      <c r="D4287" s="1">
        <v>46080</v>
      </c>
      <c r="E4287" t="s">
        <v>3746</v>
      </c>
      <c r="F4287">
        <v>9</v>
      </c>
      <c r="G4287">
        <v>236</v>
      </c>
      <c r="H4287" t="str">
        <f>VLOOKUP(G4287,[1]OPERADORES!$A:$B,2,0)</f>
        <v>DANIEL</v>
      </c>
      <c r="I4287" t="s">
        <v>244</v>
      </c>
      <c r="J4287" t="s">
        <v>3747</v>
      </c>
      <c r="K4287" t="s">
        <v>3748</v>
      </c>
      <c r="L4287">
        <v>84021</v>
      </c>
      <c r="M4287" t="s">
        <v>1945</v>
      </c>
      <c r="O4287" t="s">
        <v>11</v>
      </c>
      <c r="P4287">
        <v>6102</v>
      </c>
      <c r="Q4287">
        <v>12</v>
      </c>
      <c r="R4287">
        <v>0.62</v>
      </c>
      <c r="S4287">
        <v>7.44</v>
      </c>
      <c r="T4287">
        <v>5.52</v>
      </c>
      <c r="U4287">
        <v>25.81</v>
      </c>
      <c r="V4287" t="str">
        <f>VLOOKUP(L4287,'[2]tabela de preços'!$A:$D,4,0)</f>
        <v>3M</v>
      </c>
      <c r="W4287" t="str">
        <f>VLOOKUP(L4287,'[2]tabela de preços'!$A:$F,6,0)</f>
        <v>LIXA MASSA  /MADEIRA / PAREDE</v>
      </c>
      <c r="X4287" t="str">
        <f>VLOOKUP(L4287,'[2]tabela de preços'!$A:$G,7,0)</f>
        <v>IMOBILIÁRIO</v>
      </c>
    </row>
    <row r="4288" spans="1:24" x14ac:dyDescent="0.3">
      <c r="A4288" t="s">
        <v>3744</v>
      </c>
      <c r="C4288" t="s">
        <v>3745</v>
      </c>
      <c r="D4288" s="1">
        <v>46080</v>
      </c>
      <c r="E4288" t="s">
        <v>3746</v>
      </c>
      <c r="F4288">
        <v>9</v>
      </c>
      <c r="G4288">
        <v>236</v>
      </c>
      <c r="H4288" t="str">
        <f>VLOOKUP(G4288,[1]OPERADORES!$A:$B,2,0)</f>
        <v>DANIEL</v>
      </c>
      <c r="I4288" t="s">
        <v>244</v>
      </c>
      <c r="J4288" t="s">
        <v>3747</v>
      </c>
      <c r="K4288" t="s">
        <v>3748</v>
      </c>
      <c r="L4288">
        <v>84032</v>
      </c>
      <c r="M4288" t="s">
        <v>1573</v>
      </c>
      <c r="O4288" t="s">
        <v>11</v>
      </c>
      <c r="P4288">
        <v>6102</v>
      </c>
      <c r="Q4288">
        <v>1</v>
      </c>
      <c r="R4288">
        <v>102.89</v>
      </c>
      <c r="S4288">
        <v>102.89</v>
      </c>
      <c r="T4288">
        <v>75.430000000000007</v>
      </c>
      <c r="U4288">
        <v>26.69</v>
      </c>
      <c r="V4288" t="str">
        <f>VLOOKUP(L4288,'[2]tabela de preços'!$A:$D,4,0)</f>
        <v>BRASILUX</v>
      </c>
      <c r="W4288" t="str">
        <f>VLOOKUP(L4288,'[2]tabela de preços'!$A:$F,6,0)</f>
        <v>MASSA CORRIDA / ACRÍLICA</v>
      </c>
      <c r="X4288" t="str">
        <f>VLOOKUP(L4288,'[2]tabela de preços'!$A:$G,7,0)</f>
        <v>IMOBILIÁRIO</v>
      </c>
    </row>
    <row r="4289" spans="1:24" x14ac:dyDescent="0.3">
      <c r="A4289" t="s">
        <v>3744</v>
      </c>
      <c r="C4289" t="s">
        <v>3745</v>
      </c>
      <c r="D4289" s="1">
        <v>46080</v>
      </c>
      <c r="E4289" t="s">
        <v>3746</v>
      </c>
      <c r="F4289">
        <v>9</v>
      </c>
      <c r="G4289">
        <v>236</v>
      </c>
      <c r="H4289" t="str">
        <f>VLOOKUP(G4289,[1]OPERADORES!$A:$B,2,0)</f>
        <v>DANIEL</v>
      </c>
      <c r="I4289" t="s">
        <v>244</v>
      </c>
      <c r="J4289" t="s">
        <v>3747</v>
      </c>
      <c r="K4289" t="s">
        <v>3748</v>
      </c>
      <c r="L4289">
        <v>84422</v>
      </c>
      <c r="M4289" t="s">
        <v>569</v>
      </c>
      <c r="O4289" t="s">
        <v>11</v>
      </c>
      <c r="P4289">
        <v>6102</v>
      </c>
      <c r="Q4289">
        <v>3</v>
      </c>
      <c r="R4289">
        <v>9.65</v>
      </c>
      <c r="S4289">
        <v>28.95</v>
      </c>
      <c r="T4289">
        <v>21.24</v>
      </c>
      <c r="U4289">
        <v>26.63</v>
      </c>
      <c r="V4289" t="str">
        <f>VLOOKUP(L4289,'[2]tabela de preços'!$A:$D,4,0)</f>
        <v>ATLAS</v>
      </c>
      <c r="W4289" t="str">
        <f>VLOOKUP(L4289,'[2]tabela de preços'!$A:$F,6,0)</f>
        <v>ROLOS / TRINCHAS / PINCÉIS / ESPÁTULAS</v>
      </c>
      <c r="X4289" t="str">
        <f>VLOOKUP(L4289,'[2]tabela de preços'!$A:$G,7,0)</f>
        <v>IMOBILIÁRIO</v>
      </c>
    </row>
    <row r="4290" spans="1:24" x14ac:dyDescent="0.3">
      <c r="A4290" t="s">
        <v>3744</v>
      </c>
      <c r="C4290" t="s">
        <v>3745</v>
      </c>
      <c r="D4290" s="1">
        <v>46080</v>
      </c>
      <c r="E4290" t="s">
        <v>3746</v>
      </c>
      <c r="F4290">
        <v>9</v>
      </c>
      <c r="G4290">
        <v>236</v>
      </c>
      <c r="H4290" t="str">
        <f>VLOOKUP(G4290,[1]OPERADORES!$A:$B,2,0)</f>
        <v>DANIEL</v>
      </c>
      <c r="I4290" t="s">
        <v>244</v>
      </c>
      <c r="J4290" t="s">
        <v>3747</v>
      </c>
      <c r="K4290" t="s">
        <v>3748</v>
      </c>
      <c r="L4290">
        <v>85037</v>
      </c>
      <c r="M4290" t="s">
        <v>60</v>
      </c>
      <c r="O4290" t="s">
        <v>11</v>
      </c>
      <c r="P4290">
        <v>6102</v>
      </c>
      <c r="Q4290">
        <v>1</v>
      </c>
      <c r="R4290">
        <v>6.52</v>
      </c>
      <c r="S4290">
        <v>6.52</v>
      </c>
      <c r="T4290">
        <v>4.78</v>
      </c>
      <c r="U4290">
        <v>26.69</v>
      </c>
      <c r="V4290" t="str">
        <f>VLOOKUP(L4290,'[2]tabela de preços'!$A:$D,4,0)</f>
        <v>ATLAS</v>
      </c>
      <c r="W4290" t="str">
        <f>VLOOKUP(L4290,'[2]tabela de preços'!$A:$F,6,0)</f>
        <v>ROLOS / TRINCHAS / PINCÉIS / ESPÁTULAS</v>
      </c>
      <c r="X4290" t="str">
        <f>VLOOKUP(L4290,'[2]tabela de preços'!$A:$G,7,0)</f>
        <v>IMOBILIÁRIO</v>
      </c>
    </row>
    <row r="4291" spans="1:24" x14ac:dyDescent="0.3">
      <c r="A4291" t="s">
        <v>727</v>
      </c>
      <c r="C4291" t="s">
        <v>3753</v>
      </c>
      <c r="D4291" s="1">
        <v>46079</v>
      </c>
      <c r="E4291" t="s">
        <v>3754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730</v>
      </c>
      <c r="K4291" t="s">
        <v>731</v>
      </c>
      <c r="L4291">
        <v>10277</v>
      </c>
      <c r="M4291" t="s">
        <v>135</v>
      </c>
      <c r="O4291" t="s">
        <v>11</v>
      </c>
      <c r="P4291">
        <v>5102</v>
      </c>
      <c r="Q4291">
        <v>40</v>
      </c>
      <c r="R4291">
        <v>15.89</v>
      </c>
      <c r="S4291">
        <v>635.6</v>
      </c>
      <c r="T4291">
        <v>515.20000000000005</v>
      </c>
      <c r="U4291">
        <v>18.940000000000001</v>
      </c>
      <c r="V4291" t="str">
        <f>VLOOKUP(L4291,'[2]tabela de preços'!$A:$D,4,0)</f>
        <v>RETOQUE</v>
      </c>
      <c r="W4291" t="str">
        <f>VLOOKUP(L4291,'[2]tabela de preços'!$A:$F,6,0)</f>
        <v xml:space="preserve">COLA  PLÁSTICA </v>
      </c>
      <c r="X4291" t="str">
        <f>VLOOKUP(L4291,'[2]tabela de preços'!$A:$G,7,0)</f>
        <v>AUTOMOTIVO</v>
      </c>
    </row>
    <row r="4292" spans="1:24" x14ac:dyDescent="0.3">
      <c r="A4292" t="s">
        <v>2610</v>
      </c>
      <c r="C4292" t="s">
        <v>3755</v>
      </c>
      <c r="D4292" s="1">
        <v>46080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372</v>
      </c>
      <c r="K4292" t="s">
        <v>2613</v>
      </c>
      <c r="L4292">
        <v>23878</v>
      </c>
      <c r="M4292" t="s">
        <v>851</v>
      </c>
      <c r="N4292" t="s">
        <v>3756</v>
      </c>
      <c r="O4292" t="s">
        <v>11</v>
      </c>
      <c r="P4292">
        <v>1202</v>
      </c>
      <c r="Q4292">
        <v>-13</v>
      </c>
      <c r="R4292">
        <v>8.6999999999999993</v>
      </c>
      <c r="S4292">
        <v>-113.1</v>
      </c>
      <c r="T4292">
        <v>-75.92</v>
      </c>
      <c r="U4292">
        <v>32.869999999999997</v>
      </c>
      <c r="V4292" t="str">
        <f>VLOOKUP(L4292,'[2]tabela de preços'!$A:$D,4,0)</f>
        <v>ATLAS</v>
      </c>
      <c r="W4292" t="str">
        <f>VLOOKUP(L4292,'[2]tabela de preços'!$A:$F,6,0)</f>
        <v>ROLOS / TRINCHAS / PINCÉIS / ESPÁTULAS</v>
      </c>
      <c r="X4292" t="str">
        <f>VLOOKUP(L4292,'[2]tabela de preços'!$A:$G,7,0)</f>
        <v>IMOBILIÁRIO</v>
      </c>
    </row>
    <row r="4293" spans="1:24" x14ac:dyDescent="0.3">
      <c r="A4293" t="s">
        <v>2610</v>
      </c>
      <c r="C4293" t="s">
        <v>3755</v>
      </c>
      <c r="D4293" s="1">
        <v>46080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372</v>
      </c>
      <c r="K4293" t="s">
        <v>2613</v>
      </c>
      <c r="L4293">
        <v>23878</v>
      </c>
      <c r="M4293" t="s">
        <v>851</v>
      </c>
      <c r="N4293" t="s">
        <v>3757</v>
      </c>
      <c r="O4293" t="s">
        <v>11</v>
      </c>
      <c r="P4293">
        <v>1202</v>
      </c>
      <c r="Q4293">
        <v>-13</v>
      </c>
      <c r="R4293">
        <v>8.6999999999999993</v>
      </c>
      <c r="S4293">
        <v>-113.1</v>
      </c>
      <c r="T4293">
        <v>-75.92</v>
      </c>
      <c r="U4293">
        <v>32.869999999999997</v>
      </c>
      <c r="V4293" t="str">
        <f>VLOOKUP(L4293,'[2]tabela de preços'!$A:$D,4,0)</f>
        <v>ATLAS</v>
      </c>
      <c r="W4293" t="str">
        <f>VLOOKUP(L4293,'[2]tabela de preços'!$A:$F,6,0)</f>
        <v>ROLOS / TRINCHAS / PINCÉIS / ESPÁTULAS</v>
      </c>
      <c r="X4293" t="str">
        <f>VLOOKUP(L4293,'[2]tabela de preços'!$A:$G,7,0)</f>
        <v>IMOBILIÁRIO</v>
      </c>
    </row>
    <row r="4294" spans="1:24" x14ac:dyDescent="0.3">
      <c r="A4294" t="s">
        <v>3110</v>
      </c>
      <c r="C4294" t="s">
        <v>3758</v>
      </c>
      <c r="D4294" s="1">
        <v>46079</v>
      </c>
      <c r="E4294" t="s">
        <v>3759</v>
      </c>
      <c r="F4294">
        <v>9</v>
      </c>
      <c r="G4294">
        <v>236</v>
      </c>
      <c r="H4294" t="str">
        <f>VLOOKUP(G4294,[1]OPERADORES!$A:$B,2,0)</f>
        <v>DANIEL</v>
      </c>
      <c r="I4294" t="s">
        <v>21</v>
      </c>
      <c r="J4294" t="s">
        <v>372</v>
      </c>
      <c r="K4294" t="s">
        <v>3113</v>
      </c>
      <c r="L4294">
        <v>10298</v>
      </c>
      <c r="M4294" t="s">
        <v>85</v>
      </c>
      <c r="O4294" t="s">
        <v>11</v>
      </c>
      <c r="P4294">
        <v>5102</v>
      </c>
      <c r="Q4294">
        <v>3</v>
      </c>
      <c r="R4294">
        <v>56.89</v>
      </c>
      <c r="S4294">
        <v>170.67</v>
      </c>
      <c r="T4294">
        <v>142.13999999999999</v>
      </c>
      <c r="U4294">
        <v>16.72</v>
      </c>
      <c r="V4294" t="str">
        <f>VLOOKUP(L4294,'[2]tabela de preços'!$A:$D,4,0)</f>
        <v>ANJO</v>
      </c>
      <c r="W4294" t="str">
        <f>VLOOKUP(L4294,'[2]tabela de preços'!$A:$F,6,0)</f>
        <v>THINNER DE LIMPEZA</v>
      </c>
      <c r="X4294" t="str">
        <f>VLOOKUP(L4294,'[2]tabela de preços'!$A:$G,7,0)</f>
        <v>THINNER</v>
      </c>
    </row>
    <row r="4295" spans="1:24" x14ac:dyDescent="0.3">
      <c r="A4295" t="s">
        <v>868</v>
      </c>
      <c r="B4295" t="s">
        <v>869</v>
      </c>
      <c r="C4295" t="s">
        <v>3567</v>
      </c>
      <c r="D4295" s="1">
        <v>46078</v>
      </c>
      <c r="E4295" t="s">
        <v>3568</v>
      </c>
      <c r="F4295">
        <v>9</v>
      </c>
      <c r="G4295">
        <v>197</v>
      </c>
      <c r="H4295" t="str">
        <f>VLOOKUP(G4295,[1]OPERADORES!$A:$B,2,0)</f>
        <v xml:space="preserve">POLIANA LORRANE DE AMORIM </v>
      </c>
      <c r="I4295" t="s">
        <v>21</v>
      </c>
      <c r="J4295" t="s">
        <v>872</v>
      </c>
      <c r="K4295" t="s">
        <v>873</v>
      </c>
      <c r="L4295">
        <v>84351</v>
      </c>
      <c r="M4295" t="s">
        <v>2152</v>
      </c>
      <c r="O4295" t="s">
        <v>11</v>
      </c>
      <c r="P4295">
        <v>5403</v>
      </c>
      <c r="Q4295">
        <v>20</v>
      </c>
      <c r="R4295">
        <v>59.98</v>
      </c>
      <c r="S4295" s="2">
        <v>1199.5999999999999</v>
      </c>
      <c r="T4295" s="2">
        <v>1233</v>
      </c>
      <c r="U4295">
        <v>-2.78</v>
      </c>
      <c r="V4295" t="str">
        <f>VLOOKUP(L4295,'[2]tabela de preços'!$A:$D,4,0)</f>
        <v>BRASILUX</v>
      </c>
      <c r="W4295" t="str">
        <f>VLOOKUP(L4295,'[2]tabela de preços'!$A:$F,6,0)</f>
        <v>ESMALTES</v>
      </c>
      <c r="X4295" t="str">
        <f>VLOOKUP(L4295,'[2]tabela de preços'!$A:$G,7,0)</f>
        <v>INDUSTRIAL</v>
      </c>
    </row>
    <row r="4296" spans="1:24" x14ac:dyDescent="0.3">
      <c r="A4296" t="s">
        <v>868</v>
      </c>
      <c r="B4296" t="s">
        <v>869</v>
      </c>
      <c r="C4296" t="s">
        <v>3567</v>
      </c>
      <c r="D4296" s="1">
        <v>46078</v>
      </c>
      <c r="E4296" t="s">
        <v>3568</v>
      </c>
      <c r="F4296">
        <v>9</v>
      </c>
      <c r="G4296">
        <v>197</v>
      </c>
      <c r="H4296" t="str">
        <f>VLOOKUP(G4296,[1]OPERADORES!$A:$B,2,0)</f>
        <v xml:space="preserve">POLIANA LORRANE DE AMORIM </v>
      </c>
      <c r="I4296" t="s">
        <v>21</v>
      </c>
      <c r="J4296" t="s">
        <v>872</v>
      </c>
      <c r="K4296" t="s">
        <v>873</v>
      </c>
      <c r="L4296">
        <v>84328</v>
      </c>
      <c r="M4296" t="s">
        <v>496</v>
      </c>
      <c r="O4296" t="s">
        <v>11</v>
      </c>
      <c r="P4296">
        <v>5403</v>
      </c>
      <c r="Q4296">
        <v>5</v>
      </c>
      <c r="R4296">
        <v>59.98</v>
      </c>
      <c r="S4296">
        <v>299.89999999999998</v>
      </c>
      <c r="T4296">
        <v>236.7</v>
      </c>
      <c r="U4296">
        <v>21.07</v>
      </c>
      <c r="V4296" t="str">
        <f>VLOOKUP(L4296,'[2]tabela de preços'!$A:$D,4,0)</f>
        <v>BRASILUX</v>
      </c>
      <c r="W4296" t="str">
        <f>VLOOKUP(L4296,'[2]tabela de preços'!$A:$F,6,0)</f>
        <v>ESMALTES</v>
      </c>
      <c r="X4296" t="str">
        <f>VLOOKUP(L4296,'[2]tabela de preços'!$A:$G,7,0)</f>
        <v>INDUSTRIAL</v>
      </c>
    </row>
    <row r="4297" spans="1:24" x14ac:dyDescent="0.3">
      <c r="A4297" t="s">
        <v>868</v>
      </c>
      <c r="B4297" t="s">
        <v>869</v>
      </c>
      <c r="C4297" t="s">
        <v>3567</v>
      </c>
      <c r="D4297" s="1">
        <v>46078</v>
      </c>
      <c r="E4297" t="s">
        <v>3568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84359</v>
      </c>
      <c r="M4297" t="s">
        <v>2283</v>
      </c>
      <c r="O4297" t="s">
        <v>11</v>
      </c>
      <c r="P4297">
        <v>5403</v>
      </c>
      <c r="Q4297">
        <v>3</v>
      </c>
      <c r="R4297">
        <v>18.13</v>
      </c>
      <c r="S4297">
        <v>54.39</v>
      </c>
      <c r="T4297">
        <v>41.28</v>
      </c>
      <c r="U4297">
        <v>24.1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3567</v>
      </c>
      <c r="D4298" s="1">
        <v>46078</v>
      </c>
      <c r="E4298" t="s">
        <v>3568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84139</v>
      </c>
      <c r="M4298" t="s">
        <v>590</v>
      </c>
      <c r="O4298" t="s">
        <v>11</v>
      </c>
      <c r="P4298">
        <v>5403</v>
      </c>
      <c r="Q4298">
        <v>4</v>
      </c>
      <c r="R4298">
        <v>7.74</v>
      </c>
      <c r="S4298">
        <v>30.96</v>
      </c>
      <c r="T4298">
        <v>23.52</v>
      </c>
      <c r="U4298">
        <v>24.03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868</v>
      </c>
      <c r="B4299" t="s">
        <v>869</v>
      </c>
      <c r="C4299" t="s">
        <v>3567</v>
      </c>
      <c r="D4299" s="1">
        <v>46078</v>
      </c>
      <c r="E4299" t="s">
        <v>3568</v>
      </c>
      <c r="F4299">
        <v>9</v>
      </c>
      <c r="G4299">
        <v>197</v>
      </c>
      <c r="H4299" t="str">
        <f>VLOOKUP(G4299,[1]OPERADORES!$A:$B,2,0)</f>
        <v xml:space="preserve">POLIANA LORRANE DE AMORIM </v>
      </c>
      <c r="I4299" t="s">
        <v>21</v>
      </c>
      <c r="J4299" t="s">
        <v>872</v>
      </c>
      <c r="K4299" t="s">
        <v>873</v>
      </c>
      <c r="L4299">
        <v>84032</v>
      </c>
      <c r="M4299" t="s">
        <v>1573</v>
      </c>
      <c r="O4299" t="s">
        <v>11</v>
      </c>
      <c r="P4299">
        <v>5102</v>
      </c>
      <c r="Q4299">
        <v>1</v>
      </c>
      <c r="R4299">
        <v>102.89</v>
      </c>
      <c r="S4299">
        <v>102.89</v>
      </c>
      <c r="T4299">
        <v>75.430000000000007</v>
      </c>
      <c r="U4299">
        <v>26.69</v>
      </c>
      <c r="V4299" t="str">
        <f>VLOOKUP(L4299,'[2]tabela de preços'!$A:$D,4,0)</f>
        <v>BRASILUX</v>
      </c>
      <c r="W4299" t="str">
        <f>VLOOKUP(L4299,'[2]tabela de preços'!$A:$F,6,0)</f>
        <v>MASSA CORRIDA / ACRÍLICA</v>
      </c>
      <c r="X4299" t="str">
        <f>VLOOKUP(L4299,'[2]tabela de preços'!$A:$G,7,0)</f>
        <v>IMOBILIÁRIO</v>
      </c>
    </row>
    <row r="4300" spans="1:24" x14ac:dyDescent="0.3">
      <c r="A4300" t="s">
        <v>868</v>
      </c>
      <c r="B4300" t="s">
        <v>869</v>
      </c>
      <c r="C4300" t="s">
        <v>3567</v>
      </c>
      <c r="D4300" s="1">
        <v>46078</v>
      </c>
      <c r="E4300" t="s">
        <v>3568</v>
      </c>
      <c r="F4300">
        <v>9</v>
      </c>
      <c r="G4300">
        <v>197</v>
      </c>
      <c r="H4300" t="str">
        <f>VLOOKUP(G4300,[1]OPERADORES!$A:$B,2,0)</f>
        <v xml:space="preserve">POLIANA LORRANE DE AMORIM </v>
      </c>
      <c r="I4300" t="s">
        <v>21</v>
      </c>
      <c r="J4300" t="s">
        <v>872</v>
      </c>
      <c r="K4300" t="s">
        <v>873</v>
      </c>
      <c r="L4300">
        <v>10298</v>
      </c>
      <c r="M4300" t="s">
        <v>85</v>
      </c>
      <c r="O4300" t="s">
        <v>11</v>
      </c>
      <c r="P4300">
        <v>5102</v>
      </c>
      <c r="Q4300">
        <v>40</v>
      </c>
      <c r="R4300">
        <v>54.9</v>
      </c>
      <c r="S4300" s="2">
        <v>2196</v>
      </c>
      <c r="T4300" s="2">
        <v>1895.2</v>
      </c>
      <c r="U4300">
        <v>13.7</v>
      </c>
      <c r="V4300" t="str">
        <f>VLOOKUP(L4300,'[2]tabela de preços'!$A:$D,4,0)</f>
        <v>ANJO</v>
      </c>
      <c r="W4300" t="str">
        <f>VLOOKUP(L4300,'[2]tabela de preços'!$A:$F,6,0)</f>
        <v>THINNER DE LIMPEZA</v>
      </c>
      <c r="X4300" t="str">
        <f>VLOOKUP(L4300,'[2]tabela de preços'!$A:$G,7,0)</f>
        <v>THINNER</v>
      </c>
    </row>
    <row r="4301" spans="1:24" x14ac:dyDescent="0.3">
      <c r="A4301" t="s">
        <v>868</v>
      </c>
      <c r="B4301" t="s">
        <v>869</v>
      </c>
      <c r="C4301" t="s">
        <v>3567</v>
      </c>
      <c r="D4301" s="1">
        <v>46078</v>
      </c>
      <c r="E4301" t="s">
        <v>3568</v>
      </c>
      <c r="F4301">
        <v>9</v>
      </c>
      <c r="G4301">
        <v>197</v>
      </c>
      <c r="H4301" t="str">
        <f>VLOOKUP(G4301,[1]OPERADORES!$A:$B,2,0)</f>
        <v xml:space="preserve">POLIANA LORRANE DE AMORIM </v>
      </c>
      <c r="I4301" t="s">
        <v>21</v>
      </c>
      <c r="J4301" t="s">
        <v>872</v>
      </c>
      <c r="K4301" t="s">
        <v>873</v>
      </c>
      <c r="L4301">
        <v>84560</v>
      </c>
      <c r="M4301" t="s">
        <v>118</v>
      </c>
      <c r="O4301" t="s">
        <v>11</v>
      </c>
      <c r="P4301">
        <v>5102</v>
      </c>
      <c r="Q4301">
        <v>4</v>
      </c>
      <c r="R4301">
        <v>47.89</v>
      </c>
      <c r="S4301">
        <v>191.56</v>
      </c>
      <c r="T4301">
        <v>160.56</v>
      </c>
      <c r="U4301">
        <v>16.18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868</v>
      </c>
      <c r="B4302" t="s">
        <v>869</v>
      </c>
      <c r="C4302" t="s">
        <v>3760</v>
      </c>
      <c r="D4302" s="1">
        <v>46079</v>
      </c>
      <c r="E4302" t="s">
        <v>3761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21</v>
      </c>
      <c r="J4302" t="s">
        <v>872</v>
      </c>
      <c r="K4302" t="s">
        <v>873</v>
      </c>
      <c r="L4302">
        <v>85077</v>
      </c>
      <c r="M4302" t="s">
        <v>3762</v>
      </c>
      <c r="O4302" t="s">
        <v>11</v>
      </c>
      <c r="P4302">
        <v>5403</v>
      </c>
      <c r="Q4302">
        <v>1</v>
      </c>
      <c r="R4302">
        <v>453.19</v>
      </c>
      <c r="S4302">
        <v>453.19</v>
      </c>
      <c r="T4302">
        <v>332.63</v>
      </c>
      <c r="U4302">
        <v>26.6</v>
      </c>
      <c r="V4302" t="str">
        <f>VLOOKUP(L4302,'[2]tabela de preços'!$A:$D,4,0)</f>
        <v>BRASILUX</v>
      </c>
      <c r="W4302" t="str">
        <f>VLOOKUP(L4302,'[2]tabela de preços'!$A:$F,6,0)</f>
        <v>ESMALTES</v>
      </c>
      <c r="X4302" t="str">
        <f>VLOOKUP(L4302,'[2]tabela de preços'!$A:$G,7,0)</f>
        <v>INDUSTRIAL</v>
      </c>
    </row>
    <row r="4303" spans="1:24" x14ac:dyDescent="0.3">
      <c r="A4303" t="s">
        <v>3763</v>
      </c>
      <c r="C4303" t="s">
        <v>3764</v>
      </c>
      <c r="D4303" s="1">
        <v>46080</v>
      </c>
      <c r="E4303" t="s">
        <v>3765</v>
      </c>
      <c r="F4303">
        <v>9</v>
      </c>
      <c r="G4303">
        <v>231</v>
      </c>
      <c r="H4303" t="str">
        <f>VLOOKUP(G4303,[1]OPERADORES!$A:$B,2,0)</f>
        <v>EDIJANE</v>
      </c>
      <c r="I4303" t="s">
        <v>21</v>
      </c>
      <c r="J4303" t="s">
        <v>621</v>
      </c>
      <c r="K4303" t="s">
        <v>3766</v>
      </c>
      <c r="L4303">
        <v>85664</v>
      </c>
      <c r="M4303" t="s">
        <v>3767</v>
      </c>
      <c r="O4303" t="s">
        <v>11</v>
      </c>
      <c r="P4303">
        <v>5403</v>
      </c>
      <c r="Q4303">
        <v>2</v>
      </c>
      <c r="R4303">
        <v>15.79</v>
      </c>
      <c r="S4303">
        <v>31.58</v>
      </c>
      <c r="T4303">
        <v>23.98</v>
      </c>
      <c r="U4303">
        <v>24.07</v>
      </c>
      <c r="V4303" t="str">
        <f>VLOOKUP(L4303,'[2]tabela de preços'!$A:$D,4,0)</f>
        <v>UNIPEGA</v>
      </c>
      <c r="W4303" t="str">
        <f>VLOOKUP(L4303,'[2]tabela de preços'!$A:$F,6,0)</f>
        <v xml:space="preserve">SPRAYS </v>
      </c>
      <c r="X4303" t="str">
        <f>VLOOKUP(L4303,'[2]tabela de preços'!$A:$G,7,0)</f>
        <v>AUTOMOTIVO</v>
      </c>
    </row>
    <row r="4304" spans="1:24" x14ac:dyDescent="0.3">
      <c r="A4304" t="s">
        <v>3763</v>
      </c>
      <c r="C4304" t="s">
        <v>3764</v>
      </c>
      <c r="D4304" s="1">
        <v>46080</v>
      </c>
      <c r="E4304" t="s">
        <v>3765</v>
      </c>
      <c r="F4304">
        <v>9</v>
      </c>
      <c r="G4304">
        <v>231</v>
      </c>
      <c r="H4304" t="str">
        <f>VLOOKUP(G4304,[1]OPERADORES!$A:$B,2,0)</f>
        <v>EDIJANE</v>
      </c>
      <c r="I4304" t="s">
        <v>21</v>
      </c>
      <c r="J4304" t="s">
        <v>621</v>
      </c>
      <c r="K4304" t="s">
        <v>3766</v>
      </c>
      <c r="L4304">
        <v>85666</v>
      </c>
      <c r="M4304" t="s">
        <v>341</v>
      </c>
      <c r="O4304" t="s">
        <v>11</v>
      </c>
      <c r="P4304">
        <v>5403</v>
      </c>
      <c r="Q4304">
        <v>2</v>
      </c>
      <c r="R4304">
        <v>15.79</v>
      </c>
      <c r="S4304">
        <v>31.58</v>
      </c>
      <c r="T4304">
        <v>23.98</v>
      </c>
      <c r="U4304">
        <v>24.07</v>
      </c>
      <c r="V4304" t="str">
        <f>VLOOKUP(L4304,'[2]tabela de preços'!$A:$D,4,0)</f>
        <v>UNIPEGA</v>
      </c>
      <c r="W4304" t="str">
        <f>VLOOKUP(L4304,'[2]tabela de preços'!$A:$F,6,0)</f>
        <v xml:space="preserve">SPRAYS </v>
      </c>
      <c r="X4304" t="str">
        <f>VLOOKUP(L4304,'[2]tabela de preços'!$A:$G,7,0)</f>
        <v>AUTOMOTIVO</v>
      </c>
    </row>
    <row r="4305" spans="1:24" x14ac:dyDescent="0.3">
      <c r="A4305" t="s">
        <v>3763</v>
      </c>
      <c r="C4305" t="s">
        <v>3764</v>
      </c>
      <c r="D4305" s="1">
        <v>46080</v>
      </c>
      <c r="E4305" t="s">
        <v>3765</v>
      </c>
      <c r="F4305">
        <v>9</v>
      </c>
      <c r="G4305">
        <v>231</v>
      </c>
      <c r="H4305" t="str">
        <f>VLOOKUP(G4305,[1]OPERADORES!$A:$B,2,0)</f>
        <v>EDIJANE</v>
      </c>
      <c r="I4305" t="s">
        <v>21</v>
      </c>
      <c r="J4305" t="s">
        <v>621</v>
      </c>
      <c r="K4305" t="s">
        <v>3766</v>
      </c>
      <c r="L4305">
        <v>85639</v>
      </c>
      <c r="M4305" t="s">
        <v>474</v>
      </c>
      <c r="O4305" t="s">
        <v>11</v>
      </c>
      <c r="P4305">
        <v>5403</v>
      </c>
      <c r="Q4305">
        <v>2</v>
      </c>
      <c r="R4305">
        <v>9.1199999999999992</v>
      </c>
      <c r="S4305">
        <v>18.239999999999998</v>
      </c>
      <c r="T4305">
        <v>13.84</v>
      </c>
      <c r="U4305">
        <v>24.12</v>
      </c>
      <c r="V4305" t="str">
        <f>VLOOKUP(L4305,'[2]tabela de preços'!$A:$D,4,0)</f>
        <v>UNIPEGA</v>
      </c>
      <c r="W4305" t="str">
        <f>VLOOKUP(L4305,'[2]tabela de preços'!$A:$F,6,0)</f>
        <v xml:space="preserve">SPRAYS </v>
      </c>
      <c r="X4305" t="str">
        <f>VLOOKUP(L4305,'[2]tabela de preços'!$A:$G,7,0)</f>
        <v>AUTOMOTIVO</v>
      </c>
    </row>
    <row r="4306" spans="1:24" x14ac:dyDescent="0.3">
      <c r="A4306" t="s">
        <v>3763</v>
      </c>
      <c r="C4306" t="s">
        <v>3764</v>
      </c>
      <c r="D4306" s="1">
        <v>46080</v>
      </c>
      <c r="E4306" t="s">
        <v>3765</v>
      </c>
      <c r="F4306">
        <v>9</v>
      </c>
      <c r="G4306">
        <v>231</v>
      </c>
      <c r="H4306" t="str">
        <f>VLOOKUP(G4306,[1]OPERADORES!$A:$B,2,0)</f>
        <v>EDIJANE</v>
      </c>
      <c r="I4306" t="s">
        <v>21</v>
      </c>
      <c r="J4306" t="s">
        <v>621</v>
      </c>
      <c r="K4306" t="s">
        <v>3766</v>
      </c>
      <c r="L4306">
        <v>85643</v>
      </c>
      <c r="M4306" t="s">
        <v>476</v>
      </c>
      <c r="O4306" t="s">
        <v>11</v>
      </c>
      <c r="P4306">
        <v>5403</v>
      </c>
      <c r="Q4306">
        <v>4</v>
      </c>
      <c r="R4306">
        <v>8.84</v>
      </c>
      <c r="S4306">
        <v>35.36</v>
      </c>
      <c r="T4306">
        <v>26.84</v>
      </c>
      <c r="U4306">
        <v>24.1</v>
      </c>
      <c r="V4306" t="str">
        <f>VLOOKUP(L4306,'[2]tabela de preços'!$A:$D,4,0)</f>
        <v>UNIPEGA</v>
      </c>
      <c r="W4306" t="str">
        <f>VLOOKUP(L4306,'[2]tabela de preços'!$A:$F,6,0)</f>
        <v xml:space="preserve">SPRAYS </v>
      </c>
      <c r="X4306" t="str">
        <f>VLOOKUP(L4306,'[2]tabela de preços'!$A:$G,7,0)</f>
        <v>AUTOMOTIVO</v>
      </c>
    </row>
    <row r="4307" spans="1:24" x14ac:dyDescent="0.3">
      <c r="A4307" t="s">
        <v>3763</v>
      </c>
      <c r="C4307" t="s">
        <v>3764</v>
      </c>
      <c r="D4307" s="1">
        <v>46080</v>
      </c>
      <c r="E4307" t="s">
        <v>3765</v>
      </c>
      <c r="F4307">
        <v>9</v>
      </c>
      <c r="G4307">
        <v>231</v>
      </c>
      <c r="H4307" t="str">
        <f>VLOOKUP(G4307,[1]OPERADORES!$A:$B,2,0)</f>
        <v>EDIJANE</v>
      </c>
      <c r="I4307" t="s">
        <v>21</v>
      </c>
      <c r="J4307" t="s">
        <v>621</v>
      </c>
      <c r="K4307" t="s">
        <v>3766</v>
      </c>
      <c r="L4307">
        <v>85644</v>
      </c>
      <c r="M4307" t="s">
        <v>689</v>
      </c>
      <c r="O4307" t="s">
        <v>11</v>
      </c>
      <c r="P4307">
        <v>5403</v>
      </c>
      <c r="Q4307">
        <v>4</v>
      </c>
      <c r="R4307">
        <v>8.84</v>
      </c>
      <c r="S4307">
        <v>35.36</v>
      </c>
      <c r="T4307">
        <v>26.84</v>
      </c>
      <c r="U4307">
        <v>24.1</v>
      </c>
      <c r="V4307" t="str">
        <f>VLOOKUP(L4307,'[2]tabela de preços'!$A:$D,4,0)</f>
        <v>UNIPEGA</v>
      </c>
      <c r="W4307" t="str">
        <f>VLOOKUP(L4307,'[2]tabela de preços'!$A:$F,6,0)</f>
        <v xml:space="preserve">SPRAYS </v>
      </c>
      <c r="X4307" t="str">
        <f>VLOOKUP(L4307,'[2]tabela de preços'!$A:$G,7,0)</f>
        <v>AUTOMOTIVO</v>
      </c>
    </row>
    <row r="4308" spans="1:24" x14ac:dyDescent="0.3">
      <c r="A4308" t="s">
        <v>3763</v>
      </c>
      <c r="C4308" t="s">
        <v>3764</v>
      </c>
      <c r="D4308" s="1">
        <v>46080</v>
      </c>
      <c r="E4308" t="s">
        <v>3765</v>
      </c>
      <c r="F4308">
        <v>9</v>
      </c>
      <c r="G4308">
        <v>231</v>
      </c>
      <c r="H4308" t="str">
        <f>VLOOKUP(G4308,[1]OPERADORES!$A:$B,2,0)</f>
        <v>EDIJANE</v>
      </c>
      <c r="I4308" t="s">
        <v>21</v>
      </c>
      <c r="J4308" t="s">
        <v>621</v>
      </c>
      <c r="K4308" t="s">
        <v>3766</v>
      </c>
      <c r="L4308">
        <v>85648</v>
      </c>
      <c r="M4308" t="s">
        <v>726</v>
      </c>
      <c r="O4308" t="s">
        <v>11</v>
      </c>
      <c r="P4308">
        <v>5403</v>
      </c>
      <c r="Q4308">
        <v>2</v>
      </c>
      <c r="R4308">
        <v>9.1199999999999992</v>
      </c>
      <c r="S4308">
        <v>18.239999999999998</v>
      </c>
      <c r="T4308">
        <v>13.84</v>
      </c>
      <c r="U4308">
        <v>24.12</v>
      </c>
      <c r="V4308" t="str">
        <f>VLOOKUP(L4308,'[2]tabela de preços'!$A:$D,4,0)</f>
        <v>UNIPEGA</v>
      </c>
      <c r="W4308" t="str">
        <f>VLOOKUP(L4308,'[2]tabela de preços'!$A:$F,6,0)</f>
        <v xml:space="preserve">SPRAYS </v>
      </c>
      <c r="X4308" t="str">
        <f>VLOOKUP(L4308,'[2]tabela de preços'!$A:$G,7,0)</f>
        <v>AUTOMOTIVO</v>
      </c>
    </row>
    <row r="4309" spans="1:24" x14ac:dyDescent="0.3">
      <c r="A4309" t="s">
        <v>3763</v>
      </c>
      <c r="C4309" t="s">
        <v>3764</v>
      </c>
      <c r="D4309" s="1">
        <v>46080</v>
      </c>
      <c r="E4309" t="s">
        <v>3765</v>
      </c>
      <c r="F4309">
        <v>9</v>
      </c>
      <c r="G4309">
        <v>231</v>
      </c>
      <c r="H4309" t="str">
        <f>VLOOKUP(G4309,[1]OPERADORES!$A:$B,2,0)</f>
        <v>EDIJANE</v>
      </c>
      <c r="I4309" t="s">
        <v>21</v>
      </c>
      <c r="J4309" t="s">
        <v>621</v>
      </c>
      <c r="K4309" t="s">
        <v>3766</v>
      </c>
      <c r="L4309">
        <v>85650</v>
      </c>
      <c r="M4309" t="s">
        <v>439</v>
      </c>
      <c r="O4309" t="s">
        <v>11</v>
      </c>
      <c r="P4309">
        <v>5403</v>
      </c>
      <c r="Q4309">
        <v>4</v>
      </c>
      <c r="R4309">
        <v>9.1199999999999992</v>
      </c>
      <c r="S4309">
        <v>36.479999999999997</v>
      </c>
      <c r="T4309">
        <v>27.68</v>
      </c>
      <c r="U4309">
        <v>24.12</v>
      </c>
      <c r="V4309" t="str">
        <f>VLOOKUP(L4309,'[2]tabela de preços'!$A:$D,4,0)</f>
        <v>UNIPEGA</v>
      </c>
      <c r="W4309" t="str">
        <f>VLOOKUP(L4309,'[2]tabela de preços'!$A:$F,6,0)</f>
        <v xml:space="preserve">SPRAYS </v>
      </c>
      <c r="X4309" t="str">
        <f>VLOOKUP(L4309,'[2]tabela de preços'!$A:$G,7,0)</f>
        <v>AUTOMOTIVO</v>
      </c>
    </row>
    <row r="4310" spans="1:24" x14ac:dyDescent="0.3">
      <c r="A4310" t="s">
        <v>3763</v>
      </c>
      <c r="C4310" t="s">
        <v>3764</v>
      </c>
      <c r="D4310" s="1">
        <v>46080</v>
      </c>
      <c r="E4310" t="s">
        <v>3765</v>
      </c>
      <c r="F4310">
        <v>9</v>
      </c>
      <c r="G4310">
        <v>231</v>
      </c>
      <c r="H4310" t="str">
        <f>VLOOKUP(G4310,[1]OPERADORES!$A:$B,2,0)</f>
        <v>EDIJANE</v>
      </c>
      <c r="I4310" t="s">
        <v>21</v>
      </c>
      <c r="J4310" t="s">
        <v>621</v>
      </c>
      <c r="K4310" t="s">
        <v>3766</v>
      </c>
      <c r="L4310">
        <v>85669</v>
      </c>
      <c r="M4310" t="s">
        <v>3768</v>
      </c>
      <c r="O4310" t="s">
        <v>11</v>
      </c>
      <c r="P4310">
        <v>5403</v>
      </c>
      <c r="Q4310">
        <v>2</v>
      </c>
      <c r="R4310">
        <v>9.7799999999999994</v>
      </c>
      <c r="S4310">
        <v>19.559999999999999</v>
      </c>
      <c r="T4310">
        <v>14.84</v>
      </c>
      <c r="U4310">
        <v>24.13</v>
      </c>
      <c r="V4310" t="str">
        <f>VLOOKUP(L4310,'[2]tabela de preços'!$A:$D,4,0)</f>
        <v>UNIPEGA</v>
      </c>
      <c r="W4310" t="str">
        <f>VLOOKUP(L4310,'[2]tabela de preços'!$A:$F,6,0)</f>
        <v xml:space="preserve">SPRAYS </v>
      </c>
      <c r="X4310" t="str">
        <f>VLOOKUP(L4310,'[2]tabela de preços'!$A:$G,7,0)</f>
        <v>AUTOMOTIVO</v>
      </c>
    </row>
    <row r="4311" spans="1:24" x14ac:dyDescent="0.3">
      <c r="A4311" t="s">
        <v>896</v>
      </c>
      <c r="C4311" t="s">
        <v>3769</v>
      </c>
      <c r="D4311" s="1">
        <v>46080</v>
      </c>
      <c r="E4311" t="s">
        <v>3770</v>
      </c>
      <c r="F4311">
        <v>9</v>
      </c>
      <c r="G4311">
        <v>174</v>
      </c>
      <c r="H4311" t="str">
        <f>VLOOKUP(G4311,[1]OPERADORES!$A:$B,2,0)</f>
        <v>MIRIÃ LOBATO RODRIGUES</v>
      </c>
      <c r="I4311" t="s">
        <v>21</v>
      </c>
      <c r="J4311" t="s">
        <v>339</v>
      </c>
      <c r="K4311" t="s">
        <v>899</v>
      </c>
      <c r="L4311">
        <v>84030</v>
      </c>
      <c r="M4311" t="s">
        <v>900</v>
      </c>
      <c r="O4311" t="s">
        <v>11</v>
      </c>
      <c r="P4311">
        <v>5102</v>
      </c>
      <c r="Q4311">
        <v>2</v>
      </c>
      <c r="R4311">
        <v>57.22</v>
      </c>
      <c r="S4311">
        <v>114.44</v>
      </c>
      <c r="T4311">
        <v>86.86</v>
      </c>
      <c r="U4311">
        <v>24.1</v>
      </c>
      <c r="V4311" t="str">
        <f>VLOOKUP(L4311,'[2]tabela de preços'!$A:$D,4,0)</f>
        <v>BRASILUX</v>
      </c>
      <c r="W4311" t="str">
        <f>VLOOKUP(L4311,'[2]tabela de preços'!$A:$F,6,0)</f>
        <v>AGUARRAS</v>
      </c>
      <c r="X4311" t="str">
        <f>VLOOKUP(L4311,'[2]tabela de preços'!$A:$G,7,0)</f>
        <v>IMOBILIÁRIO</v>
      </c>
    </row>
    <row r="4312" spans="1:24" x14ac:dyDescent="0.3">
      <c r="A4312" t="s">
        <v>896</v>
      </c>
      <c r="C4312" t="s">
        <v>3769</v>
      </c>
      <c r="D4312" s="1">
        <v>46080</v>
      </c>
      <c r="E4312" t="s">
        <v>3770</v>
      </c>
      <c r="F4312">
        <v>9</v>
      </c>
      <c r="G4312">
        <v>174</v>
      </c>
      <c r="H4312" t="str">
        <f>VLOOKUP(G4312,[1]OPERADORES!$A:$B,2,0)</f>
        <v>MIRIÃ LOBATO RODRIGUES</v>
      </c>
      <c r="I4312" t="s">
        <v>21</v>
      </c>
      <c r="J4312" t="s">
        <v>339</v>
      </c>
      <c r="K4312" t="s">
        <v>899</v>
      </c>
      <c r="L4312">
        <v>10043</v>
      </c>
      <c r="M4312" t="s">
        <v>3771</v>
      </c>
      <c r="O4312" t="s">
        <v>11</v>
      </c>
      <c r="P4312">
        <v>5102</v>
      </c>
      <c r="Q4312">
        <v>40</v>
      </c>
      <c r="R4312">
        <v>4.8600000000000003</v>
      </c>
      <c r="S4312">
        <v>194.4</v>
      </c>
      <c r="T4312">
        <v>147.6</v>
      </c>
      <c r="U4312">
        <v>24.07</v>
      </c>
      <c r="V4312" t="str">
        <f>VLOOKUP(L4312,'[2]tabela de preços'!$A:$D,4,0)</f>
        <v>3M</v>
      </c>
      <c r="W4312" t="str">
        <f>VLOOKUP(L4312,'[2]tabela de preços'!$A:$F,6,0)</f>
        <v xml:space="preserve">OUTROS DISCOS </v>
      </c>
      <c r="X4312" t="str">
        <f>VLOOKUP(L4312,'[2]tabela de preços'!$A:$G,7,0)</f>
        <v>AUTOMOTIVO</v>
      </c>
    </row>
    <row r="4313" spans="1:24" x14ac:dyDescent="0.3">
      <c r="A4313" t="s">
        <v>896</v>
      </c>
      <c r="C4313" t="s">
        <v>3769</v>
      </c>
      <c r="D4313" s="1">
        <v>46080</v>
      </c>
      <c r="E4313" t="s">
        <v>3770</v>
      </c>
      <c r="F4313">
        <v>9</v>
      </c>
      <c r="G4313">
        <v>174</v>
      </c>
      <c r="H4313" t="str">
        <f>VLOOKUP(G4313,[1]OPERADORES!$A:$B,2,0)</f>
        <v>MIRIÃ LOBATO RODRIGUES</v>
      </c>
      <c r="I4313" t="s">
        <v>21</v>
      </c>
      <c r="J4313" t="s">
        <v>339</v>
      </c>
      <c r="K4313" t="s">
        <v>899</v>
      </c>
      <c r="L4313">
        <v>24265</v>
      </c>
      <c r="M4313" t="s">
        <v>3026</v>
      </c>
      <c r="O4313" t="s">
        <v>11</v>
      </c>
      <c r="P4313">
        <v>5102</v>
      </c>
      <c r="Q4313">
        <v>1</v>
      </c>
      <c r="R4313">
        <v>28.07</v>
      </c>
      <c r="S4313">
        <v>28.07</v>
      </c>
      <c r="T4313">
        <v>21.3</v>
      </c>
      <c r="U4313">
        <v>24.12</v>
      </c>
      <c r="V4313" t="str">
        <f>VLOOKUP(L4313,'[2]tabela de preços'!$A:$D,4,0)</f>
        <v>VONIXX</v>
      </c>
      <c r="W4313" t="str">
        <f>VLOOKUP(L4313,'[2]tabela de preços'!$A:$F,6,0)</f>
        <v>LINHA DE HIGENIZAÇÃO E ESTÉTICA  AUTOMOTIVA</v>
      </c>
      <c r="X4313" t="str">
        <f>VLOOKUP(L4313,'[2]tabela de preços'!$A:$G,7,0)</f>
        <v>AUTOMOTIVO</v>
      </c>
    </row>
    <row r="4314" spans="1:24" x14ac:dyDescent="0.3">
      <c r="A4314" t="s">
        <v>923</v>
      </c>
      <c r="C4314" t="s">
        <v>3571</v>
      </c>
      <c r="D4314" s="1">
        <v>46078</v>
      </c>
      <c r="E4314" t="s">
        <v>3572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211</v>
      </c>
      <c r="K4314" t="s">
        <v>926</v>
      </c>
      <c r="L4314">
        <v>10379</v>
      </c>
      <c r="M4314" t="s">
        <v>3573</v>
      </c>
      <c r="O4314" t="s">
        <v>11</v>
      </c>
      <c r="P4314">
        <v>5102</v>
      </c>
      <c r="Q4314">
        <v>1</v>
      </c>
      <c r="R4314">
        <v>110.73</v>
      </c>
      <c r="S4314">
        <v>110.73</v>
      </c>
      <c r="T4314">
        <v>81.180000000000007</v>
      </c>
      <c r="U4314">
        <v>26.69</v>
      </c>
      <c r="V4314" t="str">
        <f>VLOOKUP(L4314,'[2]tabela de preços'!$A:$D,4,0)</f>
        <v>ROBERLO</v>
      </c>
      <c r="W4314" t="str">
        <f>VLOOKUP(L4314,'[2]tabela de preços'!$A:$F,6,0)</f>
        <v>MASSA POLIÉSTER</v>
      </c>
      <c r="X4314" t="str">
        <f>VLOOKUP(L4314,'[2]tabela de preços'!$A:$G,7,0)</f>
        <v>AUTOMOTIVO</v>
      </c>
    </row>
    <row r="4315" spans="1:24" x14ac:dyDescent="0.3">
      <c r="A4315" t="s">
        <v>923</v>
      </c>
      <c r="C4315" t="s">
        <v>3772</v>
      </c>
      <c r="D4315" s="1">
        <v>46079</v>
      </c>
      <c r="E4315" t="s">
        <v>3773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211</v>
      </c>
      <c r="K4315" t="s">
        <v>926</v>
      </c>
      <c r="L4315">
        <v>84560</v>
      </c>
      <c r="M4315" t="s">
        <v>118</v>
      </c>
      <c r="O4315" t="s">
        <v>11</v>
      </c>
      <c r="P4315">
        <v>5102</v>
      </c>
      <c r="Q4315">
        <v>4</v>
      </c>
      <c r="R4315">
        <v>47.89</v>
      </c>
      <c r="S4315">
        <v>191.56</v>
      </c>
      <c r="T4315">
        <v>160.56</v>
      </c>
      <c r="U4315">
        <v>16.18</v>
      </c>
      <c r="V4315" t="str">
        <f>VLOOKUP(L4315,'[2]tabela de preços'!$A:$D,4,0)</f>
        <v>BRASILUX</v>
      </c>
      <c r="W4315" t="str">
        <f>VLOOKUP(L4315,'[2]tabela de preços'!$A:$F,6,0)</f>
        <v>THINNER DE LIMPEZA</v>
      </c>
      <c r="X4315" t="str">
        <f>VLOOKUP(L4315,'[2]tabela de preços'!$A:$G,7,0)</f>
        <v>THINNER</v>
      </c>
    </row>
    <row r="4316" spans="1:24" x14ac:dyDescent="0.3">
      <c r="A4316" t="s">
        <v>953</v>
      </c>
      <c r="C4316" t="s">
        <v>3774</v>
      </c>
      <c r="D4316" s="1">
        <v>46079</v>
      </c>
      <c r="E4316" t="s">
        <v>3775</v>
      </c>
      <c r="F4316">
        <v>9</v>
      </c>
      <c r="G4316">
        <v>231</v>
      </c>
      <c r="H4316" t="str">
        <f>VLOOKUP(G4316,[1]OPERADORES!$A:$B,2,0)</f>
        <v>EDIJANE</v>
      </c>
      <c r="I4316" t="s">
        <v>21</v>
      </c>
      <c r="J4316" t="s">
        <v>550</v>
      </c>
      <c r="K4316" t="s">
        <v>956</v>
      </c>
      <c r="L4316">
        <v>85616</v>
      </c>
      <c r="M4316" t="s">
        <v>471</v>
      </c>
      <c r="O4316" t="s">
        <v>11</v>
      </c>
      <c r="P4316">
        <v>5102</v>
      </c>
      <c r="Q4316">
        <v>10</v>
      </c>
      <c r="R4316">
        <v>2.79</v>
      </c>
      <c r="S4316">
        <v>27.9</v>
      </c>
      <c r="T4316">
        <v>22.8</v>
      </c>
      <c r="U4316">
        <v>18.28</v>
      </c>
      <c r="V4316" t="str">
        <f>VLOOKUP(L4316,'[2]tabela de preços'!$A:$D,4,0)</f>
        <v>ADERE</v>
      </c>
      <c r="W4316" t="str">
        <f>VLOOKUP(L4316,'[2]tabela de preços'!$A:$F,6,0)</f>
        <v xml:space="preserve">FITA DE USO GERAL </v>
      </c>
      <c r="X4316" t="str">
        <f>VLOOKUP(L4316,'[2]tabela de preços'!$A:$G,7,0)</f>
        <v>IMOBILIÁRIO</v>
      </c>
    </row>
    <row r="4317" spans="1:24" x14ac:dyDescent="0.3">
      <c r="A4317" t="s">
        <v>953</v>
      </c>
      <c r="C4317" t="s">
        <v>3774</v>
      </c>
      <c r="D4317" s="1">
        <v>46079</v>
      </c>
      <c r="E4317" t="s">
        <v>3775</v>
      </c>
      <c r="F4317">
        <v>9</v>
      </c>
      <c r="G4317">
        <v>231</v>
      </c>
      <c r="H4317" t="str">
        <f>VLOOKUP(G4317,[1]OPERADORES!$A:$B,2,0)</f>
        <v>EDIJANE</v>
      </c>
      <c r="I4317" t="s">
        <v>21</v>
      </c>
      <c r="J4317" t="s">
        <v>550</v>
      </c>
      <c r="K4317" t="s">
        <v>956</v>
      </c>
      <c r="L4317">
        <v>20431</v>
      </c>
      <c r="M4317" t="s">
        <v>202</v>
      </c>
      <c r="O4317" t="s">
        <v>11</v>
      </c>
      <c r="P4317">
        <v>5403</v>
      </c>
      <c r="Q4317">
        <v>18</v>
      </c>
      <c r="R4317">
        <v>36.89</v>
      </c>
      <c r="S4317">
        <v>664.02</v>
      </c>
      <c r="T4317">
        <v>544.67999999999995</v>
      </c>
      <c r="U4317">
        <v>17.97</v>
      </c>
      <c r="V4317" t="str">
        <f>VLOOKUP(L4317,'[2]tabela de preços'!$A:$D,4,0)</f>
        <v>SHERWIN WILLIAMS</v>
      </c>
      <c r="W4317" t="str">
        <f>VLOOKUP(L4317,'[2]tabela de preços'!$A:$F,6,0)</f>
        <v>VERNIZ AUTOMOTIVO</v>
      </c>
      <c r="X4317" t="str">
        <f>VLOOKUP(L4317,'[2]tabela de preços'!$A:$G,7,0)</f>
        <v>AUTOMOTIVO</v>
      </c>
    </row>
    <row r="4318" spans="1:24" x14ac:dyDescent="0.3">
      <c r="A4318" t="s">
        <v>953</v>
      </c>
      <c r="C4318" t="s">
        <v>3774</v>
      </c>
      <c r="D4318" s="1">
        <v>46079</v>
      </c>
      <c r="E4318" t="s">
        <v>3775</v>
      </c>
      <c r="F4318">
        <v>9</v>
      </c>
      <c r="G4318">
        <v>231</v>
      </c>
      <c r="H4318" t="str">
        <f>VLOOKUP(G4318,[1]OPERADORES!$A:$B,2,0)</f>
        <v>EDIJANE</v>
      </c>
      <c r="I4318" t="s">
        <v>21</v>
      </c>
      <c r="J4318" t="s">
        <v>550</v>
      </c>
      <c r="K4318" t="s">
        <v>956</v>
      </c>
      <c r="L4318">
        <v>10242</v>
      </c>
      <c r="M4318" t="s">
        <v>82</v>
      </c>
      <c r="O4318" t="s">
        <v>11</v>
      </c>
      <c r="P4318">
        <v>5102</v>
      </c>
      <c r="Q4318">
        <v>50</v>
      </c>
      <c r="R4318">
        <v>2.79</v>
      </c>
      <c r="S4318">
        <v>139.5</v>
      </c>
      <c r="T4318">
        <v>112</v>
      </c>
      <c r="U4318">
        <v>19.71</v>
      </c>
      <c r="V4318" t="str">
        <f>VLOOKUP(L4318,'[2]tabela de preços'!$A:$D,4,0)</f>
        <v>NORTON</v>
      </c>
      <c r="W4318" t="str">
        <f>VLOOKUP(L4318,'[2]tabela de preços'!$A:$F,6,0)</f>
        <v xml:space="preserve">DISCOS / LIXAS / ABRASIVOS </v>
      </c>
      <c r="X4318" t="str">
        <f>VLOOKUP(L4318,'[2]tabela de preços'!$A:$G,7,0)</f>
        <v>AUTOMOTIVO</v>
      </c>
    </row>
    <row r="4319" spans="1:24" x14ac:dyDescent="0.3">
      <c r="A4319" t="s">
        <v>953</v>
      </c>
      <c r="C4319" t="s">
        <v>3774</v>
      </c>
      <c r="D4319" s="1">
        <v>46079</v>
      </c>
      <c r="E4319" t="s">
        <v>3775</v>
      </c>
      <c r="F4319">
        <v>9</v>
      </c>
      <c r="G4319">
        <v>231</v>
      </c>
      <c r="H4319" t="str">
        <f>VLOOKUP(G4319,[1]OPERADORES!$A:$B,2,0)</f>
        <v>EDIJANE</v>
      </c>
      <c r="I4319" t="s">
        <v>21</v>
      </c>
      <c r="J4319" t="s">
        <v>550</v>
      </c>
      <c r="K4319" t="s">
        <v>956</v>
      </c>
      <c r="L4319">
        <v>87043</v>
      </c>
      <c r="M4319" t="s">
        <v>217</v>
      </c>
      <c r="O4319" t="s">
        <v>11</v>
      </c>
      <c r="P4319">
        <v>5102</v>
      </c>
      <c r="Q4319">
        <v>12</v>
      </c>
      <c r="R4319">
        <v>21.95</v>
      </c>
      <c r="S4319">
        <v>263.39999999999998</v>
      </c>
      <c r="T4319">
        <v>216.24</v>
      </c>
      <c r="U4319">
        <v>17.899999999999999</v>
      </c>
      <c r="V4319" t="str">
        <f>VLOOKUP(L4319,'[2]tabela de preços'!$A:$D,4,0)</f>
        <v>ROBERLO</v>
      </c>
      <c r="W4319" t="str">
        <f>VLOOKUP(L4319,'[2]tabela de preços'!$A:$F,6,0)</f>
        <v>MASSA POLIÉSTER</v>
      </c>
      <c r="X4319" t="str">
        <f>VLOOKUP(L4319,'[2]tabela de preços'!$A:$G,7,0)</f>
        <v>AUTOMOTIVO</v>
      </c>
    </row>
    <row r="4320" spans="1:24" x14ac:dyDescent="0.3">
      <c r="A4320" t="s">
        <v>1080</v>
      </c>
      <c r="C4320" t="s">
        <v>3586</v>
      </c>
      <c r="D4320" s="1">
        <v>46078</v>
      </c>
      <c r="E4320" t="s">
        <v>3587</v>
      </c>
      <c r="F4320">
        <v>9</v>
      </c>
      <c r="G4320">
        <v>230</v>
      </c>
      <c r="H4320" t="str">
        <f>VLOOKUP(G4320,[1]OPERADORES!$A:$B,2,0)</f>
        <v>SÔNIA</v>
      </c>
      <c r="I4320" t="s">
        <v>715</v>
      </c>
      <c r="J4320" t="s">
        <v>1083</v>
      </c>
      <c r="K4320" t="s">
        <v>1084</v>
      </c>
      <c r="L4320">
        <v>23365</v>
      </c>
      <c r="M4320" t="s">
        <v>3007</v>
      </c>
      <c r="O4320" t="s">
        <v>11</v>
      </c>
      <c r="P4320">
        <v>6102</v>
      </c>
      <c r="Q4320">
        <v>3</v>
      </c>
      <c r="R4320">
        <v>60.66</v>
      </c>
      <c r="S4320">
        <v>181.98</v>
      </c>
      <c r="T4320">
        <v>138.12</v>
      </c>
      <c r="U4320">
        <v>24.1</v>
      </c>
      <c r="V4320" t="str">
        <f>VLOOKUP(L4320,'[2]tabela de preços'!$A:$D,4,0)</f>
        <v>SHERWIN WILLIAMS</v>
      </c>
      <c r="W4320" t="str">
        <f>VLOOKUP(L4320,'[2]tabela de preços'!$A:$F,6,0)</f>
        <v>CATALISADORES INDIVIDUAS</v>
      </c>
      <c r="X4320" t="str">
        <f>VLOOKUP(L4320,'[2]tabela de preços'!$A:$G,7,0)</f>
        <v>AUTOMOTIVO</v>
      </c>
    </row>
    <row r="4321" spans="1:24" x14ac:dyDescent="0.3">
      <c r="A4321" t="s">
        <v>1080</v>
      </c>
      <c r="C4321" t="s">
        <v>3586</v>
      </c>
      <c r="D4321" s="1">
        <v>46078</v>
      </c>
      <c r="E4321" t="s">
        <v>3587</v>
      </c>
      <c r="F4321">
        <v>9</v>
      </c>
      <c r="G4321">
        <v>230</v>
      </c>
      <c r="H4321" t="str">
        <f>VLOOKUP(G4321,[1]OPERADORES!$A:$B,2,0)</f>
        <v>SÔNIA</v>
      </c>
      <c r="I4321" t="s">
        <v>715</v>
      </c>
      <c r="J4321" t="s">
        <v>1083</v>
      </c>
      <c r="K4321" t="s">
        <v>1084</v>
      </c>
      <c r="L4321">
        <v>24240</v>
      </c>
      <c r="M4321" t="s">
        <v>240</v>
      </c>
      <c r="O4321" t="s">
        <v>11</v>
      </c>
      <c r="P4321">
        <v>6102</v>
      </c>
      <c r="Q4321">
        <v>100</v>
      </c>
      <c r="R4321">
        <v>3.81</v>
      </c>
      <c r="S4321">
        <v>381</v>
      </c>
      <c r="T4321">
        <v>328</v>
      </c>
      <c r="U4321">
        <v>13.91</v>
      </c>
      <c r="V4321" t="str">
        <f>VLOOKUP(L4321,'[2]tabela de preços'!$A:$D,4,0)</f>
        <v>ADERE</v>
      </c>
      <c r="W4321" t="str">
        <f>VLOOKUP(L4321,'[2]tabela de preços'!$A:$F,6,0)</f>
        <v>FITA AUTOMOTIVA</v>
      </c>
      <c r="X4321" t="str">
        <f>VLOOKUP(L4321,'[2]tabela de preços'!$A:$G,7,0)</f>
        <v>AUTOMOTIVO</v>
      </c>
    </row>
    <row r="4322" spans="1:24" x14ac:dyDescent="0.3">
      <c r="A4322" t="s">
        <v>1080</v>
      </c>
      <c r="C4322" t="s">
        <v>3586</v>
      </c>
      <c r="D4322" s="1">
        <v>46078</v>
      </c>
      <c r="E4322" t="s">
        <v>3587</v>
      </c>
      <c r="F4322">
        <v>9</v>
      </c>
      <c r="G4322">
        <v>230</v>
      </c>
      <c r="H4322" t="str">
        <f>VLOOKUP(G4322,[1]OPERADORES!$A:$B,2,0)</f>
        <v>SÔNIA</v>
      </c>
      <c r="I4322" t="s">
        <v>715</v>
      </c>
      <c r="J4322" t="s">
        <v>1083</v>
      </c>
      <c r="K4322" t="s">
        <v>1084</v>
      </c>
      <c r="L4322">
        <v>22180</v>
      </c>
      <c r="M4322" t="s">
        <v>404</v>
      </c>
      <c r="O4322" t="s">
        <v>11</v>
      </c>
      <c r="P4322">
        <v>6102</v>
      </c>
      <c r="Q4322">
        <v>5</v>
      </c>
      <c r="R4322">
        <v>19.29</v>
      </c>
      <c r="S4322">
        <v>96.45</v>
      </c>
      <c r="T4322">
        <v>73.2</v>
      </c>
      <c r="U4322">
        <v>24.11</v>
      </c>
      <c r="V4322" t="str">
        <f>VLOOKUP(L4322,'[2]tabela de preços'!$A:$D,4,0)</f>
        <v>MADRUGA</v>
      </c>
      <c r="W4322" t="str">
        <f>VLOOKUP(L4322,'[2]tabela de preços'!$A:$F,6,0)</f>
        <v>PAPEL DE MASCARAMENTO</v>
      </c>
      <c r="X4322" t="str">
        <f>VLOOKUP(L4322,'[2]tabela de preços'!$A:$G,7,0)</f>
        <v>AUTOMOTIVO</v>
      </c>
    </row>
    <row r="4323" spans="1:24" x14ac:dyDescent="0.3">
      <c r="A4323" t="s">
        <v>1080</v>
      </c>
      <c r="C4323" t="s">
        <v>3586</v>
      </c>
      <c r="D4323" s="1">
        <v>46078</v>
      </c>
      <c r="E4323" t="s">
        <v>3587</v>
      </c>
      <c r="F4323">
        <v>9</v>
      </c>
      <c r="G4323">
        <v>230</v>
      </c>
      <c r="H4323" t="str">
        <f>VLOOKUP(G4323,[1]OPERADORES!$A:$B,2,0)</f>
        <v>SÔNIA</v>
      </c>
      <c r="I4323" t="s">
        <v>715</v>
      </c>
      <c r="J4323" t="s">
        <v>1083</v>
      </c>
      <c r="K4323" t="s">
        <v>1084</v>
      </c>
      <c r="L4323">
        <v>10298</v>
      </c>
      <c r="M4323" t="s">
        <v>85</v>
      </c>
      <c r="O4323" t="s">
        <v>11</v>
      </c>
      <c r="P4323">
        <v>6102</v>
      </c>
      <c r="Q4323">
        <v>4</v>
      </c>
      <c r="R4323">
        <v>56.89</v>
      </c>
      <c r="S4323">
        <v>227.56</v>
      </c>
      <c r="T4323">
        <v>189.52</v>
      </c>
      <c r="U4323">
        <v>16.72</v>
      </c>
      <c r="V4323" t="str">
        <f>VLOOKUP(L4323,'[2]tabela de preços'!$A:$D,4,0)</f>
        <v>ANJO</v>
      </c>
      <c r="W4323" t="str">
        <f>VLOOKUP(L4323,'[2]tabela de preços'!$A:$F,6,0)</f>
        <v>THINNER DE LIMPEZA</v>
      </c>
      <c r="X4323" t="str">
        <f>VLOOKUP(L4323,'[2]tabela de preços'!$A:$G,7,0)</f>
        <v>THINNER</v>
      </c>
    </row>
    <row r="4324" spans="1:24" x14ac:dyDescent="0.3">
      <c r="A4324" t="s">
        <v>1080</v>
      </c>
      <c r="C4324" t="s">
        <v>3586</v>
      </c>
      <c r="D4324" s="1">
        <v>46078</v>
      </c>
      <c r="E4324" t="s">
        <v>3587</v>
      </c>
      <c r="F4324">
        <v>9</v>
      </c>
      <c r="G4324">
        <v>230</v>
      </c>
      <c r="H4324" t="str">
        <f>VLOOKUP(G4324,[1]OPERADORES!$A:$B,2,0)</f>
        <v>SÔNIA</v>
      </c>
      <c r="I4324" t="s">
        <v>715</v>
      </c>
      <c r="J4324" t="s">
        <v>1083</v>
      </c>
      <c r="K4324" t="s">
        <v>1084</v>
      </c>
      <c r="L4324">
        <v>20454</v>
      </c>
      <c r="M4324" t="s">
        <v>1086</v>
      </c>
      <c r="O4324" t="s">
        <v>11</v>
      </c>
      <c r="P4324">
        <v>6403</v>
      </c>
      <c r="Q4324">
        <v>1</v>
      </c>
      <c r="R4324">
        <v>184.14</v>
      </c>
      <c r="S4324">
        <v>184.14</v>
      </c>
      <c r="T4324">
        <v>139.77000000000001</v>
      </c>
      <c r="U4324">
        <v>24.1</v>
      </c>
      <c r="V4324" t="str">
        <f>VLOOKUP(L4324,'[2]tabela de preços'!$A:$D,4,0)</f>
        <v>SHERWIN WILLIAMS</v>
      </c>
      <c r="W4324" t="str">
        <f>VLOOKUP(L4324,'[2]tabela de preços'!$A:$F,6,0)</f>
        <v>VERNIZ AUTOMOTIVO</v>
      </c>
      <c r="X4324" t="str">
        <f>VLOOKUP(L4324,'[2]tabela de preços'!$A:$G,7,0)</f>
        <v>AUTOMOTIVO</v>
      </c>
    </row>
    <row r="4325" spans="1:24" x14ac:dyDescent="0.3">
      <c r="A4325" t="s">
        <v>3389</v>
      </c>
      <c r="C4325" t="s">
        <v>3588</v>
      </c>
      <c r="D4325" s="1">
        <v>46078</v>
      </c>
      <c r="E4325" t="s">
        <v>3589</v>
      </c>
      <c r="F4325">
        <v>9</v>
      </c>
      <c r="G4325">
        <v>174</v>
      </c>
      <c r="H4325" t="str">
        <f>VLOOKUP(G4325,[1]OPERADORES!$A:$B,2,0)</f>
        <v>MIRIÃ LOBATO RODRIGUES</v>
      </c>
      <c r="I4325" t="s">
        <v>21</v>
      </c>
      <c r="J4325" t="s">
        <v>1868</v>
      </c>
      <c r="K4325" t="s">
        <v>3392</v>
      </c>
      <c r="L4325">
        <v>84347</v>
      </c>
      <c r="M4325" t="s">
        <v>1150</v>
      </c>
      <c r="O4325" t="s">
        <v>11</v>
      </c>
      <c r="P4325">
        <v>5102</v>
      </c>
      <c r="Q4325">
        <v>1</v>
      </c>
      <c r="R4325">
        <v>64.180000000000007</v>
      </c>
      <c r="S4325">
        <v>64.180000000000007</v>
      </c>
      <c r="T4325">
        <v>52</v>
      </c>
      <c r="U4325">
        <v>18.98</v>
      </c>
      <c r="V4325" t="str">
        <f>VLOOKUP(L4325,'[2]tabela de preços'!$A:$D,4,0)</f>
        <v>BRASILUX</v>
      </c>
      <c r="W4325" t="str">
        <f>VLOOKUP(L4325,'[2]tabela de preços'!$A:$F,6,0)</f>
        <v>ESMALTES</v>
      </c>
      <c r="X4325" t="str">
        <f>VLOOKUP(L4325,'[2]tabela de preços'!$A:$G,7,0)</f>
        <v>INDUSTRIAL</v>
      </c>
    </row>
    <row r="4326" spans="1:24" x14ac:dyDescent="0.3">
      <c r="A4326" t="s">
        <v>3389</v>
      </c>
      <c r="C4326" t="s">
        <v>3588</v>
      </c>
      <c r="D4326" s="1">
        <v>46078</v>
      </c>
      <c r="E4326" t="s">
        <v>3589</v>
      </c>
      <c r="F4326">
        <v>9</v>
      </c>
      <c r="G4326">
        <v>174</v>
      </c>
      <c r="H4326" t="str">
        <f>VLOOKUP(G4326,[1]OPERADORES!$A:$B,2,0)</f>
        <v>MIRIÃ LOBATO RODRIGUES</v>
      </c>
      <c r="I4326" t="s">
        <v>21</v>
      </c>
      <c r="J4326" t="s">
        <v>1868</v>
      </c>
      <c r="K4326" t="s">
        <v>3392</v>
      </c>
      <c r="L4326">
        <v>86197</v>
      </c>
      <c r="M4326" t="s">
        <v>3590</v>
      </c>
      <c r="O4326" t="s">
        <v>11</v>
      </c>
      <c r="P4326">
        <v>5102</v>
      </c>
      <c r="Q4326">
        <v>1</v>
      </c>
      <c r="R4326">
        <v>538.32000000000005</v>
      </c>
      <c r="S4326">
        <v>538.32000000000005</v>
      </c>
      <c r="T4326">
        <v>383.83</v>
      </c>
      <c r="U4326">
        <v>28.7</v>
      </c>
      <c r="V4326" t="str">
        <f>VLOOKUP(L4326,'[2]tabela de preços'!$A:$D,4,0)</f>
        <v>CORAL</v>
      </c>
      <c r="W4326" t="str">
        <f>VLOOKUP(L4326,'[2]tabela de preços'!$A:$F,6,0)</f>
        <v>TINTA PAREDE</v>
      </c>
      <c r="X4326" t="str">
        <f>VLOOKUP(L4326,'[2]tabela de preços'!$A:$G,7,0)</f>
        <v>IMOBILIÁRIO</v>
      </c>
    </row>
    <row r="4327" spans="1:24" x14ac:dyDescent="0.3">
      <c r="A4327" t="s">
        <v>3389</v>
      </c>
      <c r="C4327" t="s">
        <v>3588</v>
      </c>
      <c r="D4327" s="1">
        <v>46078</v>
      </c>
      <c r="E4327" t="s">
        <v>3589</v>
      </c>
      <c r="F4327">
        <v>9</v>
      </c>
      <c r="G4327">
        <v>174</v>
      </c>
      <c r="H4327" t="str">
        <f>VLOOKUP(G4327,[1]OPERADORES!$A:$B,2,0)</f>
        <v>MIRIÃ LOBATO RODRIGUES</v>
      </c>
      <c r="I4327" t="s">
        <v>21</v>
      </c>
      <c r="J4327" t="s">
        <v>1868</v>
      </c>
      <c r="K4327" t="s">
        <v>3392</v>
      </c>
      <c r="L4327">
        <v>86711</v>
      </c>
      <c r="M4327" t="s">
        <v>34</v>
      </c>
      <c r="O4327" t="s">
        <v>11</v>
      </c>
      <c r="P4327">
        <v>5102</v>
      </c>
      <c r="Q4327">
        <v>1</v>
      </c>
      <c r="R4327">
        <v>27.67</v>
      </c>
      <c r="S4327">
        <v>27.67</v>
      </c>
      <c r="T4327">
        <v>19.73</v>
      </c>
      <c r="U4327">
        <v>28.7</v>
      </c>
      <c r="V4327" t="str">
        <f>VLOOKUP(L4327,'[2]tabela de preços'!$A:$D,4,0)</f>
        <v>CORAL</v>
      </c>
      <c r="W4327" t="str">
        <f>VLOOKUP(L4327,'[2]tabela de preços'!$A:$F,6,0)</f>
        <v>MASSA CORRIDA / ACRÍLICA</v>
      </c>
      <c r="X4327" t="str">
        <f>VLOOKUP(L4327,'[2]tabela de preços'!$A:$G,7,0)</f>
        <v>IMOBILIÁRIO</v>
      </c>
    </row>
    <row r="4328" spans="1:24" x14ac:dyDescent="0.3">
      <c r="A4328" t="s">
        <v>3389</v>
      </c>
      <c r="C4328" t="s">
        <v>3588</v>
      </c>
      <c r="D4328" s="1">
        <v>46078</v>
      </c>
      <c r="E4328" t="s">
        <v>3589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1868</v>
      </c>
      <c r="K4328" t="s">
        <v>3392</v>
      </c>
      <c r="L4328">
        <v>5</v>
      </c>
      <c r="M4328" t="s">
        <v>147</v>
      </c>
      <c r="O4328" t="s">
        <v>11</v>
      </c>
      <c r="P4328">
        <v>5102</v>
      </c>
      <c r="Q4328">
        <v>2</v>
      </c>
      <c r="R4328">
        <v>5.15</v>
      </c>
      <c r="S4328">
        <v>10.3</v>
      </c>
      <c r="T4328">
        <v>7.82</v>
      </c>
      <c r="U4328">
        <v>24.08</v>
      </c>
      <c r="V4328" t="str">
        <f>VLOOKUP(L4328,'[2]tabela de preços'!$A:$D,4,0)</f>
        <v>BRILHO ESTOPA</v>
      </c>
      <c r="W4328" t="str">
        <f>VLOOKUP(L4328,'[2]tabela de preços'!$A:$F,6,0)</f>
        <v>ESTOPAS</v>
      </c>
      <c r="X4328" t="str">
        <f>VLOOKUP(L4328,'[2]tabela de preços'!$A:$G,7,0)</f>
        <v>AUTOMOTIVO</v>
      </c>
    </row>
    <row r="4329" spans="1:24" x14ac:dyDescent="0.3">
      <c r="A4329" t="s">
        <v>3389</v>
      </c>
      <c r="C4329" t="s">
        <v>3588</v>
      </c>
      <c r="D4329" s="1">
        <v>46078</v>
      </c>
      <c r="E4329" t="s">
        <v>3589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1868</v>
      </c>
      <c r="K4329" t="s">
        <v>3392</v>
      </c>
      <c r="L4329">
        <v>84928</v>
      </c>
      <c r="M4329" t="s">
        <v>36</v>
      </c>
      <c r="O4329" t="s">
        <v>11</v>
      </c>
      <c r="P4329">
        <v>5102</v>
      </c>
      <c r="Q4329">
        <v>5</v>
      </c>
      <c r="R4329">
        <v>9.39</v>
      </c>
      <c r="S4329">
        <v>46.95</v>
      </c>
      <c r="T4329">
        <v>35.65</v>
      </c>
      <c r="U4329">
        <v>24.07</v>
      </c>
      <c r="V4329" t="str">
        <f>VLOOKUP(L4329,'[2]tabela de preços'!$A:$D,4,0)</f>
        <v>ADERE</v>
      </c>
      <c r="W4329" t="str">
        <f>VLOOKUP(L4329,'[2]tabela de preços'!$A:$F,6,0)</f>
        <v xml:space="preserve">FITA DE USO GERAL </v>
      </c>
      <c r="X4329" t="str">
        <f>VLOOKUP(L4329,'[2]tabela de preços'!$A:$G,7,0)</f>
        <v>IMOBILIÁRIO</v>
      </c>
    </row>
    <row r="4330" spans="1:24" x14ac:dyDescent="0.3">
      <c r="A4330" t="s">
        <v>3389</v>
      </c>
      <c r="C4330" t="s">
        <v>3588</v>
      </c>
      <c r="D4330" s="1">
        <v>46078</v>
      </c>
      <c r="E4330" t="s">
        <v>3589</v>
      </c>
      <c r="F4330">
        <v>9</v>
      </c>
      <c r="G4330">
        <v>174</v>
      </c>
      <c r="H4330" t="str">
        <f>VLOOKUP(G4330,[1]OPERADORES!$A:$B,2,0)</f>
        <v>MIRIÃ LOBATO RODRIGUES</v>
      </c>
      <c r="I4330" t="s">
        <v>21</v>
      </c>
      <c r="J4330" t="s">
        <v>1868</v>
      </c>
      <c r="K4330" t="s">
        <v>3392</v>
      </c>
      <c r="L4330">
        <v>84560</v>
      </c>
      <c r="M4330" t="s">
        <v>118</v>
      </c>
      <c r="O4330" t="s">
        <v>11</v>
      </c>
      <c r="P4330">
        <v>5102</v>
      </c>
      <c r="Q4330">
        <v>1</v>
      </c>
      <c r="R4330">
        <v>47.89</v>
      </c>
      <c r="S4330">
        <v>47.89</v>
      </c>
      <c r="T4330">
        <v>40.14</v>
      </c>
      <c r="U4330">
        <v>16.18</v>
      </c>
      <c r="V4330" t="str">
        <f>VLOOKUP(L4330,'[2]tabela de preços'!$A:$D,4,0)</f>
        <v>BRASILUX</v>
      </c>
      <c r="W4330" t="str">
        <f>VLOOKUP(L4330,'[2]tabela de preços'!$A:$F,6,0)</f>
        <v>THINNER DE LIMPEZA</v>
      </c>
      <c r="X4330" t="str">
        <f>VLOOKUP(L4330,'[2]tabela de preços'!$A:$G,7,0)</f>
        <v>THINNER</v>
      </c>
    </row>
    <row r="4331" spans="1:24" x14ac:dyDescent="0.3">
      <c r="A4331" t="s">
        <v>3389</v>
      </c>
      <c r="C4331" t="s">
        <v>3588</v>
      </c>
      <c r="D4331" s="1">
        <v>46078</v>
      </c>
      <c r="E4331" t="s">
        <v>3589</v>
      </c>
      <c r="F4331">
        <v>9</v>
      </c>
      <c r="G4331">
        <v>174</v>
      </c>
      <c r="H4331" t="str">
        <f>VLOOKUP(G4331,[1]OPERADORES!$A:$B,2,0)</f>
        <v>MIRIÃ LOBATO RODRIGUES</v>
      </c>
      <c r="I4331" t="s">
        <v>21</v>
      </c>
      <c r="J4331" t="s">
        <v>1868</v>
      </c>
      <c r="K4331" t="s">
        <v>3392</v>
      </c>
      <c r="L4331">
        <v>10117</v>
      </c>
      <c r="M4331" t="s">
        <v>1043</v>
      </c>
      <c r="O4331" t="s">
        <v>11</v>
      </c>
      <c r="P4331">
        <v>5102</v>
      </c>
      <c r="Q4331">
        <v>2</v>
      </c>
      <c r="R4331">
        <v>6.52</v>
      </c>
      <c r="S4331">
        <v>13.04</v>
      </c>
      <c r="T4331">
        <v>9.9</v>
      </c>
      <c r="U4331">
        <v>24.08</v>
      </c>
      <c r="V4331" t="str">
        <f>VLOOKUP(L4331,'[2]tabela de preços'!$A:$D,4,0)</f>
        <v>ATLAS</v>
      </c>
      <c r="W4331" t="str">
        <f>VLOOKUP(L4331,'[2]tabela de preços'!$A:$F,6,0)</f>
        <v>ROLOS / TRINCHAS / PINCÉIS / ESPÁTULAS</v>
      </c>
      <c r="X4331" t="str">
        <f>VLOOKUP(L4331,'[2]tabela de preços'!$A:$G,7,0)</f>
        <v>IMOBILIÁRIO</v>
      </c>
    </row>
    <row r="4332" spans="1:24" x14ac:dyDescent="0.3">
      <c r="A4332" t="s">
        <v>1112</v>
      </c>
      <c r="C4332" t="s">
        <v>3593</v>
      </c>
      <c r="D4332" s="1">
        <v>46078</v>
      </c>
      <c r="E4332" t="s">
        <v>3594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1115</v>
      </c>
      <c r="L4332">
        <v>22180</v>
      </c>
      <c r="M4332" t="s">
        <v>404</v>
      </c>
      <c r="O4332" t="s">
        <v>11</v>
      </c>
      <c r="P4332">
        <v>5102</v>
      </c>
      <c r="Q4332">
        <v>3</v>
      </c>
      <c r="R4332">
        <v>19.97</v>
      </c>
      <c r="S4332">
        <v>59.91</v>
      </c>
      <c r="T4332">
        <v>43.92</v>
      </c>
      <c r="U4332">
        <v>26.69</v>
      </c>
      <c r="V4332" t="str">
        <f>VLOOKUP(L4332,'[2]tabela de preços'!$A:$D,4,0)</f>
        <v>MADRUGA</v>
      </c>
      <c r="W4332" t="str">
        <f>VLOOKUP(L4332,'[2]tabela de preços'!$A:$F,6,0)</f>
        <v>PAPEL DE MASCARAMENTO</v>
      </c>
      <c r="X4332" t="str">
        <f>VLOOKUP(L4332,'[2]tabela de preços'!$A:$G,7,0)</f>
        <v>AUTOMOTIVO</v>
      </c>
    </row>
    <row r="4333" spans="1:24" x14ac:dyDescent="0.3">
      <c r="A4333" t="s">
        <v>3395</v>
      </c>
      <c r="C4333" t="s">
        <v>3776</v>
      </c>
      <c r="D4333" s="1">
        <v>46079</v>
      </c>
      <c r="E4333" t="s">
        <v>3777</v>
      </c>
      <c r="F4333">
        <v>9</v>
      </c>
      <c r="G4333">
        <v>174</v>
      </c>
      <c r="H4333" t="str">
        <f>VLOOKUP(G4333,[1]OPERADORES!$A:$B,2,0)</f>
        <v>MIRIÃ LOBATO RODRIGUES</v>
      </c>
      <c r="I4333" t="s">
        <v>21</v>
      </c>
      <c r="J4333" t="s">
        <v>762</v>
      </c>
      <c r="K4333" t="s">
        <v>3398</v>
      </c>
      <c r="L4333">
        <v>84113</v>
      </c>
      <c r="M4333" t="s">
        <v>737</v>
      </c>
      <c r="O4333" t="s">
        <v>11</v>
      </c>
      <c r="P4333">
        <v>5403</v>
      </c>
      <c r="Q4333">
        <v>1</v>
      </c>
      <c r="R4333">
        <v>153.99</v>
      </c>
      <c r="S4333">
        <v>153.99</v>
      </c>
      <c r="T4333">
        <v>116.88</v>
      </c>
      <c r="U4333">
        <v>24.1</v>
      </c>
      <c r="V4333" t="str">
        <f>VLOOKUP(L4333,'[2]tabela de preços'!$A:$D,4,0)</f>
        <v>BRASILUX</v>
      </c>
      <c r="W4333" t="str">
        <f>VLOOKUP(L4333,'[2]tabela de preços'!$A:$F,6,0)</f>
        <v>EPOXI</v>
      </c>
      <c r="X4333" t="str">
        <f>VLOOKUP(L4333,'[2]tabela de preços'!$A:$G,7,0)</f>
        <v>INDUSTRIAL</v>
      </c>
    </row>
    <row r="4334" spans="1:24" x14ac:dyDescent="0.3">
      <c r="A4334" t="s">
        <v>3395</v>
      </c>
      <c r="C4334" t="s">
        <v>3776</v>
      </c>
      <c r="D4334" s="1">
        <v>46079</v>
      </c>
      <c r="E4334" t="s">
        <v>3777</v>
      </c>
      <c r="F4334">
        <v>9</v>
      </c>
      <c r="G4334">
        <v>174</v>
      </c>
      <c r="H4334" t="str">
        <f>VLOOKUP(G4334,[1]OPERADORES!$A:$B,2,0)</f>
        <v>MIRIÃ LOBATO RODRIGUES</v>
      </c>
      <c r="I4334" t="s">
        <v>21</v>
      </c>
      <c r="J4334" t="s">
        <v>762</v>
      </c>
      <c r="K4334" t="s">
        <v>3398</v>
      </c>
      <c r="L4334">
        <v>84423</v>
      </c>
      <c r="M4334" t="s">
        <v>1198</v>
      </c>
      <c r="O4334" t="s">
        <v>11</v>
      </c>
      <c r="P4334">
        <v>5102</v>
      </c>
      <c r="Q4334">
        <v>3</v>
      </c>
      <c r="R4334">
        <v>19</v>
      </c>
      <c r="S4334">
        <v>57</v>
      </c>
      <c r="T4334">
        <v>40.56</v>
      </c>
      <c r="U4334">
        <v>28.84</v>
      </c>
      <c r="V4334" t="str">
        <f>VLOOKUP(L4334,'[2]tabela de preços'!$A:$D,4,0)</f>
        <v>ATLAS</v>
      </c>
      <c r="W4334" t="str">
        <f>VLOOKUP(L4334,'[2]tabela de preços'!$A:$F,6,0)</f>
        <v>ROLOS / TRINCHAS / PINCÉIS / ESPÁTULAS</v>
      </c>
      <c r="X4334" t="str">
        <f>VLOOKUP(L4334,'[2]tabela de preços'!$A:$G,7,0)</f>
        <v>IMOBILIÁRIO</v>
      </c>
    </row>
    <row r="4335" spans="1:24" x14ac:dyDescent="0.3">
      <c r="A4335" t="s">
        <v>3395</v>
      </c>
      <c r="C4335" t="s">
        <v>3776</v>
      </c>
      <c r="D4335" s="1">
        <v>46079</v>
      </c>
      <c r="E4335" t="s">
        <v>3777</v>
      </c>
      <c r="F4335">
        <v>9</v>
      </c>
      <c r="G4335">
        <v>174</v>
      </c>
      <c r="H4335" t="str">
        <f>VLOOKUP(G4335,[1]OPERADORES!$A:$B,2,0)</f>
        <v>MIRIÃ LOBATO RODRIGUES</v>
      </c>
      <c r="I4335" t="s">
        <v>21</v>
      </c>
      <c r="J4335" t="s">
        <v>762</v>
      </c>
      <c r="K4335" t="s">
        <v>3398</v>
      </c>
      <c r="L4335">
        <v>10114</v>
      </c>
      <c r="M4335" t="s">
        <v>571</v>
      </c>
      <c r="O4335" t="s">
        <v>11</v>
      </c>
      <c r="P4335">
        <v>5102</v>
      </c>
      <c r="Q4335">
        <v>12</v>
      </c>
      <c r="R4335">
        <v>4.1900000000000004</v>
      </c>
      <c r="S4335">
        <v>50.28</v>
      </c>
      <c r="T4335">
        <v>36</v>
      </c>
      <c r="U4335">
        <v>28.4</v>
      </c>
      <c r="V4335" t="str">
        <f>VLOOKUP(L4335,'[2]tabela de preços'!$A:$D,4,0)</f>
        <v>ATLAS</v>
      </c>
      <c r="W4335" t="str">
        <f>VLOOKUP(L4335,'[2]tabela de preços'!$A:$F,6,0)</f>
        <v>ROLOS / TRINCHAS / PINCÉIS / ESPÁTULAS</v>
      </c>
      <c r="X4335" t="str">
        <f>VLOOKUP(L4335,'[2]tabela de preços'!$A:$G,7,0)</f>
        <v>IMOBILIÁRIO</v>
      </c>
    </row>
    <row r="4336" spans="1:24" x14ac:dyDescent="0.3">
      <c r="A4336" t="s">
        <v>3395</v>
      </c>
      <c r="C4336" t="s">
        <v>3776</v>
      </c>
      <c r="D4336" s="1">
        <v>46079</v>
      </c>
      <c r="E4336" t="s">
        <v>3777</v>
      </c>
      <c r="F4336">
        <v>9</v>
      </c>
      <c r="G4336">
        <v>174</v>
      </c>
      <c r="H4336" t="str">
        <f>VLOOKUP(G4336,[1]OPERADORES!$A:$B,2,0)</f>
        <v>MIRIÃ LOBATO RODRIGUES</v>
      </c>
      <c r="I4336" t="s">
        <v>21</v>
      </c>
      <c r="J4336" t="s">
        <v>762</v>
      </c>
      <c r="K4336" t="s">
        <v>3398</v>
      </c>
      <c r="L4336">
        <v>10115</v>
      </c>
      <c r="M4336" t="s">
        <v>2587</v>
      </c>
      <c r="O4336" t="s">
        <v>11</v>
      </c>
      <c r="P4336">
        <v>5102</v>
      </c>
      <c r="Q4336">
        <v>8</v>
      </c>
      <c r="R4336">
        <v>3.15</v>
      </c>
      <c r="S4336">
        <v>25.2</v>
      </c>
      <c r="T4336">
        <v>18.079999999999998</v>
      </c>
      <c r="U4336">
        <v>28.25</v>
      </c>
      <c r="V4336" t="str">
        <f>VLOOKUP(L4336,'[2]tabela de preços'!$A:$D,4,0)</f>
        <v>ATLAS</v>
      </c>
      <c r="W4336" t="str">
        <f>VLOOKUP(L4336,'[2]tabela de preços'!$A:$F,6,0)</f>
        <v>ROLOS / TRINCHAS / PINCÉIS / ESPÁTULAS</v>
      </c>
      <c r="X4336" t="str">
        <f>VLOOKUP(L4336,'[2]tabela de preços'!$A:$G,7,0)</f>
        <v>IMOBILIÁRIO</v>
      </c>
    </row>
    <row r="4337" spans="1:24" x14ac:dyDescent="0.3">
      <c r="A4337" t="s">
        <v>3395</v>
      </c>
      <c r="C4337" t="s">
        <v>3776</v>
      </c>
      <c r="D4337" s="1">
        <v>46079</v>
      </c>
      <c r="E4337" t="s">
        <v>3777</v>
      </c>
      <c r="F4337">
        <v>9</v>
      </c>
      <c r="G4337">
        <v>174</v>
      </c>
      <c r="H4337" t="str">
        <f>VLOOKUP(G4337,[1]OPERADORES!$A:$B,2,0)</f>
        <v>MIRIÃ LOBATO RODRIGUES</v>
      </c>
      <c r="I4337" t="s">
        <v>21</v>
      </c>
      <c r="J4337" t="s">
        <v>762</v>
      </c>
      <c r="K4337" t="s">
        <v>3398</v>
      </c>
      <c r="L4337">
        <v>10118</v>
      </c>
      <c r="M4337" t="s">
        <v>572</v>
      </c>
      <c r="O4337" t="s">
        <v>11</v>
      </c>
      <c r="P4337">
        <v>5102</v>
      </c>
      <c r="Q4337">
        <v>12</v>
      </c>
      <c r="R4337">
        <v>5.32</v>
      </c>
      <c r="S4337">
        <v>63.84</v>
      </c>
      <c r="T4337">
        <v>45.72</v>
      </c>
      <c r="U4337">
        <v>28.38</v>
      </c>
      <c r="V4337" t="str">
        <f>VLOOKUP(L4337,'[2]tabela de preços'!$A:$D,4,0)</f>
        <v>ATLAS</v>
      </c>
      <c r="W4337" t="str">
        <f>VLOOKUP(L4337,'[2]tabela de preços'!$A:$F,6,0)</f>
        <v>ROLOS / TRINCHAS / PINCÉIS / ESPÁTULAS</v>
      </c>
      <c r="X4337" t="str">
        <f>VLOOKUP(L4337,'[2]tabela de preços'!$A:$G,7,0)</f>
        <v>IMOBILIÁRIO</v>
      </c>
    </row>
    <row r="4338" spans="1:24" x14ac:dyDescent="0.3">
      <c r="A4338" t="s">
        <v>1155</v>
      </c>
      <c r="C4338" t="s">
        <v>3778</v>
      </c>
      <c r="D4338" s="1">
        <v>46079</v>
      </c>
      <c r="E4338" t="s">
        <v>3779</v>
      </c>
      <c r="F4338">
        <v>9</v>
      </c>
      <c r="G4338">
        <v>174</v>
      </c>
      <c r="H4338" t="str">
        <f>VLOOKUP(G4338,[1]OPERADORES!$A:$B,2,0)</f>
        <v>MIRIÃ LOBATO RODRIGUES</v>
      </c>
      <c r="I4338" t="s">
        <v>21</v>
      </c>
      <c r="J4338" t="s">
        <v>211</v>
      </c>
      <c r="K4338" t="s">
        <v>1158</v>
      </c>
      <c r="L4338">
        <v>22602</v>
      </c>
      <c r="M4338" t="s">
        <v>3780</v>
      </c>
      <c r="O4338" t="s">
        <v>11</v>
      </c>
      <c r="P4338">
        <v>5102</v>
      </c>
      <c r="Q4338">
        <v>2</v>
      </c>
      <c r="R4338">
        <v>9.94</v>
      </c>
      <c r="S4338">
        <v>19.88</v>
      </c>
      <c r="T4338">
        <v>15.08</v>
      </c>
      <c r="U4338">
        <v>24.14</v>
      </c>
      <c r="V4338" t="str">
        <f>VLOOKUP(L4338,'[2]tabela de preços'!$A:$D,4,0)</f>
        <v>MAXI RUBBER</v>
      </c>
      <c r="W4338" t="str">
        <f>VLOOKUP(L4338,'[2]tabela de preços'!$A:$F,6,0)</f>
        <v>PRIMER AUTOMOTIVO</v>
      </c>
      <c r="X4338" t="str">
        <f>VLOOKUP(L4338,'[2]tabela de preços'!$A:$G,7,0)</f>
        <v>AUTOMOTIVO</v>
      </c>
    </row>
    <row r="4339" spans="1:24" x14ac:dyDescent="0.3">
      <c r="A4339" t="s">
        <v>1155</v>
      </c>
      <c r="C4339" t="s">
        <v>3778</v>
      </c>
      <c r="D4339" s="1">
        <v>46079</v>
      </c>
      <c r="E4339" t="s">
        <v>3779</v>
      </c>
      <c r="F4339">
        <v>9</v>
      </c>
      <c r="G4339">
        <v>174</v>
      </c>
      <c r="H4339" t="str">
        <f>VLOOKUP(G4339,[1]OPERADORES!$A:$B,2,0)</f>
        <v>MIRIÃ LOBATO RODRIGUES</v>
      </c>
      <c r="I4339" t="s">
        <v>21</v>
      </c>
      <c r="J4339" t="s">
        <v>211</v>
      </c>
      <c r="K4339" t="s">
        <v>1158</v>
      </c>
      <c r="L4339">
        <v>21037</v>
      </c>
      <c r="M4339" t="s">
        <v>3781</v>
      </c>
      <c r="O4339" t="s">
        <v>11</v>
      </c>
      <c r="P4339">
        <v>5102</v>
      </c>
      <c r="Q4339">
        <v>2</v>
      </c>
      <c r="R4339">
        <v>17.03</v>
      </c>
      <c r="S4339">
        <v>34.06</v>
      </c>
      <c r="T4339">
        <v>25.84</v>
      </c>
      <c r="U4339">
        <v>24.13</v>
      </c>
      <c r="V4339" t="str">
        <f>VLOOKUP(L4339,'[2]tabela de preços'!$A:$D,4,0)</f>
        <v>SHERWIN WILLIAMS</v>
      </c>
      <c r="W4339" t="str">
        <f>VLOOKUP(L4339,'[2]tabela de preços'!$A:$F,6,0)</f>
        <v>CATALISADORES INDIVIDUAS</v>
      </c>
      <c r="X4339" t="str">
        <f>VLOOKUP(L4339,'[2]tabela de preços'!$A:$G,7,0)</f>
        <v>AUTOMOTIVO</v>
      </c>
    </row>
    <row r="4340" spans="1:24" x14ac:dyDescent="0.3">
      <c r="A4340" t="s">
        <v>1155</v>
      </c>
      <c r="C4340" t="s">
        <v>3778</v>
      </c>
      <c r="D4340" s="1">
        <v>46079</v>
      </c>
      <c r="E4340" t="s">
        <v>3779</v>
      </c>
      <c r="F4340">
        <v>9</v>
      </c>
      <c r="G4340">
        <v>174</v>
      </c>
      <c r="H4340" t="str">
        <f>VLOOKUP(G4340,[1]OPERADORES!$A:$B,2,0)</f>
        <v>MIRIÃ LOBATO RODRIGUES</v>
      </c>
      <c r="I4340" t="s">
        <v>21</v>
      </c>
      <c r="J4340" t="s">
        <v>211</v>
      </c>
      <c r="K4340" t="s">
        <v>1158</v>
      </c>
      <c r="L4340">
        <v>87108</v>
      </c>
      <c r="M4340" t="s">
        <v>3782</v>
      </c>
      <c r="O4340" t="s">
        <v>11</v>
      </c>
      <c r="P4340">
        <v>5102</v>
      </c>
      <c r="Q4340">
        <v>2</v>
      </c>
      <c r="R4340">
        <v>41.35</v>
      </c>
      <c r="S4340">
        <v>82.7</v>
      </c>
      <c r="T4340">
        <v>62.78</v>
      </c>
      <c r="U4340">
        <v>24.09</v>
      </c>
      <c r="V4340" t="str">
        <f>VLOOKUP(L4340,'[2]tabela de preços'!$A:$D,4,0)</f>
        <v>SHERWIN WILLIAMS</v>
      </c>
      <c r="W4340" t="str">
        <f>VLOOKUP(L4340,'[2]tabela de preços'!$A:$F,6,0)</f>
        <v>TINTAS PU</v>
      </c>
      <c r="X4340" t="str">
        <f>VLOOKUP(L4340,'[2]tabela de preços'!$A:$G,7,0)</f>
        <v>AUTOMOTIVO</v>
      </c>
    </row>
    <row r="4341" spans="1:24" x14ac:dyDescent="0.3">
      <c r="A4341" t="s">
        <v>1155</v>
      </c>
      <c r="C4341" t="s">
        <v>3778</v>
      </c>
      <c r="D4341" s="1">
        <v>46079</v>
      </c>
      <c r="E4341" t="s">
        <v>3779</v>
      </c>
      <c r="F4341">
        <v>9</v>
      </c>
      <c r="G4341">
        <v>174</v>
      </c>
      <c r="H4341" t="str">
        <f>VLOOKUP(G4341,[1]OPERADORES!$A:$B,2,0)</f>
        <v>MIRIÃ LOBATO RODRIGUES</v>
      </c>
      <c r="I4341" t="s">
        <v>21</v>
      </c>
      <c r="J4341" t="s">
        <v>211</v>
      </c>
      <c r="K4341" t="s">
        <v>1158</v>
      </c>
      <c r="L4341">
        <v>10243</v>
      </c>
      <c r="M4341" t="s">
        <v>83</v>
      </c>
      <c r="O4341" t="s">
        <v>11</v>
      </c>
      <c r="P4341">
        <v>5102</v>
      </c>
      <c r="Q4341">
        <v>3</v>
      </c>
      <c r="R4341">
        <v>2.79</v>
      </c>
      <c r="S4341">
        <v>8.3699999999999992</v>
      </c>
      <c r="T4341">
        <v>5.79</v>
      </c>
      <c r="U4341">
        <v>30.82</v>
      </c>
      <c r="V4341" t="str">
        <f>VLOOKUP(L4341,'[2]tabela de preços'!$A:$D,4,0)</f>
        <v>NORTON</v>
      </c>
      <c r="W4341" t="str">
        <f>VLOOKUP(L4341,'[2]tabela de preços'!$A:$F,6,0)</f>
        <v xml:space="preserve">DISCOS / LIXAS / ABRASIVOS </v>
      </c>
      <c r="X4341" t="str">
        <f>VLOOKUP(L4341,'[2]tabela de preços'!$A:$G,7,0)</f>
        <v>AUTOMOTIVO</v>
      </c>
    </row>
    <row r="4342" spans="1:24" x14ac:dyDescent="0.3">
      <c r="A4342" t="s">
        <v>1155</v>
      </c>
      <c r="C4342" t="s">
        <v>3778</v>
      </c>
      <c r="D4342" s="1">
        <v>46079</v>
      </c>
      <c r="E4342" t="s">
        <v>3779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211</v>
      </c>
      <c r="K4342" t="s">
        <v>1158</v>
      </c>
      <c r="L4342">
        <v>23267</v>
      </c>
      <c r="M4342" t="s">
        <v>164</v>
      </c>
      <c r="O4342" t="s">
        <v>11</v>
      </c>
      <c r="P4342">
        <v>5102</v>
      </c>
      <c r="Q4342">
        <v>1</v>
      </c>
      <c r="R4342">
        <v>22.89</v>
      </c>
      <c r="S4342">
        <v>22.89</v>
      </c>
      <c r="T4342">
        <v>18.62</v>
      </c>
      <c r="U4342">
        <v>18.649999999999999</v>
      </c>
      <c r="V4342" t="str">
        <f>VLOOKUP(L4342,'[2]tabela de preços'!$A:$D,4,0)</f>
        <v>ANJO</v>
      </c>
      <c r="W4342" t="str">
        <f>VLOOKUP(L4342,'[2]tabela de preços'!$A:$F,6,0)</f>
        <v>MASSA POLIÉSTER</v>
      </c>
      <c r="X4342" t="str">
        <f>VLOOKUP(L4342,'[2]tabela de preços'!$A:$G,7,0)</f>
        <v>AUTOMOTIVO</v>
      </c>
    </row>
    <row r="4343" spans="1:24" x14ac:dyDescent="0.3">
      <c r="A4343" t="s">
        <v>1155</v>
      </c>
      <c r="C4343" t="s">
        <v>3778</v>
      </c>
      <c r="D4343" s="1">
        <v>46079</v>
      </c>
      <c r="E4343" t="s">
        <v>3779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211</v>
      </c>
      <c r="K4343" t="s">
        <v>1158</v>
      </c>
      <c r="L4343">
        <v>21439</v>
      </c>
      <c r="M4343" t="s">
        <v>3783</v>
      </c>
      <c r="O4343" t="s">
        <v>11</v>
      </c>
      <c r="P4343">
        <v>5403</v>
      </c>
      <c r="Q4343">
        <v>2</v>
      </c>
      <c r="R4343">
        <v>19.95</v>
      </c>
      <c r="S4343">
        <v>39.9</v>
      </c>
      <c r="T4343">
        <v>30.28</v>
      </c>
      <c r="U4343">
        <v>24.11</v>
      </c>
      <c r="V4343" t="str">
        <f>VLOOKUP(L4343,'[2]tabela de preços'!$A:$D,4,0)</f>
        <v>MAXI RUBBER</v>
      </c>
      <c r="W4343" t="str">
        <f>VLOOKUP(L4343,'[2]tabela de preços'!$A:$F,6,0)</f>
        <v>PRIMER AUTOMOTIVO</v>
      </c>
      <c r="X4343" t="str">
        <f>VLOOKUP(L4343,'[2]tabela de preços'!$A:$G,7,0)</f>
        <v>AUTOMOTIVO</v>
      </c>
    </row>
    <row r="4344" spans="1:24" x14ac:dyDescent="0.3">
      <c r="A4344" t="s">
        <v>1155</v>
      </c>
      <c r="C4344" t="s">
        <v>3778</v>
      </c>
      <c r="D4344" s="1">
        <v>46079</v>
      </c>
      <c r="E4344" t="s">
        <v>3779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211</v>
      </c>
      <c r="K4344" t="s">
        <v>1158</v>
      </c>
      <c r="L4344">
        <v>21316</v>
      </c>
      <c r="M4344" t="s">
        <v>1829</v>
      </c>
      <c r="O4344" t="s">
        <v>11</v>
      </c>
      <c r="P4344">
        <v>5102</v>
      </c>
      <c r="Q4344">
        <v>1</v>
      </c>
      <c r="R4344">
        <v>124.15</v>
      </c>
      <c r="S4344">
        <v>124.15</v>
      </c>
      <c r="T4344">
        <v>94.23</v>
      </c>
      <c r="U4344">
        <v>24.1</v>
      </c>
      <c r="V4344" t="str">
        <f>VLOOKUP(L4344,'[2]tabela de preços'!$A:$D,4,0)</f>
        <v>SHERWIN WILLIAMS</v>
      </c>
      <c r="W4344" t="str">
        <f>VLOOKUP(L4344,'[2]tabela de preços'!$A:$F,6,0)</f>
        <v>DILUENTE</v>
      </c>
      <c r="X4344" t="str">
        <f>VLOOKUP(L4344,'[2]tabela de preços'!$A:$G,7,0)</f>
        <v>AUTOMOTIVO</v>
      </c>
    </row>
    <row r="4345" spans="1:24" x14ac:dyDescent="0.3">
      <c r="A4345" t="s">
        <v>1163</v>
      </c>
      <c r="B4345" t="s">
        <v>1164</v>
      </c>
      <c r="C4345" t="s">
        <v>3599</v>
      </c>
      <c r="D4345" s="1">
        <v>46078</v>
      </c>
      <c r="E4345" t="s">
        <v>3600</v>
      </c>
      <c r="F4345">
        <v>9</v>
      </c>
      <c r="G4345">
        <v>230</v>
      </c>
      <c r="H4345" t="str">
        <f>VLOOKUP(G4345,[1]OPERADORES!$A:$B,2,0)</f>
        <v>SÔNIA</v>
      </c>
      <c r="I4345" t="s">
        <v>21</v>
      </c>
      <c r="J4345" t="s">
        <v>211</v>
      </c>
      <c r="K4345" t="s">
        <v>1167</v>
      </c>
      <c r="L4345">
        <v>20817</v>
      </c>
      <c r="M4345" t="s">
        <v>153</v>
      </c>
      <c r="O4345" t="s">
        <v>11</v>
      </c>
      <c r="P4345">
        <v>5102</v>
      </c>
      <c r="Q4345">
        <v>4</v>
      </c>
      <c r="R4345">
        <v>22.89</v>
      </c>
      <c r="S4345">
        <v>91.56</v>
      </c>
      <c r="T4345">
        <v>74.48</v>
      </c>
      <c r="U4345">
        <v>18.649999999999999</v>
      </c>
      <c r="V4345" t="str">
        <f>VLOOKUP(L4345,'[2]tabela de preços'!$A:$D,4,0)</f>
        <v>AUTO AMERICA</v>
      </c>
      <c r="W4345" t="str">
        <f>VLOOKUP(L4345,'[2]tabela de preços'!$A:$F,6,0)</f>
        <v>MASSA DE POLIR</v>
      </c>
      <c r="X4345" t="str">
        <f>VLOOKUP(L4345,'[2]tabela de preços'!$A:$G,7,0)</f>
        <v>AUTOMOTIVO</v>
      </c>
    </row>
    <row r="4346" spans="1:24" x14ac:dyDescent="0.3">
      <c r="A4346" t="s">
        <v>1163</v>
      </c>
      <c r="B4346" t="s">
        <v>1164</v>
      </c>
      <c r="C4346" t="s">
        <v>3599</v>
      </c>
      <c r="D4346" s="1">
        <v>46078</v>
      </c>
      <c r="E4346" t="s">
        <v>3600</v>
      </c>
      <c r="F4346">
        <v>9</v>
      </c>
      <c r="G4346">
        <v>230</v>
      </c>
      <c r="H4346" t="str">
        <f>VLOOKUP(G4346,[1]OPERADORES!$A:$B,2,0)</f>
        <v>SÔNIA</v>
      </c>
      <c r="I4346" t="s">
        <v>21</v>
      </c>
      <c r="J4346" t="s">
        <v>211</v>
      </c>
      <c r="K4346" t="s">
        <v>1167</v>
      </c>
      <c r="L4346">
        <v>23267</v>
      </c>
      <c r="M4346" t="s">
        <v>164</v>
      </c>
      <c r="O4346" t="s">
        <v>11</v>
      </c>
      <c r="P4346">
        <v>5102</v>
      </c>
      <c r="Q4346">
        <v>5</v>
      </c>
      <c r="R4346">
        <v>22.89</v>
      </c>
      <c r="S4346">
        <v>114.45</v>
      </c>
      <c r="T4346">
        <v>93.1</v>
      </c>
      <c r="U4346">
        <v>18.649999999999999</v>
      </c>
      <c r="V4346" t="str">
        <f>VLOOKUP(L4346,'[2]tabela de preços'!$A:$D,4,0)</f>
        <v>ANJO</v>
      </c>
      <c r="W4346" t="str">
        <f>VLOOKUP(L4346,'[2]tabela de preços'!$A:$F,6,0)</f>
        <v>MASSA POLIÉSTER</v>
      </c>
      <c r="X4346" t="str">
        <f>VLOOKUP(L4346,'[2]tabela de preços'!$A:$G,7,0)</f>
        <v>AUTOMOTIVO</v>
      </c>
    </row>
    <row r="4347" spans="1:24" x14ac:dyDescent="0.3">
      <c r="A4347" t="s">
        <v>1170</v>
      </c>
      <c r="C4347" t="s">
        <v>3784</v>
      </c>
      <c r="D4347" s="1">
        <v>46079</v>
      </c>
      <c r="E4347" t="s">
        <v>3785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1173</v>
      </c>
      <c r="K4347" t="s">
        <v>1174</v>
      </c>
      <c r="L4347">
        <v>20090</v>
      </c>
      <c r="M4347" t="s">
        <v>1238</v>
      </c>
      <c r="O4347" t="s">
        <v>11</v>
      </c>
      <c r="P4347">
        <v>5102</v>
      </c>
      <c r="Q4347">
        <v>5</v>
      </c>
      <c r="R4347">
        <v>14.49</v>
      </c>
      <c r="S4347">
        <v>72.45</v>
      </c>
      <c r="T4347">
        <v>55</v>
      </c>
      <c r="U4347">
        <v>24.09</v>
      </c>
      <c r="V4347" t="str">
        <f>VLOOKUP(L4347,'[2]tabela de preços'!$A:$D,4,0)</f>
        <v>PROLAB</v>
      </c>
      <c r="W4347" t="str">
        <f>VLOOKUP(L4347,'[2]tabela de preços'!$A:$F,6,0)</f>
        <v>APLICADORES / ADAPTADORES / ENGATES / SUPORTES</v>
      </c>
      <c r="X4347" t="str">
        <f>VLOOKUP(L4347,'[2]tabela de preços'!$A:$G,7,0)</f>
        <v>AUTOMOTIVO</v>
      </c>
    </row>
    <row r="4348" spans="1:24" x14ac:dyDescent="0.3">
      <c r="A4348" t="s">
        <v>1170</v>
      </c>
      <c r="C4348" t="s">
        <v>3784</v>
      </c>
      <c r="D4348" s="1">
        <v>46079</v>
      </c>
      <c r="E4348" t="s">
        <v>3785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1173</v>
      </c>
      <c r="K4348" t="s">
        <v>1174</v>
      </c>
      <c r="L4348">
        <v>21067</v>
      </c>
      <c r="M4348" t="s">
        <v>640</v>
      </c>
      <c r="O4348" t="s">
        <v>11</v>
      </c>
      <c r="P4348">
        <v>5102</v>
      </c>
      <c r="Q4348">
        <v>18</v>
      </c>
      <c r="R4348">
        <v>36.07</v>
      </c>
      <c r="S4348">
        <v>649.26</v>
      </c>
      <c r="T4348">
        <v>492.84</v>
      </c>
      <c r="U4348">
        <v>24.09</v>
      </c>
      <c r="V4348" t="str">
        <f>VLOOKUP(L4348,'[2]tabela de preços'!$A:$D,4,0)</f>
        <v>SIKKENS</v>
      </c>
      <c r="W4348" t="str">
        <f>VLOOKUP(L4348,'[2]tabela de preços'!$A:$F,6,0)</f>
        <v>DILUENTE</v>
      </c>
      <c r="X4348" t="str">
        <f>VLOOKUP(L4348,'[2]tabela de preços'!$A:$G,7,0)</f>
        <v>AUTOMOTIVO</v>
      </c>
    </row>
    <row r="4349" spans="1:24" x14ac:dyDescent="0.3">
      <c r="A4349" t="s">
        <v>1222</v>
      </c>
      <c r="C4349" t="s">
        <v>3786</v>
      </c>
      <c r="D4349" s="1">
        <v>46080</v>
      </c>
      <c r="E4349" t="s">
        <v>3787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1225</v>
      </c>
      <c r="K4349" t="s">
        <v>1226</v>
      </c>
      <c r="L4349">
        <v>23076</v>
      </c>
      <c r="M4349" t="s">
        <v>97</v>
      </c>
      <c r="O4349" t="s">
        <v>11</v>
      </c>
      <c r="P4349">
        <v>5405</v>
      </c>
      <c r="Q4349">
        <v>12</v>
      </c>
      <c r="R4349">
        <v>34.89</v>
      </c>
      <c r="S4349">
        <v>418.68</v>
      </c>
      <c r="T4349">
        <v>318.36</v>
      </c>
      <c r="U4349">
        <v>23.96</v>
      </c>
      <c r="V4349" t="str">
        <f>VLOOKUP(L4349,'[2]tabela de preços'!$A:$D,4,0)</f>
        <v>WANDA</v>
      </c>
      <c r="W4349" t="str">
        <f>VLOOKUP(L4349,'[2]tabela de preços'!$A:$F,6,0)</f>
        <v>PRIMER AUTOMOTIVO</v>
      </c>
      <c r="X4349" t="str">
        <f>VLOOKUP(L4349,'[2]tabela de preços'!$A:$G,7,0)</f>
        <v>AUTOMOTIVO</v>
      </c>
    </row>
    <row r="4350" spans="1:24" x14ac:dyDescent="0.3">
      <c r="A4350" t="s">
        <v>1222</v>
      </c>
      <c r="C4350" t="s">
        <v>3786</v>
      </c>
      <c r="D4350" s="1">
        <v>46080</v>
      </c>
      <c r="E4350" t="s">
        <v>3787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1225</v>
      </c>
      <c r="K4350" t="s">
        <v>1226</v>
      </c>
      <c r="L4350">
        <v>23690</v>
      </c>
      <c r="M4350" t="s">
        <v>98</v>
      </c>
      <c r="O4350" t="s">
        <v>11</v>
      </c>
      <c r="P4350">
        <v>5405</v>
      </c>
      <c r="Q4350">
        <v>6</v>
      </c>
      <c r="R4350">
        <v>39.89</v>
      </c>
      <c r="S4350">
        <v>239.34</v>
      </c>
      <c r="T4350">
        <v>189.66</v>
      </c>
      <c r="U4350">
        <v>20.76</v>
      </c>
      <c r="V4350" t="str">
        <f>VLOOKUP(L4350,'[2]tabela de preços'!$A:$D,4,0)</f>
        <v>WANDA</v>
      </c>
      <c r="W4350" t="str">
        <f>VLOOKUP(L4350,'[2]tabela de preços'!$A:$F,6,0)</f>
        <v>VERNIZ AUTOMOTIVO</v>
      </c>
      <c r="X4350" t="str">
        <f>VLOOKUP(L4350,'[2]tabela de preços'!$A:$G,7,0)</f>
        <v>AUTOMOTIVO</v>
      </c>
    </row>
    <row r="4351" spans="1:24" x14ac:dyDescent="0.3">
      <c r="A4351" t="s">
        <v>2825</v>
      </c>
      <c r="C4351" t="s">
        <v>3603</v>
      </c>
      <c r="D4351" s="1">
        <v>46078</v>
      </c>
      <c r="E4351" t="s">
        <v>3604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730</v>
      </c>
      <c r="K4351" t="s">
        <v>2828</v>
      </c>
      <c r="L4351">
        <v>84267</v>
      </c>
      <c r="M4351" t="s">
        <v>3192</v>
      </c>
      <c r="O4351" t="s">
        <v>11</v>
      </c>
      <c r="P4351">
        <v>5403</v>
      </c>
      <c r="Q4351">
        <v>3</v>
      </c>
      <c r="R4351">
        <v>193.92</v>
      </c>
      <c r="S4351">
        <v>581.76</v>
      </c>
      <c r="T4351">
        <v>441.57</v>
      </c>
      <c r="U4351">
        <v>24.1</v>
      </c>
      <c r="V4351" t="str">
        <f>VLOOKUP(L4351,'[2]tabela de preços'!$A:$D,4,0)</f>
        <v>BRASILUX</v>
      </c>
      <c r="W4351" t="str">
        <f>VLOOKUP(L4351,'[2]tabela de preços'!$A:$F,6,0)</f>
        <v>TINTA PAREDE</v>
      </c>
      <c r="X4351" t="str">
        <f>VLOOKUP(L4351,'[2]tabela de preços'!$A:$G,7,0)</f>
        <v>IMOBILIÁRIO</v>
      </c>
    </row>
    <row r="4352" spans="1:24" x14ac:dyDescent="0.3">
      <c r="A4352" t="s">
        <v>2825</v>
      </c>
      <c r="C4352" t="s">
        <v>3603</v>
      </c>
      <c r="D4352" s="1">
        <v>46078</v>
      </c>
      <c r="E4352" t="s">
        <v>3604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730</v>
      </c>
      <c r="K4352" t="s">
        <v>2828</v>
      </c>
      <c r="L4352">
        <v>84268</v>
      </c>
      <c r="M4352" t="s">
        <v>1566</v>
      </c>
      <c r="O4352" t="s">
        <v>11</v>
      </c>
      <c r="P4352">
        <v>5403</v>
      </c>
      <c r="Q4352">
        <v>3</v>
      </c>
      <c r="R4352">
        <v>193.92</v>
      </c>
      <c r="S4352">
        <v>581.76</v>
      </c>
      <c r="T4352">
        <v>441.57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TINTA PAREDE</v>
      </c>
      <c r="X4352" t="str">
        <f>VLOOKUP(L4352,'[2]tabela de preços'!$A:$G,7,0)</f>
        <v>IMOBILIÁRIO</v>
      </c>
    </row>
    <row r="4353" spans="1:24" x14ac:dyDescent="0.3">
      <c r="A4353" t="s">
        <v>2825</v>
      </c>
      <c r="C4353" t="s">
        <v>3603</v>
      </c>
      <c r="D4353" s="1">
        <v>46078</v>
      </c>
      <c r="E4353" t="s">
        <v>3604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730</v>
      </c>
      <c r="K4353" t="s">
        <v>2828</v>
      </c>
      <c r="L4353">
        <v>84036</v>
      </c>
      <c r="M4353" t="s">
        <v>289</v>
      </c>
      <c r="O4353" t="s">
        <v>11</v>
      </c>
      <c r="P4353">
        <v>5102</v>
      </c>
      <c r="Q4353">
        <v>1</v>
      </c>
      <c r="R4353">
        <v>47.9</v>
      </c>
      <c r="S4353">
        <v>47.9</v>
      </c>
      <c r="T4353">
        <v>41.63</v>
      </c>
      <c r="U4353">
        <v>13.09</v>
      </c>
      <c r="V4353" t="str">
        <f>VLOOKUP(L4353,'[2]tabela de preços'!$A:$D,4,0)</f>
        <v>BRASILUX</v>
      </c>
      <c r="W4353" t="str">
        <f>VLOOKUP(L4353,'[2]tabela de preços'!$A:$F,6,0)</f>
        <v>MASSA CORRIDA / ACRÍLICA</v>
      </c>
      <c r="X4353" t="str">
        <f>VLOOKUP(L4353,'[2]tabela de preços'!$A:$G,7,0)</f>
        <v>IMOBILIÁRIO</v>
      </c>
    </row>
    <row r="4354" spans="1:24" x14ac:dyDescent="0.3">
      <c r="A4354" t="s">
        <v>1232</v>
      </c>
      <c r="C4354" t="s">
        <v>3788</v>
      </c>
      <c r="D4354" s="1">
        <v>46079</v>
      </c>
      <c r="E4354" t="s">
        <v>3789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1235</v>
      </c>
      <c r="K4354" t="s">
        <v>1236</v>
      </c>
      <c r="L4354">
        <v>84560</v>
      </c>
      <c r="M4354" t="s">
        <v>118</v>
      </c>
      <c r="O4354" t="s">
        <v>11</v>
      </c>
      <c r="P4354">
        <v>5102</v>
      </c>
      <c r="Q4354">
        <v>12</v>
      </c>
      <c r="R4354">
        <v>47.89</v>
      </c>
      <c r="S4354">
        <v>574.67999999999995</v>
      </c>
      <c r="T4354">
        <v>481.68</v>
      </c>
      <c r="U4354">
        <v>16.18</v>
      </c>
      <c r="V4354" t="str">
        <f>VLOOKUP(L4354,'[2]tabela de preços'!$A:$D,4,0)</f>
        <v>BRASILUX</v>
      </c>
      <c r="W4354" t="str">
        <f>VLOOKUP(L4354,'[2]tabela de preços'!$A:$F,6,0)</f>
        <v>THINNER DE LIMPEZA</v>
      </c>
      <c r="X4354" t="str">
        <f>VLOOKUP(L4354,'[2]tabela de preços'!$A:$G,7,0)</f>
        <v>THINNER</v>
      </c>
    </row>
    <row r="4355" spans="1:24" x14ac:dyDescent="0.3">
      <c r="A4355" t="s">
        <v>3609</v>
      </c>
      <c r="C4355" t="s">
        <v>3610</v>
      </c>
      <c r="D4355" s="1">
        <v>46078</v>
      </c>
      <c r="E4355" t="s">
        <v>3611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397</v>
      </c>
      <c r="K4355" t="s">
        <v>3612</v>
      </c>
      <c r="L4355">
        <v>84334</v>
      </c>
      <c r="M4355" t="s">
        <v>895</v>
      </c>
      <c r="O4355" t="s">
        <v>11</v>
      </c>
      <c r="P4355">
        <v>5403</v>
      </c>
      <c r="Q4355">
        <v>1</v>
      </c>
      <c r="R4355">
        <v>59.98</v>
      </c>
      <c r="S4355">
        <v>59.98</v>
      </c>
      <c r="T4355">
        <v>48.86</v>
      </c>
      <c r="U4355">
        <v>18.54</v>
      </c>
      <c r="V4355" t="str">
        <f>VLOOKUP(L4355,'[2]tabela de preços'!$A:$D,4,0)</f>
        <v>BRASILUX</v>
      </c>
      <c r="W4355" t="str">
        <f>VLOOKUP(L4355,'[2]tabela de preços'!$A:$F,6,0)</f>
        <v>ESMALTES</v>
      </c>
      <c r="X4355" t="str">
        <f>VLOOKUP(L4355,'[2]tabela de preços'!$A:$G,7,0)</f>
        <v>INDUSTRIAL</v>
      </c>
    </row>
    <row r="4356" spans="1:24" x14ac:dyDescent="0.3">
      <c r="A4356" t="s">
        <v>3609</v>
      </c>
      <c r="C4356" t="s">
        <v>3610</v>
      </c>
      <c r="D4356" s="1">
        <v>46078</v>
      </c>
      <c r="E4356" t="s">
        <v>3611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397</v>
      </c>
      <c r="K4356" t="s">
        <v>3612</v>
      </c>
      <c r="L4356">
        <v>5</v>
      </c>
      <c r="M4356" t="s">
        <v>147</v>
      </c>
      <c r="O4356" t="s">
        <v>11</v>
      </c>
      <c r="P4356">
        <v>5102</v>
      </c>
      <c r="Q4356">
        <v>1</v>
      </c>
      <c r="R4356">
        <v>5.45</v>
      </c>
      <c r="S4356">
        <v>5.45</v>
      </c>
      <c r="T4356">
        <v>3.91</v>
      </c>
      <c r="U4356">
        <v>28.26</v>
      </c>
      <c r="V4356" t="str">
        <f>VLOOKUP(L4356,'[2]tabela de preços'!$A:$D,4,0)</f>
        <v>BRILHO ESTOPA</v>
      </c>
      <c r="W4356" t="str">
        <f>VLOOKUP(L4356,'[2]tabela de preços'!$A:$F,6,0)</f>
        <v>ESTOPAS</v>
      </c>
      <c r="X4356" t="str">
        <f>VLOOKUP(L4356,'[2]tabela de preços'!$A:$G,7,0)</f>
        <v>AUTOMOTIVO</v>
      </c>
    </row>
    <row r="4357" spans="1:24" x14ac:dyDescent="0.3">
      <c r="A4357" t="s">
        <v>3609</v>
      </c>
      <c r="C4357" t="s">
        <v>3610</v>
      </c>
      <c r="D4357" s="1">
        <v>46078</v>
      </c>
      <c r="E4357" t="s">
        <v>3611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397</v>
      </c>
      <c r="K4357" t="s">
        <v>3612</v>
      </c>
      <c r="L4357">
        <v>85037</v>
      </c>
      <c r="M4357" t="s">
        <v>60</v>
      </c>
      <c r="O4357" t="s">
        <v>11</v>
      </c>
      <c r="P4357">
        <v>5102</v>
      </c>
      <c r="Q4357">
        <v>2</v>
      </c>
      <c r="R4357">
        <v>7.41</v>
      </c>
      <c r="S4357">
        <v>14.82</v>
      </c>
      <c r="T4357">
        <v>9.56</v>
      </c>
      <c r="U4357">
        <v>35.49</v>
      </c>
      <c r="V4357" t="str">
        <f>VLOOKUP(L4357,'[2]tabela de preços'!$A:$D,4,0)</f>
        <v>ATLAS</v>
      </c>
      <c r="W4357" t="str">
        <f>VLOOKUP(L4357,'[2]tabela de preços'!$A:$F,6,0)</f>
        <v>ROLOS / TRINCHAS / PINCÉIS / ESPÁTULAS</v>
      </c>
      <c r="X4357" t="str">
        <f>VLOOKUP(L4357,'[2]tabela de preços'!$A:$G,7,0)</f>
        <v>IMOBILIÁRIO</v>
      </c>
    </row>
    <row r="4358" spans="1:24" x14ac:dyDescent="0.3">
      <c r="A4358" t="s">
        <v>3790</v>
      </c>
      <c r="C4358" t="s">
        <v>3791</v>
      </c>
      <c r="D4358" s="1">
        <v>46080</v>
      </c>
      <c r="E4358" t="s">
        <v>3792</v>
      </c>
      <c r="F4358">
        <v>9</v>
      </c>
      <c r="G4358">
        <v>236</v>
      </c>
      <c r="H4358" t="str">
        <f>VLOOKUP(G4358,[1]OPERADORES!$A:$B,2,0)</f>
        <v>DANIEL</v>
      </c>
      <c r="I4358" t="s">
        <v>21</v>
      </c>
      <c r="J4358" t="s">
        <v>357</v>
      </c>
      <c r="K4358" t="s">
        <v>3793</v>
      </c>
      <c r="L4358">
        <v>84145</v>
      </c>
      <c r="M4358" t="s">
        <v>301</v>
      </c>
      <c r="O4358" t="s">
        <v>11</v>
      </c>
      <c r="P4358">
        <v>5102</v>
      </c>
      <c r="Q4358">
        <v>1</v>
      </c>
      <c r="R4358">
        <v>59.98</v>
      </c>
      <c r="S4358">
        <v>59.98</v>
      </c>
      <c r="T4358">
        <v>52.01</v>
      </c>
      <c r="U4358">
        <v>13.29</v>
      </c>
      <c r="V4358" t="str">
        <f>VLOOKUP(L4358,'[2]tabela de preços'!$A:$D,4,0)</f>
        <v>BRASILUX</v>
      </c>
      <c r="W4358" t="str">
        <f>VLOOKUP(L4358,'[2]tabela de preços'!$A:$F,6,0)</f>
        <v>ESMALTES</v>
      </c>
      <c r="X4358" t="str">
        <f>VLOOKUP(L4358,'[2]tabela de preços'!$A:$G,7,0)</f>
        <v>INDUSTRIAL</v>
      </c>
    </row>
    <row r="4359" spans="1:24" x14ac:dyDescent="0.3">
      <c r="A4359" t="s">
        <v>3790</v>
      </c>
      <c r="C4359" t="s">
        <v>3791</v>
      </c>
      <c r="D4359" s="1">
        <v>46080</v>
      </c>
      <c r="E4359" t="s">
        <v>3792</v>
      </c>
      <c r="F4359">
        <v>9</v>
      </c>
      <c r="G4359">
        <v>236</v>
      </c>
      <c r="H4359" t="str">
        <f>VLOOKUP(G4359,[1]OPERADORES!$A:$B,2,0)</f>
        <v>DANIEL</v>
      </c>
      <c r="I4359" t="s">
        <v>21</v>
      </c>
      <c r="J4359" t="s">
        <v>357</v>
      </c>
      <c r="K4359" t="s">
        <v>3793</v>
      </c>
      <c r="L4359">
        <v>85169</v>
      </c>
      <c r="M4359" t="s">
        <v>2698</v>
      </c>
      <c r="O4359" t="s">
        <v>11</v>
      </c>
      <c r="P4359">
        <v>5102</v>
      </c>
      <c r="Q4359">
        <v>1</v>
      </c>
      <c r="R4359">
        <v>58.17</v>
      </c>
      <c r="S4359">
        <v>58.17</v>
      </c>
      <c r="T4359">
        <v>37.53</v>
      </c>
      <c r="U4359">
        <v>35.479999999999997</v>
      </c>
      <c r="V4359" t="str">
        <f>VLOOKUP(L4359,'[2]tabela de preços'!$A:$D,4,0)</f>
        <v>BRASILUX</v>
      </c>
      <c r="W4359" t="str">
        <f>VLOOKUP(L4359,'[2]tabela de preços'!$A:$F,6,0)</f>
        <v>TINTA PAREDE</v>
      </c>
      <c r="X4359" t="str">
        <f>VLOOKUP(L4359,'[2]tabela de preços'!$A:$G,7,0)</f>
        <v>IMOBILIÁRIO</v>
      </c>
    </row>
    <row r="4360" spans="1:24" x14ac:dyDescent="0.3">
      <c r="A4360" t="s">
        <v>3790</v>
      </c>
      <c r="C4360" t="s">
        <v>3791</v>
      </c>
      <c r="D4360" s="1">
        <v>46080</v>
      </c>
      <c r="E4360" t="s">
        <v>3792</v>
      </c>
      <c r="F4360">
        <v>9</v>
      </c>
      <c r="G4360">
        <v>236</v>
      </c>
      <c r="H4360" t="str">
        <f>VLOOKUP(G4360,[1]OPERADORES!$A:$B,2,0)</f>
        <v>DANIEL</v>
      </c>
      <c r="I4360" t="s">
        <v>21</v>
      </c>
      <c r="J4360" t="s">
        <v>357</v>
      </c>
      <c r="K4360" t="s">
        <v>3793</v>
      </c>
      <c r="L4360">
        <v>84429</v>
      </c>
      <c r="M4360" t="s">
        <v>3794</v>
      </c>
      <c r="O4360" t="s">
        <v>11</v>
      </c>
      <c r="P4360">
        <v>5102</v>
      </c>
      <c r="Q4360">
        <v>1</v>
      </c>
      <c r="R4360">
        <v>19.97</v>
      </c>
      <c r="S4360">
        <v>19.97</v>
      </c>
      <c r="T4360">
        <v>14.64</v>
      </c>
      <c r="U4360">
        <v>26.69</v>
      </c>
      <c r="V4360" t="str">
        <f>VLOOKUP(L4360,'[2]tabela de preços'!$A:$D,4,0)</f>
        <v>ATLAS</v>
      </c>
      <c r="W4360" t="str">
        <f>VLOOKUP(L4360,'[2]tabela de preços'!$A:$F,6,0)</f>
        <v>ROLOS / TRINCHAS / PINCÉIS / ESPÁTULAS</v>
      </c>
      <c r="X4360" t="str">
        <f>VLOOKUP(L4360,'[2]tabela de preços'!$A:$G,7,0)</f>
        <v>IMOBILIÁRIO</v>
      </c>
    </row>
    <row r="4361" spans="1:24" x14ac:dyDescent="0.3">
      <c r="A4361" t="s">
        <v>3790</v>
      </c>
      <c r="C4361" t="s">
        <v>3791</v>
      </c>
      <c r="D4361" s="1">
        <v>46080</v>
      </c>
      <c r="E4361" t="s">
        <v>3792</v>
      </c>
      <c r="F4361">
        <v>9</v>
      </c>
      <c r="G4361">
        <v>236</v>
      </c>
      <c r="H4361" t="str">
        <f>VLOOKUP(G4361,[1]OPERADORES!$A:$B,2,0)</f>
        <v>DANIEL</v>
      </c>
      <c r="I4361" t="s">
        <v>21</v>
      </c>
      <c r="J4361" t="s">
        <v>357</v>
      </c>
      <c r="K4361" t="s">
        <v>3793</v>
      </c>
      <c r="L4361">
        <v>85050</v>
      </c>
      <c r="M4361" t="s">
        <v>3795</v>
      </c>
      <c r="O4361" t="s">
        <v>11</v>
      </c>
      <c r="P4361">
        <v>5102</v>
      </c>
      <c r="Q4361">
        <v>1</v>
      </c>
      <c r="R4361">
        <v>9.6</v>
      </c>
      <c r="S4361">
        <v>9.6</v>
      </c>
      <c r="T4361">
        <v>7.04</v>
      </c>
      <c r="U4361">
        <v>26.67</v>
      </c>
      <c r="V4361" t="str">
        <f>VLOOKUP(L4361,'[2]tabela de preços'!$A:$D,4,0)</f>
        <v>ATLAS</v>
      </c>
      <c r="W4361" t="str">
        <f>VLOOKUP(L4361,'[2]tabela de preços'!$A:$F,6,0)</f>
        <v>ROLOS / TRINCHAS / PINCÉIS / ESPÁTULAS</v>
      </c>
      <c r="X4361" t="str">
        <f>VLOOKUP(L4361,'[2]tabela de preços'!$A:$G,7,0)</f>
        <v>IMOBILIÁRIO</v>
      </c>
    </row>
    <row r="4362" spans="1:24" x14ac:dyDescent="0.3">
      <c r="A4362" t="s">
        <v>3790</v>
      </c>
      <c r="C4362" t="s">
        <v>3791</v>
      </c>
      <c r="D4362" s="1">
        <v>46080</v>
      </c>
      <c r="E4362" t="s">
        <v>3792</v>
      </c>
      <c r="F4362">
        <v>9</v>
      </c>
      <c r="G4362">
        <v>236</v>
      </c>
      <c r="H4362" t="str">
        <f>VLOOKUP(G4362,[1]OPERADORES!$A:$B,2,0)</f>
        <v>DANIEL</v>
      </c>
      <c r="I4362" t="s">
        <v>21</v>
      </c>
      <c r="J4362" t="s">
        <v>357</v>
      </c>
      <c r="K4362" t="s">
        <v>3793</v>
      </c>
      <c r="L4362">
        <v>22188</v>
      </c>
      <c r="M4362" t="s">
        <v>78</v>
      </c>
      <c r="O4362" t="s">
        <v>11</v>
      </c>
      <c r="P4362">
        <v>5102</v>
      </c>
      <c r="Q4362">
        <v>3</v>
      </c>
      <c r="R4362">
        <v>14.35</v>
      </c>
      <c r="S4362">
        <v>43.05</v>
      </c>
      <c r="T4362">
        <v>32.67</v>
      </c>
      <c r="U4362">
        <v>24.11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3790</v>
      </c>
      <c r="C4363" t="s">
        <v>3791</v>
      </c>
      <c r="D4363" s="1">
        <v>46080</v>
      </c>
      <c r="E4363" t="s">
        <v>3792</v>
      </c>
      <c r="F4363">
        <v>9</v>
      </c>
      <c r="G4363">
        <v>236</v>
      </c>
      <c r="H4363" t="str">
        <f>VLOOKUP(G4363,[1]OPERADORES!$A:$B,2,0)</f>
        <v>DANIEL</v>
      </c>
      <c r="I4363" t="s">
        <v>21</v>
      </c>
      <c r="J4363" t="s">
        <v>357</v>
      </c>
      <c r="K4363" t="s">
        <v>3793</v>
      </c>
      <c r="L4363">
        <v>24240</v>
      </c>
      <c r="M4363" t="s">
        <v>240</v>
      </c>
      <c r="O4363" t="s">
        <v>11</v>
      </c>
      <c r="P4363">
        <v>5102</v>
      </c>
      <c r="Q4363">
        <v>3</v>
      </c>
      <c r="R4363">
        <v>3.81</v>
      </c>
      <c r="S4363">
        <v>11.43</v>
      </c>
      <c r="T4363">
        <v>9.84</v>
      </c>
      <c r="U4363">
        <v>13.91</v>
      </c>
      <c r="V4363" t="str">
        <f>VLOOKUP(L4363,'[2]tabela de preços'!$A:$D,4,0)</f>
        <v>ADERE</v>
      </c>
      <c r="W4363" t="str">
        <f>VLOOKUP(L4363,'[2]tabela de preços'!$A:$F,6,0)</f>
        <v>FITA AUTOMOTIVA</v>
      </c>
      <c r="X4363" t="str">
        <f>VLOOKUP(L4363,'[2]tabela de preços'!$A:$G,7,0)</f>
        <v>AUTOMOTIVO</v>
      </c>
    </row>
    <row r="4364" spans="1:24" x14ac:dyDescent="0.3">
      <c r="A4364" t="s">
        <v>3790</v>
      </c>
      <c r="C4364" t="s">
        <v>3791</v>
      </c>
      <c r="D4364" s="1">
        <v>46080</v>
      </c>
      <c r="E4364" t="s">
        <v>3792</v>
      </c>
      <c r="F4364">
        <v>9</v>
      </c>
      <c r="G4364">
        <v>236</v>
      </c>
      <c r="H4364" t="str">
        <f>VLOOKUP(G4364,[1]OPERADORES!$A:$B,2,0)</f>
        <v>DANIEL</v>
      </c>
      <c r="I4364" t="s">
        <v>21</v>
      </c>
      <c r="J4364" t="s">
        <v>357</v>
      </c>
      <c r="K4364" t="s">
        <v>3793</v>
      </c>
      <c r="L4364">
        <v>85893</v>
      </c>
      <c r="M4364" t="s">
        <v>3796</v>
      </c>
      <c r="O4364" t="s">
        <v>11</v>
      </c>
      <c r="P4364">
        <v>5102</v>
      </c>
      <c r="Q4364">
        <v>1</v>
      </c>
      <c r="R4364">
        <v>727.88</v>
      </c>
      <c r="S4364">
        <v>727.88</v>
      </c>
      <c r="T4364">
        <v>441.14</v>
      </c>
      <c r="U4364">
        <v>39.39</v>
      </c>
      <c r="V4364" t="str">
        <f>VLOOKUP(L4364,'[2]tabela de preços'!$A:$D,4,0)</f>
        <v>CORAL</v>
      </c>
      <c r="W4364" t="str">
        <f>VLOOKUP(L4364,'[2]tabela de preços'!$A:$F,6,0)</f>
        <v>BASES IMOBILIÁRIAS</v>
      </c>
      <c r="X4364" t="str">
        <f>VLOOKUP(L4364,'[2]tabela de preços'!$A:$G,7,0)</f>
        <v>IMOBILIÁRIO</v>
      </c>
    </row>
    <row r="4365" spans="1:24" x14ac:dyDescent="0.3">
      <c r="A4365" t="s">
        <v>3790</v>
      </c>
      <c r="C4365" t="s">
        <v>3791</v>
      </c>
      <c r="D4365" s="1">
        <v>46080</v>
      </c>
      <c r="E4365" t="s">
        <v>3792</v>
      </c>
      <c r="F4365">
        <v>9</v>
      </c>
      <c r="G4365">
        <v>236</v>
      </c>
      <c r="H4365" t="str">
        <f>VLOOKUP(G4365,[1]OPERADORES!$A:$B,2,0)</f>
        <v>DANIEL</v>
      </c>
      <c r="I4365" t="s">
        <v>21</v>
      </c>
      <c r="J4365" t="s">
        <v>357</v>
      </c>
      <c r="K4365" t="s">
        <v>3793</v>
      </c>
      <c r="L4365">
        <v>85698</v>
      </c>
      <c r="M4365" t="s">
        <v>1946</v>
      </c>
      <c r="O4365" t="s">
        <v>11</v>
      </c>
      <c r="P4365">
        <v>5102</v>
      </c>
      <c r="Q4365">
        <v>1</v>
      </c>
      <c r="R4365">
        <v>129.9</v>
      </c>
      <c r="S4365">
        <v>129.9</v>
      </c>
      <c r="T4365">
        <v>103.86</v>
      </c>
      <c r="U4365">
        <v>20.05</v>
      </c>
      <c r="V4365" t="str">
        <f>VLOOKUP(L4365,'[2]tabela de preços'!$A:$D,4,0)</f>
        <v>SIMAPPEL</v>
      </c>
      <c r="W4365" t="str">
        <f>VLOOKUP(L4365,'[2]tabela de preços'!$A:$F,6,0)</f>
        <v>PAPELAO ONDULADO</v>
      </c>
      <c r="X4365" t="str">
        <f>VLOOKUP(L4365,'[2]tabela de preços'!$A:$G,7,0)</f>
        <v>IMOBILIÁRIO</v>
      </c>
    </row>
    <row r="4366" spans="1:24" x14ac:dyDescent="0.3">
      <c r="A4366" t="s">
        <v>1267</v>
      </c>
      <c r="C4366" t="s">
        <v>3797</v>
      </c>
      <c r="D4366" s="1">
        <v>46079</v>
      </c>
      <c r="E4366" t="s">
        <v>3798</v>
      </c>
      <c r="F4366">
        <v>9</v>
      </c>
      <c r="G4366">
        <v>236</v>
      </c>
      <c r="H4366" t="str">
        <f>VLOOKUP(G4366,[1]OPERADORES!$A:$B,2,0)</f>
        <v>DANIEL</v>
      </c>
      <c r="I4366" t="s">
        <v>21</v>
      </c>
      <c r="J4366" t="s">
        <v>372</v>
      </c>
      <c r="K4366" t="s">
        <v>1270</v>
      </c>
      <c r="L4366">
        <v>20099</v>
      </c>
      <c r="M4366" t="s">
        <v>1308</v>
      </c>
      <c r="O4366" t="s">
        <v>11</v>
      </c>
      <c r="P4366">
        <v>5403</v>
      </c>
      <c r="Q4366">
        <v>1</v>
      </c>
      <c r="R4366">
        <v>16.7</v>
      </c>
      <c r="S4366">
        <v>16.7</v>
      </c>
      <c r="T4366">
        <v>11.91</v>
      </c>
      <c r="U4366">
        <v>28.68</v>
      </c>
      <c r="V4366" t="str">
        <f>VLOOKUP(L4366,'[2]tabela de preços'!$A:$D,4,0)</f>
        <v>MAXI RUBBER</v>
      </c>
      <c r="W4366" t="str">
        <f>VLOOKUP(L4366,'[2]tabela de preços'!$A:$F,6,0)</f>
        <v>BATIDA DE PEDRA</v>
      </c>
      <c r="X4366" t="str">
        <f>VLOOKUP(L4366,'[2]tabela de preços'!$A:$G,7,0)</f>
        <v>AUTOMOTIVO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87184</v>
      </c>
      <c r="M4367" t="s">
        <v>3799</v>
      </c>
      <c r="O4367" t="s">
        <v>11</v>
      </c>
      <c r="P4367">
        <v>5102</v>
      </c>
      <c r="Q4367">
        <v>5</v>
      </c>
      <c r="R4367">
        <v>7.49</v>
      </c>
      <c r="S4367">
        <v>37.450000000000003</v>
      </c>
      <c r="T4367">
        <v>24.15</v>
      </c>
      <c r="U4367">
        <v>35.51</v>
      </c>
      <c r="V4367" t="str">
        <f>VLOOKUP(L4367,'[2]tabela de preços'!$A:$D,4,0)</f>
        <v>KERS</v>
      </c>
      <c r="W4367" t="str">
        <f>VLOOKUP(L4367,'[2]tabela de preços'!$A:$F,6,0)</f>
        <v>FLANELAS / PANOS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20375</v>
      </c>
      <c r="M4368" t="s">
        <v>148</v>
      </c>
      <c r="O4368" t="s">
        <v>11</v>
      </c>
      <c r="P4368">
        <v>5403</v>
      </c>
      <c r="Q4368">
        <v>1</v>
      </c>
      <c r="R4368">
        <v>37.86</v>
      </c>
      <c r="S4368">
        <v>37.86</v>
      </c>
      <c r="T4368">
        <v>25.45</v>
      </c>
      <c r="U4368">
        <v>32.78</v>
      </c>
      <c r="V4368" t="str">
        <f>VLOOKUP(L4368,'[2]tabela de preços'!$A:$D,4,0)</f>
        <v>SHERWIN WILLIAMS</v>
      </c>
      <c r="W4368" t="str">
        <f>VLOOKUP(L4368,'[2]tabela de preços'!$A:$F,6,0)</f>
        <v>TINTAS POLIÉSTER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21125</v>
      </c>
      <c r="M4369" t="s">
        <v>2242</v>
      </c>
      <c r="O4369" t="s">
        <v>11</v>
      </c>
      <c r="P4369">
        <v>5102</v>
      </c>
      <c r="Q4369">
        <v>1</v>
      </c>
      <c r="R4369">
        <v>47.86</v>
      </c>
      <c r="S4369">
        <v>47.86</v>
      </c>
      <c r="T4369">
        <v>36.32</v>
      </c>
      <c r="U4369">
        <v>24.11</v>
      </c>
      <c r="V4369" t="str">
        <f>VLOOKUP(L4369,'[2]tabela de preços'!$A:$D,4,0)</f>
        <v>PURPLEX</v>
      </c>
      <c r="W4369" t="str">
        <f>VLOOKUP(L4369,'[2]tabela de preços'!$A:$F,6,0)</f>
        <v>TACO LIXADOR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20525</v>
      </c>
      <c r="M4370" t="s">
        <v>137</v>
      </c>
      <c r="O4370" t="s">
        <v>11</v>
      </c>
      <c r="P4370">
        <v>5102</v>
      </c>
      <c r="Q4370">
        <v>4</v>
      </c>
      <c r="R4370">
        <v>13.65</v>
      </c>
      <c r="S4370">
        <v>54.6</v>
      </c>
      <c r="T4370">
        <v>41.44</v>
      </c>
      <c r="U4370">
        <v>24.1</v>
      </c>
      <c r="V4370" t="str">
        <f>VLOOKUP(L4370,'[2]tabela de preços'!$A:$D,4,0)</f>
        <v>SHERWIN WILLIAMS</v>
      </c>
      <c r="W4370" t="str">
        <f>VLOOKUP(L4370,'[2]tabela de preços'!$A:$F,6,0)</f>
        <v>MASSA DE PEQUENOS REPAROS</v>
      </c>
      <c r="X4370" t="str">
        <f>VLOOKUP(L4370,'[2]tabela de preços'!$A:$G,7,0)</f>
        <v>AUTOMOTIVO</v>
      </c>
    </row>
    <row r="4371" spans="1:24" x14ac:dyDescent="0.3">
      <c r="A4371" t="s">
        <v>1275</v>
      </c>
      <c r="C4371" t="s">
        <v>3617</v>
      </c>
      <c r="D4371" s="1">
        <v>46078</v>
      </c>
      <c r="E4371" t="s">
        <v>3618</v>
      </c>
      <c r="F4371">
        <v>9</v>
      </c>
      <c r="G4371">
        <v>197</v>
      </c>
      <c r="H4371" t="str">
        <f>VLOOKUP(G4371,[1]OPERADORES!$A:$B,2,0)</f>
        <v xml:space="preserve">POLIANA LORRANE DE AMORIM </v>
      </c>
      <c r="I4371" t="s">
        <v>21</v>
      </c>
      <c r="J4371" t="s">
        <v>1278</v>
      </c>
      <c r="K4371" t="s">
        <v>1279</v>
      </c>
      <c r="L4371">
        <v>84343</v>
      </c>
      <c r="M4371" t="s">
        <v>3619</v>
      </c>
      <c r="O4371" t="s">
        <v>11</v>
      </c>
      <c r="P4371">
        <v>5403</v>
      </c>
      <c r="Q4371">
        <v>8</v>
      </c>
      <c r="R4371">
        <v>59.98</v>
      </c>
      <c r="S4371">
        <v>479.84</v>
      </c>
      <c r="T4371">
        <v>351.44</v>
      </c>
      <c r="U4371">
        <v>26.76</v>
      </c>
      <c r="V4371" t="str">
        <f>VLOOKUP(L4371,'[2]tabela de preços'!$A:$D,4,0)</f>
        <v>BRASILUX</v>
      </c>
      <c r="W4371" t="str">
        <f>VLOOKUP(L4371,'[2]tabela de preços'!$A:$F,6,0)</f>
        <v>ESMALTES</v>
      </c>
      <c r="X4371" t="str">
        <f>VLOOKUP(L4371,'[2]tabela de preços'!$A:$G,7,0)</f>
        <v>INDUSTRIAL</v>
      </c>
    </row>
    <row r="4372" spans="1:24" x14ac:dyDescent="0.3">
      <c r="A4372" t="s">
        <v>3620</v>
      </c>
      <c r="C4372" t="s">
        <v>3621</v>
      </c>
      <c r="D4372" s="1">
        <v>46078</v>
      </c>
      <c r="E4372" t="s">
        <v>3622</v>
      </c>
      <c r="F4372">
        <v>9</v>
      </c>
      <c r="G4372">
        <v>145</v>
      </c>
      <c r="H4372" t="str">
        <f>VLOOKUP(G4372,[1]OPERADORES!$A:$B,2,0)</f>
        <v xml:space="preserve">FABRICIA </v>
      </c>
      <c r="I4372" t="s">
        <v>21</v>
      </c>
      <c r="J4372" t="s">
        <v>2756</v>
      </c>
      <c r="K4372" t="s">
        <v>3623</v>
      </c>
      <c r="L4372">
        <v>85320</v>
      </c>
      <c r="M4372" t="s">
        <v>2758</v>
      </c>
      <c r="O4372" t="s">
        <v>11</v>
      </c>
      <c r="P4372">
        <v>5102</v>
      </c>
      <c r="Q4372">
        <v>4</v>
      </c>
      <c r="R4372">
        <v>540.32000000000005</v>
      </c>
      <c r="S4372" s="2">
        <v>2161.2800000000002</v>
      </c>
      <c r="T4372" s="2">
        <v>1701.12</v>
      </c>
      <c r="U4372">
        <v>21.29</v>
      </c>
      <c r="V4372" t="str">
        <f>VLOOKUP(L4372,'[2]tabela de preços'!$A:$D,4,0)</f>
        <v>BRASILUX</v>
      </c>
      <c r="W4372" t="str">
        <f>VLOOKUP(L4372,'[2]tabela de preços'!$A:$F,6,0)</f>
        <v>TINTA EM PÓ</v>
      </c>
      <c r="X4372" t="str">
        <f>VLOOKUP(L4372,'[2]tabela de preços'!$A:$G,7,0)</f>
        <v>INDUSTRIAL</v>
      </c>
    </row>
    <row r="4373" spans="1:24" x14ac:dyDescent="0.3">
      <c r="A4373" t="s">
        <v>3620</v>
      </c>
      <c r="C4373" t="s">
        <v>3624</v>
      </c>
      <c r="D4373" s="1">
        <v>46078</v>
      </c>
      <c r="E4373" t="s">
        <v>3625</v>
      </c>
      <c r="F4373">
        <v>9</v>
      </c>
      <c r="G4373">
        <v>145</v>
      </c>
      <c r="H4373" t="str">
        <f>VLOOKUP(G4373,[1]OPERADORES!$A:$B,2,0)</f>
        <v xml:space="preserve">FABRICIA </v>
      </c>
      <c r="I4373" t="s">
        <v>21</v>
      </c>
      <c r="J4373" t="s">
        <v>2756</v>
      </c>
      <c r="K4373" t="s">
        <v>3623</v>
      </c>
      <c r="L4373">
        <v>85462</v>
      </c>
      <c r="M4373" t="s">
        <v>1823</v>
      </c>
      <c r="O4373" t="s">
        <v>11</v>
      </c>
      <c r="P4373">
        <v>5102</v>
      </c>
      <c r="Q4373">
        <v>2</v>
      </c>
      <c r="R4373">
        <v>7.54</v>
      </c>
      <c r="S4373">
        <v>15.08</v>
      </c>
      <c r="T4373">
        <v>11.44</v>
      </c>
      <c r="U4373">
        <v>24.14</v>
      </c>
      <c r="V4373" t="str">
        <f>VLOOKUP(L4373,'[2]tabela de preços'!$A:$D,4,0)</f>
        <v>TEK BOND</v>
      </c>
      <c r="W4373" t="str">
        <f>VLOOKUP(L4373,'[2]tabela de preços'!$A:$F,6,0)</f>
        <v>COLA INST./ ADESIVOS COLANTES</v>
      </c>
      <c r="X4373" t="str">
        <f>VLOOKUP(L4373,'[2]tabela de preços'!$A:$G,7,0)</f>
        <v>AUTOMOTIVO</v>
      </c>
    </row>
    <row r="4374" spans="1:24" x14ac:dyDescent="0.3">
      <c r="A4374" t="s">
        <v>3620</v>
      </c>
      <c r="C4374" t="s">
        <v>3624</v>
      </c>
      <c r="D4374" s="1">
        <v>46078</v>
      </c>
      <c r="E4374" t="s">
        <v>3625</v>
      </c>
      <c r="F4374">
        <v>9</v>
      </c>
      <c r="G4374">
        <v>145</v>
      </c>
      <c r="H4374" t="str">
        <f>VLOOKUP(G4374,[1]OPERADORES!$A:$B,2,0)</f>
        <v xml:space="preserve">FABRICIA </v>
      </c>
      <c r="I4374" t="s">
        <v>21</v>
      </c>
      <c r="J4374" t="s">
        <v>2756</v>
      </c>
      <c r="K4374" t="s">
        <v>3623</v>
      </c>
      <c r="L4374">
        <v>23425</v>
      </c>
      <c r="M4374" t="s">
        <v>2544</v>
      </c>
      <c r="O4374" t="s">
        <v>11</v>
      </c>
      <c r="P4374">
        <v>5102</v>
      </c>
      <c r="Q4374">
        <v>1</v>
      </c>
      <c r="R4374">
        <v>17.850000000000001</v>
      </c>
      <c r="S4374">
        <v>17.850000000000001</v>
      </c>
      <c r="T4374">
        <v>13.55</v>
      </c>
      <c r="U4374">
        <v>24.09</v>
      </c>
      <c r="V4374" t="str">
        <f>VLOOKUP(L4374,'[2]tabela de preços'!$A:$D,4,0)</f>
        <v>NORTON</v>
      </c>
      <c r="W4374" t="str">
        <f>VLOOKUP(L4374,'[2]tabela de preços'!$A:$F,6,0)</f>
        <v xml:space="preserve">OUTROS DISCOS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20135</v>
      </c>
      <c r="M4375" t="s">
        <v>459</v>
      </c>
      <c r="O4375" t="s">
        <v>11</v>
      </c>
      <c r="P4375">
        <v>6102</v>
      </c>
      <c r="Q4375">
        <v>4</v>
      </c>
      <c r="R4375">
        <v>25.37</v>
      </c>
      <c r="S4375">
        <v>101.48</v>
      </c>
      <c r="T4375">
        <v>77.040000000000006</v>
      </c>
      <c r="U4375">
        <v>24.08</v>
      </c>
      <c r="V4375" t="str">
        <f>VLOOKUP(L4375,'[2]tabela de preços'!$A:$D,4,0)</f>
        <v>3M</v>
      </c>
      <c r="W4375" t="str">
        <f>VLOOKUP(L4375,'[2]tabela de preços'!$A:$F,6,0)</f>
        <v>DISCO TRIZACT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23096</v>
      </c>
      <c r="M4376" t="s">
        <v>656</v>
      </c>
      <c r="O4376" t="s">
        <v>411</v>
      </c>
      <c r="P4376">
        <v>6102</v>
      </c>
      <c r="Q4376">
        <v>50</v>
      </c>
      <c r="R4376">
        <v>2.35</v>
      </c>
      <c r="S4376">
        <v>117.5</v>
      </c>
      <c r="T4376">
        <v>84.5</v>
      </c>
      <c r="U4376">
        <v>28.09</v>
      </c>
      <c r="V4376" t="str">
        <f>VLOOKUP(L4376,'[2]tabela de preços'!$A:$D,4,0)</f>
        <v>3M</v>
      </c>
      <c r="W4376" t="str">
        <f>VLOOKUP(L4376,'[2]tabela de preços'!$A:$F,6,0)</f>
        <v xml:space="preserve">DISCOS / LIXAS / ABRASIVOS 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23097</v>
      </c>
      <c r="M4377" t="s">
        <v>412</v>
      </c>
      <c r="O4377" t="s">
        <v>411</v>
      </c>
      <c r="P4377">
        <v>6102</v>
      </c>
      <c r="Q4377">
        <v>50</v>
      </c>
      <c r="R4377">
        <v>2.35</v>
      </c>
      <c r="S4377">
        <v>117.5</v>
      </c>
      <c r="T4377">
        <v>68</v>
      </c>
      <c r="U4377">
        <v>42.13</v>
      </c>
      <c r="V4377" t="str">
        <f>VLOOKUP(L4377,'[2]tabela de preços'!$A:$D,4,0)</f>
        <v>3M</v>
      </c>
      <c r="W4377" t="str">
        <f>VLOOKUP(L4377,'[2]tabela de preços'!$A:$F,6,0)</f>
        <v xml:space="preserve">DISCOS / LIXAS / ABRASIVOS 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15</v>
      </c>
      <c r="M4378" t="s">
        <v>205</v>
      </c>
      <c r="O4378" t="s">
        <v>11</v>
      </c>
      <c r="P4378">
        <v>6102</v>
      </c>
      <c r="Q4378">
        <v>50</v>
      </c>
      <c r="R4378">
        <v>5.79</v>
      </c>
      <c r="S4378">
        <v>289.5</v>
      </c>
      <c r="T4378">
        <v>208</v>
      </c>
      <c r="U4378">
        <v>28.15</v>
      </c>
      <c r="V4378" t="str">
        <f>VLOOKUP(L4378,'[2]tabela de preços'!$A:$D,4,0)</f>
        <v>3M</v>
      </c>
      <c r="W4378" t="str">
        <f>VLOOKUP(L4378,'[2]tabela de preços'!$A:$F,6,0)</f>
        <v>LIXA DÁGUA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58</v>
      </c>
      <c r="M4379" t="s">
        <v>389</v>
      </c>
      <c r="O4379" t="s">
        <v>11</v>
      </c>
      <c r="P4379">
        <v>6102</v>
      </c>
      <c r="Q4379">
        <v>50</v>
      </c>
      <c r="R4379">
        <v>1.05</v>
      </c>
      <c r="S4379">
        <v>52.5</v>
      </c>
      <c r="T4379">
        <v>38.5</v>
      </c>
      <c r="U4379">
        <v>26.67</v>
      </c>
      <c r="V4379" t="str">
        <f>VLOOKUP(L4379,'[2]tabela de preços'!$A:$D,4,0)</f>
        <v>3M</v>
      </c>
      <c r="W4379" t="str">
        <f>VLOOKUP(L4379,'[2]tabela de preços'!$A:$F,6,0)</f>
        <v>LIXA DÁGUA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20817</v>
      </c>
      <c r="M4380" t="s">
        <v>153</v>
      </c>
      <c r="O4380" t="s">
        <v>11</v>
      </c>
      <c r="P4380">
        <v>6102</v>
      </c>
      <c r="Q4380">
        <v>6</v>
      </c>
      <c r="R4380">
        <v>22.89</v>
      </c>
      <c r="S4380">
        <v>137.34</v>
      </c>
      <c r="T4380">
        <v>111.72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1324</v>
      </c>
      <c r="C4381" t="s">
        <v>3800</v>
      </c>
      <c r="D4381" s="1">
        <v>46079</v>
      </c>
      <c r="E4381" t="s">
        <v>3801</v>
      </c>
      <c r="F4381">
        <v>9</v>
      </c>
      <c r="G4381">
        <v>197</v>
      </c>
      <c r="H4381" t="str">
        <f>VLOOKUP(G4381,[1]OPERADORES!$A:$B,2,0)</f>
        <v xml:space="preserve">POLIANA LORRANE DE AMORIM </v>
      </c>
      <c r="I4381" t="s">
        <v>1327</v>
      </c>
      <c r="J4381" t="s">
        <v>1328</v>
      </c>
      <c r="K4381" t="s">
        <v>1329</v>
      </c>
      <c r="L4381">
        <v>87043</v>
      </c>
      <c r="M4381" t="s">
        <v>217</v>
      </c>
      <c r="O4381" t="s">
        <v>11</v>
      </c>
      <c r="P4381">
        <v>6102</v>
      </c>
      <c r="Q4381">
        <v>8</v>
      </c>
      <c r="R4381">
        <v>21.95</v>
      </c>
      <c r="S4381">
        <v>175.6</v>
      </c>
      <c r="T4381">
        <v>144.16</v>
      </c>
      <c r="U4381">
        <v>17.899999999999999</v>
      </c>
      <c r="V4381" t="str">
        <f>VLOOKUP(L4381,'[2]tabela de preços'!$A:$D,4,0)</f>
        <v>ROBERLO</v>
      </c>
      <c r="W4381" t="str">
        <f>VLOOKUP(L4381,'[2]tabela de preços'!$A:$F,6,0)</f>
        <v>MASSA POLIÉSTER</v>
      </c>
      <c r="X4381" t="str">
        <f>VLOOKUP(L4381,'[2]tabela de preços'!$A:$G,7,0)</f>
        <v>AUTOMOTIVO</v>
      </c>
    </row>
    <row r="4382" spans="1:24" x14ac:dyDescent="0.3">
      <c r="A4382" t="s">
        <v>1324</v>
      </c>
      <c r="C4382" t="s">
        <v>3800</v>
      </c>
      <c r="D4382" s="1">
        <v>46079</v>
      </c>
      <c r="E4382" t="s">
        <v>3801</v>
      </c>
      <c r="F4382">
        <v>9</v>
      </c>
      <c r="G4382">
        <v>197</v>
      </c>
      <c r="H4382" t="str">
        <f>VLOOKUP(G4382,[1]OPERADORES!$A:$B,2,0)</f>
        <v xml:space="preserve">POLIANA LORRANE DE AMORIM </v>
      </c>
      <c r="I4382" t="s">
        <v>1327</v>
      </c>
      <c r="J4382" t="s">
        <v>1328</v>
      </c>
      <c r="K4382" t="s">
        <v>1329</v>
      </c>
      <c r="L4382">
        <v>21321</v>
      </c>
      <c r="M4382" t="s">
        <v>272</v>
      </c>
      <c r="O4382" t="s">
        <v>11</v>
      </c>
      <c r="P4382">
        <v>6102</v>
      </c>
      <c r="Q4382">
        <v>2</v>
      </c>
      <c r="R4382">
        <v>20.239999999999998</v>
      </c>
      <c r="S4382">
        <v>40.479999999999997</v>
      </c>
      <c r="T4382">
        <v>30.72</v>
      </c>
      <c r="U4382">
        <v>24.11</v>
      </c>
      <c r="V4382" t="str">
        <f>VLOOKUP(L4382,'[2]tabela de preços'!$A:$D,4,0)</f>
        <v>AUTO AMERICA</v>
      </c>
      <c r="W4382" t="str">
        <f>VLOOKUP(L4382,'[2]tabela de preços'!$A:$F,6,0)</f>
        <v>CERA  / LIMPEZA /  POLIMENTO VEICULAR</v>
      </c>
      <c r="X4382" t="str">
        <f>VLOOKUP(L4382,'[2]tabela de preços'!$A:$G,7,0)</f>
        <v>AUTOMOTIVO</v>
      </c>
    </row>
    <row r="4383" spans="1:24" x14ac:dyDescent="0.3">
      <c r="A4383" t="s">
        <v>1324</v>
      </c>
      <c r="C4383" t="s">
        <v>3800</v>
      </c>
      <c r="D4383" s="1">
        <v>46079</v>
      </c>
      <c r="E4383" t="s">
        <v>3801</v>
      </c>
      <c r="F4383">
        <v>9</v>
      </c>
      <c r="G4383">
        <v>197</v>
      </c>
      <c r="H4383" t="str">
        <f>VLOOKUP(G4383,[1]OPERADORES!$A:$B,2,0)</f>
        <v xml:space="preserve">POLIANA LORRANE DE AMORIM </v>
      </c>
      <c r="I4383" t="s">
        <v>1327</v>
      </c>
      <c r="J4383" t="s">
        <v>1328</v>
      </c>
      <c r="K4383" t="s">
        <v>1329</v>
      </c>
      <c r="L4383">
        <v>10394</v>
      </c>
      <c r="M4383" t="s">
        <v>2736</v>
      </c>
      <c r="O4383" t="s">
        <v>11</v>
      </c>
      <c r="P4383">
        <v>6102</v>
      </c>
      <c r="Q4383">
        <v>6</v>
      </c>
      <c r="R4383">
        <v>13.9</v>
      </c>
      <c r="S4383">
        <v>83.4</v>
      </c>
      <c r="T4383">
        <v>63.3</v>
      </c>
      <c r="U4383">
        <v>24.1</v>
      </c>
      <c r="V4383" t="str">
        <f>VLOOKUP(L4383,'[2]tabela de preços'!$A:$D,4,0)</f>
        <v>MAXI RUBBER</v>
      </c>
      <c r="W4383" t="str">
        <f>VLOOKUP(L4383,'[2]tabela de preços'!$A:$F,6,0)</f>
        <v xml:space="preserve">COLA  PLÁSTICA </v>
      </c>
      <c r="X4383" t="str">
        <f>VLOOKUP(L4383,'[2]tabela de preços'!$A:$G,7,0)</f>
        <v>AUTOMOTIVO</v>
      </c>
    </row>
    <row r="4384" spans="1:24" x14ac:dyDescent="0.3">
      <c r="A4384" t="s">
        <v>1381</v>
      </c>
      <c r="C4384" t="s">
        <v>3626</v>
      </c>
      <c r="D4384" s="1">
        <v>46078</v>
      </c>
      <c r="E4384" t="s">
        <v>3627</v>
      </c>
      <c r="F4384">
        <v>9</v>
      </c>
      <c r="G4384">
        <v>231</v>
      </c>
      <c r="H4384" t="str">
        <f>VLOOKUP(G4384,[1]OPERADORES!$A:$B,2,0)</f>
        <v>EDIJANE</v>
      </c>
      <c r="I4384" t="s">
        <v>168</v>
      </c>
      <c r="J4384" t="s">
        <v>1384</v>
      </c>
      <c r="K4384" t="s">
        <v>1385</v>
      </c>
      <c r="L4384">
        <v>85402</v>
      </c>
      <c r="M4384" t="s">
        <v>1182</v>
      </c>
      <c r="O4384" t="s">
        <v>11</v>
      </c>
      <c r="P4384">
        <v>6102</v>
      </c>
      <c r="Q4384">
        <v>1</v>
      </c>
      <c r="R4384">
        <v>551.88</v>
      </c>
      <c r="S4384">
        <v>551.88</v>
      </c>
      <c r="T4384">
        <v>393.5</v>
      </c>
      <c r="U4384">
        <v>28.7</v>
      </c>
      <c r="V4384" t="str">
        <f>VLOOKUP(L4384,'[2]tabela de preços'!$A:$D,4,0)</f>
        <v>BRASILUX</v>
      </c>
      <c r="W4384" t="str">
        <f>VLOOKUP(L4384,'[2]tabela de preços'!$A:$F,6,0)</f>
        <v>TINTA EM PÓ</v>
      </c>
      <c r="X4384" t="str">
        <f>VLOOKUP(L4384,'[2]tabela de preços'!$A:$G,7,0)</f>
        <v>INDUSTRIAL</v>
      </c>
    </row>
    <row r="4385" spans="1:24" x14ac:dyDescent="0.3">
      <c r="A4385" t="s">
        <v>1468</v>
      </c>
      <c r="C4385" t="s">
        <v>3802</v>
      </c>
      <c r="D4385" s="1">
        <v>46080</v>
      </c>
      <c r="E4385" t="s">
        <v>3803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494</v>
      </c>
      <c r="K4385" t="s">
        <v>1471</v>
      </c>
      <c r="L4385">
        <v>85679</v>
      </c>
      <c r="M4385" t="s">
        <v>2266</v>
      </c>
      <c r="O4385" t="s">
        <v>11</v>
      </c>
      <c r="P4385">
        <v>5102</v>
      </c>
      <c r="Q4385">
        <v>20</v>
      </c>
      <c r="R4385">
        <v>2.27</v>
      </c>
      <c r="S4385">
        <v>45.4</v>
      </c>
      <c r="T4385">
        <v>35.200000000000003</v>
      </c>
      <c r="U4385">
        <v>22.47</v>
      </c>
      <c r="V4385" t="str">
        <f>VLOOKUP(L4385,'[2]tabela de preços'!$A:$D,4,0)</f>
        <v>UNIPEGA</v>
      </c>
      <c r="W4385" t="str">
        <f>VLOOKUP(L4385,'[2]tabela de preços'!$A:$F,6,0)</f>
        <v>FITA ISOLANTE</v>
      </c>
      <c r="X4385" t="str">
        <f>VLOOKUP(L4385,'[2]tabela de preços'!$A:$G,7,0)</f>
        <v>IMOBILIÁRIO</v>
      </c>
    </row>
    <row r="4386" spans="1:24" x14ac:dyDescent="0.3">
      <c r="A4386" t="s">
        <v>1468</v>
      </c>
      <c r="C4386" t="s">
        <v>3802</v>
      </c>
      <c r="D4386" s="1">
        <v>46080</v>
      </c>
      <c r="E4386" t="s">
        <v>3803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494</v>
      </c>
      <c r="K4386" t="s">
        <v>1471</v>
      </c>
      <c r="L4386">
        <v>85680</v>
      </c>
      <c r="M4386" t="s">
        <v>669</v>
      </c>
      <c r="O4386" t="s">
        <v>11</v>
      </c>
      <c r="P4386">
        <v>5102</v>
      </c>
      <c r="Q4386">
        <v>20</v>
      </c>
      <c r="R4386">
        <v>3.69</v>
      </c>
      <c r="S4386">
        <v>73.8</v>
      </c>
      <c r="T4386">
        <v>58.6</v>
      </c>
      <c r="U4386">
        <v>20.6</v>
      </c>
      <c r="V4386" t="str">
        <f>VLOOKUP(L4386,'[2]tabela de preços'!$A:$D,4,0)</f>
        <v>UNIPEGA</v>
      </c>
      <c r="W4386" t="str">
        <f>VLOOKUP(L4386,'[2]tabela de preços'!$A:$F,6,0)</f>
        <v>FITA ISOLANTE</v>
      </c>
      <c r="X4386" t="str">
        <f>VLOOKUP(L4386,'[2]tabela de preços'!$A:$G,7,0)</f>
        <v>IMOBILIÁRIO</v>
      </c>
    </row>
    <row r="4387" spans="1:24" x14ac:dyDescent="0.3">
      <c r="A4387" t="s">
        <v>1468</v>
      </c>
      <c r="C4387" t="s">
        <v>3802</v>
      </c>
      <c r="D4387" s="1">
        <v>46080</v>
      </c>
      <c r="E4387" t="s">
        <v>3803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494</v>
      </c>
      <c r="K4387" t="s">
        <v>1471</v>
      </c>
      <c r="L4387">
        <v>23124</v>
      </c>
      <c r="M4387" t="s">
        <v>1421</v>
      </c>
      <c r="O4387" t="s">
        <v>11</v>
      </c>
      <c r="P4387">
        <v>5102</v>
      </c>
      <c r="Q4387">
        <v>1</v>
      </c>
      <c r="R4387">
        <v>28.27</v>
      </c>
      <c r="S4387">
        <v>28.27</v>
      </c>
      <c r="T4387">
        <v>21.46</v>
      </c>
      <c r="U4387">
        <v>24.09</v>
      </c>
      <c r="V4387" t="str">
        <f>VLOOKUP(L4387,'[2]tabela de preços'!$A:$D,4,0)</f>
        <v>3M</v>
      </c>
      <c r="W4387" t="str">
        <f>VLOOKUP(L4387,'[2]tabela de preços'!$A:$F,6,0)</f>
        <v>FITA AUTOMOTIVA</v>
      </c>
      <c r="X4387" t="str">
        <f>VLOOKUP(L4387,'[2]tabela de preços'!$A:$G,7,0)</f>
        <v>AUTOMOTIVO</v>
      </c>
    </row>
    <row r="4388" spans="1:24" x14ac:dyDescent="0.3">
      <c r="A4388" t="s">
        <v>1468</v>
      </c>
      <c r="C4388" t="s">
        <v>3802</v>
      </c>
      <c r="D4388" s="1">
        <v>46080</v>
      </c>
      <c r="E4388" t="s">
        <v>3803</v>
      </c>
      <c r="F4388">
        <v>9</v>
      </c>
      <c r="G4388">
        <v>174</v>
      </c>
      <c r="H4388" t="str">
        <f>VLOOKUP(G4388,[1]OPERADORES!$A:$B,2,0)</f>
        <v>MIRIÃ LOBATO RODRIGUES</v>
      </c>
      <c r="I4388" t="s">
        <v>21</v>
      </c>
      <c r="J4388" t="s">
        <v>494</v>
      </c>
      <c r="K4388" t="s">
        <v>1471</v>
      </c>
      <c r="L4388">
        <v>23364</v>
      </c>
      <c r="M4388" t="s">
        <v>3548</v>
      </c>
      <c r="O4388" t="s">
        <v>11</v>
      </c>
      <c r="P4388">
        <v>5102</v>
      </c>
      <c r="Q4388">
        <v>20</v>
      </c>
      <c r="R4388">
        <v>6.19</v>
      </c>
      <c r="S4388">
        <v>123.8</v>
      </c>
      <c r="T4388">
        <v>98.2</v>
      </c>
      <c r="U4388">
        <v>20.68</v>
      </c>
      <c r="V4388" t="str">
        <f>VLOOKUP(L4388,'[2]tabela de preços'!$A:$D,4,0)</f>
        <v>AUTO AMERICA</v>
      </c>
      <c r="W4388" t="str">
        <f>VLOOKUP(L4388,'[2]tabela de preços'!$A:$F,6,0)</f>
        <v>FLANELAS / PANOS</v>
      </c>
      <c r="X4388" t="str">
        <f>VLOOKUP(L4388,'[2]tabela de preços'!$A:$G,7,0)</f>
        <v>AUTOMOTIVO</v>
      </c>
    </row>
    <row r="4389" spans="1:24" x14ac:dyDescent="0.3">
      <c r="A4389" t="s">
        <v>1468</v>
      </c>
      <c r="C4389" t="s">
        <v>3802</v>
      </c>
      <c r="D4389" s="1">
        <v>46080</v>
      </c>
      <c r="E4389" t="s">
        <v>3803</v>
      </c>
      <c r="F4389">
        <v>9</v>
      </c>
      <c r="G4389">
        <v>174</v>
      </c>
      <c r="H4389" t="str">
        <f>VLOOKUP(G4389,[1]OPERADORES!$A:$B,2,0)</f>
        <v>MIRIÃ LOBATO RODRIGUES</v>
      </c>
      <c r="I4389" t="s">
        <v>21</v>
      </c>
      <c r="J4389" t="s">
        <v>494</v>
      </c>
      <c r="K4389" t="s">
        <v>1471</v>
      </c>
      <c r="L4389">
        <v>20556</v>
      </c>
      <c r="M4389" t="s">
        <v>3247</v>
      </c>
      <c r="O4389" t="s">
        <v>11</v>
      </c>
      <c r="P4389">
        <v>5102</v>
      </c>
      <c r="Q4389">
        <v>10</v>
      </c>
      <c r="R4389">
        <v>5.15</v>
      </c>
      <c r="S4389">
        <v>51.5</v>
      </c>
      <c r="T4389">
        <v>39.1</v>
      </c>
      <c r="U4389">
        <v>24.08</v>
      </c>
      <c r="V4389" t="str">
        <f>VLOOKUP(L4389,'[2]tabela de preços'!$A:$D,4,0)</f>
        <v>RENOVA</v>
      </c>
      <c r="W4389" t="str">
        <f>VLOOKUP(L4389,'[2]tabela de preços'!$A:$F,6,0)</f>
        <v>COADORES</v>
      </c>
      <c r="X4389" t="str">
        <f>VLOOKUP(L4389,'[2]tabela de preços'!$A:$G,7,0)</f>
        <v>AUTOMOTIVO</v>
      </c>
    </row>
    <row r="4390" spans="1:24" x14ac:dyDescent="0.3">
      <c r="A4390" t="s">
        <v>1468</v>
      </c>
      <c r="C4390" t="s">
        <v>3802</v>
      </c>
      <c r="D4390" s="1">
        <v>46080</v>
      </c>
      <c r="E4390" t="s">
        <v>3803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494</v>
      </c>
      <c r="K4390" t="s">
        <v>1471</v>
      </c>
      <c r="L4390">
        <v>10401</v>
      </c>
      <c r="M4390" t="s">
        <v>154</v>
      </c>
      <c r="O4390" t="s">
        <v>11</v>
      </c>
      <c r="P4390">
        <v>5403</v>
      </c>
      <c r="Q4390">
        <v>16</v>
      </c>
      <c r="R4390">
        <v>34.31</v>
      </c>
      <c r="S4390">
        <v>548.96</v>
      </c>
      <c r="T4390">
        <v>416.64</v>
      </c>
      <c r="U4390">
        <v>24.1</v>
      </c>
      <c r="V4390" t="str">
        <f>VLOOKUP(L4390,'[2]tabela de preços'!$A:$D,4,0)</f>
        <v>MAXI RUBBER</v>
      </c>
      <c r="W4390" t="str">
        <f>VLOOKUP(L4390,'[2]tabela de preços'!$A:$F,6,0)</f>
        <v>PRIMER AUTOMOTIVO</v>
      </c>
      <c r="X4390" t="str">
        <f>VLOOKUP(L4390,'[2]tabela de preços'!$A:$G,7,0)</f>
        <v>AUTOMOTIVO</v>
      </c>
    </row>
    <row r="4391" spans="1:24" x14ac:dyDescent="0.3">
      <c r="A4391" t="s">
        <v>1486</v>
      </c>
      <c r="C4391" t="s">
        <v>3804</v>
      </c>
      <c r="D4391" s="1">
        <v>46080</v>
      </c>
      <c r="E4391" t="s">
        <v>3805</v>
      </c>
      <c r="F4391">
        <v>9</v>
      </c>
      <c r="G4391">
        <v>236</v>
      </c>
      <c r="H4391" t="str">
        <f>VLOOKUP(G4391,[1]OPERADORES!$A:$B,2,0)</f>
        <v>DANIEL</v>
      </c>
      <c r="I4391" t="s">
        <v>1489</v>
      </c>
      <c r="J4391" t="s">
        <v>1490</v>
      </c>
      <c r="K4391" t="s">
        <v>1491</v>
      </c>
      <c r="L4391">
        <v>23690</v>
      </c>
      <c r="M4391" t="s">
        <v>98</v>
      </c>
      <c r="O4391" t="s">
        <v>11</v>
      </c>
      <c r="P4391">
        <v>6403</v>
      </c>
      <c r="Q4391">
        <v>6</v>
      </c>
      <c r="R4391">
        <v>42.68</v>
      </c>
      <c r="S4391">
        <v>256.08</v>
      </c>
      <c r="T4391">
        <v>189.66</v>
      </c>
      <c r="U4391">
        <v>25.94</v>
      </c>
      <c r="V4391" t="str">
        <f>VLOOKUP(L4391,'[2]tabela de preços'!$A:$D,4,0)</f>
        <v>WANDA</v>
      </c>
      <c r="W4391" t="str">
        <f>VLOOKUP(L4391,'[2]tabela de preços'!$A:$F,6,0)</f>
        <v>VERNIZ AUTOMOTIVO</v>
      </c>
      <c r="X4391" t="str">
        <f>VLOOKUP(L4391,'[2]tabela de preços'!$A:$G,7,0)</f>
        <v>AUTOMOTIVO</v>
      </c>
    </row>
    <row r="4392" spans="1:24" x14ac:dyDescent="0.3">
      <c r="A4392" t="s">
        <v>1486</v>
      </c>
      <c r="C4392" t="s">
        <v>3804</v>
      </c>
      <c r="D4392" s="1">
        <v>46080</v>
      </c>
      <c r="E4392" t="s">
        <v>3805</v>
      </c>
      <c r="F4392">
        <v>9</v>
      </c>
      <c r="G4392">
        <v>236</v>
      </c>
      <c r="H4392" t="str">
        <f>VLOOKUP(G4392,[1]OPERADORES!$A:$B,2,0)</f>
        <v>DANIEL</v>
      </c>
      <c r="I4392" t="s">
        <v>1489</v>
      </c>
      <c r="J4392" t="s">
        <v>1490</v>
      </c>
      <c r="K4392" t="s">
        <v>1491</v>
      </c>
      <c r="L4392">
        <v>23100</v>
      </c>
      <c r="M4392" t="s">
        <v>99</v>
      </c>
      <c r="O4392" t="s">
        <v>11</v>
      </c>
      <c r="P4392">
        <v>6102</v>
      </c>
      <c r="Q4392">
        <v>50</v>
      </c>
      <c r="R4392">
        <v>2.35</v>
      </c>
      <c r="S4392">
        <v>117.5</v>
      </c>
      <c r="T4392">
        <v>84.5</v>
      </c>
      <c r="U4392">
        <v>28.09</v>
      </c>
      <c r="V4392" t="str">
        <f>VLOOKUP(L4392,'[2]tabela de preços'!$A:$D,4,0)</f>
        <v>3M</v>
      </c>
      <c r="W4392" t="str">
        <f>VLOOKUP(L4392,'[2]tabela de preços'!$A:$F,6,0)</f>
        <v xml:space="preserve">DISCOS / LIXAS / ABRASIVOS </v>
      </c>
      <c r="X4392" t="str">
        <f>VLOOKUP(L4392,'[2]tabela de preços'!$A:$G,7,0)</f>
        <v>AUTOMOTIVO</v>
      </c>
    </row>
    <row r="4393" spans="1:24" x14ac:dyDescent="0.3">
      <c r="A4393" t="s">
        <v>1486</v>
      </c>
      <c r="C4393" t="s">
        <v>3804</v>
      </c>
      <c r="D4393" s="1">
        <v>46080</v>
      </c>
      <c r="E4393" t="s">
        <v>3805</v>
      </c>
      <c r="F4393">
        <v>9</v>
      </c>
      <c r="G4393">
        <v>236</v>
      </c>
      <c r="H4393" t="str">
        <f>VLOOKUP(G4393,[1]OPERADORES!$A:$B,2,0)</f>
        <v>DANIEL</v>
      </c>
      <c r="I4393" t="s">
        <v>1489</v>
      </c>
      <c r="J4393" t="s">
        <v>1490</v>
      </c>
      <c r="K4393" t="s">
        <v>1491</v>
      </c>
      <c r="L4393">
        <v>23099</v>
      </c>
      <c r="M4393" t="s">
        <v>420</v>
      </c>
      <c r="O4393" t="s">
        <v>411</v>
      </c>
      <c r="P4393">
        <v>6102</v>
      </c>
      <c r="Q4393">
        <v>50</v>
      </c>
      <c r="R4393">
        <v>2.35</v>
      </c>
      <c r="S4393">
        <v>117.5</v>
      </c>
      <c r="T4393">
        <v>84.5</v>
      </c>
      <c r="U4393">
        <v>28.09</v>
      </c>
      <c r="V4393" t="str">
        <f>VLOOKUP(L4393,'[2]tabela de preços'!$A:$D,4,0)</f>
        <v>3M</v>
      </c>
      <c r="W4393" t="str">
        <f>VLOOKUP(L4393,'[2]tabela de preços'!$A:$F,6,0)</f>
        <v xml:space="preserve">DISCOS / LIXAS / ABRASIVOS </v>
      </c>
      <c r="X4393" t="str">
        <f>VLOOKUP(L4393,'[2]tabela de preços'!$A:$G,7,0)</f>
        <v>AUTOMOTIVO</v>
      </c>
    </row>
    <row r="4394" spans="1:24" x14ac:dyDescent="0.3">
      <c r="A4394" t="s">
        <v>1486</v>
      </c>
      <c r="C4394" t="s">
        <v>3804</v>
      </c>
      <c r="D4394" s="1">
        <v>46080</v>
      </c>
      <c r="E4394" t="s">
        <v>3805</v>
      </c>
      <c r="F4394">
        <v>9</v>
      </c>
      <c r="G4394">
        <v>236</v>
      </c>
      <c r="H4394" t="str">
        <f>VLOOKUP(G4394,[1]OPERADORES!$A:$B,2,0)</f>
        <v>DANIEL</v>
      </c>
      <c r="I4394" t="s">
        <v>1489</v>
      </c>
      <c r="J4394" t="s">
        <v>1490</v>
      </c>
      <c r="K4394" t="s">
        <v>1491</v>
      </c>
      <c r="L4394">
        <v>23097</v>
      </c>
      <c r="M4394" t="s">
        <v>412</v>
      </c>
      <c r="O4394" t="s">
        <v>411</v>
      </c>
      <c r="P4394">
        <v>6102</v>
      </c>
      <c r="Q4394">
        <v>50</v>
      </c>
      <c r="R4394">
        <v>2.35</v>
      </c>
      <c r="S4394">
        <v>117.5</v>
      </c>
      <c r="T4394">
        <v>68</v>
      </c>
      <c r="U4394">
        <v>42.13</v>
      </c>
      <c r="V4394" t="str">
        <f>VLOOKUP(L4394,'[2]tabela de preços'!$A:$D,4,0)</f>
        <v>3M</v>
      </c>
      <c r="W4394" t="str">
        <f>VLOOKUP(L4394,'[2]tabela de preços'!$A:$F,6,0)</f>
        <v xml:space="preserve">DISCOS / LIXAS / ABRASIVOS </v>
      </c>
      <c r="X4394" t="str">
        <f>VLOOKUP(L4394,'[2]tabela de preços'!$A:$G,7,0)</f>
        <v>AUTOMOTIVO</v>
      </c>
    </row>
    <row r="4395" spans="1:24" x14ac:dyDescent="0.3">
      <c r="A4395" t="s">
        <v>1486</v>
      </c>
      <c r="C4395" t="s">
        <v>3804</v>
      </c>
      <c r="D4395" s="1">
        <v>46080</v>
      </c>
      <c r="E4395" t="s">
        <v>3805</v>
      </c>
      <c r="F4395">
        <v>9</v>
      </c>
      <c r="G4395">
        <v>236</v>
      </c>
      <c r="H4395" t="str">
        <f>VLOOKUP(G4395,[1]OPERADORES!$A:$B,2,0)</f>
        <v>DANIEL</v>
      </c>
      <c r="I4395" t="s">
        <v>1489</v>
      </c>
      <c r="J4395" t="s">
        <v>1490</v>
      </c>
      <c r="K4395" t="s">
        <v>1491</v>
      </c>
      <c r="L4395">
        <v>23102</v>
      </c>
      <c r="M4395" t="s">
        <v>413</v>
      </c>
      <c r="O4395" t="s">
        <v>11</v>
      </c>
      <c r="P4395">
        <v>6102</v>
      </c>
      <c r="Q4395">
        <v>50</v>
      </c>
      <c r="R4395">
        <v>2.35</v>
      </c>
      <c r="S4395">
        <v>117.5</v>
      </c>
      <c r="T4395">
        <v>64.5</v>
      </c>
      <c r="U4395">
        <v>45.11</v>
      </c>
      <c r="V4395" t="str">
        <f>VLOOKUP(L4395,'[2]tabela de preços'!$A:$D,4,0)</f>
        <v>3M</v>
      </c>
      <c r="W4395" t="str">
        <f>VLOOKUP(L4395,'[2]tabela de preços'!$A:$F,6,0)</f>
        <v xml:space="preserve">DISCOS / LIXAS / ABRASIVOS </v>
      </c>
      <c r="X4395" t="str">
        <f>VLOOKUP(L4395,'[2]tabela de preços'!$A:$G,7,0)</f>
        <v>AUTOMOTIVO</v>
      </c>
    </row>
    <row r="4396" spans="1:24" x14ac:dyDescent="0.3">
      <c r="A4396" t="s">
        <v>1486</v>
      </c>
      <c r="C4396" t="s">
        <v>3806</v>
      </c>
      <c r="D4396" s="1">
        <v>46080</v>
      </c>
      <c r="E4396" t="s">
        <v>3807</v>
      </c>
      <c r="F4396">
        <v>9</v>
      </c>
      <c r="G4396">
        <v>236</v>
      </c>
      <c r="H4396" t="str">
        <f>VLOOKUP(G4396,[1]OPERADORES!$A:$B,2,0)</f>
        <v>DANIEL</v>
      </c>
      <c r="I4396" t="s">
        <v>1489</v>
      </c>
      <c r="J4396" t="s">
        <v>1490</v>
      </c>
      <c r="K4396" t="s">
        <v>1491</v>
      </c>
      <c r="L4396">
        <v>20458</v>
      </c>
      <c r="M4396" t="s">
        <v>3808</v>
      </c>
      <c r="O4396" t="s">
        <v>11</v>
      </c>
      <c r="P4396">
        <v>6403</v>
      </c>
      <c r="Q4396">
        <v>11</v>
      </c>
      <c r="R4396">
        <v>26.15</v>
      </c>
      <c r="S4396">
        <v>287.64999999999998</v>
      </c>
      <c r="T4396">
        <v>205.04</v>
      </c>
      <c r="U4396">
        <v>28.72</v>
      </c>
      <c r="V4396" t="str">
        <f>VLOOKUP(L4396,'[2]tabela de preços'!$A:$D,4,0)</f>
        <v>ANJO</v>
      </c>
      <c r="W4396" t="str">
        <f>VLOOKUP(L4396,'[2]tabela de preços'!$A:$F,6,0)</f>
        <v>TINTAS POLIÉSTER</v>
      </c>
      <c r="X4396" t="str">
        <f>VLOOKUP(L4396,'[2]tabela de preços'!$A:$G,7,0)</f>
        <v>AUTOMOTIVO</v>
      </c>
    </row>
    <row r="4397" spans="1:24" x14ac:dyDescent="0.3">
      <c r="A4397" t="s">
        <v>1486</v>
      </c>
      <c r="C4397" t="s">
        <v>3806</v>
      </c>
      <c r="D4397" s="1">
        <v>46080</v>
      </c>
      <c r="E4397" t="s">
        <v>3807</v>
      </c>
      <c r="F4397">
        <v>9</v>
      </c>
      <c r="G4397">
        <v>236</v>
      </c>
      <c r="H4397" t="str">
        <f>VLOOKUP(G4397,[1]OPERADORES!$A:$B,2,0)</f>
        <v>DANIEL</v>
      </c>
      <c r="I4397" t="s">
        <v>1489</v>
      </c>
      <c r="J4397" t="s">
        <v>1490</v>
      </c>
      <c r="K4397" t="s">
        <v>1491</v>
      </c>
      <c r="L4397">
        <v>84079</v>
      </c>
      <c r="M4397" t="s">
        <v>3809</v>
      </c>
      <c r="O4397" t="s">
        <v>11</v>
      </c>
      <c r="P4397">
        <v>6403</v>
      </c>
      <c r="Q4397">
        <v>3</v>
      </c>
      <c r="R4397">
        <v>102.31</v>
      </c>
      <c r="S4397">
        <v>306.93</v>
      </c>
      <c r="T4397">
        <v>218.82</v>
      </c>
      <c r="U4397">
        <v>28.71</v>
      </c>
      <c r="V4397" t="str">
        <f>VLOOKUP(L4397,'[2]tabela de preços'!$A:$D,4,0)</f>
        <v>BRASILUX</v>
      </c>
      <c r="W4397" t="str">
        <f>VLOOKUP(L4397,'[2]tabela de preços'!$A:$F,6,0)</f>
        <v>ESMALTES</v>
      </c>
      <c r="X4397" t="str">
        <f>VLOOKUP(L4397,'[2]tabela de preços'!$A:$G,7,0)</f>
        <v>INDUSTRIAL</v>
      </c>
    </row>
    <row r="4398" spans="1:24" x14ac:dyDescent="0.3">
      <c r="A4398" t="s">
        <v>1486</v>
      </c>
      <c r="C4398" t="s">
        <v>3806</v>
      </c>
      <c r="D4398" s="1">
        <v>46080</v>
      </c>
      <c r="E4398" t="s">
        <v>3807</v>
      </c>
      <c r="F4398">
        <v>9</v>
      </c>
      <c r="G4398">
        <v>236</v>
      </c>
      <c r="H4398" t="str">
        <f>VLOOKUP(G4398,[1]OPERADORES!$A:$B,2,0)</f>
        <v>DANIEL</v>
      </c>
      <c r="I4398" t="s">
        <v>1489</v>
      </c>
      <c r="J4398" t="s">
        <v>1490</v>
      </c>
      <c r="K4398" t="s">
        <v>1491</v>
      </c>
      <c r="L4398">
        <v>23602</v>
      </c>
      <c r="M4398" t="s">
        <v>215</v>
      </c>
      <c r="O4398" t="s">
        <v>11</v>
      </c>
      <c r="P4398">
        <v>6403</v>
      </c>
      <c r="Q4398">
        <v>9</v>
      </c>
      <c r="R4398">
        <v>38.4</v>
      </c>
      <c r="S4398">
        <v>345.6</v>
      </c>
      <c r="T4398">
        <v>263.25</v>
      </c>
      <c r="U4398">
        <v>23.83</v>
      </c>
      <c r="V4398" t="str">
        <f>VLOOKUP(L4398,'[2]tabela de preços'!$A:$D,4,0)</f>
        <v>SHERWIN WILLIAMS</v>
      </c>
      <c r="W4398" t="str">
        <f>VLOOKUP(L4398,'[2]tabela de preços'!$A:$F,6,0)</f>
        <v>VERNIZ AUTOMOTIVO</v>
      </c>
      <c r="X4398" t="str">
        <f>VLOOKUP(L4398,'[2]tabela de preços'!$A:$G,7,0)</f>
        <v>AUTOMOTIVO</v>
      </c>
    </row>
    <row r="4399" spans="1:24" x14ac:dyDescent="0.3">
      <c r="A4399" t="s">
        <v>1486</v>
      </c>
      <c r="C4399" t="s">
        <v>3806</v>
      </c>
      <c r="D4399" s="1">
        <v>46080</v>
      </c>
      <c r="E4399" t="s">
        <v>3807</v>
      </c>
      <c r="F4399">
        <v>9</v>
      </c>
      <c r="G4399">
        <v>236</v>
      </c>
      <c r="H4399" t="str">
        <f>VLOOKUP(G4399,[1]OPERADORES!$A:$B,2,0)</f>
        <v>DANIEL</v>
      </c>
      <c r="I4399" t="s">
        <v>1489</v>
      </c>
      <c r="J4399" t="s">
        <v>1490</v>
      </c>
      <c r="K4399" t="s">
        <v>1491</v>
      </c>
      <c r="L4399">
        <v>23584</v>
      </c>
      <c r="M4399" t="s">
        <v>196</v>
      </c>
      <c r="O4399" t="s">
        <v>11</v>
      </c>
      <c r="P4399">
        <v>6102</v>
      </c>
      <c r="Q4399">
        <v>12</v>
      </c>
      <c r="R4399">
        <v>24.66</v>
      </c>
      <c r="S4399">
        <v>295.92</v>
      </c>
      <c r="T4399">
        <v>224.64</v>
      </c>
      <c r="U4399">
        <v>24.09</v>
      </c>
      <c r="V4399" t="str">
        <f>VLOOKUP(L4399,'[2]tabela de preços'!$A:$D,4,0)</f>
        <v>MAXI RUBBER</v>
      </c>
      <c r="W4399" t="str">
        <f>VLOOKUP(L4399,'[2]tabela de preços'!$A:$F,6,0)</f>
        <v>MASSA POLIÉSTER</v>
      </c>
      <c r="X4399" t="str">
        <f>VLOOKUP(L4399,'[2]tabela de preços'!$A:$G,7,0)</f>
        <v>AUTOMOTIVO</v>
      </c>
    </row>
    <row r="4400" spans="1:24" x14ac:dyDescent="0.3">
      <c r="A4400" t="s">
        <v>1606</v>
      </c>
      <c r="C4400" t="s">
        <v>3810</v>
      </c>
      <c r="D4400" s="1">
        <v>46079</v>
      </c>
      <c r="E4400" t="s">
        <v>3811</v>
      </c>
      <c r="F4400">
        <v>9</v>
      </c>
      <c r="G4400">
        <v>231</v>
      </c>
      <c r="H4400" t="str">
        <f>VLOOKUP(G4400,[1]OPERADORES!$A:$B,2,0)</f>
        <v>EDIJANE</v>
      </c>
      <c r="I4400" t="s">
        <v>21</v>
      </c>
      <c r="J4400" t="s">
        <v>397</v>
      </c>
      <c r="K4400" t="s">
        <v>1609</v>
      </c>
      <c r="L4400">
        <v>85268</v>
      </c>
      <c r="M4400" t="s">
        <v>3812</v>
      </c>
      <c r="O4400" t="s">
        <v>11</v>
      </c>
      <c r="P4400">
        <v>5403</v>
      </c>
      <c r="Q4400">
        <v>3</v>
      </c>
      <c r="R4400">
        <v>71.48</v>
      </c>
      <c r="S4400">
        <v>214.44</v>
      </c>
      <c r="T4400">
        <v>210.24</v>
      </c>
      <c r="U4400">
        <v>1.96</v>
      </c>
      <c r="V4400" t="str">
        <f>VLOOKUP(L4400,'[2]tabela de preços'!$A:$D,4,0)</f>
        <v>BRASILUX</v>
      </c>
      <c r="W4400" t="str">
        <f>VLOOKUP(L4400,'[2]tabela de preços'!$A:$F,6,0)</f>
        <v>ESMALTES</v>
      </c>
      <c r="X4400" t="str">
        <f>VLOOKUP(L4400,'[2]tabela de preços'!$A:$G,7,0)</f>
        <v>INDUSTRIAL</v>
      </c>
    </row>
    <row r="4401" spans="1:24" x14ac:dyDescent="0.3">
      <c r="A4401" t="s">
        <v>1606</v>
      </c>
      <c r="C4401" t="s">
        <v>3810</v>
      </c>
      <c r="D4401" s="1">
        <v>46079</v>
      </c>
      <c r="E4401" t="s">
        <v>3811</v>
      </c>
      <c r="F4401">
        <v>9</v>
      </c>
      <c r="G4401">
        <v>231</v>
      </c>
      <c r="H4401" t="str">
        <f>VLOOKUP(G4401,[1]OPERADORES!$A:$B,2,0)</f>
        <v>EDIJANE</v>
      </c>
      <c r="I4401" t="s">
        <v>21</v>
      </c>
      <c r="J4401" t="s">
        <v>397</v>
      </c>
      <c r="K4401" t="s">
        <v>1609</v>
      </c>
      <c r="L4401">
        <v>85307</v>
      </c>
      <c r="M4401" t="s">
        <v>3813</v>
      </c>
      <c r="O4401" t="s">
        <v>11</v>
      </c>
      <c r="P4401">
        <v>5403</v>
      </c>
      <c r="Q4401">
        <v>3</v>
      </c>
      <c r="R4401">
        <v>68.8</v>
      </c>
      <c r="S4401">
        <v>206.4</v>
      </c>
      <c r="T4401">
        <v>202.35</v>
      </c>
      <c r="U4401">
        <v>1.96</v>
      </c>
      <c r="V4401" t="str">
        <f>VLOOKUP(L4401,'[2]tabela de preços'!$A:$D,4,0)</f>
        <v>BRASILUX</v>
      </c>
      <c r="W4401" t="str">
        <f>VLOOKUP(L4401,'[2]tabela de preços'!$A:$F,6,0)</f>
        <v>ESMALTES</v>
      </c>
      <c r="X4401" t="str">
        <f>VLOOKUP(L4401,'[2]tabela de preços'!$A:$G,7,0)</f>
        <v>INDUSTRIAL</v>
      </c>
    </row>
    <row r="4402" spans="1:24" x14ac:dyDescent="0.3">
      <c r="A4402" t="s">
        <v>1606</v>
      </c>
      <c r="C4402" t="s">
        <v>3814</v>
      </c>
      <c r="D4402" s="1">
        <v>46080</v>
      </c>
      <c r="E4402" t="s">
        <v>3815</v>
      </c>
      <c r="F4402">
        <v>9</v>
      </c>
      <c r="G4402">
        <v>231</v>
      </c>
      <c r="H4402" t="str">
        <f>VLOOKUP(G4402,[1]OPERADORES!$A:$B,2,0)</f>
        <v>EDIJANE</v>
      </c>
      <c r="I4402" t="s">
        <v>21</v>
      </c>
      <c r="J4402" t="s">
        <v>397</v>
      </c>
      <c r="K4402" t="s">
        <v>1609</v>
      </c>
      <c r="L4402">
        <v>21785</v>
      </c>
      <c r="M4402" t="s">
        <v>3816</v>
      </c>
      <c r="O4402" t="s">
        <v>11</v>
      </c>
      <c r="P4402">
        <v>5102</v>
      </c>
      <c r="Q4402">
        <v>48</v>
      </c>
      <c r="R4402">
        <v>12.27</v>
      </c>
      <c r="S4402">
        <v>588.96</v>
      </c>
      <c r="T4402">
        <v>577.44000000000005</v>
      </c>
      <c r="U4402">
        <v>1.96</v>
      </c>
      <c r="V4402" t="str">
        <f>VLOOKUP(L4402,'[2]tabela de preços'!$A:$D,4,0)</f>
        <v>SHERWIN WILLIAMS</v>
      </c>
      <c r="W4402" t="str">
        <f>VLOOKUP(L4402,'[2]tabela de preços'!$A:$F,6,0)</f>
        <v>EMBALAGEM</v>
      </c>
      <c r="X4402" t="str">
        <f>VLOOKUP(L4402,'[2]tabela de preços'!$A:$G,7,0)</f>
        <v>AUTOMOTIVO</v>
      </c>
    </row>
    <row r="4403" spans="1:24" x14ac:dyDescent="0.3">
      <c r="A4403" t="s">
        <v>1623</v>
      </c>
      <c r="C4403" t="s">
        <v>3817</v>
      </c>
      <c r="D4403" s="1">
        <v>46080</v>
      </c>
      <c r="E4403" t="s">
        <v>3818</v>
      </c>
      <c r="F4403">
        <v>9</v>
      </c>
      <c r="G4403">
        <v>231</v>
      </c>
      <c r="H4403" t="str">
        <f>VLOOKUP(G4403,[1]OPERADORES!$A:$B,2,0)</f>
        <v>EDIJANE</v>
      </c>
      <c r="I4403" t="s">
        <v>21</v>
      </c>
      <c r="J4403" t="s">
        <v>531</v>
      </c>
      <c r="K4403" t="s">
        <v>1626</v>
      </c>
      <c r="L4403">
        <v>85401</v>
      </c>
      <c r="M4403" t="s">
        <v>261</v>
      </c>
      <c r="O4403" t="s">
        <v>11</v>
      </c>
      <c r="P4403">
        <v>5102</v>
      </c>
      <c r="Q4403">
        <v>6</v>
      </c>
      <c r="R4403">
        <v>633.42999999999995</v>
      </c>
      <c r="S4403" s="2">
        <v>3800.58</v>
      </c>
      <c r="T4403" s="2">
        <v>2709.84</v>
      </c>
      <c r="U4403">
        <v>28.7</v>
      </c>
      <c r="V4403" t="str">
        <f>VLOOKUP(L4403,'[2]tabela de preços'!$A:$D,4,0)</f>
        <v>BRASILUX</v>
      </c>
      <c r="W4403" t="str">
        <f>VLOOKUP(L4403,'[2]tabela de preços'!$A:$F,6,0)</f>
        <v>TINTA EM PÓ</v>
      </c>
      <c r="X4403" t="str">
        <f>VLOOKUP(L4403,'[2]tabela de preços'!$A:$G,7,0)</f>
        <v>INDUSTRIAL</v>
      </c>
    </row>
    <row r="4404" spans="1:24" x14ac:dyDescent="0.3">
      <c r="A4404" t="s">
        <v>1623</v>
      </c>
      <c r="C4404" t="s">
        <v>3817</v>
      </c>
      <c r="D4404" s="1">
        <v>46080</v>
      </c>
      <c r="E4404" t="s">
        <v>3818</v>
      </c>
      <c r="F4404">
        <v>9</v>
      </c>
      <c r="G4404">
        <v>231</v>
      </c>
      <c r="H4404" t="str">
        <f>VLOOKUP(G4404,[1]OPERADORES!$A:$B,2,0)</f>
        <v>EDIJANE</v>
      </c>
      <c r="I4404" t="s">
        <v>21</v>
      </c>
      <c r="J4404" t="s">
        <v>531</v>
      </c>
      <c r="K4404" t="s">
        <v>1626</v>
      </c>
      <c r="L4404">
        <v>85326</v>
      </c>
      <c r="M4404" t="s">
        <v>1627</v>
      </c>
      <c r="O4404" t="s">
        <v>11</v>
      </c>
      <c r="P4404">
        <v>5102</v>
      </c>
      <c r="Q4404">
        <v>1</v>
      </c>
      <c r="R4404">
        <v>565.9</v>
      </c>
      <c r="S4404">
        <v>565.9</v>
      </c>
      <c r="T4404">
        <v>403.49</v>
      </c>
      <c r="U4404">
        <v>28.7</v>
      </c>
      <c r="V4404" t="str">
        <f>VLOOKUP(L4404,'[2]tabela de preços'!$A:$D,4,0)</f>
        <v>BRASILUX</v>
      </c>
      <c r="W4404" t="str">
        <f>VLOOKUP(L4404,'[2]tabela de preços'!$A:$F,6,0)</f>
        <v>TINTA EM PÓ</v>
      </c>
      <c r="X4404" t="str">
        <f>VLOOKUP(L4404,'[2]tabela de preços'!$A:$G,7,0)</f>
        <v>INDUSTRIAL</v>
      </c>
    </row>
    <row r="4405" spans="1:24" x14ac:dyDescent="0.3">
      <c r="A4405" t="s">
        <v>1630</v>
      </c>
      <c r="C4405" t="s">
        <v>3819</v>
      </c>
      <c r="D4405" s="1">
        <v>46079</v>
      </c>
      <c r="E4405" t="s">
        <v>3820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21</v>
      </c>
      <c r="J4405" t="s">
        <v>762</v>
      </c>
      <c r="K4405" t="s">
        <v>1633</v>
      </c>
      <c r="L4405">
        <v>9799</v>
      </c>
      <c r="M4405" t="s">
        <v>1636</v>
      </c>
      <c r="O4405" t="s">
        <v>11</v>
      </c>
      <c r="P4405">
        <v>5102</v>
      </c>
      <c r="Q4405">
        <v>18</v>
      </c>
      <c r="R4405">
        <v>34.729999999999997</v>
      </c>
      <c r="S4405">
        <v>625.14</v>
      </c>
      <c r="T4405">
        <v>474.48</v>
      </c>
      <c r="U4405">
        <v>24.1</v>
      </c>
      <c r="V4405" t="str">
        <f>VLOOKUP(L4405,'[2]tabela de preços'!$A:$D,4,0)</f>
        <v>WANDA</v>
      </c>
      <c r="W4405" t="str">
        <f>VLOOKUP(L4405,'[2]tabela de preços'!$A:$F,6,0)</f>
        <v>FERRUGEM</v>
      </c>
      <c r="X4405" t="str">
        <f>VLOOKUP(L4405,'[2]tabela de preços'!$A:$G,7,0)</f>
        <v>AUTOMOTIVO</v>
      </c>
    </row>
    <row r="4406" spans="1:24" x14ac:dyDescent="0.3">
      <c r="A4406" t="s">
        <v>1630</v>
      </c>
      <c r="C4406" t="s">
        <v>3819</v>
      </c>
      <c r="D4406" s="1">
        <v>46079</v>
      </c>
      <c r="E4406" t="s">
        <v>3820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21</v>
      </c>
      <c r="J4406" t="s">
        <v>762</v>
      </c>
      <c r="K4406" t="s">
        <v>1633</v>
      </c>
      <c r="L4406">
        <v>16</v>
      </c>
      <c r="M4406" t="s">
        <v>122</v>
      </c>
      <c r="O4406" t="s">
        <v>11</v>
      </c>
      <c r="P4406">
        <v>5102</v>
      </c>
      <c r="Q4406">
        <v>100</v>
      </c>
      <c r="R4406">
        <v>2.9</v>
      </c>
      <c r="S4406">
        <v>290</v>
      </c>
      <c r="T4406">
        <v>220</v>
      </c>
      <c r="U4406">
        <v>24.14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1649</v>
      </c>
      <c r="B4407" t="s">
        <v>1650</v>
      </c>
      <c r="C4407" t="s">
        <v>3636</v>
      </c>
      <c r="D4407" s="1">
        <v>46078</v>
      </c>
      <c r="E4407" t="s">
        <v>3637</v>
      </c>
      <c r="F4407">
        <v>9</v>
      </c>
      <c r="G4407">
        <v>236</v>
      </c>
      <c r="H4407" t="str">
        <f>VLOOKUP(G4407,[1]OPERADORES!$A:$B,2,0)</f>
        <v>DANIEL</v>
      </c>
      <c r="I4407" t="s">
        <v>21</v>
      </c>
      <c r="J4407" t="s">
        <v>1653</v>
      </c>
      <c r="K4407" t="s">
        <v>1654</v>
      </c>
      <c r="L4407">
        <v>10232</v>
      </c>
      <c r="M4407" t="s">
        <v>134</v>
      </c>
      <c r="O4407" t="s">
        <v>11</v>
      </c>
      <c r="P4407">
        <v>5102</v>
      </c>
      <c r="Q4407">
        <v>102</v>
      </c>
      <c r="R4407">
        <v>2.79</v>
      </c>
      <c r="S4407">
        <v>284.58</v>
      </c>
      <c r="T4407">
        <v>229.5</v>
      </c>
      <c r="U4407">
        <v>19.350000000000001</v>
      </c>
      <c r="V4407" t="str">
        <f>VLOOKUP(L4407,'[2]tabela de preços'!$A:$D,4,0)</f>
        <v>NORTON</v>
      </c>
      <c r="W4407" t="str">
        <f>VLOOKUP(L4407,'[2]tabela de preços'!$A:$F,6,0)</f>
        <v xml:space="preserve">DISCOS / LIXAS / ABRASIVOS </v>
      </c>
      <c r="X4407" t="str">
        <f>VLOOKUP(L4407,'[2]tabela de preços'!$A:$G,7,0)</f>
        <v>AUTOMOTIVO</v>
      </c>
    </row>
    <row r="4408" spans="1:24" x14ac:dyDescent="0.3">
      <c r="A4408" t="s">
        <v>1649</v>
      </c>
      <c r="B4408" t="s">
        <v>1650</v>
      </c>
      <c r="C4408" t="s">
        <v>3636</v>
      </c>
      <c r="D4408" s="1">
        <v>46078</v>
      </c>
      <c r="E4408" t="s">
        <v>3637</v>
      </c>
      <c r="F4408">
        <v>9</v>
      </c>
      <c r="G4408">
        <v>236</v>
      </c>
      <c r="H4408" t="str">
        <f>VLOOKUP(G4408,[1]OPERADORES!$A:$B,2,0)</f>
        <v>DANIEL</v>
      </c>
      <c r="I4408" t="s">
        <v>21</v>
      </c>
      <c r="J4408" t="s">
        <v>1653</v>
      </c>
      <c r="K4408" t="s">
        <v>1654</v>
      </c>
      <c r="L4408">
        <v>24248</v>
      </c>
      <c r="M4408" t="s">
        <v>107</v>
      </c>
      <c r="O4408" t="s">
        <v>11</v>
      </c>
      <c r="P4408">
        <v>5102</v>
      </c>
      <c r="Q4408">
        <v>36</v>
      </c>
      <c r="R4408">
        <v>8</v>
      </c>
      <c r="S4408">
        <v>288</v>
      </c>
      <c r="T4408">
        <v>234</v>
      </c>
      <c r="U4408">
        <v>18.75</v>
      </c>
      <c r="V4408" t="str">
        <f>VLOOKUP(L4408,'[2]tabela de preços'!$A:$D,4,0)</f>
        <v>SHERWIN WILLIAMS</v>
      </c>
      <c r="W4408" t="str">
        <f>VLOOKUP(L4408,'[2]tabela de preços'!$A:$F,6,0)</f>
        <v>PRIMER AUTOMOTIVO</v>
      </c>
      <c r="X4408" t="str">
        <f>VLOOKUP(L4408,'[2]tabela de preços'!$A:$G,7,0)</f>
        <v>AUTOMOTIVO</v>
      </c>
    </row>
    <row r="4409" spans="1:24" x14ac:dyDescent="0.3">
      <c r="A4409" t="s">
        <v>1649</v>
      </c>
      <c r="B4409" t="s">
        <v>1650</v>
      </c>
      <c r="C4409" t="s">
        <v>3636</v>
      </c>
      <c r="D4409" s="1">
        <v>46078</v>
      </c>
      <c r="E4409" t="s">
        <v>3637</v>
      </c>
      <c r="F4409">
        <v>9</v>
      </c>
      <c r="G4409">
        <v>236</v>
      </c>
      <c r="H4409" t="str">
        <f>VLOOKUP(G4409,[1]OPERADORES!$A:$B,2,0)</f>
        <v>DANIEL</v>
      </c>
      <c r="I4409" t="s">
        <v>21</v>
      </c>
      <c r="J4409" t="s">
        <v>1653</v>
      </c>
      <c r="K4409" t="s">
        <v>1654</v>
      </c>
      <c r="L4409">
        <v>24247</v>
      </c>
      <c r="M4409" t="s">
        <v>160</v>
      </c>
      <c r="O4409" t="s">
        <v>11</v>
      </c>
      <c r="P4409">
        <v>5403</v>
      </c>
      <c r="Q4409">
        <v>36</v>
      </c>
      <c r="R4409">
        <v>21</v>
      </c>
      <c r="S4409">
        <v>756</v>
      </c>
      <c r="T4409">
        <v>607.32000000000005</v>
      </c>
      <c r="U4409">
        <v>19.670000000000002</v>
      </c>
      <c r="V4409" t="str">
        <f>VLOOKUP(L4409,'[2]tabela de preços'!$A:$D,4,0)</f>
        <v>SHERWIN WILLIAMS</v>
      </c>
      <c r="W4409" t="str">
        <f>VLOOKUP(L4409,'[2]tabela de preços'!$A:$F,6,0)</f>
        <v>PRIMER AUTOMOTIVO</v>
      </c>
      <c r="X4409" t="str">
        <f>VLOOKUP(L4409,'[2]tabela de preços'!$A:$G,7,0)</f>
        <v>AUTOMOTIVO</v>
      </c>
    </row>
    <row r="4410" spans="1:24" x14ac:dyDescent="0.3">
      <c r="A4410" t="s">
        <v>1688</v>
      </c>
      <c r="C4410" t="s">
        <v>3821</v>
      </c>
      <c r="D4410" s="1">
        <v>46079</v>
      </c>
      <c r="E4410" t="s">
        <v>3822</v>
      </c>
      <c r="F4410">
        <v>9</v>
      </c>
      <c r="G4410">
        <v>236</v>
      </c>
      <c r="H4410" t="str">
        <f>VLOOKUP(G4410,[1]OPERADORES!$A:$B,2,0)</f>
        <v>DANIEL</v>
      </c>
      <c r="I4410" t="s">
        <v>21</v>
      </c>
      <c r="J4410" t="s">
        <v>1691</v>
      </c>
      <c r="K4410" t="s">
        <v>1692</v>
      </c>
      <c r="L4410">
        <v>10230</v>
      </c>
      <c r="M4410" t="s">
        <v>193</v>
      </c>
      <c r="O4410" t="s">
        <v>11</v>
      </c>
      <c r="P4410">
        <v>5102</v>
      </c>
      <c r="Q4410">
        <v>102</v>
      </c>
      <c r="R4410">
        <v>2.79</v>
      </c>
      <c r="S4410">
        <v>284.58</v>
      </c>
      <c r="T4410">
        <v>236.64</v>
      </c>
      <c r="U4410">
        <v>16.850000000000001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1688</v>
      </c>
      <c r="C4411" t="s">
        <v>3821</v>
      </c>
      <c r="D4411" s="1">
        <v>46079</v>
      </c>
      <c r="E4411" t="s">
        <v>3822</v>
      </c>
      <c r="F4411">
        <v>9</v>
      </c>
      <c r="G4411">
        <v>236</v>
      </c>
      <c r="H4411" t="str">
        <f>VLOOKUP(G4411,[1]OPERADORES!$A:$B,2,0)</f>
        <v>DANIEL</v>
      </c>
      <c r="I4411" t="s">
        <v>21</v>
      </c>
      <c r="J4411" t="s">
        <v>1691</v>
      </c>
      <c r="K4411" t="s">
        <v>1692</v>
      </c>
      <c r="L4411">
        <v>24241</v>
      </c>
      <c r="M4411" t="s">
        <v>233</v>
      </c>
      <c r="O4411" t="s">
        <v>11</v>
      </c>
      <c r="P4411">
        <v>5102</v>
      </c>
      <c r="Q4411">
        <v>5</v>
      </c>
      <c r="R4411">
        <v>12.2</v>
      </c>
      <c r="S4411">
        <v>61</v>
      </c>
      <c r="T4411">
        <v>46.3</v>
      </c>
      <c r="U4411">
        <v>24.1</v>
      </c>
      <c r="V4411" t="str">
        <f>VLOOKUP(L4411,'[2]tabela de preços'!$A:$D,4,0)</f>
        <v>ADERE</v>
      </c>
      <c r="W4411" t="str">
        <f>VLOOKUP(L4411,'[2]tabela de preços'!$A:$F,6,0)</f>
        <v>FITA AUTOMOTIVA</v>
      </c>
      <c r="X4411" t="str">
        <f>VLOOKUP(L4411,'[2]tabela de preços'!$A:$G,7,0)</f>
        <v>AUTOMOTIVO</v>
      </c>
    </row>
    <row r="4412" spans="1:24" x14ac:dyDescent="0.3">
      <c r="A4412" t="s">
        <v>1688</v>
      </c>
      <c r="C4412" t="s">
        <v>3821</v>
      </c>
      <c r="D4412" s="1">
        <v>46079</v>
      </c>
      <c r="E4412" t="s">
        <v>3822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1691</v>
      </c>
      <c r="K4412" t="s">
        <v>1692</v>
      </c>
      <c r="L4412">
        <v>20318</v>
      </c>
      <c r="M4412" t="s">
        <v>136</v>
      </c>
      <c r="O4412" t="s">
        <v>11</v>
      </c>
      <c r="P4412">
        <v>5403</v>
      </c>
      <c r="Q4412">
        <v>1</v>
      </c>
      <c r="R4412">
        <v>35.14</v>
      </c>
      <c r="S4412">
        <v>35.14</v>
      </c>
      <c r="T4412">
        <v>24.2</v>
      </c>
      <c r="U4412">
        <v>31.13</v>
      </c>
      <c r="V4412" t="str">
        <f>VLOOKUP(L4412,'[2]tabela de preços'!$A:$D,4,0)</f>
        <v>SHERWIN WILLIAMS</v>
      </c>
      <c r="W4412" t="str">
        <f>VLOOKUP(L4412,'[2]tabela de preços'!$A:$F,6,0)</f>
        <v>TINTAS POLIÉSTER</v>
      </c>
      <c r="X4412" t="str">
        <f>VLOOKUP(L4412,'[2]tabela de preços'!$A:$G,7,0)</f>
        <v>AUTOMOTIVO</v>
      </c>
    </row>
    <row r="4413" spans="1:24" x14ac:dyDescent="0.3">
      <c r="A4413" t="s">
        <v>1727</v>
      </c>
      <c r="C4413" t="s">
        <v>3638</v>
      </c>
      <c r="D4413" s="1">
        <v>46078</v>
      </c>
      <c r="E4413" t="s">
        <v>3639</v>
      </c>
      <c r="F4413">
        <v>9</v>
      </c>
      <c r="G4413">
        <v>174</v>
      </c>
      <c r="H4413" t="str">
        <f>VLOOKUP(G4413,[1]OPERADORES!$A:$B,2,0)</f>
        <v>MIRIÃ LOBATO RODRIGUES</v>
      </c>
      <c r="I4413" t="s">
        <v>21</v>
      </c>
      <c r="J4413" t="s">
        <v>1173</v>
      </c>
      <c r="K4413" t="s">
        <v>1730</v>
      </c>
      <c r="L4413">
        <v>85182</v>
      </c>
      <c r="M4413" t="s">
        <v>3120</v>
      </c>
      <c r="O4413" t="s">
        <v>11</v>
      </c>
      <c r="P4413">
        <v>5403</v>
      </c>
      <c r="Q4413">
        <v>4</v>
      </c>
      <c r="R4413">
        <v>76.91</v>
      </c>
      <c r="S4413">
        <v>307.64</v>
      </c>
      <c r="T4413">
        <v>233.52</v>
      </c>
      <c r="U4413">
        <v>24.09</v>
      </c>
      <c r="V4413" t="str">
        <f>VLOOKUP(L4413,'[2]tabela de preços'!$A:$D,4,0)</f>
        <v>BRASILUX</v>
      </c>
      <c r="W4413" t="str">
        <f>VLOOKUP(L4413,'[2]tabela de preços'!$A:$F,6,0)</f>
        <v>ESMALTES</v>
      </c>
      <c r="X4413" t="str">
        <f>VLOOKUP(L4413,'[2]tabela de preços'!$A:$G,7,0)</f>
        <v>INDUSTRIAL</v>
      </c>
    </row>
    <row r="4414" spans="1:24" x14ac:dyDescent="0.3">
      <c r="A4414" t="s">
        <v>1727</v>
      </c>
      <c r="C4414" t="s">
        <v>3638</v>
      </c>
      <c r="D4414" s="1">
        <v>46078</v>
      </c>
      <c r="E4414" t="s">
        <v>3639</v>
      </c>
      <c r="F4414">
        <v>9</v>
      </c>
      <c r="G4414">
        <v>174</v>
      </c>
      <c r="H4414" t="str">
        <f>VLOOKUP(G4414,[1]OPERADORES!$A:$B,2,0)</f>
        <v>MIRIÃ LOBATO RODRIGUES</v>
      </c>
      <c r="I4414" t="s">
        <v>21</v>
      </c>
      <c r="J4414" t="s">
        <v>1173</v>
      </c>
      <c r="K4414" t="s">
        <v>1730</v>
      </c>
      <c r="L4414">
        <v>20212</v>
      </c>
      <c r="M4414" t="s">
        <v>198</v>
      </c>
      <c r="O4414" t="s">
        <v>11</v>
      </c>
      <c r="P4414">
        <v>5403</v>
      </c>
      <c r="Q4414">
        <v>6</v>
      </c>
      <c r="R4414">
        <v>27.69</v>
      </c>
      <c r="S4414">
        <v>166.14</v>
      </c>
      <c r="T4414">
        <v>126.12</v>
      </c>
      <c r="U4414">
        <v>24.09</v>
      </c>
      <c r="V4414" t="str">
        <f>VLOOKUP(L4414,'[2]tabela de preços'!$A:$D,4,0)</f>
        <v>MAXI RUBBER</v>
      </c>
      <c r="W4414" t="str">
        <f>VLOOKUP(L4414,'[2]tabela de preços'!$A:$F,6,0)</f>
        <v>SELADORA P/ PLASTICO</v>
      </c>
      <c r="X4414" t="str">
        <f>VLOOKUP(L4414,'[2]tabela de preços'!$A:$G,7,0)</f>
        <v>AUTOMOTIVO</v>
      </c>
    </row>
    <row r="4415" spans="1:24" x14ac:dyDescent="0.3">
      <c r="A4415" t="s">
        <v>3823</v>
      </c>
      <c r="C4415" t="s">
        <v>3824</v>
      </c>
      <c r="D4415" s="1">
        <v>46079</v>
      </c>
      <c r="E4415" t="s">
        <v>3825</v>
      </c>
      <c r="F4415">
        <v>9</v>
      </c>
      <c r="G4415">
        <v>197</v>
      </c>
      <c r="H4415" t="str">
        <f>VLOOKUP(G4415,[1]OPERADORES!$A:$B,2,0)</f>
        <v xml:space="preserve">POLIANA LORRANE DE AMORIM </v>
      </c>
      <c r="I4415" t="s">
        <v>21</v>
      </c>
      <c r="J4415" t="s">
        <v>397</v>
      </c>
      <c r="K4415" t="s">
        <v>3826</v>
      </c>
      <c r="L4415">
        <v>84036</v>
      </c>
      <c r="M4415" t="s">
        <v>289</v>
      </c>
      <c r="O4415" t="s">
        <v>11</v>
      </c>
      <c r="P4415">
        <v>5102</v>
      </c>
      <c r="Q4415">
        <v>5</v>
      </c>
      <c r="R4415">
        <v>47.9</v>
      </c>
      <c r="S4415">
        <v>239.5</v>
      </c>
      <c r="T4415">
        <v>208.15</v>
      </c>
      <c r="U4415">
        <v>13.09</v>
      </c>
      <c r="V4415" t="str">
        <f>VLOOKUP(L4415,'[2]tabela de preços'!$A:$D,4,0)</f>
        <v>BRASILUX</v>
      </c>
      <c r="W4415" t="str">
        <f>VLOOKUP(L4415,'[2]tabela de preços'!$A:$F,6,0)</f>
        <v>MASSA CORRIDA / ACRÍLICA</v>
      </c>
      <c r="X4415" t="str">
        <f>VLOOKUP(L4415,'[2]tabela de preços'!$A:$G,7,0)</f>
        <v>IMOBILIÁRIO</v>
      </c>
    </row>
    <row r="4416" spans="1:24" x14ac:dyDescent="0.3">
      <c r="A4416" t="s">
        <v>3823</v>
      </c>
      <c r="C4416" t="s">
        <v>3827</v>
      </c>
      <c r="D4416" s="1">
        <v>46080</v>
      </c>
      <c r="E4416" t="s">
        <v>3828</v>
      </c>
      <c r="F4416">
        <v>9</v>
      </c>
      <c r="G4416">
        <v>197</v>
      </c>
      <c r="H4416" t="str">
        <f>VLOOKUP(G4416,[1]OPERADORES!$A:$B,2,0)</f>
        <v xml:space="preserve">POLIANA LORRANE DE AMORIM </v>
      </c>
      <c r="I4416" t="s">
        <v>21</v>
      </c>
      <c r="J4416" t="s">
        <v>397</v>
      </c>
      <c r="K4416" t="s">
        <v>3826</v>
      </c>
      <c r="L4416">
        <v>84084</v>
      </c>
      <c r="M4416" t="s">
        <v>990</v>
      </c>
      <c r="O4416" t="s">
        <v>11</v>
      </c>
      <c r="P4416">
        <v>5403</v>
      </c>
      <c r="Q4416">
        <v>30</v>
      </c>
      <c r="R4416">
        <v>87.1</v>
      </c>
      <c r="S4416" s="2">
        <v>2613</v>
      </c>
      <c r="T4416" s="2">
        <v>1983.3</v>
      </c>
      <c r="U4416">
        <v>24.1</v>
      </c>
      <c r="V4416" t="str">
        <f>VLOOKUP(L4416,'[2]tabela de preços'!$A:$D,4,0)</f>
        <v>BRASILUX</v>
      </c>
      <c r="W4416" t="str">
        <f>VLOOKUP(L4416,'[2]tabela de preços'!$A:$F,6,0)</f>
        <v>ESMALTES</v>
      </c>
      <c r="X4416" t="str">
        <f>VLOOKUP(L4416,'[2]tabela de preços'!$A:$G,7,0)</f>
        <v>INDUSTRIAL</v>
      </c>
    </row>
    <row r="4417" spans="1:24" x14ac:dyDescent="0.3">
      <c r="A4417" t="s">
        <v>3823</v>
      </c>
      <c r="C4417" t="s">
        <v>3827</v>
      </c>
      <c r="D4417" s="1">
        <v>46080</v>
      </c>
      <c r="E4417" t="s">
        <v>3828</v>
      </c>
      <c r="F4417">
        <v>9</v>
      </c>
      <c r="G4417">
        <v>197</v>
      </c>
      <c r="H4417" t="str">
        <f>VLOOKUP(G4417,[1]OPERADORES!$A:$B,2,0)</f>
        <v xml:space="preserve">POLIANA LORRANE DE AMORIM </v>
      </c>
      <c r="I4417" t="s">
        <v>21</v>
      </c>
      <c r="J4417" t="s">
        <v>397</v>
      </c>
      <c r="K4417" t="s">
        <v>3826</v>
      </c>
      <c r="L4417">
        <v>85280</v>
      </c>
      <c r="M4417" t="s">
        <v>943</v>
      </c>
      <c r="O4417" t="s">
        <v>11</v>
      </c>
      <c r="P4417">
        <v>5102</v>
      </c>
      <c r="Q4417">
        <v>30</v>
      </c>
      <c r="R4417">
        <v>55.72</v>
      </c>
      <c r="S4417" s="2">
        <v>1671.6</v>
      </c>
      <c r="T4417" s="2">
        <v>1268.7</v>
      </c>
      <c r="U4417">
        <v>24.1</v>
      </c>
      <c r="V4417" t="str">
        <f>VLOOKUP(L4417,'[2]tabela de preços'!$A:$D,4,0)</f>
        <v>BRASILUX</v>
      </c>
      <c r="W4417" t="str">
        <f>VLOOKUP(L4417,'[2]tabela de preços'!$A:$F,6,0)</f>
        <v>CATALISADORES INDIVIDUAIS</v>
      </c>
      <c r="X4417" t="str">
        <f>VLOOKUP(L4417,'[2]tabela de preços'!$A:$G,7,0)</f>
        <v>IMOBILIÁRIO</v>
      </c>
    </row>
    <row r="4418" spans="1:24" x14ac:dyDescent="0.3">
      <c r="A4418" t="s">
        <v>1785</v>
      </c>
      <c r="C4418" t="s">
        <v>3829</v>
      </c>
      <c r="D4418" s="1">
        <v>46080</v>
      </c>
      <c r="E4418" t="s">
        <v>3830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1788</v>
      </c>
      <c r="K4418" t="s">
        <v>1789</v>
      </c>
      <c r="L4418">
        <v>20135</v>
      </c>
      <c r="M4418" t="s">
        <v>459</v>
      </c>
      <c r="O4418" t="s">
        <v>11</v>
      </c>
      <c r="P4418">
        <v>5102</v>
      </c>
      <c r="Q4418">
        <v>7</v>
      </c>
      <c r="R4418">
        <v>25.37</v>
      </c>
      <c r="S4418">
        <v>177.59</v>
      </c>
      <c r="T4418">
        <v>134.82</v>
      </c>
      <c r="U4418">
        <v>24.08</v>
      </c>
      <c r="V4418" t="str">
        <f>VLOOKUP(L4418,'[2]tabela de preços'!$A:$D,4,0)</f>
        <v>3M</v>
      </c>
      <c r="W4418" t="str">
        <f>VLOOKUP(L4418,'[2]tabela de preços'!$A:$F,6,0)</f>
        <v>DISCO TRIZACT</v>
      </c>
      <c r="X4418" t="str">
        <f>VLOOKUP(L4418,'[2]tabela de preços'!$A:$G,7,0)</f>
        <v>AUTOMOTIVO</v>
      </c>
    </row>
    <row r="4419" spans="1:24" x14ac:dyDescent="0.3">
      <c r="A4419" t="s">
        <v>1785</v>
      </c>
      <c r="C4419" t="s">
        <v>3829</v>
      </c>
      <c r="D4419" s="1">
        <v>46080</v>
      </c>
      <c r="E4419" t="s">
        <v>3830</v>
      </c>
      <c r="F4419">
        <v>9</v>
      </c>
      <c r="G4419">
        <v>174</v>
      </c>
      <c r="H4419" t="str">
        <f>VLOOKUP(G4419,[1]OPERADORES!$A:$B,2,0)</f>
        <v>MIRIÃ LOBATO RODRIGUES</v>
      </c>
      <c r="I4419" t="s">
        <v>21</v>
      </c>
      <c r="J4419" t="s">
        <v>1788</v>
      </c>
      <c r="K4419" t="s">
        <v>1789</v>
      </c>
      <c r="L4419">
        <v>13</v>
      </c>
      <c r="M4419" t="s">
        <v>152</v>
      </c>
      <c r="O4419" t="s">
        <v>11</v>
      </c>
      <c r="P4419">
        <v>5102</v>
      </c>
      <c r="Q4419">
        <v>100</v>
      </c>
      <c r="R4419">
        <v>5.79</v>
      </c>
      <c r="S4419">
        <v>579</v>
      </c>
      <c r="T4419">
        <v>416</v>
      </c>
      <c r="U4419">
        <v>28.15</v>
      </c>
      <c r="V4419" t="str">
        <f>VLOOKUP(L4419,'[2]tabela de preços'!$A:$D,4,0)</f>
        <v>3M</v>
      </c>
      <c r="W4419" t="str">
        <f>VLOOKUP(L4419,'[2]tabela de preços'!$A:$F,6,0)</f>
        <v>LIXA DÁGUA</v>
      </c>
      <c r="X4419" t="str">
        <f>VLOOKUP(L4419,'[2]tabela de preços'!$A:$G,7,0)</f>
        <v>AUTOMOTIVO</v>
      </c>
    </row>
    <row r="4420" spans="1:24" x14ac:dyDescent="0.3">
      <c r="A4420" t="s">
        <v>1785</v>
      </c>
      <c r="C4420" t="s">
        <v>3829</v>
      </c>
      <c r="D4420" s="1">
        <v>46080</v>
      </c>
      <c r="E4420" t="s">
        <v>3830</v>
      </c>
      <c r="F4420">
        <v>9</v>
      </c>
      <c r="G4420">
        <v>174</v>
      </c>
      <c r="H4420" t="str">
        <f>VLOOKUP(G4420,[1]OPERADORES!$A:$B,2,0)</f>
        <v>MIRIÃ LOBATO RODRIGUES</v>
      </c>
      <c r="I4420" t="s">
        <v>21</v>
      </c>
      <c r="J4420" t="s">
        <v>1788</v>
      </c>
      <c r="K4420" t="s">
        <v>1789</v>
      </c>
      <c r="L4420">
        <v>15</v>
      </c>
      <c r="M4420" t="s">
        <v>205</v>
      </c>
      <c r="O4420" t="s">
        <v>11</v>
      </c>
      <c r="P4420">
        <v>5102</v>
      </c>
      <c r="Q4420">
        <v>50</v>
      </c>
      <c r="R4420">
        <v>5.79</v>
      </c>
      <c r="S4420">
        <v>289.5</v>
      </c>
      <c r="T4420">
        <v>208</v>
      </c>
      <c r="U4420">
        <v>28.15</v>
      </c>
      <c r="V4420" t="str">
        <f>VLOOKUP(L4420,'[2]tabela de preços'!$A:$D,4,0)</f>
        <v>3M</v>
      </c>
      <c r="W4420" t="str">
        <f>VLOOKUP(L4420,'[2]tabela de preços'!$A:$F,6,0)</f>
        <v>LIXA DÁGUA</v>
      </c>
      <c r="X4420" t="str">
        <f>VLOOKUP(L4420,'[2]tabela de preços'!$A:$G,7,0)</f>
        <v>AUTOMOTIVO</v>
      </c>
    </row>
    <row r="4421" spans="1:24" x14ac:dyDescent="0.3">
      <c r="A4421" t="s">
        <v>1785</v>
      </c>
      <c r="C4421" t="s">
        <v>3829</v>
      </c>
      <c r="D4421" s="1">
        <v>46080</v>
      </c>
      <c r="E4421" t="s">
        <v>3830</v>
      </c>
      <c r="F4421">
        <v>9</v>
      </c>
      <c r="G4421">
        <v>174</v>
      </c>
      <c r="H4421" t="str">
        <f>VLOOKUP(G4421,[1]OPERADORES!$A:$B,2,0)</f>
        <v>MIRIÃ LOBATO RODRIGUES</v>
      </c>
      <c r="I4421" t="s">
        <v>21</v>
      </c>
      <c r="J4421" t="s">
        <v>1788</v>
      </c>
      <c r="K4421" t="s">
        <v>1789</v>
      </c>
      <c r="L4421">
        <v>20817</v>
      </c>
      <c r="M4421" t="s">
        <v>153</v>
      </c>
      <c r="O4421" t="s">
        <v>11</v>
      </c>
      <c r="P4421">
        <v>5102</v>
      </c>
      <c r="Q4421">
        <v>12</v>
      </c>
      <c r="R4421">
        <v>22.89</v>
      </c>
      <c r="S4421">
        <v>274.68</v>
      </c>
      <c r="T4421">
        <v>223.44</v>
      </c>
      <c r="U4421">
        <v>18.649999999999999</v>
      </c>
      <c r="V4421" t="str">
        <f>VLOOKUP(L4421,'[2]tabela de preços'!$A:$D,4,0)</f>
        <v>AUTO AMERICA</v>
      </c>
      <c r="W4421" t="str">
        <f>VLOOKUP(L4421,'[2]tabela de preços'!$A:$F,6,0)</f>
        <v>MASSA DE POLIR</v>
      </c>
      <c r="X4421" t="str">
        <f>VLOOKUP(L4421,'[2]tabela de preços'!$A:$G,7,0)</f>
        <v>AUTOMOTIVO</v>
      </c>
    </row>
    <row r="4422" spans="1:24" x14ac:dyDescent="0.3">
      <c r="A4422" t="s">
        <v>2790</v>
      </c>
      <c r="C4422" t="s">
        <v>3831</v>
      </c>
      <c r="D4422" s="1">
        <v>46079</v>
      </c>
      <c r="E4422" t="s">
        <v>3832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750</v>
      </c>
      <c r="K4422" t="s">
        <v>2793</v>
      </c>
      <c r="L4422">
        <v>10238</v>
      </c>
      <c r="M4422" t="s">
        <v>79</v>
      </c>
      <c r="O4422" t="s">
        <v>11</v>
      </c>
      <c r="P4422">
        <v>5102</v>
      </c>
      <c r="Q4422">
        <v>2</v>
      </c>
      <c r="R4422">
        <v>2.79</v>
      </c>
      <c r="S4422">
        <v>5.58</v>
      </c>
      <c r="T4422">
        <v>4.4800000000000004</v>
      </c>
      <c r="U4422">
        <v>19.71</v>
      </c>
      <c r="V4422" t="str">
        <f>VLOOKUP(L4422,'[2]tabela de preços'!$A:$D,4,0)</f>
        <v>NORTON</v>
      </c>
      <c r="W4422" t="str">
        <f>VLOOKUP(L4422,'[2]tabela de preços'!$A:$F,6,0)</f>
        <v xml:space="preserve">DISCOS / LIXAS / ABRASIVOS </v>
      </c>
      <c r="X4422" t="str">
        <f>VLOOKUP(L4422,'[2]tabela de preços'!$A:$G,7,0)</f>
        <v>AUTOMOTIVO</v>
      </c>
    </row>
    <row r="4423" spans="1:24" x14ac:dyDescent="0.3">
      <c r="A4423" t="s">
        <v>2790</v>
      </c>
      <c r="C4423" t="s">
        <v>3831</v>
      </c>
      <c r="D4423" s="1">
        <v>46079</v>
      </c>
      <c r="E4423" t="s">
        <v>3832</v>
      </c>
      <c r="F4423">
        <v>9</v>
      </c>
      <c r="G4423">
        <v>236</v>
      </c>
      <c r="H4423" t="str">
        <f>VLOOKUP(G4423,[1]OPERADORES!$A:$B,2,0)</f>
        <v>DANIEL</v>
      </c>
      <c r="I4423" t="s">
        <v>21</v>
      </c>
      <c r="J4423" t="s">
        <v>750</v>
      </c>
      <c r="K4423" t="s">
        <v>2793</v>
      </c>
      <c r="L4423">
        <v>10242</v>
      </c>
      <c r="M4423" t="s">
        <v>82</v>
      </c>
      <c r="O4423" t="s">
        <v>11</v>
      </c>
      <c r="P4423">
        <v>5102</v>
      </c>
      <c r="Q4423">
        <v>1</v>
      </c>
      <c r="R4423">
        <v>2.79</v>
      </c>
      <c r="S4423">
        <v>2.79</v>
      </c>
      <c r="T4423">
        <v>2.2400000000000002</v>
      </c>
      <c r="U4423">
        <v>19.71</v>
      </c>
      <c r="V4423" t="str">
        <f>VLOOKUP(L4423,'[2]tabela de preços'!$A:$D,4,0)</f>
        <v>NORTON</v>
      </c>
      <c r="W4423" t="str">
        <f>VLOOKUP(L4423,'[2]tabela de preços'!$A:$F,6,0)</f>
        <v xml:space="preserve">DISCOS / LIXAS / ABRASIVOS </v>
      </c>
      <c r="X4423" t="str">
        <f>VLOOKUP(L4423,'[2]tabela de preços'!$A:$G,7,0)</f>
        <v>AUTOMOTIVO</v>
      </c>
    </row>
    <row r="4424" spans="1:24" x14ac:dyDescent="0.3">
      <c r="A4424" t="s">
        <v>2790</v>
      </c>
      <c r="C4424" t="s">
        <v>3831</v>
      </c>
      <c r="D4424" s="1">
        <v>46079</v>
      </c>
      <c r="E4424" t="s">
        <v>3832</v>
      </c>
      <c r="F4424">
        <v>9</v>
      </c>
      <c r="G4424">
        <v>236</v>
      </c>
      <c r="H4424" t="str">
        <f>VLOOKUP(G4424,[1]OPERADORES!$A:$B,2,0)</f>
        <v>DANIEL</v>
      </c>
      <c r="I4424" t="s">
        <v>21</v>
      </c>
      <c r="J4424" t="s">
        <v>750</v>
      </c>
      <c r="K4424" t="s">
        <v>2793</v>
      </c>
      <c r="L4424">
        <v>23267</v>
      </c>
      <c r="M4424" t="s">
        <v>164</v>
      </c>
      <c r="O4424" t="s">
        <v>11</v>
      </c>
      <c r="P4424">
        <v>5102</v>
      </c>
      <c r="Q4424">
        <v>1</v>
      </c>
      <c r="R4424">
        <v>22.89</v>
      </c>
      <c r="S4424">
        <v>22.89</v>
      </c>
      <c r="T4424">
        <v>18.62</v>
      </c>
      <c r="U4424">
        <v>18.649999999999999</v>
      </c>
      <c r="V4424" t="str">
        <f>VLOOKUP(L4424,'[2]tabela de preços'!$A:$D,4,0)</f>
        <v>ANJO</v>
      </c>
      <c r="W4424" t="str">
        <f>VLOOKUP(L4424,'[2]tabela de preços'!$A:$F,6,0)</f>
        <v>MASSA POLIÉSTER</v>
      </c>
      <c r="X4424" t="str">
        <f>VLOOKUP(L4424,'[2]tabela de preços'!$A:$G,7,0)</f>
        <v>AUTOMOTIVO</v>
      </c>
    </row>
    <row r="4425" spans="1:24" x14ac:dyDescent="0.3">
      <c r="A4425" t="s">
        <v>2790</v>
      </c>
      <c r="C4425" t="s">
        <v>3831</v>
      </c>
      <c r="D4425" s="1">
        <v>46079</v>
      </c>
      <c r="E4425" t="s">
        <v>3833</v>
      </c>
      <c r="F4425">
        <v>9</v>
      </c>
      <c r="G4425">
        <v>236</v>
      </c>
      <c r="H4425" t="str">
        <f>VLOOKUP(G4425,[1]OPERADORES!$A:$B,2,0)</f>
        <v>DANIEL</v>
      </c>
      <c r="I4425" t="s">
        <v>21</v>
      </c>
      <c r="J4425" t="s">
        <v>750</v>
      </c>
      <c r="K4425" t="s">
        <v>2793</v>
      </c>
      <c r="L4425">
        <v>85686</v>
      </c>
      <c r="M4425" t="s">
        <v>3834</v>
      </c>
      <c r="O4425" t="s">
        <v>11</v>
      </c>
      <c r="P4425">
        <v>5102</v>
      </c>
      <c r="Q4425">
        <v>1</v>
      </c>
      <c r="R4425">
        <v>10</v>
      </c>
      <c r="S4425">
        <v>10</v>
      </c>
      <c r="T4425">
        <v>5.76</v>
      </c>
      <c r="U4425">
        <v>42.4</v>
      </c>
      <c r="V4425" t="str">
        <f>VLOOKUP(L4425,'[2]tabela de preços'!$A:$D,4,0)</f>
        <v>UNIPEGA</v>
      </c>
      <c r="W4425" t="str">
        <f>VLOOKUP(L4425,'[2]tabela de preços'!$A:$F,6,0)</f>
        <v>SILICONE</v>
      </c>
      <c r="X4425" t="str">
        <f>VLOOKUP(L4425,'[2]tabela de preços'!$A:$G,7,0)</f>
        <v>IMOBILIÁRIO</v>
      </c>
    </row>
    <row r="4426" spans="1:24" x14ac:dyDescent="0.3">
      <c r="A4426" t="s">
        <v>2790</v>
      </c>
      <c r="C4426" t="s">
        <v>3831</v>
      </c>
      <c r="D4426" s="1">
        <v>46079</v>
      </c>
      <c r="E4426" t="s">
        <v>3833</v>
      </c>
      <c r="F4426">
        <v>9</v>
      </c>
      <c r="G4426">
        <v>236</v>
      </c>
      <c r="H4426" t="str">
        <f>VLOOKUP(G4426,[1]OPERADORES!$A:$B,2,0)</f>
        <v>DANIEL</v>
      </c>
      <c r="I4426" t="s">
        <v>21</v>
      </c>
      <c r="J4426" t="s">
        <v>750</v>
      </c>
      <c r="K4426" t="s">
        <v>2793</v>
      </c>
      <c r="L4426">
        <v>85650</v>
      </c>
      <c r="M4426" t="s">
        <v>439</v>
      </c>
      <c r="O4426" t="s">
        <v>11</v>
      </c>
      <c r="P4426">
        <v>5403</v>
      </c>
      <c r="Q4426">
        <v>1</v>
      </c>
      <c r="R4426">
        <v>9.35</v>
      </c>
      <c r="S4426">
        <v>9.35</v>
      </c>
      <c r="T4426">
        <v>6.92</v>
      </c>
      <c r="U4426">
        <v>25.99</v>
      </c>
      <c r="V4426" t="str">
        <f>VLOOKUP(L4426,'[2]tabela de preços'!$A:$D,4,0)</f>
        <v>UNIPEGA</v>
      </c>
      <c r="W4426" t="str">
        <f>VLOOKUP(L4426,'[2]tabela de preços'!$A:$F,6,0)</f>
        <v xml:space="preserve">SPRAYS </v>
      </c>
      <c r="X4426" t="str">
        <f>VLOOKUP(L4426,'[2]tabela de preços'!$A:$G,7,0)</f>
        <v>AUTOMOTIVO</v>
      </c>
    </row>
    <row r="4427" spans="1:24" x14ac:dyDescent="0.3">
      <c r="A4427" t="s">
        <v>1819</v>
      </c>
      <c r="C4427" t="s">
        <v>3835</v>
      </c>
      <c r="D4427" s="1">
        <v>46080</v>
      </c>
      <c r="E4427" t="s">
        <v>3836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1816</v>
      </c>
      <c r="K4427" t="s">
        <v>1822</v>
      </c>
      <c r="L4427">
        <v>85678</v>
      </c>
      <c r="M4427" t="s">
        <v>1359</v>
      </c>
      <c r="O4427" t="s">
        <v>11</v>
      </c>
      <c r="P4427">
        <v>5102</v>
      </c>
      <c r="Q4427">
        <v>10</v>
      </c>
      <c r="R4427">
        <v>1.45</v>
      </c>
      <c r="S4427">
        <v>14.5</v>
      </c>
      <c r="T4427">
        <v>11.4</v>
      </c>
      <c r="U4427">
        <v>21.38</v>
      </c>
      <c r="V4427" t="str">
        <f>VLOOKUP(L4427,'[2]tabela de preços'!$A:$D,4,0)</f>
        <v>UNIPEGA</v>
      </c>
      <c r="W4427" t="str">
        <f>VLOOKUP(L4427,'[2]tabela de preços'!$A:$F,6,0)</f>
        <v>FITA ISOLANTE</v>
      </c>
      <c r="X4427" t="str">
        <f>VLOOKUP(L4427,'[2]tabela de preços'!$A:$G,7,0)</f>
        <v>IMOBILIÁRIO</v>
      </c>
    </row>
    <row r="4428" spans="1:24" x14ac:dyDescent="0.3">
      <c r="A4428" t="s">
        <v>1819</v>
      </c>
      <c r="C4428" t="s">
        <v>3835</v>
      </c>
      <c r="D4428" s="1">
        <v>46080</v>
      </c>
      <c r="E4428" t="s">
        <v>3836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1816</v>
      </c>
      <c r="K4428" t="s">
        <v>1822</v>
      </c>
      <c r="L4428">
        <v>21755</v>
      </c>
      <c r="M4428" t="s">
        <v>2257</v>
      </c>
      <c r="O4428" t="s">
        <v>11</v>
      </c>
      <c r="P4428">
        <v>5403</v>
      </c>
      <c r="Q4428">
        <v>12</v>
      </c>
      <c r="R4428">
        <v>16.07</v>
      </c>
      <c r="S4428">
        <v>192.84</v>
      </c>
      <c r="T4428">
        <v>146.28</v>
      </c>
      <c r="U4428">
        <v>24.14</v>
      </c>
      <c r="V4428" t="str">
        <f>VLOOKUP(L4428,'[2]tabela de preços'!$A:$D,4,0)</f>
        <v>SHERWIN WILLIAMS</v>
      </c>
      <c r="W4428" t="str">
        <f>VLOOKUP(L4428,'[2]tabela de preços'!$A:$F,6,0)</f>
        <v xml:space="preserve">SPRAYS </v>
      </c>
      <c r="X4428" t="str">
        <f>VLOOKUP(L4428,'[2]tabela de preços'!$A:$G,7,0)</f>
        <v>AUTOMOTIVO</v>
      </c>
    </row>
    <row r="4429" spans="1:24" x14ac:dyDescent="0.3">
      <c r="A4429" t="s">
        <v>1819</v>
      </c>
      <c r="C4429" t="s">
        <v>3835</v>
      </c>
      <c r="D4429" s="1">
        <v>46080</v>
      </c>
      <c r="E4429" t="s">
        <v>3836</v>
      </c>
      <c r="F4429">
        <v>9</v>
      </c>
      <c r="G4429">
        <v>174</v>
      </c>
      <c r="H4429" t="str">
        <f>VLOOKUP(G4429,[1]OPERADORES!$A:$B,2,0)</f>
        <v>MIRIÃ LOBATO RODRIGUES</v>
      </c>
      <c r="I4429" t="s">
        <v>21</v>
      </c>
      <c r="J4429" t="s">
        <v>1816</v>
      </c>
      <c r="K4429" t="s">
        <v>1822</v>
      </c>
      <c r="L4429">
        <v>10298</v>
      </c>
      <c r="M4429" t="s">
        <v>85</v>
      </c>
      <c r="O4429" t="s">
        <v>11</v>
      </c>
      <c r="P4429">
        <v>5102</v>
      </c>
      <c r="Q4429">
        <v>4</v>
      </c>
      <c r="R4429">
        <v>56.89</v>
      </c>
      <c r="S4429">
        <v>227.56</v>
      </c>
      <c r="T4429">
        <v>189.52</v>
      </c>
      <c r="U4429">
        <v>16.72</v>
      </c>
      <c r="V4429" t="str">
        <f>VLOOKUP(L4429,'[2]tabela de preços'!$A:$D,4,0)</f>
        <v>ANJO</v>
      </c>
      <c r="W4429" t="str">
        <f>VLOOKUP(L4429,'[2]tabela de preços'!$A:$F,6,0)</f>
        <v>THINNER DE LIMPEZA</v>
      </c>
      <c r="X4429" t="str">
        <f>VLOOKUP(L4429,'[2]tabela de preços'!$A:$G,7,0)</f>
        <v>THINNER</v>
      </c>
    </row>
    <row r="4430" spans="1:24" x14ac:dyDescent="0.3">
      <c r="A4430" t="s">
        <v>3837</v>
      </c>
      <c r="B4430" t="s">
        <v>3838</v>
      </c>
      <c r="C4430" t="s">
        <v>3839</v>
      </c>
      <c r="D4430" s="1">
        <v>46079</v>
      </c>
      <c r="E4430" t="s">
        <v>3840</v>
      </c>
      <c r="F4430">
        <v>9</v>
      </c>
      <c r="G4430">
        <v>145</v>
      </c>
      <c r="H4430" t="str">
        <f>VLOOKUP(G4430,[1]OPERADORES!$A:$B,2,0)</f>
        <v xml:space="preserve">FABRICIA </v>
      </c>
      <c r="I4430" t="s">
        <v>21</v>
      </c>
      <c r="J4430" t="s">
        <v>1483</v>
      </c>
      <c r="K4430" t="s">
        <v>3841</v>
      </c>
      <c r="L4430">
        <v>84041</v>
      </c>
      <c r="M4430" t="s">
        <v>1736</v>
      </c>
      <c r="O4430" t="s">
        <v>11</v>
      </c>
      <c r="P4430">
        <v>5102</v>
      </c>
      <c r="Q4430">
        <v>2</v>
      </c>
      <c r="R4430">
        <v>10.85</v>
      </c>
      <c r="S4430">
        <v>21.7</v>
      </c>
      <c r="T4430">
        <v>11.84</v>
      </c>
      <c r="U4430">
        <v>45.44</v>
      </c>
      <c r="V4430" t="str">
        <f>VLOOKUP(L4430,'[2]tabela de preços'!$A:$D,4,0)</f>
        <v>BRASILUX</v>
      </c>
      <c r="W4430" t="str">
        <f>VLOOKUP(L4430,'[2]tabela de preços'!$A:$F,6,0)</f>
        <v>FERRUGEM</v>
      </c>
      <c r="X4430" t="str">
        <f>VLOOKUP(L4430,'[2]tabela de preços'!$A:$G,7,0)</f>
        <v>AUTOMOTIVO</v>
      </c>
    </row>
    <row r="4431" spans="1:24" x14ac:dyDescent="0.3">
      <c r="A4431" t="s">
        <v>1847</v>
      </c>
      <c r="B4431" t="s">
        <v>1848</v>
      </c>
      <c r="C4431" t="s">
        <v>3842</v>
      </c>
      <c r="D4431" s="1">
        <v>46080</v>
      </c>
      <c r="E4431" t="s">
        <v>3843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357</v>
      </c>
      <c r="K4431" t="s">
        <v>1851</v>
      </c>
      <c r="L4431">
        <v>10236</v>
      </c>
      <c r="M4431" t="s">
        <v>133</v>
      </c>
      <c r="O4431" t="s">
        <v>11</v>
      </c>
      <c r="P4431">
        <v>5102</v>
      </c>
      <c r="Q4431">
        <v>102</v>
      </c>
      <c r="R4431">
        <v>2.79</v>
      </c>
      <c r="S4431">
        <v>284.58</v>
      </c>
      <c r="T4431">
        <v>236.64</v>
      </c>
      <c r="U4431">
        <v>16.850000000000001</v>
      </c>
      <c r="V4431" t="str">
        <f>VLOOKUP(L4431,'[2]tabela de preços'!$A:$D,4,0)</f>
        <v>NORTON</v>
      </c>
      <c r="W4431" t="str">
        <f>VLOOKUP(L4431,'[2]tabela de preços'!$A:$F,6,0)</f>
        <v xml:space="preserve">DISCOS / LIXAS / ABRASIVOS </v>
      </c>
      <c r="X4431" t="str">
        <f>VLOOKUP(L4431,'[2]tabela de preços'!$A:$G,7,0)</f>
        <v>AUTOMOTIVO</v>
      </c>
    </row>
    <row r="4432" spans="1:24" x14ac:dyDescent="0.3">
      <c r="A4432" t="s">
        <v>1847</v>
      </c>
      <c r="B4432" t="s">
        <v>1848</v>
      </c>
      <c r="C4432" t="s">
        <v>3842</v>
      </c>
      <c r="D4432" s="1">
        <v>46080</v>
      </c>
      <c r="E4432" t="s">
        <v>3843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357</v>
      </c>
      <c r="K4432" t="s">
        <v>1851</v>
      </c>
      <c r="L4432">
        <v>10226</v>
      </c>
      <c r="M4432" t="s">
        <v>145</v>
      </c>
      <c r="O4432" t="s">
        <v>11</v>
      </c>
      <c r="P4432">
        <v>5102</v>
      </c>
      <c r="Q4432">
        <v>102</v>
      </c>
      <c r="R4432">
        <v>2.79</v>
      </c>
      <c r="S4432">
        <v>284.58</v>
      </c>
      <c r="T4432">
        <v>236.64</v>
      </c>
      <c r="U4432">
        <v>16.850000000000001</v>
      </c>
      <c r="V4432" t="str">
        <f>VLOOKUP(L4432,'[2]tabela de preços'!$A:$D,4,0)</f>
        <v>NORTON</v>
      </c>
      <c r="W4432" t="str">
        <f>VLOOKUP(L4432,'[2]tabela de preços'!$A:$F,6,0)</f>
        <v xml:space="preserve">DISCOS / LIXAS / ABRASIVOS </v>
      </c>
      <c r="X4432" t="str">
        <f>VLOOKUP(L4432,'[2]tabela de preços'!$A:$G,7,0)</f>
        <v>AUTOMOTIVO</v>
      </c>
    </row>
    <row r="4433" spans="1:24" x14ac:dyDescent="0.3">
      <c r="A4433" t="s">
        <v>1847</v>
      </c>
      <c r="B4433" t="s">
        <v>1848</v>
      </c>
      <c r="C4433" t="s">
        <v>3842</v>
      </c>
      <c r="D4433" s="1">
        <v>46080</v>
      </c>
      <c r="E4433" t="s">
        <v>3843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357</v>
      </c>
      <c r="K4433" t="s">
        <v>1851</v>
      </c>
      <c r="L4433">
        <v>10230</v>
      </c>
      <c r="M4433" t="s">
        <v>193</v>
      </c>
      <c r="O4433" t="s">
        <v>11</v>
      </c>
      <c r="P4433">
        <v>5102</v>
      </c>
      <c r="Q4433">
        <v>102</v>
      </c>
      <c r="R4433">
        <v>2.79</v>
      </c>
      <c r="S4433">
        <v>284.58</v>
      </c>
      <c r="T4433">
        <v>236.64</v>
      </c>
      <c r="U4433">
        <v>16.850000000000001</v>
      </c>
      <c r="V4433" t="str">
        <f>VLOOKUP(L4433,'[2]tabela de preços'!$A:$D,4,0)</f>
        <v>NORTON</v>
      </c>
      <c r="W4433" t="str">
        <f>VLOOKUP(L4433,'[2]tabela de preços'!$A:$F,6,0)</f>
        <v xml:space="preserve">DISCOS / LIXAS / ABRASIVOS </v>
      </c>
      <c r="X4433" t="str">
        <f>VLOOKUP(L4433,'[2]tabela de preços'!$A:$G,7,0)</f>
        <v>AUTOMOTIVO</v>
      </c>
    </row>
    <row r="4434" spans="1:24" x14ac:dyDescent="0.3">
      <c r="A4434" t="s">
        <v>1847</v>
      </c>
      <c r="B4434" t="s">
        <v>1848</v>
      </c>
      <c r="C4434" t="s">
        <v>3842</v>
      </c>
      <c r="D4434" s="1">
        <v>46080</v>
      </c>
      <c r="E4434" t="s">
        <v>3843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357</v>
      </c>
      <c r="K4434" t="s">
        <v>1851</v>
      </c>
      <c r="L4434">
        <v>10238</v>
      </c>
      <c r="M4434" t="s">
        <v>79</v>
      </c>
      <c r="O4434" t="s">
        <v>11</v>
      </c>
      <c r="P4434">
        <v>5102</v>
      </c>
      <c r="Q4434">
        <v>50</v>
      </c>
      <c r="R4434">
        <v>2.79</v>
      </c>
      <c r="S4434">
        <v>139.5</v>
      </c>
      <c r="T4434">
        <v>112</v>
      </c>
      <c r="U4434">
        <v>19.71</v>
      </c>
      <c r="V4434" t="str">
        <f>VLOOKUP(L4434,'[2]tabela de preços'!$A:$D,4,0)</f>
        <v>NORTON</v>
      </c>
      <c r="W4434" t="str">
        <f>VLOOKUP(L4434,'[2]tabela de preços'!$A:$F,6,0)</f>
        <v xml:space="preserve">DISCOS / LIXAS / ABRASIVOS </v>
      </c>
      <c r="X4434" t="str">
        <f>VLOOKUP(L4434,'[2]tabela de preços'!$A:$G,7,0)</f>
        <v>AUTOMOTIVO</v>
      </c>
    </row>
    <row r="4435" spans="1:24" x14ac:dyDescent="0.3">
      <c r="A4435" t="s">
        <v>1847</v>
      </c>
      <c r="B4435" t="s">
        <v>1848</v>
      </c>
      <c r="C4435" t="s">
        <v>3842</v>
      </c>
      <c r="D4435" s="1">
        <v>46080</v>
      </c>
      <c r="E4435" t="s">
        <v>3843</v>
      </c>
      <c r="F4435">
        <v>9</v>
      </c>
      <c r="G4435">
        <v>236</v>
      </c>
      <c r="H4435" t="str">
        <f>VLOOKUP(G4435,[1]OPERADORES!$A:$B,2,0)</f>
        <v>DANIEL</v>
      </c>
      <c r="I4435" t="s">
        <v>21</v>
      </c>
      <c r="J4435" t="s">
        <v>357</v>
      </c>
      <c r="K4435" t="s">
        <v>1851</v>
      </c>
      <c r="L4435">
        <v>9764</v>
      </c>
      <c r="M4435" t="s">
        <v>173</v>
      </c>
      <c r="O4435" t="s">
        <v>11</v>
      </c>
      <c r="P4435">
        <v>5102</v>
      </c>
      <c r="Q4435">
        <v>2</v>
      </c>
      <c r="R4435">
        <v>34.090000000000003</v>
      </c>
      <c r="S4435">
        <v>68.180000000000007</v>
      </c>
      <c r="T4435">
        <v>48.88</v>
      </c>
      <c r="U4435">
        <v>28.31</v>
      </c>
      <c r="V4435" t="str">
        <f>VLOOKUP(L4435,'[2]tabela de preços'!$A:$D,4,0)</f>
        <v>SIKKENS</v>
      </c>
      <c r="W4435" t="str">
        <f>VLOOKUP(L4435,'[2]tabela de preços'!$A:$F,6,0)</f>
        <v>MASSA DE PEQUENOS REPAROS</v>
      </c>
      <c r="X4435" t="str">
        <f>VLOOKUP(L4435,'[2]tabela de preços'!$A:$G,7,0)</f>
        <v>AUTOMOTIVO</v>
      </c>
    </row>
    <row r="4436" spans="1:24" x14ac:dyDescent="0.3">
      <c r="A4436" t="s">
        <v>1865</v>
      </c>
      <c r="C4436" t="s">
        <v>3652</v>
      </c>
      <c r="D4436" s="1">
        <v>46078</v>
      </c>
      <c r="E4436" t="s">
        <v>3653</v>
      </c>
      <c r="F4436">
        <v>9</v>
      </c>
      <c r="G4436">
        <v>231</v>
      </c>
      <c r="H4436" t="str">
        <f>VLOOKUP(G4436,[1]OPERADORES!$A:$B,2,0)</f>
        <v>EDIJANE</v>
      </c>
      <c r="I4436" t="s">
        <v>21</v>
      </c>
      <c r="J4436" t="s">
        <v>1868</v>
      </c>
      <c r="K4436" t="s">
        <v>1869</v>
      </c>
      <c r="L4436">
        <v>23474</v>
      </c>
      <c r="M4436" t="s">
        <v>3061</v>
      </c>
      <c r="O4436" t="s">
        <v>11</v>
      </c>
      <c r="P4436">
        <v>5102</v>
      </c>
      <c r="Q4436">
        <v>4</v>
      </c>
      <c r="R4436">
        <v>16.48</v>
      </c>
      <c r="S4436">
        <v>65.92</v>
      </c>
      <c r="T4436">
        <v>50.04</v>
      </c>
      <c r="U4436">
        <v>24.09</v>
      </c>
      <c r="V4436" t="str">
        <f>VLOOKUP(L4436,'[2]tabela de preços'!$A:$D,4,0)</f>
        <v>VONIXX</v>
      </c>
      <c r="W4436" t="str">
        <f>VLOOKUP(L4436,'[2]tabela de preços'!$A:$F,6,0)</f>
        <v>LINHA DE HIGENIZAÇÃO E ESTÉTICA  AUTOMOTIVA</v>
      </c>
      <c r="X4436" t="str">
        <f>VLOOKUP(L4436,'[2]tabela de preços'!$A:$G,7,0)</f>
        <v>AUTOMOTIVO</v>
      </c>
    </row>
    <row r="4437" spans="1:24" x14ac:dyDescent="0.3">
      <c r="A4437" t="s">
        <v>1865</v>
      </c>
      <c r="C4437" t="s">
        <v>3652</v>
      </c>
      <c r="D4437" s="1">
        <v>46078</v>
      </c>
      <c r="E4437" t="s">
        <v>3653</v>
      </c>
      <c r="F4437">
        <v>9</v>
      </c>
      <c r="G4437">
        <v>231</v>
      </c>
      <c r="H4437" t="str">
        <f>VLOOKUP(G4437,[1]OPERADORES!$A:$B,2,0)</f>
        <v>EDIJANE</v>
      </c>
      <c r="I4437" t="s">
        <v>21</v>
      </c>
      <c r="J4437" t="s">
        <v>1868</v>
      </c>
      <c r="K4437" t="s">
        <v>1869</v>
      </c>
      <c r="L4437">
        <v>84174</v>
      </c>
      <c r="M4437" t="s">
        <v>1532</v>
      </c>
      <c r="O4437" t="s">
        <v>11</v>
      </c>
      <c r="P4437">
        <v>5403</v>
      </c>
      <c r="Q4437">
        <v>2</v>
      </c>
      <c r="R4437">
        <v>92.33</v>
      </c>
      <c r="S4437">
        <v>184.66</v>
      </c>
      <c r="T4437">
        <v>140.16</v>
      </c>
      <c r="U4437">
        <v>24.1</v>
      </c>
      <c r="V4437" t="str">
        <f>VLOOKUP(L4437,'[2]tabela de preços'!$A:$D,4,0)</f>
        <v>BRASILUX</v>
      </c>
      <c r="W4437" t="str">
        <f>VLOOKUP(L4437,'[2]tabela de preços'!$A:$F,6,0)</f>
        <v>ESMALTES</v>
      </c>
      <c r="X4437" t="str">
        <f>VLOOKUP(L4437,'[2]tabela de preços'!$A:$G,7,0)</f>
        <v>INDUSTRIAL</v>
      </c>
    </row>
    <row r="4438" spans="1:24" x14ac:dyDescent="0.3">
      <c r="A4438" t="s">
        <v>1865</v>
      </c>
      <c r="C4438" t="s">
        <v>3652</v>
      </c>
      <c r="D4438" s="1">
        <v>46078</v>
      </c>
      <c r="E4438" t="s">
        <v>3653</v>
      </c>
      <c r="F4438">
        <v>9</v>
      </c>
      <c r="G4438">
        <v>231</v>
      </c>
      <c r="H4438" t="str">
        <f>VLOOKUP(G4438,[1]OPERADORES!$A:$B,2,0)</f>
        <v>EDIJANE</v>
      </c>
      <c r="I4438" t="s">
        <v>21</v>
      </c>
      <c r="J4438" t="s">
        <v>1868</v>
      </c>
      <c r="K4438" t="s">
        <v>1869</v>
      </c>
      <c r="L4438">
        <v>24240</v>
      </c>
      <c r="M4438" t="s">
        <v>240</v>
      </c>
      <c r="O4438" t="s">
        <v>11</v>
      </c>
      <c r="P4438">
        <v>5102</v>
      </c>
      <c r="Q4438">
        <v>5</v>
      </c>
      <c r="R4438">
        <v>3.81</v>
      </c>
      <c r="S4438">
        <v>19.05</v>
      </c>
      <c r="T4438">
        <v>16.399999999999999</v>
      </c>
      <c r="U4438">
        <v>13.91</v>
      </c>
      <c r="V4438" t="str">
        <f>VLOOKUP(L4438,'[2]tabela de preços'!$A:$D,4,0)</f>
        <v>ADERE</v>
      </c>
      <c r="W4438" t="str">
        <f>VLOOKUP(L4438,'[2]tabela de preços'!$A:$F,6,0)</f>
        <v>FITA AUTOMOTIVA</v>
      </c>
      <c r="X4438" t="str">
        <f>VLOOKUP(L4438,'[2]tabela de preços'!$A:$G,7,0)</f>
        <v>AUTOMOTIVO</v>
      </c>
    </row>
    <row r="4439" spans="1:24" x14ac:dyDescent="0.3">
      <c r="A4439" t="s">
        <v>1865</v>
      </c>
      <c r="C4439" t="s">
        <v>3652</v>
      </c>
      <c r="D4439" s="1">
        <v>46078</v>
      </c>
      <c r="E4439" t="s">
        <v>3653</v>
      </c>
      <c r="F4439">
        <v>9</v>
      </c>
      <c r="G4439">
        <v>231</v>
      </c>
      <c r="H4439" t="str">
        <f>VLOOKUP(G4439,[1]OPERADORES!$A:$B,2,0)</f>
        <v>EDIJANE</v>
      </c>
      <c r="I4439" t="s">
        <v>21</v>
      </c>
      <c r="J4439" t="s">
        <v>1868</v>
      </c>
      <c r="K4439" t="s">
        <v>1869</v>
      </c>
      <c r="L4439">
        <v>23364</v>
      </c>
      <c r="M4439" t="s">
        <v>3548</v>
      </c>
      <c r="O4439" t="s">
        <v>11</v>
      </c>
      <c r="P4439">
        <v>5102</v>
      </c>
      <c r="Q4439">
        <v>12</v>
      </c>
      <c r="R4439">
        <v>6.19</v>
      </c>
      <c r="S4439">
        <v>74.28</v>
      </c>
      <c r="T4439">
        <v>58.92</v>
      </c>
      <c r="U4439">
        <v>20.68</v>
      </c>
      <c r="V4439" t="str">
        <f>VLOOKUP(L4439,'[2]tabela de preços'!$A:$D,4,0)</f>
        <v>AUTO AMERICA</v>
      </c>
      <c r="W4439" t="str">
        <f>VLOOKUP(L4439,'[2]tabela de preços'!$A:$F,6,0)</f>
        <v>FLANELAS / PANOS</v>
      </c>
      <c r="X4439" t="str">
        <f>VLOOKUP(L4439,'[2]tabela de preços'!$A:$G,7,0)</f>
        <v>AUTOMOTIVO</v>
      </c>
    </row>
    <row r="4440" spans="1:24" x14ac:dyDescent="0.3">
      <c r="A4440" t="s">
        <v>1865</v>
      </c>
      <c r="C4440" t="s">
        <v>3652</v>
      </c>
      <c r="D4440" s="1">
        <v>46078</v>
      </c>
      <c r="E4440" t="s">
        <v>3653</v>
      </c>
      <c r="F4440">
        <v>9</v>
      </c>
      <c r="G4440">
        <v>231</v>
      </c>
      <c r="H4440" t="str">
        <f>VLOOKUP(G4440,[1]OPERADORES!$A:$B,2,0)</f>
        <v>EDIJANE</v>
      </c>
      <c r="I4440" t="s">
        <v>21</v>
      </c>
      <c r="J4440" t="s">
        <v>1868</v>
      </c>
      <c r="K4440" t="s">
        <v>1869</v>
      </c>
      <c r="L4440">
        <v>85164</v>
      </c>
      <c r="M4440" t="s">
        <v>278</v>
      </c>
      <c r="O4440" t="s">
        <v>11</v>
      </c>
      <c r="P4440">
        <v>5102</v>
      </c>
      <c r="Q4440">
        <v>12</v>
      </c>
      <c r="R4440">
        <v>13.29</v>
      </c>
      <c r="S4440">
        <v>159.47999999999999</v>
      </c>
      <c r="T4440">
        <v>121.08</v>
      </c>
      <c r="U4440">
        <v>24.08</v>
      </c>
      <c r="V4440" t="str">
        <f>VLOOKUP(L4440,'[2]tabela de preços'!$A:$D,4,0)</f>
        <v>BRASILUX</v>
      </c>
      <c r="W4440" t="str">
        <f>VLOOKUP(L4440,'[2]tabela de preços'!$A:$F,6,0)</f>
        <v>QUEROSENE</v>
      </c>
      <c r="X4440" t="str">
        <f>VLOOKUP(L4440,'[2]tabela de preços'!$A:$G,7,0)</f>
        <v>AUTOMOTIVO</v>
      </c>
    </row>
    <row r="4441" spans="1:24" x14ac:dyDescent="0.3">
      <c r="A4441" t="s">
        <v>1865</v>
      </c>
      <c r="C4441" t="s">
        <v>3652</v>
      </c>
      <c r="D4441" s="1">
        <v>46078</v>
      </c>
      <c r="E4441" t="s">
        <v>3653</v>
      </c>
      <c r="F4441">
        <v>9</v>
      </c>
      <c r="G4441">
        <v>231</v>
      </c>
      <c r="H4441" t="str">
        <f>VLOOKUP(G4441,[1]OPERADORES!$A:$B,2,0)</f>
        <v>EDIJANE</v>
      </c>
      <c r="I4441" t="s">
        <v>21</v>
      </c>
      <c r="J4441" t="s">
        <v>1868</v>
      </c>
      <c r="K4441" t="s">
        <v>1869</v>
      </c>
      <c r="L4441">
        <v>84321</v>
      </c>
      <c r="M4441" t="s">
        <v>3654</v>
      </c>
      <c r="O4441" t="s">
        <v>11</v>
      </c>
      <c r="P4441">
        <v>5403</v>
      </c>
      <c r="Q4441">
        <v>2</v>
      </c>
      <c r="R4441">
        <v>45.82</v>
      </c>
      <c r="S4441">
        <v>91.64</v>
      </c>
      <c r="T4441">
        <v>69.56</v>
      </c>
      <c r="U4441">
        <v>24.09</v>
      </c>
      <c r="V4441" t="str">
        <f>VLOOKUP(L4441,'[2]tabela de preços'!$A:$D,4,0)</f>
        <v>BRASILUX</v>
      </c>
      <c r="W4441" t="str">
        <f>VLOOKUP(L4441,'[2]tabela de preços'!$A:$F,6,0)</f>
        <v>IMPERMEABILIZANTES</v>
      </c>
      <c r="X4441" t="str">
        <f>VLOOKUP(L4441,'[2]tabela de preços'!$A:$G,7,0)</f>
        <v>IMOBILIÁRIO</v>
      </c>
    </row>
    <row r="4442" spans="1:24" x14ac:dyDescent="0.3">
      <c r="A4442" t="s">
        <v>1865</v>
      </c>
      <c r="C4442" t="s">
        <v>3652</v>
      </c>
      <c r="D4442" s="1">
        <v>46078</v>
      </c>
      <c r="E4442" t="s">
        <v>3653</v>
      </c>
      <c r="F4442">
        <v>9</v>
      </c>
      <c r="G4442">
        <v>231</v>
      </c>
      <c r="H4442" t="str">
        <f>VLOOKUP(G4442,[1]OPERADORES!$A:$B,2,0)</f>
        <v>EDIJANE</v>
      </c>
      <c r="I4442" t="s">
        <v>21</v>
      </c>
      <c r="J4442" t="s">
        <v>1868</v>
      </c>
      <c r="K4442" t="s">
        <v>1869</v>
      </c>
      <c r="L4442">
        <v>85211</v>
      </c>
      <c r="M4442" t="s">
        <v>1079</v>
      </c>
      <c r="O4442" t="s">
        <v>11</v>
      </c>
      <c r="P4442">
        <v>5102</v>
      </c>
      <c r="Q4442">
        <v>2</v>
      </c>
      <c r="R4442">
        <v>23.09</v>
      </c>
      <c r="S4442">
        <v>46.18</v>
      </c>
      <c r="T4442">
        <v>35.06</v>
      </c>
      <c r="U4442">
        <v>24.08</v>
      </c>
      <c r="V4442" t="str">
        <f>VLOOKUP(L4442,'[2]tabela de preços'!$A:$D,4,0)</f>
        <v>VONIXX</v>
      </c>
      <c r="W4442" t="str">
        <f>VLOOKUP(L4442,'[2]tabela de preços'!$A:$F,6,0)</f>
        <v>LINHA DE HIGENIZAÇÃO E ESTÉTICA  AUTOMOTIVA</v>
      </c>
      <c r="X4442" t="str">
        <f>VLOOKUP(L4442,'[2]tabela de preços'!$A:$G,7,0)</f>
        <v>AUTOMOTIVO</v>
      </c>
    </row>
    <row r="4443" spans="1:24" x14ac:dyDescent="0.3">
      <c r="A4443" t="s">
        <v>3491</v>
      </c>
      <c r="B4443" t="s">
        <v>3492</v>
      </c>
      <c r="C4443" t="s">
        <v>3655</v>
      </c>
      <c r="D4443" s="1">
        <v>46078</v>
      </c>
      <c r="E4443" t="s">
        <v>3656</v>
      </c>
      <c r="F4443">
        <v>9</v>
      </c>
      <c r="G4443">
        <v>231</v>
      </c>
      <c r="H4443" t="str">
        <f>VLOOKUP(G4443,[1]OPERADORES!$A:$B,2,0)</f>
        <v>EDIJANE</v>
      </c>
      <c r="I4443" t="s">
        <v>21</v>
      </c>
      <c r="J4443" t="s">
        <v>1340</v>
      </c>
      <c r="K4443" t="s">
        <v>3495</v>
      </c>
      <c r="L4443">
        <v>84950</v>
      </c>
      <c r="M4443" t="s">
        <v>581</v>
      </c>
      <c r="O4443" t="s">
        <v>11</v>
      </c>
      <c r="P4443">
        <v>5102</v>
      </c>
      <c r="Q4443">
        <v>2</v>
      </c>
      <c r="R4443">
        <v>47.8</v>
      </c>
      <c r="S4443">
        <v>95.6</v>
      </c>
      <c r="T4443">
        <v>72.56</v>
      </c>
      <c r="U4443">
        <v>24.1</v>
      </c>
      <c r="V4443" t="str">
        <f>VLOOKUP(L4443,'[2]tabela de preços'!$A:$D,4,0)</f>
        <v>BRASILUX</v>
      </c>
      <c r="W4443" t="str">
        <f>VLOOKUP(L4443,'[2]tabela de preços'!$A:$F,6,0)</f>
        <v>EPOXI</v>
      </c>
      <c r="X4443" t="str">
        <f>VLOOKUP(L4443,'[2]tabela de preços'!$A:$G,7,0)</f>
        <v>INDUSTRIAL</v>
      </c>
    </row>
    <row r="4444" spans="1:24" x14ac:dyDescent="0.3">
      <c r="A4444" t="s">
        <v>3491</v>
      </c>
      <c r="B4444" t="s">
        <v>3492</v>
      </c>
      <c r="C4444" t="s">
        <v>3655</v>
      </c>
      <c r="D4444" s="1">
        <v>46078</v>
      </c>
      <c r="E4444" t="s">
        <v>3656</v>
      </c>
      <c r="F4444">
        <v>9</v>
      </c>
      <c r="G4444">
        <v>231</v>
      </c>
      <c r="H4444" t="str">
        <f>VLOOKUP(G4444,[1]OPERADORES!$A:$B,2,0)</f>
        <v>EDIJANE</v>
      </c>
      <c r="I4444" t="s">
        <v>21</v>
      </c>
      <c r="J4444" t="s">
        <v>1340</v>
      </c>
      <c r="K4444" t="s">
        <v>3495</v>
      </c>
      <c r="L4444">
        <v>84502</v>
      </c>
      <c r="M4444" t="s">
        <v>583</v>
      </c>
      <c r="O4444" t="s">
        <v>11</v>
      </c>
      <c r="P4444">
        <v>5403</v>
      </c>
      <c r="Q4444">
        <v>2</v>
      </c>
      <c r="R4444">
        <v>144.66</v>
      </c>
      <c r="S4444">
        <v>289.32</v>
      </c>
      <c r="T4444">
        <v>219.6</v>
      </c>
      <c r="U4444">
        <v>24.1</v>
      </c>
      <c r="V4444" t="str">
        <f>VLOOKUP(L4444,'[2]tabela de preços'!$A:$D,4,0)</f>
        <v>BRASILUX</v>
      </c>
      <c r="W4444" t="str">
        <f>VLOOKUP(L4444,'[2]tabela de preços'!$A:$F,6,0)</f>
        <v>EPOXI</v>
      </c>
      <c r="X4444" t="str">
        <f>VLOOKUP(L4444,'[2]tabela de preços'!$A:$G,7,0)</f>
        <v>INDUSTRIAL</v>
      </c>
    </row>
    <row r="4445" spans="1:24" x14ac:dyDescent="0.3">
      <c r="A4445" t="s">
        <v>3491</v>
      </c>
      <c r="B4445" t="s">
        <v>3492</v>
      </c>
      <c r="C4445" t="s">
        <v>3657</v>
      </c>
      <c r="D4445" s="1">
        <v>46078</v>
      </c>
      <c r="E4445" t="s">
        <v>3658</v>
      </c>
      <c r="F4445">
        <v>9</v>
      </c>
      <c r="G4445">
        <v>231</v>
      </c>
      <c r="H4445" t="str">
        <f>VLOOKUP(G4445,[1]OPERADORES!$A:$B,2,0)</f>
        <v>EDIJANE</v>
      </c>
      <c r="I4445" t="s">
        <v>21</v>
      </c>
      <c r="J4445" t="s">
        <v>1340</v>
      </c>
      <c r="K4445" t="s">
        <v>3495</v>
      </c>
      <c r="L4445">
        <v>84950</v>
      </c>
      <c r="M4445" t="s">
        <v>581</v>
      </c>
      <c r="O4445" t="s">
        <v>11</v>
      </c>
      <c r="P4445">
        <v>5102</v>
      </c>
      <c r="Q4445">
        <v>3</v>
      </c>
      <c r="R4445">
        <v>47.8</v>
      </c>
      <c r="S4445">
        <v>143.4</v>
      </c>
      <c r="T4445">
        <v>108.84</v>
      </c>
      <c r="U4445">
        <v>24.1</v>
      </c>
      <c r="V4445" t="str">
        <f>VLOOKUP(L4445,'[2]tabela de preços'!$A:$D,4,0)</f>
        <v>BRASILUX</v>
      </c>
      <c r="W4445" t="str">
        <f>VLOOKUP(L4445,'[2]tabela de preços'!$A:$F,6,0)</f>
        <v>EPOXI</v>
      </c>
      <c r="X4445" t="str">
        <f>VLOOKUP(L4445,'[2]tabela de preços'!$A:$G,7,0)</f>
        <v>INDUSTRIAL</v>
      </c>
    </row>
    <row r="4446" spans="1:24" x14ac:dyDescent="0.3">
      <c r="A4446" t="s">
        <v>3491</v>
      </c>
      <c r="B4446" t="s">
        <v>3492</v>
      </c>
      <c r="C4446" t="s">
        <v>3657</v>
      </c>
      <c r="D4446" s="1">
        <v>46078</v>
      </c>
      <c r="E4446" t="s">
        <v>3658</v>
      </c>
      <c r="F4446">
        <v>9</v>
      </c>
      <c r="G4446">
        <v>231</v>
      </c>
      <c r="H4446" t="str">
        <f>VLOOKUP(G4446,[1]OPERADORES!$A:$B,2,0)</f>
        <v>EDIJANE</v>
      </c>
      <c r="I4446" t="s">
        <v>21</v>
      </c>
      <c r="J4446" t="s">
        <v>1340</v>
      </c>
      <c r="K4446" t="s">
        <v>3495</v>
      </c>
      <c r="L4446">
        <v>85279</v>
      </c>
      <c r="M4446" t="s">
        <v>3659</v>
      </c>
      <c r="O4446" t="s">
        <v>11</v>
      </c>
      <c r="P4446">
        <v>5102</v>
      </c>
      <c r="Q4446">
        <v>3</v>
      </c>
      <c r="R4446">
        <v>36.18</v>
      </c>
      <c r="S4446">
        <v>108.54</v>
      </c>
      <c r="T4446">
        <v>82.38</v>
      </c>
      <c r="U4446">
        <v>24.1</v>
      </c>
      <c r="V4446" t="str">
        <f>VLOOKUP(L4446,'[2]tabela de preços'!$A:$D,4,0)</f>
        <v>BRASILUX</v>
      </c>
      <c r="W4446" t="str">
        <f>VLOOKUP(L4446,'[2]tabela de preços'!$A:$F,6,0)</f>
        <v>EPOXI</v>
      </c>
      <c r="X4446" t="str">
        <f>VLOOKUP(L4446,'[2]tabela de preços'!$A:$G,7,0)</f>
        <v>INDUSTRIAL</v>
      </c>
    </row>
    <row r="4447" spans="1:24" x14ac:dyDescent="0.3">
      <c r="A4447" t="s">
        <v>3491</v>
      </c>
      <c r="B4447" t="s">
        <v>3492</v>
      </c>
      <c r="C4447" t="s">
        <v>3657</v>
      </c>
      <c r="D4447" s="1">
        <v>46078</v>
      </c>
      <c r="E4447" t="s">
        <v>3658</v>
      </c>
      <c r="F4447">
        <v>9</v>
      </c>
      <c r="G4447">
        <v>231</v>
      </c>
      <c r="H4447" t="str">
        <f>VLOOKUP(G4447,[1]OPERADORES!$A:$B,2,0)</f>
        <v>EDIJANE</v>
      </c>
      <c r="I4447" t="s">
        <v>21</v>
      </c>
      <c r="J4447" t="s">
        <v>1340</v>
      </c>
      <c r="K4447" t="s">
        <v>3495</v>
      </c>
      <c r="L4447">
        <v>86230</v>
      </c>
      <c r="M4447" t="s">
        <v>375</v>
      </c>
      <c r="O4447" t="s">
        <v>11</v>
      </c>
      <c r="P4447">
        <v>5403</v>
      </c>
      <c r="Q4447">
        <v>1</v>
      </c>
      <c r="R4447">
        <v>290.88</v>
      </c>
      <c r="S4447">
        <v>290.88</v>
      </c>
      <c r="T4447">
        <v>220.78</v>
      </c>
      <c r="U4447">
        <v>24.1</v>
      </c>
      <c r="V4447" t="str">
        <f>VLOOKUP(L4447,'[2]tabela de preços'!$A:$D,4,0)</f>
        <v>CORAL</v>
      </c>
      <c r="W4447" t="str">
        <f>VLOOKUP(L4447,'[2]tabela de preços'!$A:$F,6,0)</f>
        <v>TINTA PAREDE</v>
      </c>
      <c r="X4447" t="str">
        <f>VLOOKUP(L4447,'[2]tabela de preços'!$A:$G,7,0)</f>
        <v>IMOBILIÁRIO</v>
      </c>
    </row>
    <row r="4448" spans="1:24" x14ac:dyDescent="0.3">
      <c r="A4448" t="s">
        <v>3491</v>
      </c>
      <c r="B4448" t="s">
        <v>3492</v>
      </c>
      <c r="C4448" t="s">
        <v>3657</v>
      </c>
      <c r="D4448" s="1">
        <v>46078</v>
      </c>
      <c r="E4448" t="s">
        <v>3658</v>
      </c>
      <c r="F4448">
        <v>9</v>
      </c>
      <c r="G4448">
        <v>231</v>
      </c>
      <c r="H4448" t="str">
        <f>VLOOKUP(G4448,[1]OPERADORES!$A:$B,2,0)</f>
        <v>EDIJANE</v>
      </c>
      <c r="I4448" t="s">
        <v>21</v>
      </c>
      <c r="J4448" t="s">
        <v>1340</v>
      </c>
      <c r="K4448" t="s">
        <v>3495</v>
      </c>
      <c r="L4448">
        <v>85772</v>
      </c>
      <c r="M4448" t="s">
        <v>54</v>
      </c>
      <c r="O4448" t="s">
        <v>11</v>
      </c>
      <c r="P4448">
        <v>5403</v>
      </c>
      <c r="Q4448">
        <v>4</v>
      </c>
      <c r="R4448">
        <v>78.11</v>
      </c>
      <c r="S4448">
        <v>312.44</v>
      </c>
      <c r="T4448">
        <v>237.12</v>
      </c>
      <c r="U4448">
        <v>24.11</v>
      </c>
      <c r="V4448" t="str">
        <f>VLOOKUP(L4448,'[2]tabela de preços'!$A:$D,4,0)</f>
        <v>CORAL</v>
      </c>
      <c r="W4448" t="str">
        <f>VLOOKUP(L4448,'[2]tabela de preços'!$A:$F,6,0)</f>
        <v>TINTA PAREDE</v>
      </c>
      <c r="X4448" t="str">
        <f>VLOOKUP(L4448,'[2]tabela de preços'!$A:$G,7,0)</f>
        <v>IMOBILIÁRIO</v>
      </c>
    </row>
    <row r="4449" spans="1:24" x14ac:dyDescent="0.3">
      <c r="A4449" t="s">
        <v>3491</v>
      </c>
      <c r="B4449" t="s">
        <v>3492</v>
      </c>
      <c r="C4449" t="s">
        <v>3657</v>
      </c>
      <c r="D4449" s="1">
        <v>46078</v>
      </c>
      <c r="E4449" t="s">
        <v>3658</v>
      </c>
      <c r="F4449">
        <v>9</v>
      </c>
      <c r="G4449">
        <v>231</v>
      </c>
      <c r="H4449" t="str">
        <f>VLOOKUP(G4449,[1]OPERADORES!$A:$B,2,0)</f>
        <v>EDIJANE</v>
      </c>
      <c r="I4449" t="s">
        <v>21</v>
      </c>
      <c r="J4449" t="s">
        <v>1340</v>
      </c>
      <c r="K4449" t="s">
        <v>3495</v>
      </c>
      <c r="L4449">
        <v>84735</v>
      </c>
      <c r="M4449" t="s">
        <v>3660</v>
      </c>
      <c r="O4449" t="s">
        <v>11</v>
      </c>
      <c r="P4449">
        <v>5403</v>
      </c>
      <c r="Q4449">
        <v>1</v>
      </c>
      <c r="R4449">
        <v>148.6</v>
      </c>
      <c r="S4449">
        <v>148.6</v>
      </c>
      <c r="T4449">
        <v>112.79</v>
      </c>
      <c r="U4449">
        <v>24.1</v>
      </c>
      <c r="V4449" t="str">
        <f>VLOOKUP(L4449,'[2]tabela de preços'!$A:$D,4,0)</f>
        <v>BRASILUX</v>
      </c>
      <c r="W4449" t="str">
        <f>VLOOKUP(L4449,'[2]tabela de preços'!$A:$F,6,0)</f>
        <v>EPOXI</v>
      </c>
      <c r="X4449" t="str">
        <f>VLOOKUP(L4449,'[2]tabela de preços'!$A:$G,7,0)</f>
        <v>INDUSTRIAL</v>
      </c>
    </row>
    <row r="4450" spans="1:24" x14ac:dyDescent="0.3">
      <c r="A4450" t="s">
        <v>3491</v>
      </c>
      <c r="B4450" t="s">
        <v>3492</v>
      </c>
      <c r="C4450" t="s">
        <v>3657</v>
      </c>
      <c r="D4450" s="1">
        <v>46078</v>
      </c>
      <c r="E4450" t="s">
        <v>3658</v>
      </c>
      <c r="F4450">
        <v>9</v>
      </c>
      <c r="G4450">
        <v>231</v>
      </c>
      <c r="H4450" t="str">
        <f>VLOOKUP(G4450,[1]OPERADORES!$A:$B,2,0)</f>
        <v>EDIJANE</v>
      </c>
      <c r="I4450" t="s">
        <v>21</v>
      </c>
      <c r="J4450" t="s">
        <v>1340</v>
      </c>
      <c r="K4450" t="s">
        <v>3495</v>
      </c>
      <c r="L4450">
        <v>84502</v>
      </c>
      <c r="M4450" t="s">
        <v>583</v>
      </c>
      <c r="O4450" t="s">
        <v>11</v>
      </c>
      <c r="P4450">
        <v>5403</v>
      </c>
      <c r="Q4450">
        <v>2</v>
      </c>
      <c r="R4450">
        <v>144.66</v>
      </c>
      <c r="S4450">
        <v>289.32</v>
      </c>
      <c r="T4450">
        <v>219.6</v>
      </c>
      <c r="U4450">
        <v>24.1</v>
      </c>
      <c r="V4450" t="str">
        <f>VLOOKUP(L4450,'[2]tabela de preços'!$A:$D,4,0)</f>
        <v>BRASILUX</v>
      </c>
      <c r="W4450" t="str">
        <f>VLOOKUP(L4450,'[2]tabela de preços'!$A:$F,6,0)</f>
        <v>EPOXI</v>
      </c>
      <c r="X4450" t="str">
        <f>VLOOKUP(L4450,'[2]tabela de preços'!$A:$G,7,0)</f>
        <v>INDUSTRIAL</v>
      </c>
    </row>
    <row r="4451" spans="1:24" x14ac:dyDescent="0.3">
      <c r="A4451" t="s">
        <v>3491</v>
      </c>
      <c r="B4451" t="s">
        <v>3492</v>
      </c>
      <c r="C4451" t="s">
        <v>3657</v>
      </c>
      <c r="D4451" s="1">
        <v>46078</v>
      </c>
      <c r="E4451" t="s">
        <v>3658</v>
      </c>
      <c r="F4451">
        <v>9</v>
      </c>
      <c r="G4451">
        <v>231</v>
      </c>
      <c r="H4451" t="str">
        <f>VLOOKUP(G4451,[1]OPERADORES!$A:$B,2,0)</f>
        <v>EDIJANE</v>
      </c>
      <c r="I4451" t="s">
        <v>21</v>
      </c>
      <c r="J4451" t="s">
        <v>1340</v>
      </c>
      <c r="K4451" t="s">
        <v>3495</v>
      </c>
      <c r="L4451">
        <v>84225</v>
      </c>
      <c r="M4451" t="s">
        <v>3661</v>
      </c>
      <c r="O4451" t="s">
        <v>11</v>
      </c>
      <c r="P4451">
        <v>5403</v>
      </c>
      <c r="Q4451">
        <v>2</v>
      </c>
      <c r="R4451">
        <v>78.72</v>
      </c>
      <c r="S4451">
        <v>157.44</v>
      </c>
      <c r="T4451">
        <v>119.5</v>
      </c>
      <c r="U4451">
        <v>24.1</v>
      </c>
      <c r="V4451" t="str">
        <f>VLOOKUP(L4451,'[2]tabela de preços'!$A:$D,4,0)</f>
        <v>BRASILUX</v>
      </c>
      <c r="W4451" t="str">
        <f>VLOOKUP(L4451,'[2]tabela de preços'!$A:$F,6,0)</f>
        <v>LINHA MOVELEIRA</v>
      </c>
      <c r="X4451" t="str">
        <f>VLOOKUP(L4451,'[2]tabela de preços'!$A:$G,7,0)</f>
        <v>MOVELEIRA</v>
      </c>
    </row>
    <row r="4452" spans="1:24" x14ac:dyDescent="0.3">
      <c r="A4452" t="s">
        <v>3491</v>
      </c>
      <c r="B4452" t="s">
        <v>3492</v>
      </c>
      <c r="C4452" t="s">
        <v>3657</v>
      </c>
      <c r="D4452" s="1">
        <v>46078</v>
      </c>
      <c r="E4452" t="s">
        <v>3658</v>
      </c>
      <c r="F4452">
        <v>9</v>
      </c>
      <c r="G4452">
        <v>231</v>
      </c>
      <c r="H4452" t="str">
        <f>VLOOKUP(G4452,[1]OPERADORES!$A:$B,2,0)</f>
        <v>EDIJANE</v>
      </c>
      <c r="I4452" t="s">
        <v>21</v>
      </c>
      <c r="J4452" t="s">
        <v>1340</v>
      </c>
      <c r="K4452" t="s">
        <v>3495</v>
      </c>
      <c r="L4452">
        <v>84226</v>
      </c>
      <c r="M4452" t="s">
        <v>3662</v>
      </c>
      <c r="O4452" t="s">
        <v>11</v>
      </c>
      <c r="P4452">
        <v>5403</v>
      </c>
      <c r="Q4452">
        <v>2</v>
      </c>
      <c r="R4452">
        <v>21.49</v>
      </c>
      <c r="S4452">
        <v>42.98</v>
      </c>
      <c r="T4452">
        <v>32.619999999999997</v>
      </c>
      <c r="U4452">
        <v>24.1</v>
      </c>
      <c r="V4452" t="str">
        <f>VLOOKUP(L4452,'[2]tabela de preços'!$A:$D,4,0)</f>
        <v>BRASILUX</v>
      </c>
      <c r="W4452" t="str">
        <f>VLOOKUP(L4452,'[2]tabela de preços'!$A:$F,6,0)</f>
        <v>LINHA MOVELEIRA</v>
      </c>
      <c r="X4452" t="str">
        <f>VLOOKUP(L4452,'[2]tabela de preços'!$A:$G,7,0)</f>
        <v>MOVELEIRA</v>
      </c>
    </row>
    <row r="4453" spans="1:24" x14ac:dyDescent="0.3">
      <c r="A4453" t="s">
        <v>3491</v>
      </c>
      <c r="B4453" t="s">
        <v>3492</v>
      </c>
      <c r="C4453" t="s">
        <v>3844</v>
      </c>
      <c r="D4453" s="1">
        <v>46080</v>
      </c>
      <c r="E4453" t="s">
        <v>3845</v>
      </c>
      <c r="F4453">
        <v>9</v>
      </c>
      <c r="G4453">
        <v>231</v>
      </c>
      <c r="H4453" t="str">
        <f>VLOOKUP(G4453,[1]OPERADORES!$A:$B,2,0)</f>
        <v>EDIJANE</v>
      </c>
      <c r="I4453" t="s">
        <v>21</v>
      </c>
      <c r="J4453" t="s">
        <v>1340</v>
      </c>
      <c r="K4453" t="s">
        <v>3495</v>
      </c>
      <c r="L4453">
        <v>84950</v>
      </c>
      <c r="M4453" t="s">
        <v>581</v>
      </c>
      <c r="O4453" t="s">
        <v>11</v>
      </c>
      <c r="P4453">
        <v>5102</v>
      </c>
      <c r="Q4453">
        <v>1</v>
      </c>
      <c r="R4453">
        <v>47.8</v>
      </c>
      <c r="S4453">
        <v>47.8</v>
      </c>
      <c r="T4453">
        <v>36.28</v>
      </c>
      <c r="U4453">
        <v>24.1</v>
      </c>
      <c r="V4453" t="str">
        <f>VLOOKUP(L4453,'[2]tabela de preços'!$A:$D,4,0)</f>
        <v>BRASILUX</v>
      </c>
      <c r="W4453" t="str">
        <f>VLOOKUP(L4453,'[2]tabela de preços'!$A:$F,6,0)</f>
        <v>EPOXI</v>
      </c>
      <c r="X4453" t="str">
        <f>VLOOKUP(L4453,'[2]tabela de preços'!$A:$G,7,0)</f>
        <v>INDUSTRIAL</v>
      </c>
    </row>
    <row r="4454" spans="1:24" x14ac:dyDescent="0.3">
      <c r="A4454" t="s">
        <v>3491</v>
      </c>
      <c r="B4454" t="s">
        <v>3492</v>
      </c>
      <c r="C4454" t="s">
        <v>3844</v>
      </c>
      <c r="D4454" s="1">
        <v>46080</v>
      </c>
      <c r="E4454" t="s">
        <v>3845</v>
      </c>
      <c r="F4454">
        <v>9</v>
      </c>
      <c r="G4454">
        <v>231</v>
      </c>
      <c r="H4454" t="str">
        <f>VLOOKUP(G4454,[1]OPERADORES!$A:$B,2,0)</f>
        <v>EDIJANE</v>
      </c>
      <c r="I4454" t="s">
        <v>21</v>
      </c>
      <c r="J4454" t="s">
        <v>1340</v>
      </c>
      <c r="K4454" t="s">
        <v>3495</v>
      </c>
      <c r="L4454">
        <v>85279</v>
      </c>
      <c r="M4454" t="s">
        <v>3659</v>
      </c>
      <c r="O4454" t="s">
        <v>11</v>
      </c>
      <c r="P4454">
        <v>5102</v>
      </c>
      <c r="Q4454">
        <v>1</v>
      </c>
      <c r="R4454">
        <v>36.18</v>
      </c>
      <c r="S4454">
        <v>36.18</v>
      </c>
      <c r="T4454">
        <v>27.46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EPOXI</v>
      </c>
      <c r="X4454" t="str">
        <f>VLOOKUP(L4454,'[2]tabela de preços'!$A:$G,7,0)</f>
        <v>INDUSTRIAL</v>
      </c>
    </row>
    <row r="4455" spans="1:24" x14ac:dyDescent="0.3">
      <c r="A4455" t="s">
        <v>3491</v>
      </c>
      <c r="B4455" t="s">
        <v>3492</v>
      </c>
      <c r="C4455" t="s">
        <v>3844</v>
      </c>
      <c r="D4455" s="1">
        <v>46080</v>
      </c>
      <c r="E4455" t="s">
        <v>3845</v>
      </c>
      <c r="F4455">
        <v>9</v>
      </c>
      <c r="G4455">
        <v>231</v>
      </c>
      <c r="H4455" t="str">
        <f>VLOOKUP(G4455,[1]OPERADORES!$A:$B,2,0)</f>
        <v>EDIJANE</v>
      </c>
      <c r="I4455" t="s">
        <v>21</v>
      </c>
      <c r="J4455" t="s">
        <v>1340</v>
      </c>
      <c r="K4455" t="s">
        <v>3495</v>
      </c>
      <c r="L4455">
        <v>86230</v>
      </c>
      <c r="M4455" t="s">
        <v>375</v>
      </c>
      <c r="O4455" t="s">
        <v>11</v>
      </c>
      <c r="P4455">
        <v>5403</v>
      </c>
      <c r="Q4455">
        <v>2</v>
      </c>
      <c r="R4455">
        <v>290.88</v>
      </c>
      <c r="S4455">
        <v>581.76</v>
      </c>
      <c r="T4455">
        <v>441.56</v>
      </c>
      <c r="U4455">
        <v>24.1</v>
      </c>
      <c r="V4455" t="str">
        <f>VLOOKUP(L4455,'[2]tabela de preços'!$A:$D,4,0)</f>
        <v>CORAL</v>
      </c>
      <c r="W4455" t="str">
        <f>VLOOKUP(L4455,'[2]tabela de preços'!$A:$F,6,0)</f>
        <v>TINTA PAREDE</v>
      </c>
      <c r="X4455" t="str">
        <f>VLOOKUP(L4455,'[2]tabela de preços'!$A:$G,7,0)</f>
        <v>IMOBILIÁRIO</v>
      </c>
    </row>
    <row r="4456" spans="1:24" x14ac:dyDescent="0.3">
      <c r="A4456" t="s">
        <v>3491</v>
      </c>
      <c r="B4456" t="s">
        <v>3492</v>
      </c>
      <c r="C4456" t="s">
        <v>3844</v>
      </c>
      <c r="D4456" s="1">
        <v>46080</v>
      </c>
      <c r="E4456" t="s">
        <v>3845</v>
      </c>
      <c r="F4456">
        <v>9</v>
      </c>
      <c r="G4456">
        <v>231</v>
      </c>
      <c r="H4456" t="str">
        <f>VLOOKUP(G4456,[1]OPERADORES!$A:$B,2,0)</f>
        <v>EDIJANE</v>
      </c>
      <c r="I4456" t="s">
        <v>21</v>
      </c>
      <c r="J4456" t="s">
        <v>1340</v>
      </c>
      <c r="K4456" t="s">
        <v>3495</v>
      </c>
      <c r="L4456">
        <v>84502</v>
      </c>
      <c r="M4456" t="s">
        <v>583</v>
      </c>
      <c r="O4456" t="s">
        <v>11</v>
      </c>
      <c r="P4456">
        <v>5403</v>
      </c>
      <c r="Q4456">
        <v>1</v>
      </c>
      <c r="R4456">
        <v>144.66</v>
      </c>
      <c r="S4456">
        <v>144.66</v>
      </c>
      <c r="T4456">
        <v>109.8</v>
      </c>
      <c r="U4456">
        <v>24.1</v>
      </c>
      <c r="V4456" t="str">
        <f>VLOOKUP(L4456,'[2]tabela de preços'!$A:$D,4,0)</f>
        <v>BRASILUX</v>
      </c>
      <c r="W4456" t="str">
        <f>VLOOKUP(L4456,'[2]tabela de preços'!$A:$F,6,0)</f>
        <v>EPOXI</v>
      </c>
      <c r="X4456" t="str">
        <f>VLOOKUP(L4456,'[2]tabela de preços'!$A:$G,7,0)</f>
        <v>INDUSTRIAL</v>
      </c>
    </row>
    <row r="4457" spans="1:24" x14ac:dyDescent="0.3">
      <c r="A4457" t="s">
        <v>3491</v>
      </c>
      <c r="B4457" t="s">
        <v>3492</v>
      </c>
      <c r="C4457" t="s">
        <v>3844</v>
      </c>
      <c r="D4457" s="1">
        <v>46080</v>
      </c>
      <c r="E4457" t="s">
        <v>3845</v>
      </c>
      <c r="F4457">
        <v>9</v>
      </c>
      <c r="G4457">
        <v>231</v>
      </c>
      <c r="H4457" t="str">
        <f>VLOOKUP(G4457,[1]OPERADORES!$A:$B,2,0)</f>
        <v>EDIJANE</v>
      </c>
      <c r="I4457" t="s">
        <v>21</v>
      </c>
      <c r="J4457" t="s">
        <v>1340</v>
      </c>
      <c r="K4457" t="s">
        <v>3495</v>
      </c>
      <c r="L4457">
        <v>84767</v>
      </c>
      <c r="M4457" t="s">
        <v>732</v>
      </c>
      <c r="O4457" t="s">
        <v>11</v>
      </c>
      <c r="P4457">
        <v>5403</v>
      </c>
      <c r="Q4457">
        <v>4</v>
      </c>
      <c r="R4457">
        <v>153.99</v>
      </c>
      <c r="S4457">
        <v>615.96</v>
      </c>
      <c r="T4457">
        <v>467.52</v>
      </c>
      <c r="U4457">
        <v>24.1</v>
      </c>
      <c r="V4457" t="str">
        <f>VLOOKUP(L4457,'[2]tabela de preços'!$A:$D,4,0)</f>
        <v>BRASILUX</v>
      </c>
      <c r="W4457" t="str">
        <f>VLOOKUP(L4457,'[2]tabela de preços'!$A:$F,6,0)</f>
        <v>EPOXI</v>
      </c>
      <c r="X4457" t="str">
        <f>VLOOKUP(L4457,'[2]tabela de preços'!$A:$G,7,0)</f>
        <v>INDUSTRIAL</v>
      </c>
    </row>
    <row r="4458" spans="1:24" x14ac:dyDescent="0.3">
      <c r="A4458" t="s">
        <v>3491</v>
      </c>
      <c r="B4458" t="s">
        <v>3492</v>
      </c>
      <c r="C4458" t="s">
        <v>3844</v>
      </c>
      <c r="D4458" s="1">
        <v>46080</v>
      </c>
      <c r="E4458" t="s">
        <v>3845</v>
      </c>
      <c r="F4458">
        <v>9</v>
      </c>
      <c r="G4458">
        <v>231</v>
      </c>
      <c r="H4458" t="str">
        <f>VLOOKUP(G4458,[1]OPERADORES!$A:$B,2,0)</f>
        <v>EDIJANE</v>
      </c>
      <c r="I4458" t="s">
        <v>21</v>
      </c>
      <c r="J4458" t="s">
        <v>1340</v>
      </c>
      <c r="K4458" t="s">
        <v>3495</v>
      </c>
      <c r="L4458">
        <v>84900</v>
      </c>
      <c r="M4458" t="s">
        <v>1261</v>
      </c>
      <c r="O4458" t="s">
        <v>11</v>
      </c>
      <c r="P4458">
        <v>5403</v>
      </c>
      <c r="Q4458">
        <v>1</v>
      </c>
      <c r="R4458">
        <v>186.94</v>
      </c>
      <c r="S4458">
        <v>186.94</v>
      </c>
      <c r="T4458">
        <v>141.88999999999999</v>
      </c>
      <c r="U4458">
        <v>24.1</v>
      </c>
      <c r="V4458" t="str">
        <f>VLOOKUP(L4458,'[2]tabela de preços'!$A:$D,4,0)</f>
        <v>BRASILUX</v>
      </c>
      <c r="W4458" t="str">
        <f>VLOOKUP(L4458,'[2]tabela de preços'!$A:$F,6,0)</f>
        <v>EPOXI</v>
      </c>
      <c r="X4458" t="str">
        <f>VLOOKUP(L4458,'[2]tabela de preços'!$A:$G,7,0)</f>
        <v>INDUSTRIAL</v>
      </c>
    </row>
    <row r="4459" spans="1:24" x14ac:dyDescent="0.3">
      <c r="A4459" t="s">
        <v>1890</v>
      </c>
      <c r="B4459" t="s">
        <v>1891</v>
      </c>
      <c r="C4459" t="s">
        <v>3665</v>
      </c>
      <c r="D4459" s="1">
        <v>46078</v>
      </c>
      <c r="E4459" t="s">
        <v>3666</v>
      </c>
      <c r="F4459">
        <v>9</v>
      </c>
      <c r="G4459">
        <v>231</v>
      </c>
      <c r="H4459" t="str">
        <f>VLOOKUP(G4459,[1]OPERADORES!$A:$B,2,0)</f>
        <v>EDIJANE</v>
      </c>
      <c r="I4459" t="s">
        <v>21</v>
      </c>
      <c r="J4459" t="s">
        <v>1894</v>
      </c>
      <c r="K4459" t="s">
        <v>1895</v>
      </c>
      <c r="L4459">
        <v>84583</v>
      </c>
      <c r="M4459" t="s">
        <v>1899</v>
      </c>
      <c r="O4459" t="s">
        <v>11</v>
      </c>
      <c r="P4459">
        <v>5403</v>
      </c>
      <c r="Q4459">
        <v>8</v>
      </c>
      <c r="R4459">
        <v>99.96</v>
      </c>
      <c r="S4459">
        <v>799.68</v>
      </c>
      <c r="T4459">
        <v>606.96</v>
      </c>
      <c r="U4459">
        <v>24.1</v>
      </c>
      <c r="V4459" t="str">
        <f>VLOOKUP(L4459,'[2]tabela de preços'!$A:$D,4,0)</f>
        <v>BRASILUX</v>
      </c>
      <c r="W4459" t="str">
        <f>VLOOKUP(L4459,'[2]tabela de preços'!$A:$F,6,0)</f>
        <v>PIGMENTOS IMOBILIÁRIOS</v>
      </c>
      <c r="X4459" t="str">
        <f>VLOOKUP(L4459,'[2]tabela de preços'!$A:$G,7,0)</f>
        <v>IMOBILIÁRIO</v>
      </c>
    </row>
    <row r="4460" spans="1:24" x14ac:dyDescent="0.3">
      <c r="A4460" t="s">
        <v>1890</v>
      </c>
      <c r="B4460" t="s">
        <v>1891</v>
      </c>
      <c r="C4460" t="s">
        <v>3665</v>
      </c>
      <c r="D4460" s="1">
        <v>46078</v>
      </c>
      <c r="E4460" t="s">
        <v>3666</v>
      </c>
      <c r="F4460">
        <v>9</v>
      </c>
      <c r="G4460">
        <v>231</v>
      </c>
      <c r="H4460" t="str">
        <f>VLOOKUP(G4460,[1]OPERADORES!$A:$B,2,0)</f>
        <v>EDIJANE</v>
      </c>
      <c r="I4460" t="s">
        <v>21</v>
      </c>
      <c r="J4460" t="s">
        <v>1894</v>
      </c>
      <c r="K4460" t="s">
        <v>1895</v>
      </c>
      <c r="L4460">
        <v>84589</v>
      </c>
      <c r="M4460" t="s">
        <v>1901</v>
      </c>
      <c r="O4460" t="s">
        <v>11</v>
      </c>
      <c r="P4460">
        <v>5403</v>
      </c>
      <c r="Q4460">
        <v>8</v>
      </c>
      <c r="R4460">
        <v>81.87</v>
      </c>
      <c r="S4460">
        <v>654.96</v>
      </c>
      <c r="T4460">
        <v>497.12</v>
      </c>
      <c r="U4460">
        <v>24.1</v>
      </c>
      <c r="V4460" t="str">
        <f>VLOOKUP(L4460,'[2]tabela de preços'!$A:$D,4,0)</f>
        <v>BRASILUX</v>
      </c>
      <c r="W4460" t="str">
        <f>VLOOKUP(L4460,'[2]tabela de preços'!$A:$F,6,0)</f>
        <v>PIGMENTOS IMOBILIÁRIOS</v>
      </c>
      <c r="X4460" t="str">
        <f>VLOOKUP(L4460,'[2]tabela de preços'!$A:$G,7,0)</f>
        <v>IMOBILIÁRIO</v>
      </c>
    </row>
    <row r="4461" spans="1:24" x14ac:dyDescent="0.3">
      <c r="A4461" t="s">
        <v>1922</v>
      </c>
      <c r="C4461" t="s">
        <v>3667</v>
      </c>
      <c r="D4461" s="1">
        <v>46078</v>
      </c>
      <c r="E4461" t="s">
        <v>3668</v>
      </c>
      <c r="F4461">
        <v>9</v>
      </c>
      <c r="G4461">
        <v>231</v>
      </c>
      <c r="H4461" t="str">
        <f>VLOOKUP(G4461,[1]OPERADORES!$A:$B,2,0)</f>
        <v>EDIJANE</v>
      </c>
      <c r="I4461" t="s">
        <v>21</v>
      </c>
      <c r="J4461" t="s">
        <v>66</v>
      </c>
      <c r="K4461" t="s">
        <v>1925</v>
      </c>
      <c r="L4461">
        <v>20433</v>
      </c>
      <c r="M4461" t="s">
        <v>460</v>
      </c>
      <c r="O4461" t="s">
        <v>11</v>
      </c>
      <c r="P4461">
        <v>5102</v>
      </c>
      <c r="Q4461">
        <v>2</v>
      </c>
      <c r="R4461">
        <v>32.19</v>
      </c>
      <c r="S4461">
        <v>64.38</v>
      </c>
      <c r="T4461">
        <v>48.86</v>
      </c>
      <c r="U4461">
        <v>24.11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1922</v>
      </c>
      <c r="C4462" t="s">
        <v>3667</v>
      </c>
      <c r="D4462" s="1">
        <v>46078</v>
      </c>
      <c r="E4462" t="s">
        <v>3668</v>
      </c>
      <c r="F4462">
        <v>9</v>
      </c>
      <c r="G4462">
        <v>231</v>
      </c>
      <c r="H4462" t="str">
        <f>VLOOKUP(G4462,[1]OPERADORES!$A:$B,2,0)</f>
        <v>EDIJANE</v>
      </c>
      <c r="I4462" t="s">
        <v>21</v>
      </c>
      <c r="J4462" t="s">
        <v>66</v>
      </c>
      <c r="K4462" t="s">
        <v>1925</v>
      </c>
      <c r="L4462">
        <v>24248</v>
      </c>
      <c r="M4462" t="s">
        <v>107</v>
      </c>
      <c r="O4462" t="s">
        <v>11</v>
      </c>
      <c r="P4462">
        <v>5102</v>
      </c>
      <c r="Q4462">
        <v>3</v>
      </c>
      <c r="R4462">
        <v>8</v>
      </c>
      <c r="S4462">
        <v>24</v>
      </c>
      <c r="T4462">
        <v>19.5</v>
      </c>
      <c r="U4462">
        <v>18.75</v>
      </c>
      <c r="V4462" t="str">
        <f>VLOOKUP(L4462,'[2]tabela de preços'!$A:$D,4,0)</f>
        <v>SHERWIN WILLIAMS</v>
      </c>
      <c r="W4462" t="str">
        <f>VLOOKUP(L4462,'[2]tabela de preços'!$A:$F,6,0)</f>
        <v>PRIMER AUTOMOTIVO</v>
      </c>
      <c r="X4462" t="str">
        <f>VLOOKUP(L4462,'[2]tabela de preços'!$A:$G,7,0)</f>
        <v>AUTOMOTIVO</v>
      </c>
    </row>
    <row r="4463" spans="1:24" x14ac:dyDescent="0.3">
      <c r="A4463" t="s">
        <v>1922</v>
      </c>
      <c r="C4463" t="s">
        <v>3667</v>
      </c>
      <c r="D4463" s="1">
        <v>46078</v>
      </c>
      <c r="E4463" t="s">
        <v>3668</v>
      </c>
      <c r="F4463">
        <v>9</v>
      </c>
      <c r="G4463">
        <v>231</v>
      </c>
      <c r="H4463" t="str">
        <f>VLOOKUP(G4463,[1]OPERADORES!$A:$B,2,0)</f>
        <v>EDIJANE</v>
      </c>
      <c r="I4463" t="s">
        <v>21</v>
      </c>
      <c r="J4463" t="s">
        <v>66</v>
      </c>
      <c r="K4463" t="s">
        <v>1925</v>
      </c>
      <c r="L4463">
        <v>85178</v>
      </c>
      <c r="M4463" t="s">
        <v>1143</v>
      </c>
      <c r="O4463" t="s">
        <v>11</v>
      </c>
      <c r="P4463">
        <v>5403</v>
      </c>
      <c r="Q4463">
        <v>1</v>
      </c>
      <c r="R4463">
        <v>84.56</v>
      </c>
      <c r="S4463">
        <v>84.56</v>
      </c>
      <c r="T4463">
        <v>64.180000000000007</v>
      </c>
      <c r="U4463">
        <v>24.1</v>
      </c>
      <c r="V4463" t="str">
        <f>VLOOKUP(L4463,'[2]tabela de preços'!$A:$D,4,0)</f>
        <v>BRASILUX</v>
      </c>
      <c r="W4463" t="str">
        <f>VLOOKUP(L4463,'[2]tabela de preços'!$A:$F,6,0)</f>
        <v>ESMALTES</v>
      </c>
      <c r="X4463" t="str">
        <f>VLOOKUP(L4463,'[2]tabela de preços'!$A:$G,7,0)</f>
        <v>INDUSTRIAL</v>
      </c>
    </row>
    <row r="4464" spans="1:24" x14ac:dyDescent="0.3">
      <c r="A4464" t="s">
        <v>1922</v>
      </c>
      <c r="C4464" t="s">
        <v>3667</v>
      </c>
      <c r="D4464" s="1">
        <v>46078</v>
      </c>
      <c r="E4464" t="s">
        <v>3668</v>
      </c>
      <c r="F4464">
        <v>9</v>
      </c>
      <c r="G4464">
        <v>231</v>
      </c>
      <c r="H4464" t="str">
        <f>VLOOKUP(G4464,[1]OPERADORES!$A:$B,2,0)</f>
        <v>EDIJANE</v>
      </c>
      <c r="I4464" t="s">
        <v>21</v>
      </c>
      <c r="J4464" t="s">
        <v>66</v>
      </c>
      <c r="K4464" t="s">
        <v>1925</v>
      </c>
      <c r="L4464">
        <v>84756</v>
      </c>
      <c r="M4464" t="s">
        <v>861</v>
      </c>
      <c r="O4464" t="s">
        <v>11</v>
      </c>
      <c r="P4464">
        <v>5403</v>
      </c>
      <c r="Q4464">
        <v>1</v>
      </c>
      <c r="R4464">
        <v>81.56</v>
      </c>
      <c r="S4464">
        <v>81.56</v>
      </c>
      <c r="T4464">
        <v>61.9</v>
      </c>
      <c r="U4464">
        <v>24.1</v>
      </c>
      <c r="V4464" t="str">
        <f>VLOOKUP(L4464,'[2]tabela de preços'!$A:$D,4,0)</f>
        <v>BRASILUX</v>
      </c>
      <c r="W4464" t="str">
        <f>VLOOKUP(L4464,'[2]tabela de preços'!$A:$F,6,0)</f>
        <v>ESMALTES</v>
      </c>
      <c r="X4464" t="str">
        <f>VLOOKUP(L4464,'[2]tabela de preços'!$A:$G,7,0)</f>
        <v>INDUSTRIAL</v>
      </c>
    </row>
    <row r="4465" spans="1:24" x14ac:dyDescent="0.3">
      <c r="A4465" t="s">
        <v>1922</v>
      </c>
      <c r="C4465" t="s">
        <v>3667</v>
      </c>
      <c r="D4465" s="1">
        <v>46078</v>
      </c>
      <c r="E4465" t="s">
        <v>3668</v>
      </c>
      <c r="F4465">
        <v>9</v>
      </c>
      <c r="G4465">
        <v>231</v>
      </c>
      <c r="H4465" t="str">
        <f>VLOOKUP(G4465,[1]OPERADORES!$A:$B,2,0)</f>
        <v>EDIJANE</v>
      </c>
      <c r="I4465" t="s">
        <v>21</v>
      </c>
      <c r="J4465" t="s">
        <v>66</v>
      </c>
      <c r="K4465" t="s">
        <v>1925</v>
      </c>
      <c r="L4465">
        <v>24240</v>
      </c>
      <c r="M4465" t="s">
        <v>240</v>
      </c>
      <c r="O4465" t="s">
        <v>11</v>
      </c>
      <c r="P4465">
        <v>5102</v>
      </c>
      <c r="Q4465">
        <v>5</v>
      </c>
      <c r="R4465">
        <v>3.81</v>
      </c>
      <c r="S4465">
        <v>19.05</v>
      </c>
      <c r="T4465">
        <v>16.399999999999999</v>
      </c>
      <c r="U4465">
        <v>13.91</v>
      </c>
      <c r="V4465" t="str">
        <f>VLOOKUP(L4465,'[2]tabela de preços'!$A:$D,4,0)</f>
        <v>ADERE</v>
      </c>
      <c r="W4465" t="str">
        <f>VLOOKUP(L4465,'[2]tabela de preços'!$A:$F,6,0)</f>
        <v>FITA AUTOMOTIVA</v>
      </c>
      <c r="X4465" t="str">
        <f>VLOOKUP(L4465,'[2]tabela de preços'!$A:$G,7,0)</f>
        <v>AUTOMOTIVO</v>
      </c>
    </row>
    <row r="4466" spans="1:24" x14ac:dyDescent="0.3">
      <c r="A4466" t="s">
        <v>1922</v>
      </c>
      <c r="C4466" t="s">
        <v>3667</v>
      </c>
      <c r="D4466" s="1">
        <v>46078</v>
      </c>
      <c r="E4466" t="s">
        <v>3668</v>
      </c>
      <c r="F4466">
        <v>9</v>
      </c>
      <c r="G4466">
        <v>231</v>
      </c>
      <c r="H4466" t="str">
        <f>VLOOKUP(G4466,[1]OPERADORES!$A:$B,2,0)</f>
        <v>EDIJANE</v>
      </c>
      <c r="I4466" t="s">
        <v>21</v>
      </c>
      <c r="J4466" t="s">
        <v>66</v>
      </c>
      <c r="K4466" t="s">
        <v>1925</v>
      </c>
      <c r="L4466">
        <v>10238</v>
      </c>
      <c r="M4466" t="s">
        <v>79</v>
      </c>
      <c r="O4466" t="s">
        <v>11</v>
      </c>
      <c r="P4466">
        <v>5102</v>
      </c>
      <c r="Q4466">
        <v>50</v>
      </c>
      <c r="R4466">
        <v>2.79</v>
      </c>
      <c r="S4466">
        <v>139.5</v>
      </c>
      <c r="T4466">
        <v>112</v>
      </c>
      <c r="U4466">
        <v>19.71</v>
      </c>
      <c r="V4466" t="str">
        <f>VLOOKUP(L4466,'[2]tabela de preços'!$A:$D,4,0)</f>
        <v>NORTON</v>
      </c>
      <c r="W4466" t="str">
        <f>VLOOKUP(L4466,'[2]tabela de preços'!$A:$F,6,0)</f>
        <v xml:space="preserve">DISCOS / LIXAS / ABRASIVOS </v>
      </c>
      <c r="X4466" t="str">
        <f>VLOOKUP(L4466,'[2]tabela de preços'!$A:$G,7,0)</f>
        <v>AUTOMOTIVO</v>
      </c>
    </row>
    <row r="4467" spans="1:24" x14ac:dyDescent="0.3">
      <c r="A4467" t="s">
        <v>1922</v>
      </c>
      <c r="C4467" t="s">
        <v>3667</v>
      </c>
      <c r="D4467" s="1">
        <v>46078</v>
      </c>
      <c r="E4467" t="s">
        <v>3668</v>
      </c>
      <c r="F4467">
        <v>9</v>
      </c>
      <c r="G4467">
        <v>231</v>
      </c>
      <c r="H4467" t="str">
        <f>VLOOKUP(G4467,[1]OPERADORES!$A:$B,2,0)</f>
        <v>EDIJANE</v>
      </c>
      <c r="I4467" t="s">
        <v>21</v>
      </c>
      <c r="J4467" t="s">
        <v>66</v>
      </c>
      <c r="K4467" t="s">
        <v>1925</v>
      </c>
      <c r="L4467">
        <v>10242</v>
      </c>
      <c r="M4467" t="s">
        <v>82</v>
      </c>
      <c r="O4467" t="s">
        <v>11</v>
      </c>
      <c r="P4467">
        <v>5102</v>
      </c>
      <c r="Q4467">
        <v>50</v>
      </c>
      <c r="R4467">
        <v>2.79</v>
      </c>
      <c r="S4467">
        <v>139.5</v>
      </c>
      <c r="T4467">
        <v>112</v>
      </c>
      <c r="U4467">
        <v>19.71</v>
      </c>
      <c r="V4467" t="str">
        <f>VLOOKUP(L4467,'[2]tabela de preços'!$A:$D,4,0)</f>
        <v>NORTON</v>
      </c>
      <c r="W4467" t="str">
        <f>VLOOKUP(L4467,'[2]tabela de preços'!$A:$F,6,0)</f>
        <v xml:space="preserve">DISCOS / LIXAS / ABRASIVOS </v>
      </c>
      <c r="X4467" t="str">
        <f>VLOOKUP(L4467,'[2]tabela de preços'!$A:$G,7,0)</f>
        <v>AUTOMOTIVO</v>
      </c>
    </row>
    <row r="4468" spans="1:24" x14ac:dyDescent="0.3">
      <c r="A4468" t="s">
        <v>1922</v>
      </c>
      <c r="C4468" t="s">
        <v>3667</v>
      </c>
      <c r="D4468" s="1">
        <v>46078</v>
      </c>
      <c r="E4468" t="s">
        <v>3668</v>
      </c>
      <c r="F4468">
        <v>9</v>
      </c>
      <c r="G4468">
        <v>231</v>
      </c>
      <c r="H4468" t="str">
        <f>VLOOKUP(G4468,[1]OPERADORES!$A:$B,2,0)</f>
        <v>EDIJANE</v>
      </c>
      <c r="I4468" t="s">
        <v>21</v>
      </c>
      <c r="J4468" t="s">
        <v>66</v>
      </c>
      <c r="K4468" t="s">
        <v>1925</v>
      </c>
      <c r="L4468">
        <v>10244</v>
      </c>
      <c r="M4468" t="s">
        <v>84</v>
      </c>
      <c r="O4468" t="s">
        <v>11</v>
      </c>
      <c r="P4468">
        <v>5102</v>
      </c>
      <c r="Q4468">
        <v>50</v>
      </c>
      <c r="R4468">
        <v>2.79</v>
      </c>
      <c r="S4468">
        <v>139.5</v>
      </c>
      <c r="T4468">
        <v>96.5</v>
      </c>
      <c r="U4468">
        <v>30.82</v>
      </c>
      <c r="V4468" t="str">
        <f>VLOOKUP(L4468,'[2]tabela de preços'!$A:$D,4,0)</f>
        <v>NORTON</v>
      </c>
      <c r="W4468" t="str">
        <f>VLOOKUP(L4468,'[2]tabela de preços'!$A:$F,6,0)</f>
        <v xml:space="preserve">DISCOS / LIXAS / ABRASIVOS </v>
      </c>
      <c r="X4468" t="str">
        <f>VLOOKUP(L4468,'[2]tabela de preços'!$A:$G,7,0)</f>
        <v>AUTOMOTIVO</v>
      </c>
    </row>
    <row r="4469" spans="1:24" x14ac:dyDescent="0.3">
      <c r="A4469" t="s">
        <v>1922</v>
      </c>
      <c r="C4469" t="s">
        <v>3667</v>
      </c>
      <c r="D4469" s="1">
        <v>46078</v>
      </c>
      <c r="E4469" t="s">
        <v>3668</v>
      </c>
      <c r="F4469">
        <v>9</v>
      </c>
      <c r="G4469">
        <v>231</v>
      </c>
      <c r="H4469" t="str">
        <f>VLOOKUP(G4469,[1]OPERADORES!$A:$B,2,0)</f>
        <v>EDIJANE</v>
      </c>
      <c r="I4469" t="s">
        <v>21</v>
      </c>
      <c r="J4469" t="s">
        <v>66</v>
      </c>
      <c r="K4469" t="s">
        <v>1925</v>
      </c>
      <c r="L4469">
        <v>10245</v>
      </c>
      <c r="M4469" t="s">
        <v>195</v>
      </c>
      <c r="O4469" t="s">
        <v>11</v>
      </c>
      <c r="P4469">
        <v>5102</v>
      </c>
      <c r="Q4469">
        <v>50</v>
      </c>
      <c r="R4469">
        <v>2.79</v>
      </c>
      <c r="S4469">
        <v>139.5</v>
      </c>
      <c r="T4469">
        <v>96.5</v>
      </c>
      <c r="U4469">
        <v>30.82</v>
      </c>
      <c r="V4469" t="str">
        <f>VLOOKUP(L4469,'[2]tabela de preços'!$A:$D,4,0)</f>
        <v>NORTON</v>
      </c>
      <c r="W4469" t="str">
        <f>VLOOKUP(L4469,'[2]tabela de preços'!$A:$F,6,0)</f>
        <v xml:space="preserve">DISCOS / LIXAS / ABRASIVOS </v>
      </c>
      <c r="X4469" t="str">
        <f>VLOOKUP(L4469,'[2]tabela de preços'!$A:$G,7,0)</f>
        <v>AUTOMOTIVO</v>
      </c>
    </row>
    <row r="4470" spans="1:24" x14ac:dyDescent="0.3">
      <c r="A4470" t="s">
        <v>1922</v>
      </c>
      <c r="C4470" t="s">
        <v>3667</v>
      </c>
      <c r="D4470" s="1">
        <v>46078</v>
      </c>
      <c r="E4470" t="s">
        <v>3668</v>
      </c>
      <c r="F4470">
        <v>9</v>
      </c>
      <c r="G4470">
        <v>231</v>
      </c>
      <c r="H4470" t="str">
        <f>VLOOKUP(G4470,[1]OPERADORES!$A:$B,2,0)</f>
        <v>EDIJANE</v>
      </c>
      <c r="I4470" t="s">
        <v>21</v>
      </c>
      <c r="J4470" t="s">
        <v>66</v>
      </c>
      <c r="K4470" t="s">
        <v>1925</v>
      </c>
      <c r="L4470">
        <v>23267</v>
      </c>
      <c r="M4470" t="s">
        <v>164</v>
      </c>
      <c r="O4470" t="s">
        <v>11</v>
      </c>
      <c r="P4470">
        <v>5102</v>
      </c>
      <c r="Q4470">
        <v>3</v>
      </c>
      <c r="R4470">
        <v>22.89</v>
      </c>
      <c r="S4470">
        <v>68.67</v>
      </c>
      <c r="T4470">
        <v>55.86</v>
      </c>
      <c r="U4470">
        <v>18.649999999999999</v>
      </c>
      <c r="V4470" t="str">
        <f>VLOOKUP(L4470,'[2]tabela de preços'!$A:$D,4,0)</f>
        <v>ANJO</v>
      </c>
      <c r="W4470" t="str">
        <f>VLOOKUP(L4470,'[2]tabela de preços'!$A:$F,6,0)</f>
        <v>MASSA POLIÉSTER</v>
      </c>
      <c r="X4470" t="str">
        <f>VLOOKUP(L4470,'[2]tabela de preços'!$A:$G,7,0)</f>
        <v>AUTOMOTIVO</v>
      </c>
    </row>
    <row r="4471" spans="1:24" x14ac:dyDescent="0.3">
      <c r="A4471" t="s">
        <v>1922</v>
      </c>
      <c r="C4471" t="s">
        <v>3667</v>
      </c>
      <c r="D4471" s="1">
        <v>46078</v>
      </c>
      <c r="E4471" t="s">
        <v>3668</v>
      </c>
      <c r="F4471">
        <v>9</v>
      </c>
      <c r="G4471">
        <v>231</v>
      </c>
      <c r="H4471" t="str">
        <f>VLOOKUP(G4471,[1]OPERADORES!$A:$B,2,0)</f>
        <v>EDIJANE</v>
      </c>
      <c r="I4471" t="s">
        <v>21</v>
      </c>
      <c r="J4471" t="s">
        <v>66</v>
      </c>
      <c r="K4471" t="s">
        <v>1925</v>
      </c>
      <c r="L4471">
        <v>24247</v>
      </c>
      <c r="M4471" t="s">
        <v>160</v>
      </c>
      <c r="O4471" t="s">
        <v>11</v>
      </c>
      <c r="P4471">
        <v>5403</v>
      </c>
      <c r="Q4471">
        <v>3</v>
      </c>
      <c r="R4471">
        <v>21</v>
      </c>
      <c r="S4471">
        <v>63</v>
      </c>
      <c r="T4471">
        <v>50.61</v>
      </c>
      <c r="U4471">
        <v>19.670000000000002</v>
      </c>
      <c r="V4471" t="str">
        <f>VLOOKUP(L4471,'[2]tabela de preços'!$A:$D,4,0)</f>
        <v>SHERWIN WILLIAMS</v>
      </c>
      <c r="W4471" t="str">
        <f>VLOOKUP(L4471,'[2]tabela de preços'!$A:$F,6,0)</f>
        <v>PRIMER AUTOMOTIVO</v>
      </c>
      <c r="X4471" t="str">
        <f>VLOOKUP(L4471,'[2]tabela de preços'!$A:$G,7,0)</f>
        <v>AUTOMOTIVO</v>
      </c>
    </row>
    <row r="4472" spans="1:24" x14ac:dyDescent="0.3">
      <c r="A4472" t="s">
        <v>1922</v>
      </c>
      <c r="C4472" t="s">
        <v>3667</v>
      </c>
      <c r="D4472" s="1">
        <v>46078</v>
      </c>
      <c r="E4472" t="s">
        <v>3668</v>
      </c>
      <c r="F4472">
        <v>9</v>
      </c>
      <c r="G4472">
        <v>231</v>
      </c>
      <c r="H4472" t="str">
        <f>VLOOKUP(G4472,[1]OPERADORES!$A:$B,2,0)</f>
        <v>EDIJANE</v>
      </c>
      <c r="I4472" t="s">
        <v>21</v>
      </c>
      <c r="J4472" t="s">
        <v>66</v>
      </c>
      <c r="K4472" t="s">
        <v>1925</v>
      </c>
      <c r="L4472">
        <v>85401</v>
      </c>
      <c r="M4472" t="s">
        <v>261</v>
      </c>
      <c r="O4472" t="s">
        <v>11</v>
      </c>
      <c r="P4472">
        <v>5102</v>
      </c>
      <c r="Q4472">
        <v>1</v>
      </c>
      <c r="R4472">
        <v>633.42999999999995</v>
      </c>
      <c r="S4472">
        <v>633.42999999999995</v>
      </c>
      <c r="T4472">
        <v>451.64</v>
      </c>
      <c r="U4472">
        <v>28.7</v>
      </c>
      <c r="V4472" t="str">
        <f>VLOOKUP(L4472,'[2]tabela de preços'!$A:$D,4,0)</f>
        <v>BRASILUX</v>
      </c>
      <c r="W4472" t="str">
        <f>VLOOKUP(L4472,'[2]tabela de preços'!$A:$F,6,0)</f>
        <v>TINTA EM PÓ</v>
      </c>
      <c r="X4472" t="str">
        <f>VLOOKUP(L4472,'[2]tabela de preços'!$A:$G,7,0)</f>
        <v>INDUSTRIAL</v>
      </c>
    </row>
    <row r="4473" spans="1:24" x14ac:dyDescent="0.3">
      <c r="A4473" t="s">
        <v>1922</v>
      </c>
      <c r="C4473" t="s">
        <v>3667</v>
      </c>
      <c r="D4473" s="1">
        <v>46078</v>
      </c>
      <c r="E4473" t="s">
        <v>3668</v>
      </c>
      <c r="F4473">
        <v>9</v>
      </c>
      <c r="G4473">
        <v>231</v>
      </c>
      <c r="H4473" t="str">
        <f>VLOOKUP(G4473,[1]OPERADORES!$A:$B,2,0)</f>
        <v>EDIJANE</v>
      </c>
      <c r="I4473" t="s">
        <v>21</v>
      </c>
      <c r="J4473" t="s">
        <v>66</v>
      </c>
      <c r="K4473" t="s">
        <v>1925</v>
      </c>
      <c r="L4473">
        <v>85328</v>
      </c>
      <c r="M4473" t="s">
        <v>605</v>
      </c>
      <c r="O4473" t="s">
        <v>11</v>
      </c>
      <c r="P4473">
        <v>5102</v>
      </c>
      <c r="Q4473">
        <v>1</v>
      </c>
      <c r="R4473">
        <v>565.80999999999995</v>
      </c>
      <c r="S4473">
        <v>565.80999999999995</v>
      </c>
      <c r="T4473">
        <v>403.43</v>
      </c>
      <c r="U4473">
        <v>28.7</v>
      </c>
      <c r="V4473" t="str">
        <f>VLOOKUP(L4473,'[2]tabela de preços'!$A:$D,4,0)</f>
        <v>BRASILUX</v>
      </c>
      <c r="W4473" t="str">
        <f>VLOOKUP(L4473,'[2]tabela de preços'!$A:$F,6,0)</f>
        <v>TINTA EM PÓ</v>
      </c>
      <c r="X4473" t="str">
        <f>VLOOKUP(L4473,'[2]tabela de preços'!$A:$G,7,0)</f>
        <v>INDUSTRIAL</v>
      </c>
    </row>
    <row r="4474" spans="1:24" x14ac:dyDescent="0.3">
      <c r="A4474" t="s">
        <v>1922</v>
      </c>
      <c r="C4474" t="s">
        <v>3667</v>
      </c>
      <c r="D4474" s="1">
        <v>46078</v>
      </c>
      <c r="E4474" t="s">
        <v>3668</v>
      </c>
      <c r="F4474">
        <v>9</v>
      </c>
      <c r="G4474">
        <v>231</v>
      </c>
      <c r="H4474" t="str">
        <f>VLOOKUP(G4474,[1]OPERADORES!$A:$B,2,0)</f>
        <v>EDIJANE</v>
      </c>
      <c r="I4474" t="s">
        <v>21</v>
      </c>
      <c r="J4474" t="s">
        <v>66</v>
      </c>
      <c r="K4474" t="s">
        <v>1925</v>
      </c>
      <c r="L4474">
        <v>20399</v>
      </c>
      <c r="M4474" t="s">
        <v>465</v>
      </c>
      <c r="O4474" t="s">
        <v>11</v>
      </c>
      <c r="P4474">
        <v>5403</v>
      </c>
      <c r="Q4474">
        <v>2</v>
      </c>
      <c r="R4474">
        <v>32.19</v>
      </c>
      <c r="S4474">
        <v>64.38</v>
      </c>
      <c r="T4474">
        <v>53.56</v>
      </c>
      <c r="U4474">
        <v>16.809999999999999</v>
      </c>
      <c r="V4474" t="str">
        <f>VLOOKUP(L4474,'[2]tabela de preços'!$A:$D,4,0)</f>
        <v>SHERWIN WILLIAMS</v>
      </c>
      <c r="W4474" t="str">
        <f>VLOOKUP(L4474,'[2]tabela de preços'!$A:$F,6,0)</f>
        <v>VERNIZ AUTOMOTIVO</v>
      </c>
      <c r="X4474" t="str">
        <f>VLOOKUP(L4474,'[2]tabela de preços'!$A:$G,7,0)</f>
        <v>AUTOMOTIVO</v>
      </c>
    </row>
    <row r="4475" spans="1:24" x14ac:dyDescent="0.3">
      <c r="A4475" t="s">
        <v>1947</v>
      </c>
      <c r="B4475" t="s">
        <v>1948</v>
      </c>
      <c r="C4475" t="s">
        <v>3678</v>
      </c>
      <c r="D4475" s="1">
        <v>46078</v>
      </c>
      <c r="E4475" t="s">
        <v>3679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1951</v>
      </c>
      <c r="K4475" t="s">
        <v>1952</v>
      </c>
      <c r="L4475">
        <v>84175</v>
      </c>
      <c r="M4475" t="s">
        <v>1429</v>
      </c>
      <c r="O4475" t="s">
        <v>11</v>
      </c>
      <c r="P4475">
        <v>5403</v>
      </c>
      <c r="Q4475">
        <v>1</v>
      </c>
      <c r="R4475">
        <v>91.77</v>
      </c>
      <c r="S4475">
        <v>91.77</v>
      </c>
      <c r="T4475">
        <v>69.66</v>
      </c>
      <c r="U4475">
        <v>24.09</v>
      </c>
      <c r="V4475" t="str">
        <f>VLOOKUP(L4475,'[2]tabela de preços'!$A:$D,4,0)</f>
        <v>BRASILUX</v>
      </c>
      <c r="W4475" t="str">
        <f>VLOOKUP(L4475,'[2]tabela de preços'!$A:$F,6,0)</f>
        <v>ESMALTES</v>
      </c>
      <c r="X4475" t="str">
        <f>VLOOKUP(L4475,'[2]tabela de preços'!$A:$G,7,0)</f>
        <v>INDUSTRIAL</v>
      </c>
    </row>
    <row r="4476" spans="1:24" x14ac:dyDescent="0.3">
      <c r="A4476" t="s">
        <v>1947</v>
      </c>
      <c r="B4476" t="s">
        <v>1948</v>
      </c>
      <c r="C4476" t="s">
        <v>3678</v>
      </c>
      <c r="D4476" s="1">
        <v>46078</v>
      </c>
      <c r="E4476" t="s">
        <v>3679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1951</v>
      </c>
      <c r="K4476" t="s">
        <v>1952</v>
      </c>
      <c r="L4476">
        <v>86983</v>
      </c>
      <c r="M4476" t="s">
        <v>3680</v>
      </c>
      <c r="O4476" t="s">
        <v>11</v>
      </c>
      <c r="P4476">
        <v>5403</v>
      </c>
      <c r="Q4476">
        <v>1</v>
      </c>
      <c r="R4476">
        <v>36.56</v>
      </c>
      <c r="S4476">
        <v>36.56</v>
      </c>
      <c r="T4476">
        <v>26.8</v>
      </c>
      <c r="U4476">
        <v>26.7</v>
      </c>
      <c r="V4476" t="str">
        <f>VLOOKUP(L4476,'[2]tabela de preços'!$A:$D,4,0)</f>
        <v>BRASILUX</v>
      </c>
      <c r="W4476" t="str">
        <f>VLOOKUP(L4476,'[2]tabela de preços'!$A:$F,6,0)</f>
        <v>SELADOR ACRÍLICO</v>
      </c>
      <c r="X4476" t="str">
        <f>VLOOKUP(L4476,'[2]tabela de preços'!$A:$G,7,0)</f>
        <v>IMOBILIÁRIO</v>
      </c>
    </row>
    <row r="4477" spans="1:24" x14ac:dyDescent="0.3">
      <c r="A4477" t="s">
        <v>1947</v>
      </c>
      <c r="B4477" t="s">
        <v>1948</v>
      </c>
      <c r="C4477" t="s">
        <v>3678</v>
      </c>
      <c r="D4477" s="1">
        <v>46078</v>
      </c>
      <c r="E4477" t="s">
        <v>3679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1951</v>
      </c>
      <c r="K4477" t="s">
        <v>1952</v>
      </c>
      <c r="L4477">
        <v>84034</v>
      </c>
      <c r="M4477" t="s">
        <v>890</v>
      </c>
      <c r="O4477" t="s">
        <v>11</v>
      </c>
      <c r="P4477">
        <v>5102</v>
      </c>
      <c r="Q4477">
        <v>1</v>
      </c>
      <c r="R4477">
        <v>26.59</v>
      </c>
      <c r="S4477">
        <v>26.59</v>
      </c>
      <c r="T4477">
        <v>19.059999999999999</v>
      </c>
      <c r="U4477">
        <v>28.32</v>
      </c>
      <c r="V4477" t="str">
        <f>VLOOKUP(L4477,'[2]tabela de preços'!$A:$D,4,0)</f>
        <v>BRASILUX</v>
      </c>
      <c r="W4477" t="str">
        <f>VLOOKUP(L4477,'[2]tabela de preços'!$A:$F,6,0)</f>
        <v>MASSA CORRIDA / ACRÍLICA</v>
      </c>
      <c r="X4477" t="str">
        <f>VLOOKUP(L4477,'[2]tabela de preços'!$A:$G,7,0)</f>
        <v>IMOBILIÁRIO</v>
      </c>
    </row>
    <row r="4478" spans="1:24" x14ac:dyDescent="0.3">
      <c r="A4478" t="s">
        <v>1947</v>
      </c>
      <c r="B4478" t="s">
        <v>1948</v>
      </c>
      <c r="C4478" t="s">
        <v>3846</v>
      </c>
      <c r="D4478" s="1">
        <v>46079</v>
      </c>
      <c r="E4478" t="s">
        <v>3847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1951</v>
      </c>
      <c r="K4478" t="s">
        <v>1952</v>
      </c>
      <c r="L4478">
        <v>86568</v>
      </c>
      <c r="M4478" t="s">
        <v>3848</v>
      </c>
      <c r="O4478" t="s">
        <v>11</v>
      </c>
      <c r="P4478">
        <v>5403</v>
      </c>
      <c r="Q4478">
        <v>1</v>
      </c>
      <c r="R4478">
        <v>198.74</v>
      </c>
      <c r="S4478">
        <v>198.74</v>
      </c>
      <c r="T4478">
        <v>106.28</v>
      </c>
      <c r="U4478">
        <v>46.52</v>
      </c>
      <c r="V4478" t="str">
        <f>VLOOKUP(L4478,'[2]tabela de preços'!$A:$D,4,0)</f>
        <v>CORAL</v>
      </c>
      <c r="W4478" t="str">
        <f>VLOOKUP(L4478,'[2]tabela de preços'!$A:$F,6,0)</f>
        <v>BASES IMOBILIÁRIAS</v>
      </c>
      <c r="X4478" t="str">
        <f>VLOOKUP(L4478,'[2]tabela de preços'!$A:$G,7,0)</f>
        <v>IMOBILIÁRIO</v>
      </c>
    </row>
    <row r="4479" spans="1:24" x14ac:dyDescent="0.3">
      <c r="A4479" t="s">
        <v>1947</v>
      </c>
      <c r="B4479" t="s">
        <v>1948</v>
      </c>
      <c r="C4479" t="s">
        <v>3846</v>
      </c>
      <c r="D4479" s="1">
        <v>46079</v>
      </c>
      <c r="E4479" t="s">
        <v>3847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1951</v>
      </c>
      <c r="K4479" t="s">
        <v>1952</v>
      </c>
      <c r="L4479">
        <v>86190</v>
      </c>
      <c r="M4479" t="s">
        <v>3849</v>
      </c>
      <c r="O4479" t="s">
        <v>11</v>
      </c>
      <c r="P4479">
        <v>5403</v>
      </c>
      <c r="Q4479">
        <v>1</v>
      </c>
      <c r="R4479">
        <v>199.62</v>
      </c>
      <c r="S4479">
        <v>199.62</v>
      </c>
      <c r="T4479">
        <v>106.75</v>
      </c>
      <c r="U4479">
        <v>46.52</v>
      </c>
      <c r="V4479" t="str">
        <f>VLOOKUP(L4479,'[2]tabela de preços'!$A:$D,4,0)</f>
        <v>CORAL</v>
      </c>
      <c r="W4479" t="str">
        <f>VLOOKUP(L4479,'[2]tabela de preços'!$A:$F,6,0)</f>
        <v>BASES IMOBILIÁRIAS</v>
      </c>
      <c r="X4479" t="str">
        <f>VLOOKUP(L4479,'[2]tabela de preços'!$A:$G,7,0)</f>
        <v>IMOBILIÁRIO</v>
      </c>
    </row>
    <row r="4480" spans="1:24" x14ac:dyDescent="0.3">
      <c r="A4480" t="s">
        <v>1947</v>
      </c>
      <c r="B4480" t="s">
        <v>1948</v>
      </c>
      <c r="C4480" t="s">
        <v>3846</v>
      </c>
      <c r="D4480" s="1">
        <v>46079</v>
      </c>
      <c r="E4480" t="s">
        <v>3847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1951</v>
      </c>
      <c r="K4480" t="s">
        <v>1952</v>
      </c>
      <c r="L4480">
        <v>23878</v>
      </c>
      <c r="M4480" t="s">
        <v>851</v>
      </c>
      <c r="O4480" t="s">
        <v>11</v>
      </c>
      <c r="P4480">
        <v>5102</v>
      </c>
      <c r="Q4480">
        <v>1</v>
      </c>
      <c r="R4480">
        <v>10.38</v>
      </c>
      <c r="S4480">
        <v>10.38</v>
      </c>
      <c r="T4480">
        <v>7.88</v>
      </c>
      <c r="U4480">
        <v>24.08</v>
      </c>
      <c r="V4480" t="str">
        <f>VLOOKUP(L4480,'[2]tabela de preços'!$A:$D,4,0)</f>
        <v>ATLAS</v>
      </c>
      <c r="W4480" t="str">
        <f>VLOOKUP(L4480,'[2]tabela de preços'!$A:$F,6,0)</f>
        <v>ROLOS / TRINCHAS / PINCÉIS / ESPÁTULAS</v>
      </c>
      <c r="X4480" t="str">
        <f>VLOOKUP(L4480,'[2]tabela de preços'!$A:$G,7,0)</f>
        <v>IMOBILIÁRIO</v>
      </c>
    </row>
    <row r="4481" spans="1:24" x14ac:dyDescent="0.3">
      <c r="A4481" t="s">
        <v>1947</v>
      </c>
      <c r="B4481" t="s">
        <v>1948</v>
      </c>
      <c r="C4481" t="s">
        <v>3846</v>
      </c>
      <c r="D4481" s="1">
        <v>46079</v>
      </c>
      <c r="E4481" t="s">
        <v>3847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1951</v>
      </c>
      <c r="K4481" t="s">
        <v>1952</v>
      </c>
      <c r="L4481">
        <v>85065</v>
      </c>
      <c r="M4481" t="s">
        <v>3714</v>
      </c>
      <c r="O4481" t="s">
        <v>11</v>
      </c>
      <c r="P4481">
        <v>5102</v>
      </c>
      <c r="Q4481">
        <v>1</v>
      </c>
      <c r="R4481">
        <v>28.92</v>
      </c>
      <c r="S4481">
        <v>28.92</v>
      </c>
      <c r="T4481">
        <v>21.95</v>
      </c>
      <c r="U4481">
        <v>24.1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1969</v>
      </c>
      <c r="C4482" t="s">
        <v>3850</v>
      </c>
      <c r="D4482" s="1">
        <v>46079</v>
      </c>
      <c r="E4482" t="s">
        <v>3851</v>
      </c>
      <c r="F4482">
        <v>9</v>
      </c>
      <c r="G4482">
        <v>230</v>
      </c>
      <c r="H4482" t="str">
        <f>VLOOKUP(G4482,[1]OPERADORES!$A:$B,2,0)</f>
        <v>SÔNIA</v>
      </c>
      <c r="I4482" t="s">
        <v>715</v>
      </c>
      <c r="J4482" t="s">
        <v>1972</v>
      </c>
      <c r="K4482" t="s">
        <v>1973</v>
      </c>
      <c r="L4482">
        <v>9804</v>
      </c>
      <c r="M4482" t="s">
        <v>1190</v>
      </c>
      <c r="O4482" t="s">
        <v>11</v>
      </c>
      <c r="P4482">
        <v>6102</v>
      </c>
      <c r="Q4482">
        <v>5</v>
      </c>
      <c r="R4482">
        <v>37.04</v>
      </c>
      <c r="S4482">
        <v>185.2</v>
      </c>
      <c r="T4482">
        <v>140.55000000000001</v>
      </c>
      <c r="U4482">
        <v>24.11</v>
      </c>
      <c r="V4482" t="str">
        <f>VLOOKUP(L4482,'[2]tabela de preços'!$A:$D,4,0)</f>
        <v>WANDA</v>
      </c>
      <c r="W4482" t="str">
        <f>VLOOKUP(L4482,'[2]tabela de preços'!$A:$F,6,0)</f>
        <v>DESENGRAXANTE</v>
      </c>
      <c r="X4482" t="str">
        <f>VLOOKUP(L4482,'[2]tabela de preços'!$A:$G,7,0)</f>
        <v>AUTOMOTIVO</v>
      </c>
    </row>
    <row r="4483" spans="1:24" x14ac:dyDescent="0.3">
      <c r="A4483" t="s">
        <v>1969</v>
      </c>
      <c r="C4483" t="s">
        <v>3850</v>
      </c>
      <c r="D4483" s="1">
        <v>46079</v>
      </c>
      <c r="E4483" t="s">
        <v>3851</v>
      </c>
      <c r="F4483">
        <v>9</v>
      </c>
      <c r="G4483">
        <v>230</v>
      </c>
      <c r="H4483" t="str">
        <f>VLOOKUP(G4483,[1]OPERADORES!$A:$B,2,0)</f>
        <v>SÔNIA</v>
      </c>
      <c r="I4483" t="s">
        <v>715</v>
      </c>
      <c r="J4483" t="s">
        <v>1972</v>
      </c>
      <c r="K4483" t="s">
        <v>1973</v>
      </c>
      <c r="L4483">
        <v>84557</v>
      </c>
      <c r="M4483" t="s">
        <v>116</v>
      </c>
      <c r="O4483" t="s">
        <v>11</v>
      </c>
      <c r="P4483">
        <v>6102</v>
      </c>
      <c r="Q4483">
        <v>12</v>
      </c>
      <c r="R4483">
        <v>17.489999999999998</v>
      </c>
      <c r="S4483">
        <v>209.88</v>
      </c>
      <c r="T4483">
        <v>167.52</v>
      </c>
      <c r="U4483">
        <v>20.18</v>
      </c>
      <c r="V4483" t="str">
        <f>VLOOKUP(L4483,'[2]tabela de preços'!$A:$D,4,0)</f>
        <v>BRASILUX</v>
      </c>
      <c r="W4483" t="str">
        <f>VLOOKUP(L4483,'[2]tabela de preços'!$A:$F,6,0)</f>
        <v>DILUENTE</v>
      </c>
      <c r="X4483" t="str">
        <f>VLOOKUP(L4483,'[2]tabela de preços'!$A:$G,7,0)</f>
        <v>AUTOMOTIVO</v>
      </c>
    </row>
    <row r="4484" spans="1:24" x14ac:dyDescent="0.3">
      <c r="A4484" t="s">
        <v>1969</v>
      </c>
      <c r="C4484" t="s">
        <v>3850</v>
      </c>
      <c r="D4484" s="1">
        <v>46079</v>
      </c>
      <c r="E4484" t="s">
        <v>3851</v>
      </c>
      <c r="F4484">
        <v>9</v>
      </c>
      <c r="G4484">
        <v>230</v>
      </c>
      <c r="H4484" t="str">
        <f>VLOOKUP(G4484,[1]OPERADORES!$A:$B,2,0)</f>
        <v>SÔNIA</v>
      </c>
      <c r="I4484" t="s">
        <v>715</v>
      </c>
      <c r="J4484" t="s">
        <v>1972</v>
      </c>
      <c r="K4484" t="s">
        <v>1973</v>
      </c>
      <c r="L4484">
        <v>10224</v>
      </c>
      <c r="M4484" t="s">
        <v>270</v>
      </c>
      <c r="O4484" t="s">
        <v>11</v>
      </c>
      <c r="P4484">
        <v>6102</v>
      </c>
      <c r="Q4484">
        <v>10</v>
      </c>
      <c r="R4484">
        <v>2.79</v>
      </c>
      <c r="S4484">
        <v>27.9</v>
      </c>
      <c r="T4484">
        <v>23.2</v>
      </c>
      <c r="U4484">
        <v>16.850000000000001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1969</v>
      </c>
      <c r="C4485" t="s">
        <v>3850</v>
      </c>
      <c r="D4485" s="1">
        <v>46079</v>
      </c>
      <c r="E4485" t="s">
        <v>3851</v>
      </c>
      <c r="F4485">
        <v>9</v>
      </c>
      <c r="G4485">
        <v>230</v>
      </c>
      <c r="H4485" t="str">
        <f>VLOOKUP(G4485,[1]OPERADORES!$A:$B,2,0)</f>
        <v>SÔNIA</v>
      </c>
      <c r="I4485" t="s">
        <v>715</v>
      </c>
      <c r="J4485" t="s">
        <v>1972</v>
      </c>
      <c r="K4485" t="s">
        <v>1973</v>
      </c>
      <c r="L4485">
        <v>10232</v>
      </c>
      <c r="M4485" t="s">
        <v>134</v>
      </c>
      <c r="O4485" t="s">
        <v>11</v>
      </c>
      <c r="P4485">
        <v>6102</v>
      </c>
      <c r="Q4485">
        <v>10</v>
      </c>
      <c r="R4485">
        <v>2.79</v>
      </c>
      <c r="S4485">
        <v>27.9</v>
      </c>
      <c r="T4485">
        <v>22.5</v>
      </c>
      <c r="U4485">
        <v>19.350000000000001</v>
      </c>
      <c r="V4485" t="str">
        <f>VLOOKUP(L4485,'[2]tabela de preços'!$A:$D,4,0)</f>
        <v>NORTON</v>
      </c>
      <c r="W4485" t="str">
        <f>VLOOKUP(L4485,'[2]tabela de preços'!$A:$F,6,0)</f>
        <v xml:space="preserve">DISCOS / LIXAS / ABRASIVOS </v>
      </c>
      <c r="X4485" t="str">
        <f>VLOOKUP(L4485,'[2]tabela de preços'!$A:$G,7,0)</f>
        <v>AUTOMOTIVO</v>
      </c>
    </row>
    <row r="4486" spans="1:24" x14ac:dyDescent="0.3">
      <c r="A4486" t="s">
        <v>1969</v>
      </c>
      <c r="C4486" t="s">
        <v>3850</v>
      </c>
      <c r="D4486" s="1">
        <v>46079</v>
      </c>
      <c r="E4486" t="s">
        <v>3851</v>
      </c>
      <c r="F4486">
        <v>9</v>
      </c>
      <c r="G4486">
        <v>230</v>
      </c>
      <c r="H4486" t="str">
        <f>VLOOKUP(G4486,[1]OPERADORES!$A:$B,2,0)</f>
        <v>SÔNIA</v>
      </c>
      <c r="I4486" t="s">
        <v>715</v>
      </c>
      <c r="J4486" t="s">
        <v>1972</v>
      </c>
      <c r="K4486" t="s">
        <v>1973</v>
      </c>
      <c r="L4486">
        <v>10234</v>
      </c>
      <c r="M4486" t="s">
        <v>157</v>
      </c>
      <c r="O4486" t="s">
        <v>11</v>
      </c>
      <c r="P4486">
        <v>6102</v>
      </c>
      <c r="Q4486">
        <v>10</v>
      </c>
      <c r="R4486">
        <v>2.79</v>
      </c>
      <c r="S4486">
        <v>27.9</v>
      </c>
      <c r="T4486">
        <v>23.2</v>
      </c>
      <c r="U4486">
        <v>16.850000000000001</v>
      </c>
      <c r="V4486" t="str">
        <f>VLOOKUP(L4486,'[2]tabela de preços'!$A:$D,4,0)</f>
        <v>NORTON</v>
      </c>
      <c r="W4486" t="str">
        <f>VLOOKUP(L4486,'[2]tabela de preços'!$A:$F,6,0)</f>
        <v xml:space="preserve">DISCOS / LIXAS / ABRASIVOS </v>
      </c>
      <c r="X4486" t="str">
        <f>VLOOKUP(L4486,'[2]tabela de preços'!$A:$G,7,0)</f>
        <v>AUTOMOTIVO</v>
      </c>
    </row>
    <row r="4487" spans="1:24" x14ac:dyDescent="0.3">
      <c r="A4487" t="s">
        <v>1969</v>
      </c>
      <c r="C4487" t="s">
        <v>3850</v>
      </c>
      <c r="D4487" s="1">
        <v>46079</v>
      </c>
      <c r="E4487" t="s">
        <v>3851</v>
      </c>
      <c r="F4487">
        <v>9</v>
      </c>
      <c r="G4487">
        <v>230</v>
      </c>
      <c r="H4487" t="str">
        <f>VLOOKUP(G4487,[1]OPERADORES!$A:$B,2,0)</f>
        <v>SÔNIA</v>
      </c>
      <c r="I4487" t="s">
        <v>715</v>
      </c>
      <c r="J4487" t="s">
        <v>1972</v>
      </c>
      <c r="K4487" t="s">
        <v>1973</v>
      </c>
      <c r="L4487">
        <v>85616</v>
      </c>
      <c r="M4487" t="s">
        <v>471</v>
      </c>
      <c r="O4487" t="s">
        <v>11</v>
      </c>
      <c r="P4487">
        <v>6102</v>
      </c>
      <c r="Q4487">
        <v>2</v>
      </c>
      <c r="R4487">
        <v>2.79</v>
      </c>
      <c r="S4487">
        <v>5.58</v>
      </c>
      <c r="T4487">
        <v>4.5599999999999996</v>
      </c>
      <c r="U4487">
        <v>18.28</v>
      </c>
      <c r="V4487" t="str">
        <f>VLOOKUP(L4487,'[2]tabela de preços'!$A:$D,4,0)</f>
        <v>ADERE</v>
      </c>
      <c r="W4487" t="str">
        <f>VLOOKUP(L4487,'[2]tabela de preços'!$A:$F,6,0)</f>
        <v xml:space="preserve">FITA DE USO GERAL </v>
      </c>
      <c r="X4487" t="str">
        <f>VLOOKUP(L4487,'[2]tabela de preços'!$A:$G,7,0)</f>
        <v>IMOBILIÁRIO</v>
      </c>
    </row>
    <row r="4488" spans="1:24" x14ac:dyDescent="0.3">
      <c r="A4488" t="s">
        <v>1969</v>
      </c>
      <c r="C4488" t="s">
        <v>3850</v>
      </c>
      <c r="D4488" s="1">
        <v>46079</v>
      </c>
      <c r="E4488" t="s">
        <v>3851</v>
      </c>
      <c r="F4488">
        <v>9</v>
      </c>
      <c r="G4488">
        <v>230</v>
      </c>
      <c r="H4488" t="str">
        <f>VLOOKUP(G4488,[1]OPERADORES!$A:$B,2,0)</f>
        <v>SÔNIA</v>
      </c>
      <c r="I4488" t="s">
        <v>715</v>
      </c>
      <c r="J4488" t="s">
        <v>1972</v>
      </c>
      <c r="K4488" t="s">
        <v>1973</v>
      </c>
      <c r="L4488">
        <v>23076</v>
      </c>
      <c r="M4488" t="s">
        <v>97</v>
      </c>
      <c r="O4488" t="s">
        <v>11</v>
      </c>
      <c r="P4488">
        <v>6403</v>
      </c>
      <c r="Q4488">
        <v>6</v>
      </c>
      <c r="R4488">
        <v>34.89</v>
      </c>
      <c r="S4488">
        <v>209.34</v>
      </c>
      <c r="T4488">
        <v>159.18</v>
      </c>
      <c r="U4488">
        <v>23.96</v>
      </c>
      <c r="V4488" t="str">
        <f>VLOOKUP(L4488,'[2]tabela de preços'!$A:$D,4,0)</f>
        <v>WANDA</v>
      </c>
      <c r="W4488" t="str">
        <f>VLOOKUP(L4488,'[2]tabela de preços'!$A:$F,6,0)</f>
        <v>PRIMER AUTOMOTIVO</v>
      </c>
      <c r="X4488" t="str">
        <f>VLOOKUP(L4488,'[2]tabela de preços'!$A:$G,7,0)</f>
        <v>AUTOMOTIVO</v>
      </c>
    </row>
    <row r="4489" spans="1:24" x14ac:dyDescent="0.3">
      <c r="A4489" t="s">
        <v>1969</v>
      </c>
      <c r="C4489" t="s">
        <v>3850</v>
      </c>
      <c r="D4489" s="1">
        <v>46079</v>
      </c>
      <c r="E4489" t="s">
        <v>3851</v>
      </c>
      <c r="F4489">
        <v>9</v>
      </c>
      <c r="G4489">
        <v>230</v>
      </c>
      <c r="H4489" t="str">
        <f>VLOOKUP(G4489,[1]OPERADORES!$A:$B,2,0)</f>
        <v>SÔNIA</v>
      </c>
      <c r="I4489" t="s">
        <v>715</v>
      </c>
      <c r="J4489" t="s">
        <v>1972</v>
      </c>
      <c r="K4489" t="s">
        <v>1973</v>
      </c>
      <c r="L4489">
        <v>15</v>
      </c>
      <c r="M4489" t="s">
        <v>205</v>
      </c>
      <c r="O4489" t="s">
        <v>11</v>
      </c>
      <c r="P4489">
        <v>6102</v>
      </c>
      <c r="Q4489">
        <v>10</v>
      </c>
      <c r="R4489">
        <v>5.79</v>
      </c>
      <c r="S4489">
        <v>57.9</v>
      </c>
      <c r="T4489">
        <v>41.6</v>
      </c>
      <c r="U4489">
        <v>28.15</v>
      </c>
      <c r="V4489" t="str">
        <f>VLOOKUP(L4489,'[2]tabela de preços'!$A:$D,4,0)</f>
        <v>3M</v>
      </c>
      <c r="W4489" t="str">
        <f>VLOOKUP(L4489,'[2]tabela de preços'!$A:$F,6,0)</f>
        <v>LIXA DÁGUA</v>
      </c>
      <c r="X4489" t="str">
        <f>VLOOKUP(L4489,'[2]tabela de preços'!$A:$G,7,0)</f>
        <v>AUTOMOTIVO</v>
      </c>
    </row>
    <row r="4490" spans="1:24" x14ac:dyDescent="0.3">
      <c r="A4490" t="s">
        <v>1969</v>
      </c>
      <c r="C4490" t="s">
        <v>3850</v>
      </c>
      <c r="D4490" s="1">
        <v>46079</v>
      </c>
      <c r="E4490" t="s">
        <v>3851</v>
      </c>
      <c r="F4490">
        <v>9</v>
      </c>
      <c r="G4490">
        <v>230</v>
      </c>
      <c r="H4490" t="str">
        <f>VLOOKUP(G4490,[1]OPERADORES!$A:$B,2,0)</f>
        <v>SÔNIA</v>
      </c>
      <c r="I4490" t="s">
        <v>715</v>
      </c>
      <c r="J4490" t="s">
        <v>1972</v>
      </c>
      <c r="K4490" t="s">
        <v>1973</v>
      </c>
      <c r="L4490">
        <v>16</v>
      </c>
      <c r="M4490" t="s">
        <v>122</v>
      </c>
      <c r="O4490" t="s">
        <v>11</v>
      </c>
      <c r="P4490">
        <v>6102</v>
      </c>
      <c r="Q4490">
        <v>10</v>
      </c>
      <c r="R4490">
        <v>2.9</v>
      </c>
      <c r="S4490">
        <v>29</v>
      </c>
      <c r="T4490">
        <v>22</v>
      </c>
      <c r="U4490">
        <v>24.14</v>
      </c>
      <c r="V4490" t="str">
        <f>VLOOKUP(L4490,'[2]tabela de preços'!$A:$D,4,0)</f>
        <v>3M</v>
      </c>
      <c r="W4490" t="str">
        <f>VLOOKUP(L4490,'[2]tabela de preços'!$A:$F,6,0)</f>
        <v>LIXA DÁGUA</v>
      </c>
      <c r="X4490" t="str">
        <f>VLOOKUP(L4490,'[2]tabela de preços'!$A:$G,7,0)</f>
        <v>AUTOMOTIVO</v>
      </c>
    </row>
    <row r="4491" spans="1:24" x14ac:dyDescent="0.3">
      <c r="A4491" t="s">
        <v>1969</v>
      </c>
      <c r="C4491" t="s">
        <v>3850</v>
      </c>
      <c r="D4491" s="1">
        <v>46079</v>
      </c>
      <c r="E4491" t="s">
        <v>3851</v>
      </c>
      <c r="F4491">
        <v>9</v>
      </c>
      <c r="G4491">
        <v>230</v>
      </c>
      <c r="H4491" t="str">
        <f>VLOOKUP(G4491,[1]OPERADORES!$A:$B,2,0)</f>
        <v>SÔNIA</v>
      </c>
      <c r="I4491" t="s">
        <v>715</v>
      </c>
      <c r="J4491" t="s">
        <v>1972</v>
      </c>
      <c r="K4491" t="s">
        <v>1973</v>
      </c>
      <c r="L4491">
        <v>83819</v>
      </c>
      <c r="M4491" t="s">
        <v>1237</v>
      </c>
      <c r="O4491" t="s">
        <v>11</v>
      </c>
      <c r="P4491">
        <v>6102</v>
      </c>
      <c r="Q4491">
        <v>10</v>
      </c>
      <c r="R4491">
        <v>3.49</v>
      </c>
      <c r="S4491">
        <v>34.9</v>
      </c>
      <c r="T4491">
        <v>26.5</v>
      </c>
      <c r="U4491">
        <v>24.07</v>
      </c>
      <c r="V4491" t="str">
        <f>VLOOKUP(L4491,'[2]tabela de preços'!$A:$D,4,0)</f>
        <v>3M</v>
      </c>
      <c r="W4491" t="str">
        <f>VLOOKUP(L4491,'[2]tabela de preços'!$A:$F,6,0)</f>
        <v>LIXA DÁGUA</v>
      </c>
      <c r="X4491" t="str">
        <f>VLOOKUP(L4491,'[2]tabela de preços'!$A:$G,7,0)</f>
        <v>AUTOMOTIVO</v>
      </c>
    </row>
    <row r="4492" spans="1:24" x14ac:dyDescent="0.3">
      <c r="A4492" t="s">
        <v>1969</v>
      </c>
      <c r="C4492" t="s">
        <v>3850</v>
      </c>
      <c r="D4492" s="1">
        <v>46079</v>
      </c>
      <c r="E4492" t="s">
        <v>3851</v>
      </c>
      <c r="F4492">
        <v>9</v>
      </c>
      <c r="G4492">
        <v>230</v>
      </c>
      <c r="H4492" t="str">
        <f>VLOOKUP(G4492,[1]OPERADORES!$A:$B,2,0)</f>
        <v>SÔNIA</v>
      </c>
      <c r="I4492" t="s">
        <v>715</v>
      </c>
      <c r="J4492" t="s">
        <v>1972</v>
      </c>
      <c r="K4492" t="s">
        <v>1973</v>
      </c>
      <c r="L4492">
        <v>10238</v>
      </c>
      <c r="M4492" t="s">
        <v>79</v>
      </c>
      <c r="O4492" t="s">
        <v>11</v>
      </c>
      <c r="P4492">
        <v>6102</v>
      </c>
      <c r="Q4492">
        <v>10</v>
      </c>
      <c r="R4492">
        <v>2.79</v>
      </c>
      <c r="S4492">
        <v>27.9</v>
      </c>
      <c r="T4492">
        <v>22.4</v>
      </c>
      <c r="U4492">
        <v>19.71</v>
      </c>
      <c r="V4492" t="str">
        <f>VLOOKUP(L4492,'[2]tabela de preços'!$A:$D,4,0)</f>
        <v>NORTON</v>
      </c>
      <c r="W4492" t="str">
        <f>VLOOKUP(L4492,'[2]tabela de preços'!$A:$F,6,0)</f>
        <v xml:space="preserve">DISCOS / LIXAS / ABRASIVOS </v>
      </c>
      <c r="X4492" t="str">
        <f>VLOOKUP(L4492,'[2]tabela de preços'!$A:$G,7,0)</f>
        <v>AUTOMOTIVO</v>
      </c>
    </row>
    <row r="4493" spans="1:24" x14ac:dyDescent="0.3">
      <c r="A4493" t="s">
        <v>1969</v>
      </c>
      <c r="C4493" t="s">
        <v>3850</v>
      </c>
      <c r="D4493" s="1">
        <v>46079</v>
      </c>
      <c r="E4493" t="s">
        <v>3851</v>
      </c>
      <c r="F4493">
        <v>9</v>
      </c>
      <c r="G4493">
        <v>230</v>
      </c>
      <c r="H4493" t="str">
        <f>VLOOKUP(G4493,[1]OPERADORES!$A:$B,2,0)</f>
        <v>SÔNIA</v>
      </c>
      <c r="I4493" t="s">
        <v>715</v>
      </c>
      <c r="J4493" t="s">
        <v>1972</v>
      </c>
      <c r="K4493" t="s">
        <v>1973</v>
      </c>
      <c r="L4493">
        <v>10239</v>
      </c>
      <c r="M4493" t="s">
        <v>80</v>
      </c>
      <c r="O4493" t="s">
        <v>11</v>
      </c>
      <c r="P4493">
        <v>6102</v>
      </c>
      <c r="Q4493">
        <v>10</v>
      </c>
      <c r="R4493">
        <v>2.79</v>
      </c>
      <c r="S4493">
        <v>27.9</v>
      </c>
      <c r="T4493">
        <v>23.4</v>
      </c>
      <c r="U4493">
        <v>16.13</v>
      </c>
      <c r="V4493" t="str">
        <f>VLOOKUP(L4493,'[2]tabela de preços'!$A:$D,4,0)</f>
        <v>NORTON</v>
      </c>
      <c r="W4493" t="str">
        <f>VLOOKUP(L4493,'[2]tabela de preços'!$A:$F,6,0)</f>
        <v xml:space="preserve">DISCOS / LIXAS / ABRASIVOS </v>
      </c>
      <c r="X4493" t="str">
        <f>VLOOKUP(L4493,'[2]tabela de preços'!$A:$G,7,0)</f>
        <v>AUTOMOTIVO</v>
      </c>
    </row>
    <row r="4494" spans="1:24" x14ac:dyDescent="0.3">
      <c r="A4494" t="s">
        <v>1969</v>
      </c>
      <c r="C4494" t="s">
        <v>3850</v>
      </c>
      <c r="D4494" s="1">
        <v>46079</v>
      </c>
      <c r="E4494" t="s">
        <v>3851</v>
      </c>
      <c r="F4494">
        <v>9</v>
      </c>
      <c r="G4494">
        <v>230</v>
      </c>
      <c r="H4494" t="str">
        <f>VLOOKUP(G4494,[1]OPERADORES!$A:$B,2,0)</f>
        <v>SÔNIA</v>
      </c>
      <c r="I4494" t="s">
        <v>715</v>
      </c>
      <c r="J4494" t="s">
        <v>1972</v>
      </c>
      <c r="K4494" t="s">
        <v>1973</v>
      </c>
      <c r="L4494">
        <v>10242</v>
      </c>
      <c r="M4494" t="s">
        <v>82</v>
      </c>
      <c r="O4494" t="s">
        <v>11</v>
      </c>
      <c r="P4494">
        <v>6102</v>
      </c>
      <c r="Q4494">
        <v>10</v>
      </c>
      <c r="R4494">
        <v>2.79</v>
      </c>
      <c r="S4494">
        <v>27.9</v>
      </c>
      <c r="T4494">
        <v>22.4</v>
      </c>
      <c r="U4494">
        <v>19.71</v>
      </c>
      <c r="V4494" t="str">
        <f>VLOOKUP(L4494,'[2]tabela de preços'!$A:$D,4,0)</f>
        <v>NORTON</v>
      </c>
      <c r="W4494" t="str">
        <f>VLOOKUP(L4494,'[2]tabela de preços'!$A:$F,6,0)</f>
        <v xml:space="preserve">DISCOS / LIXAS / ABRASIVOS </v>
      </c>
      <c r="X4494" t="str">
        <f>VLOOKUP(L4494,'[2]tabela de preços'!$A:$G,7,0)</f>
        <v>AUTOMOTIVO</v>
      </c>
    </row>
    <row r="4495" spans="1:24" x14ac:dyDescent="0.3">
      <c r="A4495" t="s">
        <v>1969</v>
      </c>
      <c r="C4495" t="s">
        <v>3850</v>
      </c>
      <c r="D4495" s="1">
        <v>46079</v>
      </c>
      <c r="E4495" t="s">
        <v>3851</v>
      </c>
      <c r="F4495">
        <v>9</v>
      </c>
      <c r="G4495">
        <v>230</v>
      </c>
      <c r="H4495" t="str">
        <f>VLOOKUP(G4495,[1]OPERADORES!$A:$B,2,0)</f>
        <v>SÔNIA</v>
      </c>
      <c r="I4495" t="s">
        <v>715</v>
      </c>
      <c r="J4495" t="s">
        <v>1972</v>
      </c>
      <c r="K4495" t="s">
        <v>1973</v>
      </c>
      <c r="L4495">
        <v>10245</v>
      </c>
      <c r="M4495" t="s">
        <v>195</v>
      </c>
      <c r="O4495" t="s">
        <v>11</v>
      </c>
      <c r="P4495">
        <v>6102</v>
      </c>
      <c r="Q4495">
        <v>10</v>
      </c>
      <c r="R4495">
        <v>2.79</v>
      </c>
      <c r="S4495">
        <v>27.9</v>
      </c>
      <c r="T4495">
        <v>19.3</v>
      </c>
      <c r="U4495">
        <v>30.82</v>
      </c>
      <c r="V4495" t="str">
        <f>VLOOKUP(L4495,'[2]tabela de preços'!$A:$D,4,0)</f>
        <v>NORTON</v>
      </c>
      <c r="W4495" t="str">
        <f>VLOOKUP(L4495,'[2]tabela de preços'!$A:$F,6,0)</f>
        <v xml:space="preserve">DISCOS / LIXAS / ABRASIVOS </v>
      </c>
      <c r="X4495" t="str">
        <f>VLOOKUP(L4495,'[2]tabela de preços'!$A:$G,7,0)</f>
        <v>AUTOMOTIVO</v>
      </c>
    </row>
    <row r="4496" spans="1:24" x14ac:dyDescent="0.3">
      <c r="A4496" t="s">
        <v>1969</v>
      </c>
      <c r="C4496" t="s">
        <v>3850</v>
      </c>
      <c r="D4496" s="1">
        <v>46079</v>
      </c>
      <c r="E4496" t="s">
        <v>3851</v>
      </c>
      <c r="F4496">
        <v>9</v>
      </c>
      <c r="G4496">
        <v>230</v>
      </c>
      <c r="H4496" t="str">
        <f>VLOOKUP(G4496,[1]OPERADORES!$A:$B,2,0)</f>
        <v>SÔNIA</v>
      </c>
      <c r="I4496" t="s">
        <v>715</v>
      </c>
      <c r="J4496" t="s">
        <v>1972</v>
      </c>
      <c r="K4496" t="s">
        <v>1973</v>
      </c>
      <c r="L4496">
        <v>20817</v>
      </c>
      <c r="M4496" t="s">
        <v>153</v>
      </c>
      <c r="O4496" t="s">
        <v>11</v>
      </c>
      <c r="P4496">
        <v>6102</v>
      </c>
      <c r="Q4496">
        <v>2</v>
      </c>
      <c r="R4496">
        <v>22.89</v>
      </c>
      <c r="S4496">
        <v>45.78</v>
      </c>
      <c r="T4496">
        <v>37.24</v>
      </c>
      <c r="U4496">
        <v>18.649999999999999</v>
      </c>
      <c r="V4496" t="str">
        <f>VLOOKUP(L4496,'[2]tabela de preços'!$A:$D,4,0)</f>
        <v>AUTO AMERICA</v>
      </c>
      <c r="W4496" t="str">
        <f>VLOOKUP(L4496,'[2]tabela de preços'!$A:$F,6,0)</f>
        <v>MASSA DE POLIR</v>
      </c>
      <c r="X4496" t="str">
        <f>VLOOKUP(L4496,'[2]tabela de preços'!$A:$G,7,0)</f>
        <v>AUTOMOTIVO</v>
      </c>
    </row>
    <row r="4497" spans="1:24" x14ac:dyDescent="0.3">
      <c r="A4497" t="s">
        <v>1969</v>
      </c>
      <c r="C4497" t="s">
        <v>3850</v>
      </c>
      <c r="D4497" s="1">
        <v>46079</v>
      </c>
      <c r="E4497" t="s">
        <v>3851</v>
      </c>
      <c r="F4497">
        <v>9</v>
      </c>
      <c r="G4497">
        <v>230</v>
      </c>
      <c r="H4497" t="str">
        <f>VLOOKUP(G4497,[1]OPERADORES!$A:$B,2,0)</f>
        <v>SÔNIA</v>
      </c>
      <c r="I4497" t="s">
        <v>715</v>
      </c>
      <c r="J4497" t="s">
        <v>1972</v>
      </c>
      <c r="K4497" t="s">
        <v>1973</v>
      </c>
      <c r="L4497">
        <v>87000</v>
      </c>
      <c r="M4497" t="s">
        <v>333</v>
      </c>
      <c r="O4497" t="s">
        <v>11</v>
      </c>
      <c r="P4497">
        <v>6102</v>
      </c>
      <c r="Q4497">
        <v>12</v>
      </c>
      <c r="R4497">
        <v>19.89</v>
      </c>
      <c r="S4497">
        <v>238.68</v>
      </c>
      <c r="T4497">
        <v>202.08</v>
      </c>
      <c r="U4497">
        <v>15.33</v>
      </c>
      <c r="V4497" t="str">
        <f>VLOOKUP(L4497,'[2]tabela de preços'!$A:$D,4,0)</f>
        <v>WANDA</v>
      </c>
      <c r="W4497" t="str">
        <f>VLOOKUP(L4497,'[2]tabela de preços'!$A:$F,6,0)</f>
        <v>MASSA POLIÉSTER</v>
      </c>
      <c r="X4497" t="str">
        <f>VLOOKUP(L4497,'[2]tabela de preços'!$A:$G,7,0)</f>
        <v>AUTOMOTIVO</v>
      </c>
    </row>
    <row r="4498" spans="1:24" x14ac:dyDescent="0.3">
      <c r="A4498" t="s">
        <v>1969</v>
      </c>
      <c r="C4498" t="s">
        <v>3850</v>
      </c>
      <c r="D4498" s="1">
        <v>46079</v>
      </c>
      <c r="E4498" t="s">
        <v>3851</v>
      </c>
      <c r="F4498">
        <v>9</v>
      </c>
      <c r="G4498">
        <v>230</v>
      </c>
      <c r="H4498" t="str">
        <f>VLOOKUP(G4498,[1]OPERADORES!$A:$B,2,0)</f>
        <v>SÔNIA</v>
      </c>
      <c r="I4498" t="s">
        <v>715</v>
      </c>
      <c r="J4498" t="s">
        <v>1972</v>
      </c>
      <c r="K4498" t="s">
        <v>1973</v>
      </c>
      <c r="L4498">
        <v>10297</v>
      </c>
      <c r="M4498" t="s">
        <v>41</v>
      </c>
      <c r="O4498" t="s">
        <v>11</v>
      </c>
      <c r="P4498">
        <v>6102</v>
      </c>
      <c r="Q4498">
        <v>12</v>
      </c>
      <c r="R4498">
        <v>10.89</v>
      </c>
      <c r="S4498">
        <v>130.68</v>
      </c>
      <c r="T4498">
        <v>110.04</v>
      </c>
      <c r="U4498">
        <v>15.79</v>
      </c>
      <c r="V4498" t="str">
        <f>VLOOKUP(L4498,'[2]tabela de preços'!$A:$D,4,0)</f>
        <v>ANJO</v>
      </c>
      <c r="W4498" t="str">
        <f>VLOOKUP(L4498,'[2]tabela de preços'!$A:$F,6,0)</f>
        <v>THINNER DE LIMPEZA</v>
      </c>
      <c r="X4498" t="str">
        <f>VLOOKUP(L4498,'[2]tabela de preços'!$A:$G,7,0)</f>
        <v>THINNER</v>
      </c>
    </row>
    <row r="4499" spans="1:24" x14ac:dyDescent="0.3">
      <c r="A4499" t="s">
        <v>1969</v>
      </c>
      <c r="C4499" t="s">
        <v>3850</v>
      </c>
      <c r="D4499" s="1">
        <v>46079</v>
      </c>
      <c r="E4499" t="s">
        <v>3851</v>
      </c>
      <c r="F4499">
        <v>9</v>
      </c>
      <c r="G4499">
        <v>230</v>
      </c>
      <c r="H4499" t="str">
        <f>VLOOKUP(G4499,[1]OPERADORES!$A:$B,2,0)</f>
        <v>SÔNIA</v>
      </c>
      <c r="I4499" t="s">
        <v>715</v>
      </c>
      <c r="J4499" t="s">
        <v>1972</v>
      </c>
      <c r="K4499" t="s">
        <v>1973</v>
      </c>
      <c r="L4499">
        <v>84460</v>
      </c>
      <c r="M4499" t="s">
        <v>322</v>
      </c>
      <c r="O4499" t="s">
        <v>11</v>
      </c>
      <c r="P4499">
        <v>6102</v>
      </c>
      <c r="Q4499">
        <v>2</v>
      </c>
      <c r="R4499">
        <v>31.07</v>
      </c>
      <c r="S4499">
        <v>62.14</v>
      </c>
      <c r="T4499">
        <v>47.16</v>
      </c>
      <c r="U4499">
        <v>24.11</v>
      </c>
      <c r="V4499" t="str">
        <f>VLOOKUP(L4499,'[2]tabela de preços'!$A:$D,4,0)</f>
        <v>BRASILUX</v>
      </c>
      <c r="W4499" t="str">
        <f>VLOOKUP(L4499,'[2]tabela de preços'!$A:$F,6,0)</f>
        <v>VEDADORES / SELANTES</v>
      </c>
      <c r="X4499" t="str">
        <f>VLOOKUP(L4499,'[2]tabela de preços'!$A:$G,7,0)</f>
        <v>AUTOMOTIVO</v>
      </c>
    </row>
    <row r="4500" spans="1:24" x14ac:dyDescent="0.3">
      <c r="A4500" t="s">
        <v>1969</v>
      </c>
      <c r="C4500" t="s">
        <v>3850</v>
      </c>
      <c r="D4500" s="1">
        <v>46079</v>
      </c>
      <c r="E4500" t="s">
        <v>3851</v>
      </c>
      <c r="F4500">
        <v>9</v>
      </c>
      <c r="G4500">
        <v>230</v>
      </c>
      <c r="H4500" t="str">
        <f>VLOOKUP(G4500,[1]OPERADORES!$A:$B,2,0)</f>
        <v>SÔNIA</v>
      </c>
      <c r="I4500" t="s">
        <v>715</v>
      </c>
      <c r="J4500" t="s">
        <v>1972</v>
      </c>
      <c r="K4500" t="s">
        <v>1973</v>
      </c>
      <c r="L4500">
        <v>10404</v>
      </c>
      <c r="M4500" t="s">
        <v>130</v>
      </c>
      <c r="O4500" t="s">
        <v>11</v>
      </c>
      <c r="P4500">
        <v>6102</v>
      </c>
      <c r="Q4500">
        <v>4</v>
      </c>
      <c r="R4500">
        <v>16.29</v>
      </c>
      <c r="S4500">
        <v>65.16</v>
      </c>
      <c r="T4500">
        <v>55</v>
      </c>
      <c r="U4500">
        <v>15.59</v>
      </c>
      <c r="V4500" t="str">
        <f>VLOOKUP(L4500,'[2]tabela de preços'!$A:$D,4,0)</f>
        <v>MAXI RUBBER</v>
      </c>
      <c r="W4500" t="str">
        <f>VLOOKUP(L4500,'[2]tabela de preços'!$A:$F,6,0)</f>
        <v>VEDADORES / SELANTES</v>
      </c>
      <c r="X4500" t="str">
        <f>VLOOKUP(L4500,'[2]tabela de preços'!$A:$G,7,0)</f>
        <v>AUTOMOTIVO</v>
      </c>
    </row>
    <row r="4501" spans="1:24" x14ac:dyDescent="0.3">
      <c r="A4501" t="s">
        <v>2001</v>
      </c>
      <c r="C4501" t="s">
        <v>3852</v>
      </c>
      <c r="D4501" s="1">
        <v>46079</v>
      </c>
      <c r="E4501" t="s">
        <v>3853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1427</v>
      </c>
      <c r="K4501" t="s">
        <v>2004</v>
      </c>
      <c r="L4501">
        <v>84785</v>
      </c>
      <c r="M4501" t="s">
        <v>944</v>
      </c>
      <c r="O4501" t="s">
        <v>11</v>
      </c>
      <c r="P4501">
        <v>5403</v>
      </c>
      <c r="Q4501">
        <v>2</v>
      </c>
      <c r="R4501">
        <v>172.23</v>
      </c>
      <c r="S4501">
        <v>344.46</v>
      </c>
      <c r="T4501">
        <v>261.44</v>
      </c>
      <c r="U4501">
        <v>24.1</v>
      </c>
      <c r="V4501" t="str">
        <f>VLOOKUP(L4501,'[2]tabela de preços'!$A:$D,4,0)</f>
        <v>BRASILUX</v>
      </c>
      <c r="W4501" t="str">
        <f>VLOOKUP(L4501,'[2]tabela de preços'!$A:$F,6,0)</f>
        <v>EPOXI</v>
      </c>
      <c r="X4501" t="str">
        <f>VLOOKUP(L4501,'[2]tabela de preços'!$A:$G,7,0)</f>
        <v>INDUSTRIAL</v>
      </c>
    </row>
    <row r="4502" spans="1:24" x14ac:dyDescent="0.3">
      <c r="A4502" t="s">
        <v>2025</v>
      </c>
      <c r="C4502" t="s">
        <v>3854</v>
      </c>
      <c r="D4502" s="1">
        <v>46080</v>
      </c>
      <c r="E4502" t="s">
        <v>3855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762</v>
      </c>
      <c r="K4502" t="s">
        <v>2028</v>
      </c>
      <c r="L4502">
        <v>23295</v>
      </c>
      <c r="M4502" t="s">
        <v>789</v>
      </c>
      <c r="O4502" t="s">
        <v>11</v>
      </c>
      <c r="P4502">
        <v>5403</v>
      </c>
      <c r="Q4502">
        <v>1</v>
      </c>
      <c r="R4502">
        <v>288.70999999999998</v>
      </c>
      <c r="S4502">
        <v>288.70999999999998</v>
      </c>
      <c r="T4502">
        <v>194.09</v>
      </c>
      <c r="U4502">
        <v>32.770000000000003</v>
      </c>
      <c r="V4502" t="str">
        <f>VLOOKUP(L4502,'[2]tabela de preços'!$A:$D,4,0)</f>
        <v>SIKKENS</v>
      </c>
      <c r="W4502" t="str">
        <f>VLOOKUP(L4502,'[2]tabela de preços'!$A:$F,6,0)</f>
        <v>VERNIZ AUTOMOTIVO</v>
      </c>
      <c r="X4502" t="str">
        <f>VLOOKUP(L4502,'[2]tabela de preços'!$A:$G,7,0)</f>
        <v>AUTOMOTIVO</v>
      </c>
    </row>
    <row r="4503" spans="1:24" x14ac:dyDescent="0.3">
      <c r="A4503" t="s">
        <v>2025</v>
      </c>
      <c r="C4503" t="s">
        <v>3854</v>
      </c>
      <c r="D4503" s="1">
        <v>46080</v>
      </c>
      <c r="E4503" t="s">
        <v>3855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762</v>
      </c>
      <c r="K4503" t="s">
        <v>2028</v>
      </c>
      <c r="L4503">
        <v>22339</v>
      </c>
      <c r="M4503" t="s">
        <v>2198</v>
      </c>
      <c r="O4503" t="s">
        <v>11</v>
      </c>
      <c r="P4503">
        <v>5102</v>
      </c>
      <c r="Q4503">
        <v>1</v>
      </c>
      <c r="R4503">
        <v>8.0299999999999994</v>
      </c>
      <c r="S4503">
        <v>8.0299999999999994</v>
      </c>
      <c r="T4503">
        <v>5.89</v>
      </c>
      <c r="U4503">
        <v>26.65</v>
      </c>
      <c r="V4503" t="str">
        <f>VLOOKUP(L4503,'[2]tabela de preços'!$A:$D,4,0)</f>
        <v>WANDA</v>
      </c>
      <c r="W4503" t="str">
        <f>VLOOKUP(L4503,'[2]tabela de preços'!$A:$F,6,0)</f>
        <v>APLICADORES / ADAPTADORES / ENGATES / SUPORTES</v>
      </c>
      <c r="X4503" t="str">
        <f>VLOOKUP(L4503,'[2]tabela de preços'!$A:$G,7,0)</f>
        <v>AUTOMOTIVO</v>
      </c>
    </row>
    <row r="4504" spans="1:24" x14ac:dyDescent="0.3">
      <c r="A4504" t="s">
        <v>2025</v>
      </c>
      <c r="C4504" t="s">
        <v>3854</v>
      </c>
      <c r="D4504" s="1">
        <v>46080</v>
      </c>
      <c r="E4504" t="s">
        <v>3855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762</v>
      </c>
      <c r="K4504" t="s">
        <v>2028</v>
      </c>
      <c r="L4504">
        <v>10236</v>
      </c>
      <c r="M4504" t="s">
        <v>133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46.4</v>
      </c>
      <c r="U4504">
        <v>16.850000000000001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2025</v>
      </c>
      <c r="C4505" t="s">
        <v>3854</v>
      </c>
      <c r="D4505" s="1">
        <v>46080</v>
      </c>
      <c r="E4505" t="s">
        <v>3855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762</v>
      </c>
      <c r="K4505" t="s">
        <v>2028</v>
      </c>
      <c r="L4505">
        <v>10226</v>
      </c>
      <c r="M4505" t="s">
        <v>145</v>
      </c>
      <c r="O4505" t="s">
        <v>11</v>
      </c>
      <c r="P4505">
        <v>5102</v>
      </c>
      <c r="Q4505">
        <v>10</v>
      </c>
      <c r="R4505">
        <v>2.79</v>
      </c>
      <c r="S4505">
        <v>27.9</v>
      </c>
      <c r="T4505">
        <v>23.2</v>
      </c>
      <c r="U4505">
        <v>16.850000000000001</v>
      </c>
      <c r="V4505" t="str">
        <f>VLOOKUP(L4505,'[2]tabela de preços'!$A:$D,4,0)</f>
        <v>NORTON</v>
      </c>
      <c r="W4505" t="str">
        <f>VLOOKUP(L4505,'[2]tabela de preços'!$A:$F,6,0)</f>
        <v xml:space="preserve">DISCOS / LIXAS / ABRASIVOS </v>
      </c>
      <c r="X4505" t="str">
        <f>VLOOKUP(L4505,'[2]tabela de preços'!$A:$G,7,0)</f>
        <v>AUTOMOTIVO</v>
      </c>
    </row>
    <row r="4506" spans="1:24" x14ac:dyDescent="0.3">
      <c r="A4506" t="s">
        <v>2025</v>
      </c>
      <c r="C4506" t="s">
        <v>3854</v>
      </c>
      <c r="D4506" s="1">
        <v>46080</v>
      </c>
      <c r="E4506" t="s">
        <v>3855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762</v>
      </c>
      <c r="K4506" t="s">
        <v>2028</v>
      </c>
      <c r="L4506">
        <v>10232</v>
      </c>
      <c r="M4506" t="s">
        <v>134</v>
      </c>
      <c r="O4506" t="s">
        <v>11</v>
      </c>
      <c r="P4506">
        <v>5102</v>
      </c>
      <c r="Q4506">
        <v>20</v>
      </c>
      <c r="R4506">
        <v>2.79</v>
      </c>
      <c r="S4506">
        <v>55.8</v>
      </c>
      <c r="T4506">
        <v>45</v>
      </c>
      <c r="U4506">
        <v>19.350000000000001</v>
      </c>
      <c r="V4506" t="str">
        <f>VLOOKUP(L4506,'[2]tabela de preços'!$A:$D,4,0)</f>
        <v>NORTON</v>
      </c>
      <c r="W4506" t="str">
        <f>VLOOKUP(L4506,'[2]tabela de preços'!$A:$F,6,0)</f>
        <v xml:space="preserve">DISCOS / LIXAS / ABRASIVOS </v>
      </c>
      <c r="X4506" t="str">
        <f>VLOOKUP(L4506,'[2]tabela de preços'!$A:$G,7,0)</f>
        <v>AUTOMOTIVO</v>
      </c>
    </row>
    <row r="4507" spans="1:24" x14ac:dyDescent="0.3">
      <c r="A4507" t="s">
        <v>2025</v>
      </c>
      <c r="C4507" t="s">
        <v>3854</v>
      </c>
      <c r="D4507" s="1">
        <v>46080</v>
      </c>
      <c r="E4507" t="s">
        <v>3855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762</v>
      </c>
      <c r="K4507" t="s">
        <v>2028</v>
      </c>
      <c r="L4507">
        <v>10234</v>
      </c>
      <c r="M4507" t="s">
        <v>157</v>
      </c>
      <c r="O4507" t="s">
        <v>11</v>
      </c>
      <c r="P4507">
        <v>5102</v>
      </c>
      <c r="Q4507">
        <v>10</v>
      </c>
      <c r="R4507">
        <v>2.79</v>
      </c>
      <c r="S4507">
        <v>27.9</v>
      </c>
      <c r="T4507">
        <v>23.2</v>
      </c>
      <c r="U4507">
        <v>16.850000000000001</v>
      </c>
      <c r="V4507" t="str">
        <f>VLOOKUP(L4507,'[2]tabela de preços'!$A:$D,4,0)</f>
        <v>NORTON</v>
      </c>
      <c r="W4507" t="str">
        <f>VLOOKUP(L4507,'[2]tabela de preços'!$A:$F,6,0)</f>
        <v xml:space="preserve">DISCOS / LIXAS / ABRASIVOS </v>
      </c>
      <c r="X4507" t="str">
        <f>VLOOKUP(L4507,'[2]tabela de preços'!$A:$G,7,0)</f>
        <v>AUTOMOTIVO</v>
      </c>
    </row>
    <row r="4508" spans="1:24" x14ac:dyDescent="0.3">
      <c r="A4508" t="s">
        <v>2025</v>
      </c>
      <c r="C4508" t="s">
        <v>3854</v>
      </c>
      <c r="D4508" s="1">
        <v>46080</v>
      </c>
      <c r="E4508" t="s">
        <v>3855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762</v>
      </c>
      <c r="K4508" t="s">
        <v>2028</v>
      </c>
      <c r="L4508">
        <v>21862</v>
      </c>
      <c r="M4508" t="s">
        <v>2040</v>
      </c>
      <c r="O4508" t="s">
        <v>11</v>
      </c>
      <c r="P4508">
        <v>5102</v>
      </c>
      <c r="Q4508">
        <v>2</v>
      </c>
      <c r="R4508">
        <v>28.62</v>
      </c>
      <c r="S4508">
        <v>57.24</v>
      </c>
      <c r="T4508">
        <v>43.44</v>
      </c>
      <c r="U4508">
        <v>24.11</v>
      </c>
      <c r="V4508" t="str">
        <f>VLOOKUP(L4508,'[2]tabela de preços'!$A:$D,4,0)</f>
        <v>SIKKENS</v>
      </c>
      <c r="W4508" t="str">
        <f>VLOOKUP(L4508,'[2]tabela de preços'!$A:$F,6,0)</f>
        <v>CATALISADORES INDIVIDUAS</v>
      </c>
      <c r="X4508" t="str">
        <f>VLOOKUP(L4508,'[2]tabela de preços'!$A:$G,7,0)</f>
        <v>AUTOMOTIVO</v>
      </c>
    </row>
    <row r="4509" spans="1:24" x14ac:dyDescent="0.3">
      <c r="A4509" t="s">
        <v>2025</v>
      </c>
      <c r="C4509" t="s">
        <v>3854</v>
      </c>
      <c r="D4509" s="1">
        <v>46080</v>
      </c>
      <c r="E4509" t="s">
        <v>3855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762</v>
      </c>
      <c r="K4509" t="s">
        <v>2028</v>
      </c>
      <c r="L4509">
        <v>10238</v>
      </c>
      <c r="M4509" t="s">
        <v>79</v>
      </c>
      <c r="O4509" t="s">
        <v>11</v>
      </c>
      <c r="P4509">
        <v>5102</v>
      </c>
      <c r="Q4509">
        <v>10</v>
      </c>
      <c r="R4509">
        <v>2.79</v>
      </c>
      <c r="S4509">
        <v>27.9</v>
      </c>
      <c r="T4509">
        <v>22.4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2025</v>
      </c>
      <c r="C4510" t="s">
        <v>3854</v>
      </c>
      <c r="D4510" s="1">
        <v>46080</v>
      </c>
      <c r="E4510" t="s">
        <v>3855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762</v>
      </c>
      <c r="K4510" t="s">
        <v>2028</v>
      </c>
      <c r="L4510">
        <v>10242</v>
      </c>
      <c r="M4510" t="s">
        <v>82</v>
      </c>
      <c r="O4510" t="s">
        <v>11</v>
      </c>
      <c r="P4510">
        <v>5102</v>
      </c>
      <c r="Q4510">
        <v>10</v>
      </c>
      <c r="R4510">
        <v>2.79</v>
      </c>
      <c r="S4510">
        <v>27.9</v>
      </c>
      <c r="T4510">
        <v>22.4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2025</v>
      </c>
      <c r="C4511" t="s">
        <v>3854</v>
      </c>
      <c r="D4511" s="1">
        <v>46080</v>
      </c>
      <c r="E4511" t="s">
        <v>3855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762</v>
      </c>
      <c r="K4511" t="s">
        <v>2028</v>
      </c>
      <c r="L4511">
        <v>10298</v>
      </c>
      <c r="M4511" t="s">
        <v>85</v>
      </c>
      <c r="O4511" t="s">
        <v>11</v>
      </c>
      <c r="P4511">
        <v>5102</v>
      </c>
      <c r="Q4511">
        <v>1</v>
      </c>
      <c r="R4511">
        <v>56.89</v>
      </c>
      <c r="S4511">
        <v>56.89</v>
      </c>
      <c r="T4511">
        <v>47.38</v>
      </c>
      <c r="U4511">
        <v>16.72</v>
      </c>
      <c r="V4511" t="str">
        <f>VLOOKUP(L4511,'[2]tabela de preços'!$A:$D,4,0)</f>
        <v>ANJO</v>
      </c>
      <c r="W4511" t="str">
        <f>VLOOKUP(L4511,'[2]tabela de preços'!$A:$F,6,0)</f>
        <v>THINNER DE LIMPEZA</v>
      </c>
      <c r="X4511" t="str">
        <f>VLOOKUP(L4511,'[2]tabela de preços'!$A:$G,7,0)</f>
        <v>THINNER</v>
      </c>
    </row>
    <row r="4512" spans="1:24" x14ac:dyDescent="0.3">
      <c r="A4512" t="s">
        <v>3696</v>
      </c>
      <c r="C4512" t="s">
        <v>3697</v>
      </c>
      <c r="D4512" s="1">
        <v>46078</v>
      </c>
      <c r="E4512" t="s">
        <v>3698</v>
      </c>
      <c r="F4512">
        <v>9</v>
      </c>
      <c r="G4512">
        <v>197</v>
      </c>
      <c r="H4512" t="str">
        <f>VLOOKUP(G4512,[1]OPERADORES!$A:$B,2,0)</f>
        <v xml:space="preserve">POLIANA LORRANE DE AMORIM </v>
      </c>
      <c r="I4512" t="s">
        <v>3699</v>
      </c>
      <c r="J4512" t="s">
        <v>3700</v>
      </c>
      <c r="K4512" t="s">
        <v>3701</v>
      </c>
      <c r="L4512">
        <v>86984</v>
      </c>
      <c r="M4512" t="s">
        <v>720</v>
      </c>
      <c r="O4512" t="s">
        <v>11</v>
      </c>
      <c r="P4512">
        <v>6102</v>
      </c>
      <c r="Q4512">
        <v>12</v>
      </c>
      <c r="R4512">
        <v>44.9</v>
      </c>
      <c r="S4512">
        <v>538.79999999999995</v>
      </c>
      <c r="T4512">
        <v>446.52</v>
      </c>
      <c r="U4512">
        <v>17.13</v>
      </c>
      <c r="V4512" t="str">
        <f>VLOOKUP(L4512,'[2]tabela de preços'!$A:$D,4,0)</f>
        <v>ARPREX</v>
      </c>
      <c r="W4512" t="str">
        <f>VLOOKUP(L4512,'[2]tabela de preços'!$A:$F,6,0)</f>
        <v>PISTOLAS</v>
      </c>
      <c r="X4512" t="str">
        <f>VLOOKUP(L4512,'[2]tabela de preços'!$A:$G,7,0)</f>
        <v>IMOBILIÁRIO</v>
      </c>
    </row>
    <row r="4513" spans="1:24" x14ac:dyDescent="0.3">
      <c r="A4513" t="s">
        <v>3856</v>
      </c>
      <c r="C4513" t="s">
        <v>3857</v>
      </c>
      <c r="D4513" s="1">
        <v>46080</v>
      </c>
      <c r="E4513" t="s">
        <v>3858</v>
      </c>
      <c r="F4513">
        <v>9</v>
      </c>
      <c r="G4513">
        <v>236</v>
      </c>
      <c r="H4513" t="str">
        <f>VLOOKUP(G4513,[1]OPERADORES!$A:$B,2,0)</f>
        <v>DANIEL</v>
      </c>
      <c r="I4513" t="s">
        <v>21</v>
      </c>
      <c r="J4513" t="s">
        <v>211</v>
      </c>
      <c r="K4513" t="s">
        <v>3859</v>
      </c>
      <c r="L4513">
        <v>85271</v>
      </c>
      <c r="M4513" t="s">
        <v>850</v>
      </c>
      <c r="O4513" t="s">
        <v>11</v>
      </c>
      <c r="P4513">
        <v>5102</v>
      </c>
      <c r="Q4513">
        <v>3</v>
      </c>
      <c r="R4513">
        <v>175.06</v>
      </c>
      <c r="S4513">
        <v>525.17999999999995</v>
      </c>
      <c r="T4513">
        <v>338.82</v>
      </c>
      <c r="U4513">
        <v>35.479999999999997</v>
      </c>
      <c r="V4513" t="str">
        <f>VLOOKUP(L4513,'[2]tabela de preços'!$A:$D,4,0)</f>
        <v>BRASILUX</v>
      </c>
      <c r="W4513" t="str">
        <f>VLOOKUP(L4513,'[2]tabela de preços'!$A:$F,6,0)</f>
        <v>TINTA PARA PISO</v>
      </c>
      <c r="X4513" t="str">
        <f>VLOOKUP(L4513,'[2]tabela de preços'!$A:$G,7,0)</f>
        <v>IMOBILIÁRIO</v>
      </c>
    </row>
    <row r="4514" spans="1:24" x14ac:dyDescent="0.3">
      <c r="A4514" t="s">
        <v>3856</v>
      </c>
      <c r="C4514" t="s">
        <v>3857</v>
      </c>
      <c r="D4514" s="1">
        <v>46080</v>
      </c>
      <c r="E4514" t="s">
        <v>3858</v>
      </c>
      <c r="F4514">
        <v>9</v>
      </c>
      <c r="G4514">
        <v>236</v>
      </c>
      <c r="H4514" t="str">
        <f>VLOOKUP(G4514,[1]OPERADORES!$A:$B,2,0)</f>
        <v>DANIEL</v>
      </c>
      <c r="I4514" t="s">
        <v>21</v>
      </c>
      <c r="J4514" t="s">
        <v>211</v>
      </c>
      <c r="K4514" t="s">
        <v>3859</v>
      </c>
      <c r="L4514">
        <v>86846</v>
      </c>
      <c r="M4514" t="s">
        <v>1576</v>
      </c>
      <c r="O4514" t="s">
        <v>11</v>
      </c>
      <c r="P4514">
        <v>5102</v>
      </c>
      <c r="Q4514">
        <v>1</v>
      </c>
      <c r="R4514">
        <v>307.99</v>
      </c>
      <c r="S4514">
        <v>307.99</v>
      </c>
      <c r="T4514">
        <v>220.78</v>
      </c>
      <c r="U4514">
        <v>28.32</v>
      </c>
      <c r="V4514" t="str">
        <f>VLOOKUP(L4514,'[2]tabela de preços'!$A:$D,4,0)</f>
        <v>CORAL</v>
      </c>
      <c r="W4514" t="str">
        <f>VLOOKUP(L4514,'[2]tabela de preços'!$A:$F,6,0)</f>
        <v>TINTA PAREDE</v>
      </c>
      <c r="X4514" t="str">
        <f>VLOOKUP(L4514,'[2]tabela de preços'!$A:$G,7,0)</f>
        <v>IMOBILIÁRIO</v>
      </c>
    </row>
    <row r="4515" spans="1:24" x14ac:dyDescent="0.3">
      <c r="A4515" t="s">
        <v>2095</v>
      </c>
      <c r="C4515" t="s">
        <v>3860</v>
      </c>
      <c r="D4515" s="1">
        <v>46079</v>
      </c>
      <c r="E4515" t="s">
        <v>3861</v>
      </c>
      <c r="F4515">
        <v>9</v>
      </c>
      <c r="G4515">
        <v>197</v>
      </c>
      <c r="H4515" t="str">
        <f>VLOOKUP(G4515,[1]OPERADORES!$A:$B,2,0)</f>
        <v xml:space="preserve">POLIANA LORRANE DE AMORIM </v>
      </c>
      <c r="I4515" t="s">
        <v>126</v>
      </c>
      <c r="J4515" t="s">
        <v>127</v>
      </c>
      <c r="K4515" t="s">
        <v>2098</v>
      </c>
      <c r="L4515">
        <v>84499</v>
      </c>
      <c r="M4515" t="s">
        <v>534</v>
      </c>
      <c r="O4515" t="s">
        <v>11</v>
      </c>
      <c r="P4515">
        <v>6102</v>
      </c>
      <c r="Q4515">
        <v>5</v>
      </c>
      <c r="R4515">
        <v>181.02</v>
      </c>
      <c r="S4515">
        <v>905.1</v>
      </c>
      <c r="T4515">
        <v>687</v>
      </c>
      <c r="U4515">
        <v>24.1</v>
      </c>
      <c r="V4515" t="str">
        <f>VLOOKUP(L4515,'[2]tabela de preços'!$A:$D,4,0)</f>
        <v>BRASILUX</v>
      </c>
      <c r="W4515" t="str">
        <f>VLOOKUP(L4515,'[2]tabela de preços'!$A:$F,6,0)</f>
        <v>THINNER DE LIMPEZA</v>
      </c>
      <c r="X4515" t="str">
        <f>VLOOKUP(L4515,'[2]tabela de preços'!$A:$G,7,0)</f>
        <v>THINNER</v>
      </c>
    </row>
    <row r="4516" spans="1:24" x14ac:dyDescent="0.3">
      <c r="A4516" t="s">
        <v>3862</v>
      </c>
      <c r="C4516" t="s">
        <v>3863</v>
      </c>
      <c r="D4516" s="1">
        <v>46080</v>
      </c>
      <c r="E4516" t="s">
        <v>3864</v>
      </c>
      <c r="F4516">
        <v>9</v>
      </c>
      <c r="G4516">
        <v>236</v>
      </c>
      <c r="H4516" t="str">
        <f>VLOOKUP(G4516,[1]OPERADORES!$A:$B,2,0)</f>
        <v>DANIEL</v>
      </c>
      <c r="I4516" t="s">
        <v>21</v>
      </c>
      <c r="J4516" t="s">
        <v>357</v>
      </c>
      <c r="K4516" t="s">
        <v>3865</v>
      </c>
      <c r="L4516">
        <v>85318</v>
      </c>
      <c r="M4516" t="s">
        <v>258</v>
      </c>
      <c r="O4516" t="s">
        <v>11</v>
      </c>
      <c r="P4516">
        <v>5102</v>
      </c>
      <c r="Q4516">
        <v>1</v>
      </c>
      <c r="R4516">
        <v>780.46</v>
      </c>
      <c r="S4516">
        <v>780.46</v>
      </c>
      <c r="T4516">
        <v>583.96</v>
      </c>
      <c r="U4516">
        <v>25.18</v>
      </c>
      <c r="V4516" t="str">
        <f>VLOOKUP(L4516,'[2]tabela de preços'!$A:$D,4,0)</f>
        <v>BRASILUX</v>
      </c>
      <c r="W4516" t="str">
        <f>VLOOKUP(L4516,'[2]tabela de preços'!$A:$F,6,0)</f>
        <v>TINTA EM PÓ</v>
      </c>
      <c r="X4516" t="str">
        <f>VLOOKUP(L4516,'[2]tabela de preços'!$A:$G,7,0)</f>
        <v>INDUSTRIAL</v>
      </c>
    </row>
    <row r="4517" spans="1:24" x14ac:dyDescent="0.3">
      <c r="A4517" t="s">
        <v>3862</v>
      </c>
      <c r="C4517" t="s">
        <v>3863</v>
      </c>
      <c r="D4517" s="1">
        <v>46080</v>
      </c>
      <c r="E4517" t="s">
        <v>3864</v>
      </c>
      <c r="F4517">
        <v>9</v>
      </c>
      <c r="G4517">
        <v>236</v>
      </c>
      <c r="H4517" t="str">
        <f>VLOOKUP(G4517,[1]OPERADORES!$A:$B,2,0)</f>
        <v>DANIEL</v>
      </c>
      <c r="I4517" t="s">
        <v>21</v>
      </c>
      <c r="J4517" t="s">
        <v>357</v>
      </c>
      <c r="K4517" t="s">
        <v>3865</v>
      </c>
      <c r="L4517">
        <v>85424</v>
      </c>
      <c r="M4517" t="s">
        <v>2644</v>
      </c>
      <c r="O4517" t="s">
        <v>11</v>
      </c>
      <c r="P4517">
        <v>5102</v>
      </c>
      <c r="Q4517">
        <v>1</v>
      </c>
      <c r="R4517">
        <v>549.23</v>
      </c>
      <c r="S4517">
        <v>549.23</v>
      </c>
      <c r="T4517">
        <v>378.26</v>
      </c>
      <c r="U4517">
        <v>31.13</v>
      </c>
      <c r="V4517" t="str">
        <f>VLOOKUP(L4517,'[2]tabela de preços'!$A:$D,4,0)</f>
        <v>BRASILUX</v>
      </c>
      <c r="W4517" t="str">
        <f>VLOOKUP(L4517,'[2]tabela de preços'!$A:$F,6,0)</f>
        <v>TINTA EM PÓ</v>
      </c>
      <c r="X4517" t="str">
        <f>VLOOKUP(L4517,'[2]tabela de preços'!$A:$G,7,0)</f>
        <v>INDUSTRIAL</v>
      </c>
    </row>
    <row r="4518" spans="1:24" x14ac:dyDescent="0.3">
      <c r="A4518" t="s">
        <v>3862</v>
      </c>
      <c r="C4518" t="s">
        <v>3866</v>
      </c>
      <c r="D4518" s="1">
        <v>46080</v>
      </c>
      <c r="E4518" t="s">
        <v>3867</v>
      </c>
      <c r="F4518">
        <v>9</v>
      </c>
      <c r="G4518">
        <v>236</v>
      </c>
      <c r="H4518" t="str">
        <f>VLOOKUP(G4518,[1]OPERADORES!$A:$B,2,0)</f>
        <v>DANIEL</v>
      </c>
      <c r="I4518" t="s">
        <v>21</v>
      </c>
      <c r="J4518" t="s">
        <v>357</v>
      </c>
      <c r="K4518" t="s">
        <v>3865</v>
      </c>
      <c r="L4518">
        <v>84560</v>
      </c>
      <c r="M4518" t="s">
        <v>118</v>
      </c>
      <c r="O4518" t="s">
        <v>11</v>
      </c>
      <c r="P4518">
        <v>5102</v>
      </c>
      <c r="Q4518">
        <v>1</v>
      </c>
      <c r="R4518">
        <v>47.9</v>
      </c>
      <c r="S4518">
        <v>47.9</v>
      </c>
      <c r="T4518">
        <v>40.14</v>
      </c>
      <c r="U4518">
        <v>16.2</v>
      </c>
      <c r="V4518" t="str">
        <f>VLOOKUP(L4518,'[2]tabela de preços'!$A:$D,4,0)</f>
        <v>BRASILUX</v>
      </c>
      <c r="W4518" t="str">
        <f>VLOOKUP(L4518,'[2]tabela de preços'!$A:$F,6,0)</f>
        <v>THINNER DE LIMPEZA</v>
      </c>
      <c r="X4518" t="str">
        <f>VLOOKUP(L4518,'[2]tabela de preços'!$A:$G,7,0)</f>
        <v>THINNER</v>
      </c>
    </row>
    <row r="4519" spans="1:24" x14ac:dyDescent="0.3">
      <c r="A4519" t="s">
        <v>3862</v>
      </c>
      <c r="C4519" t="s">
        <v>3866</v>
      </c>
      <c r="D4519" s="1">
        <v>46080</v>
      </c>
      <c r="E4519" t="s">
        <v>3867</v>
      </c>
      <c r="F4519">
        <v>9</v>
      </c>
      <c r="G4519">
        <v>236</v>
      </c>
      <c r="H4519" t="str">
        <f>VLOOKUP(G4519,[1]OPERADORES!$A:$B,2,0)</f>
        <v>DANIEL</v>
      </c>
      <c r="I4519" t="s">
        <v>21</v>
      </c>
      <c r="J4519" t="s">
        <v>357</v>
      </c>
      <c r="K4519" t="s">
        <v>3865</v>
      </c>
      <c r="L4519">
        <v>85397</v>
      </c>
      <c r="M4519" t="s">
        <v>368</v>
      </c>
      <c r="O4519" t="s">
        <v>11</v>
      </c>
      <c r="P4519">
        <v>5102</v>
      </c>
      <c r="Q4519">
        <v>1</v>
      </c>
      <c r="R4519">
        <v>579.6</v>
      </c>
      <c r="S4519">
        <v>579.6</v>
      </c>
      <c r="T4519">
        <v>447.41</v>
      </c>
      <c r="U4519">
        <v>22.81</v>
      </c>
      <c r="V4519" t="str">
        <f>VLOOKUP(L4519,'[2]tabela de preços'!$A:$D,4,0)</f>
        <v>BRASILUX</v>
      </c>
      <c r="W4519" t="str">
        <f>VLOOKUP(L4519,'[2]tabela de preços'!$A:$F,6,0)</f>
        <v>TINTA EM PÓ</v>
      </c>
      <c r="X4519" t="str">
        <f>VLOOKUP(L4519,'[2]tabela de preços'!$A:$G,7,0)</f>
        <v>INDUSTRIAL</v>
      </c>
    </row>
    <row r="4520" spans="1:24" x14ac:dyDescent="0.3">
      <c r="A4520" t="s">
        <v>2988</v>
      </c>
      <c r="B4520" t="s">
        <v>2989</v>
      </c>
      <c r="C4520" t="s">
        <v>3868</v>
      </c>
      <c r="D4520" s="1">
        <v>46080</v>
      </c>
      <c r="E4520" t="s">
        <v>3869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2992</v>
      </c>
      <c r="K4520" t="s">
        <v>2993</v>
      </c>
      <c r="L4520">
        <v>85691</v>
      </c>
      <c r="M4520" t="s">
        <v>1231</v>
      </c>
      <c r="O4520" t="s">
        <v>11</v>
      </c>
      <c r="P4520">
        <v>5102</v>
      </c>
      <c r="Q4520">
        <v>37</v>
      </c>
      <c r="R4520">
        <v>14.81</v>
      </c>
      <c r="S4520">
        <v>547.97</v>
      </c>
      <c r="T4520">
        <v>415.88</v>
      </c>
      <c r="U4520">
        <v>24.11</v>
      </c>
      <c r="V4520" t="str">
        <f>VLOOKUP(L4520,'[2]tabela de preços'!$A:$D,4,0)</f>
        <v>UNIPEGA</v>
      </c>
      <c r="W4520" t="str">
        <f>VLOOKUP(L4520,'[2]tabela de preços'!$A:$F,6,0)</f>
        <v>COLA INST./ ADESIVOS COLANTES</v>
      </c>
      <c r="X4520" t="str">
        <f>VLOOKUP(L4520,'[2]tabela de preços'!$A:$G,7,0)</f>
        <v>AUTOMOTIVO</v>
      </c>
    </row>
    <row r="4521" spans="1:24" x14ac:dyDescent="0.3">
      <c r="A4521" t="s">
        <v>2988</v>
      </c>
      <c r="B4521" t="s">
        <v>2989</v>
      </c>
      <c r="C4521" t="s">
        <v>3868</v>
      </c>
      <c r="D4521" s="1">
        <v>46080</v>
      </c>
      <c r="E4521" t="s">
        <v>3869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2992</v>
      </c>
      <c r="K4521" t="s">
        <v>2993</v>
      </c>
      <c r="L4521">
        <v>20135</v>
      </c>
      <c r="M4521" t="s">
        <v>459</v>
      </c>
      <c r="O4521" t="s">
        <v>11</v>
      </c>
      <c r="P4521">
        <v>5102</v>
      </c>
      <c r="Q4521">
        <v>15</v>
      </c>
      <c r="R4521">
        <v>25.37</v>
      </c>
      <c r="S4521">
        <v>380.55</v>
      </c>
      <c r="T4521">
        <v>288.89999999999998</v>
      </c>
      <c r="U4521">
        <v>24.08</v>
      </c>
      <c r="V4521" t="str">
        <f>VLOOKUP(L4521,'[2]tabela de preços'!$A:$D,4,0)</f>
        <v>3M</v>
      </c>
      <c r="W4521" t="str">
        <f>VLOOKUP(L4521,'[2]tabela de preços'!$A:$F,6,0)</f>
        <v>DISCO TRIZACT</v>
      </c>
      <c r="X4521" t="str">
        <f>VLOOKUP(L4521,'[2]tabela de preços'!$A:$G,7,0)</f>
        <v>AUTOMOTIVO</v>
      </c>
    </row>
    <row r="4522" spans="1:24" x14ac:dyDescent="0.3">
      <c r="A4522" t="s">
        <v>2988</v>
      </c>
      <c r="B4522" t="s">
        <v>2989</v>
      </c>
      <c r="C4522" t="s">
        <v>3868</v>
      </c>
      <c r="D4522" s="1">
        <v>46080</v>
      </c>
      <c r="E4522" t="s">
        <v>3869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2992</v>
      </c>
      <c r="K4522" t="s">
        <v>2993</v>
      </c>
      <c r="L4522">
        <v>21351</v>
      </c>
      <c r="M4522" t="s">
        <v>3870</v>
      </c>
      <c r="O4522" t="s">
        <v>11</v>
      </c>
      <c r="P4522">
        <v>5102</v>
      </c>
      <c r="Q4522">
        <v>15</v>
      </c>
      <c r="R4522">
        <v>31.31</v>
      </c>
      <c r="S4522">
        <v>469.65</v>
      </c>
      <c r="T4522">
        <v>356.55</v>
      </c>
      <c r="U4522">
        <v>24.08</v>
      </c>
      <c r="V4522" t="str">
        <f>VLOOKUP(L4522,'[2]tabela de preços'!$A:$D,4,0)</f>
        <v>3M</v>
      </c>
      <c r="W4522" t="str">
        <f>VLOOKUP(L4522,'[2]tabela de preços'!$A:$F,6,0)</f>
        <v>DISCO TRIZACT</v>
      </c>
      <c r="X4522" t="str">
        <f>VLOOKUP(L4522,'[2]tabela de preços'!$A:$G,7,0)</f>
        <v>AUTOMOTIVO</v>
      </c>
    </row>
    <row r="4523" spans="1:24" x14ac:dyDescent="0.3">
      <c r="A4523" t="s">
        <v>2164</v>
      </c>
      <c r="C4523" t="s">
        <v>3871</v>
      </c>
      <c r="D4523" s="1">
        <v>46079</v>
      </c>
      <c r="E4523" t="s">
        <v>3872</v>
      </c>
      <c r="F4523">
        <v>9</v>
      </c>
      <c r="G4523">
        <v>236</v>
      </c>
      <c r="H4523" t="str">
        <f>VLOOKUP(G4523,[1]OPERADORES!$A:$B,2,0)</f>
        <v>DANIEL</v>
      </c>
      <c r="I4523" t="s">
        <v>21</v>
      </c>
      <c r="J4523" t="s">
        <v>2167</v>
      </c>
      <c r="K4523" t="s">
        <v>2168</v>
      </c>
      <c r="L4523">
        <v>85062</v>
      </c>
      <c r="M4523" t="s">
        <v>3873</v>
      </c>
      <c r="O4523" t="s">
        <v>11</v>
      </c>
      <c r="P4523">
        <v>5102</v>
      </c>
      <c r="Q4523">
        <v>5</v>
      </c>
      <c r="R4523">
        <v>5.4</v>
      </c>
      <c r="S4523">
        <v>27</v>
      </c>
      <c r="T4523">
        <v>17.7</v>
      </c>
      <c r="U4523">
        <v>34.44</v>
      </c>
      <c r="V4523" t="str">
        <f>VLOOKUP(L4523,'[2]tabela de preços'!$A:$D,4,0)</f>
        <v>ATLAS</v>
      </c>
      <c r="W4523" t="str">
        <f>VLOOKUP(L4523,'[2]tabela de preços'!$A:$F,6,0)</f>
        <v>ROLOS / TRINCHAS / PINCÉIS / ESPÁTULAS</v>
      </c>
      <c r="X4523" t="str">
        <f>VLOOKUP(L4523,'[2]tabela de preços'!$A:$G,7,0)</f>
        <v>IMOBILIÁRIO</v>
      </c>
    </row>
    <row r="4524" spans="1:24" x14ac:dyDescent="0.3">
      <c r="A4524" t="s">
        <v>2164</v>
      </c>
      <c r="C4524" t="s">
        <v>3871</v>
      </c>
      <c r="D4524" s="1">
        <v>46079</v>
      </c>
      <c r="E4524" t="s">
        <v>3874</v>
      </c>
      <c r="F4524">
        <v>9</v>
      </c>
      <c r="G4524">
        <v>236</v>
      </c>
      <c r="H4524" t="str">
        <f>VLOOKUP(G4524,[1]OPERADORES!$A:$B,2,0)</f>
        <v>DANIEL</v>
      </c>
      <c r="I4524" t="s">
        <v>21</v>
      </c>
      <c r="J4524" t="s">
        <v>2167</v>
      </c>
      <c r="K4524" t="s">
        <v>2168</v>
      </c>
      <c r="L4524">
        <v>85329</v>
      </c>
      <c r="M4524" t="s">
        <v>3875</v>
      </c>
      <c r="O4524" t="s">
        <v>11</v>
      </c>
      <c r="P4524">
        <v>5102</v>
      </c>
      <c r="Q4524">
        <v>1</v>
      </c>
      <c r="R4524">
        <v>799.71</v>
      </c>
      <c r="S4524">
        <v>799.71</v>
      </c>
      <c r="T4524">
        <v>570.20000000000005</v>
      </c>
      <c r="U4524">
        <v>28.7</v>
      </c>
      <c r="V4524" t="str">
        <f>VLOOKUP(L4524,'[2]tabela de preços'!$A:$D,4,0)</f>
        <v>BRASILUX</v>
      </c>
      <c r="W4524" t="str">
        <f>VLOOKUP(L4524,'[2]tabela de preços'!$A:$F,6,0)</f>
        <v>TINTA EM PÓ</v>
      </c>
      <c r="X4524" t="str">
        <f>VLOOKUP(L4524,'[2]tabela de preços'!$A:$G,7,0)</f>
        <v>INDUSTRIAL</v>
      </c>
    </row>
    <row r="4525" spans="1:24" x14ac:dyDescent="0.3">
      <c r="A4525" t="s">
        <v>2213</v>
      </c>
      <c r="C4525" t="s">
        <v>3710</v>
      </c>
      <c r="D4525" s="1">
        <v>46078</v>
      </c>
      <c r="E4525" t="s">
        <v>3711</v>
      </c>
      <c r="F4525">
        <v>9</v>
      </c>
      <c r="G4525">
        <v>236</v>
      </c>
      <c r="H4525" t="str">
        <f>VLOOKUP(G4525,[1]OPERADORES!$A:$B,2,0)</f>
        <v>DANIEL</v>
      </c>
      <c r="I4525" t="s">
        <v>21</v>
      </c>
      <c r="J4525" t="s">
        <v>1816</v>
      </c>
      <c r="K4525" t="s">
        <v>2216</v>
      </c>
      <c r="L4525">
        <v>86107</v>
      </c>
      <c r="M4525" t="s">
        <v>1992</v>
      </c>
      <c r="O4525" t="s">
        <v>11</v>
      </c>
      <c r="P4525">
        <v>5403</v>
      </c>
      <c r="Q4525">
        <v>1</v>
      </c>
      <c r="R4525">
        <v>83.78</v>
      </c>
      <c r="S4525">
        <v>83.78</v>
      </c>
      <c r="T4525">
        <v>65.12</v>
      </c>
      <c r="U4525">
        <v>22.27</v>
      </c>
      <c r="V4525" t="str">
        <f>VLOOKUP(L4525,'[2]tabela de preços'!$A:$D,4,0)</f>
        <v>SPARLACK CETOL</v>
      </c>
      <c r="W4525" t="str">
        <f>VLOOKUP(L4525,'[2]tabela de preços'!$A:$F,6,0)</f>
        <v>LINHA MOVELEIRA</v>
      </c>
      <c r="X4525" t="str">
        <f>VLOOKUP(L4525,'[2]tabela de preços'!$A:$G,7,0)</f>
        <v>MOVELEIRA</v>
      </c>
    </row>
    <row r="4526" spans="1:24" x14ac:dyDescent="0.3">
      <c r="A4526" t="s">
        <v>2213</v>
      </c>
      <c r="C4526" t="s">
        <v>3710</v>
      </c>
      <c r="D4526" s="1">
        <v>46078</v>
      </c>
      <c r="E4526" t="s">
        <v>3711</v>
      </c>
      <c r="F4526">
        <v>9</v>
      </c>
      <c r="G4526">
        <v>236</v>
      </c>
      <c r="H4526" t="str">
        <f>VLOOKUP(G4526,[1]OPERADORES!$A:$B,2,0)</f>
        <v>DANIEL</v>
      </c>
      <c r="I4526" t="s">
        <v>21</v>
      </c>
      <c r="J4526" t="s">
        <v>1816</v>
      </c>
      <c r="K4526" t="s">
        <v>2216</v>
      </c>
      <c r="L4526">
        <v>85038</v>
      </c>
      <c r="M4526" t="s">
        <v>2220</v>
      </c>
      <c r="O4526" t="s">
        <v>11</v>
      </c>
      <c r="P4526">
        <v>5102</v>
      </c>
      <c r="Q4526">
        <v>2</v>
      </c>
      <c r="R4526">
        <v>8.39</v>
      </c>
      <c r="S4526">
        <v>16.78</v>
      </c>
      <c r="T4526">
        <v>12.74</v>
      </c>
      <c r="U4526">
        <v>24.08</v>
      </c>
      <c r="V4526" t="str">
        <f>VLOOKUP(L4526,'[2]tabela de preços'!$A:$D,4,0)</f>
        <v>ATLAS</v>
      </c>
      <c r="W4526" t="str">
        <f>VLOOKUP(L4526,'[2]tabela de preços'!$A:$F,6,0)</f>
        <v>ROLOS / TRINCHAS / PINCÉIS / ESPÁTULAS</v>
      </c>
      <c r="X4526" t="str">
        <f>VLOOKUP(L4526,'[2]tabela de preços'!$A:$G,7,0)</f>
        <v>IMOBILIÁRIO</v>
      </c>
    </row>
    <row r="4527" spans="1:24" x14ac:dyDescent="0.3">
      <c r="A4527" t="s">
        <v>2213</v>
      </c>
      <c r="C4527" t="s">
        <v>3712</v>
      </c>
      <c r="D4527" s="1">
        <v>46078</v>
      </c>
      <c r="E4527" t="s">
        <v>3713</v>
      </c>
      <c r="F4527">
        <v>9</v>
      </c>
      <c r="G4527">
        <v>236</v>
      </c>
      <c r="H4527" t="str">
        <f>VLOOKUP(G4527,[1]OPERADORES!$A:$B,2,0)</f>
        <v>DANIEL</v>
      </c>
      <c r="I4527" t="s">
        <v>21</v>
      </c>
      <c r="J4527" t="s">
        <v>1816</v>
      </c>
      <c r="K4527" t="s">
        <v>2216</v>
      </c>
      <c r="L4527">
        <v>84329</v>
      </c>
      <c r="M4527" t="s">
        <v>285</v>
      </c>
      <c r="O4527" t="s">
        <v>11</v>
      </c>
      <c r="P4527">
        <v>5403</v>
      </c>
      <c r="Q4527">
        <v>10</v>
      </c>
      <c r="R4527">
        <v>59.98</v>
      </c>
      <c r="S4527">
        <v>599.79999999999995</v>
      </c>
      <c r="T4527">
        <v>482.7</v>
      </c>
      <c r="U4527">
        <v>19.52</v>
      </c>
      <c r="V4527" t="str">
        <f>VLOOKUP(L4527,'[2]tabela de preços'!$A:$D,4,0)</f>
        <v>BRASILUX</v>
      </c>
      <c r="W4527" t="str">
        <f>VLOOKUP(L4527,'[2]tabela de preços'!$A:$F,6,0)</f>
        <v>ESMALTES</v>
      </c>
      <c r="X4527" t="str">
        <f>VLOOKUP(L4527,'[2]tabela de preços'!$A:$G,7,0)</f>
        <v>INDUSTRIAL</v>
      </c>
    </row>
    <row r="4528" spans="1:24" x14ac:dyDescent="0.3">
      <c r="A4528" t="s">
        <v>2213</v>
      </c>
      <c r="C4528" t="s">
        <v>3712</v>
      </c>
      <c r="D4528" s="1">
        <v>46078</v>
      </c>
      <c r="E4528" t="s">
        <v>3713</v>
      </c>
      <c r="F4528">
        <v>9</v>
      </c>
      <c r="G4528">
        <v>236</v>
      </c>
      <c r="H4528" t="str">
        <f>VLOOKUP(G4528,[1]OPERADORES!$A:$B,2,0)</f>
        <v>DANIEL</v>
      </c>
      <c r="I4528" t="s">
        <v>21</v>
      </c>
      <c r="J4528" t="s">
        <v>1816</v>
      </c>
      <c r="K4528" t="s">
        <v>2216</v>
      </c>
      <c r="L4528">
        <v>84386</v>
      </c>
      <c r="M4528" t="s">
        <v>552</v>
      </c>
      <c r="O4528" t="s">
        <v>11</v>
      </c>
      <c r="P4528">
        <v>5403</v>
      </c>
      <c r="Q4528">
        <v>1</v>
      </c>
      <c r="R4528">
        <v>159.9</v>
      </c>
      <c r="S4528">
        <v>159.9</v>
      </c>
      <c r="T4528">
        <v>137.61000000000001</v>
      </c>
      <c r="U4528">
        <v>13.94</v>
      </c>
      <c r="V4528" t="str">
        <f>VLOOKUP(L4528,'[2]tabela de preços'!$A:$D,4,0)</f>
        <v>BRASILUX</v>
      </c>
      <c r="W4528" t="str">
        <f>VLOOKUP(L4528,'[2]tabela de preços'!$A:$F,6,0)</f>
        <v>TINTA PARA PISO</v>
      </c>
      <c r="X4528" t="str">
        <f>VLOOKUP(L4528,'[2]tabela de preços'!$A:$G,7,0)</f>
        <v>IMOBILIÁRIO</v>
      </c>
    </row>
    <row r="4529" spans="1:24" x14ac:dyDescent="0.3">
      <c r="A4529" t="s">
        <v>2213</v>
      </c>
      <c r="C4529" t="s">
        <v>3712</v>
      </c>
      <c r="D4529" s="1">
        <v>46078</v>
      </c>
      <c r="E4529" t="s">
        <v>3713</v>
      </c>
      <c r="F4529">
        <v>9</v>
      </c>
      <c r="G4529">
        <v>236</v>
      </c>
      <c r="H4529" t="str">
        <f>VLOOKUP(G4529,[1]OPERADORES!$A:$B,2,0)</f>
        <v>DANIEL</v>
      </c>
      <c r="I4529" t="s">
        <v>21</v>
      </c>
      <c r="J4529" t="s">
        <v>1816</v>
      </c>
      <c r="K4529" t="s">
        <v>2216</v>
      </c>
      <c r="L4529">
        <v>85065</v>
      </c>
      <c r="M4529" t="s">
        <v>3714</v>
      </c>
      <c r="O4529" t="s">
        <v>11</v>
      </c>
      <c r="P4529">
        <v>5102</v>
      </c>
      <c r="Q4529">
        <v>2</v>
      </c>
      <c r="R4529">
        <v>29.94</v>
      </c>
      <c r="S4529">
        <v>59.88</v>
      </c>
      <c r="T4529">
        <v>43.9</v>
      </c>
      <c r="U4529">
        <v>26.69</v>
      </c>
      <c r="V4529" t="str">
        <f>VLOOKUP(L4529,'[2]tabela de preços'!$A:$D,4,0)</f>
        <v>ATLAS</v>
      </c>
      <c r="W4529" t="str">
        <f>VLOOKUP(L4529,'[2]tabela de preços'!$A:$F,6,0)</f>
        <v>ROLOS / TRINCHAS / PINCÉIS / ESPÁTULAS</v>
      </c>
      <c r="X4529" t="str">
        <f>VLOOKUP(L4529,'[2]tabela de preços'!$A:$G,7,0)</f>
        <v>IMOBILIÁRIO</v>
      </c>
    </row>
    <row r="4530" spans="1:24" x14ac:dyDescent="0.3">
      <c r="A4530" t="s">
        <v>2213</v>
      </c>
      <c r="C4530" t="s">
        <v>3712</v>
      </c>
      <c r="D4530" s="1">
        <v>46078</v>
      </c>
      <c r="E4530" t="s">
        <v>3713</v>
      </c>
      <c r="F4530">
        <v>9</v>
      </c>
      <c r="G4530">
        <v>236</v>
      </c>
      <c r="H4530" t="str">
        <f>VLOOKUP(G4530,[1]OPERADORES!$A:$B,2,0)</f>
        <v>DANIEL</v>
      </c>
      <c r="I4530" t="s">
        <v>21</v>
      </c>
      <c r="J4530" t="s">
        <v>1816</v>
      </c>
      <c r="K4530" t="s">
        <v>2216</v>
      </c>
      <c r="L4530">
        <v>84499</v>
      </c>
      <c r="M4530" t="s">
        <v>534</v>
      </c>
      <c r="O4530" t="s">
        <v>11</v>
      </c>
      <c r="P4530">
        <v>5102</v>
      </c>
      <c r="Q4530">
        <v>1</v>
      </c>
      <c r="R4530">
        <v>183.15</v>
      </c>
      <c r="S4530">
        <v>183.15</v>
      </c>
      <c r="T4530">
        <v>137.4</v>
      </c>
      <c r="U4530">
        <v>24.98</v>
      </c>
      <c r="V4530" t="str">
        <f>VLOOKUP(L4530,'[2]tabela de preços'!$A:$D,4,0)</f>
        <v>BRASILUX</v>
      </c>
      <c r="W4530" t="str">
        <f>VLOOKUP(L4530,'[2]tabela de preços'!$A:$F,6,0)</f>
        <v>THINNER DE LIMPEZA</v>
      </c>
      <c r="X4530" t="str">
        <f>VLOOKUP(L4530,'[2]tabela de preços'!$A:$G,7,0)</f>
        <v>THINNER</v>
      </c>
    </row>
    <row r="4531" spans="1:24" x14ac:dyDescent="0.3">
      <c r="A4531" t="s">
        <v>2213</v>
      </c>
      <c r="C4531" t="s">
        <v>3876</v>
      </c>
      <c r="D4531" s="1">
        <v>46079</v>
      </c>
      <c r="E4531" t="s">
        <v>3877</v>
      </c>
      <c r="F4531">
        <v>9</v>
      </c>
      <c r="G4531">
        <v>236</v>
      </c>
      <c r="H4531" t="str">
        <f>VLOOKUP(G4531,[1]OPERADORES!$A:$B,2,0)</f>
        <v>DANIEL</v>
      </c>
      <c r="I4531" t="s">
        <v>21</v>
      </c>
      <c r="J4531" t="s">
        <v>1816</v>
      </c>
      <c r="K4531" t="s">
        <v>2216</v>
      </c>
      <c r="L4531">
        <v>85271</v>
      </c>
      <c r="M4531" t="s">
        <v>850</v>
      </c>
      <c r="O4531" t="s">
        <v>11</v>
      </c>
      <c r="P4531">
        <v>5403</v>
      </c>
      <c r="Q4531">
        <v>2</v>
      </c>
      <c r="R4531">
        <v>166.31</v>
      </c>
      <c r="S4531">
        <v>332.62</v>
      </c>
      <c r="T4531">
        <v>225.88</v>
      </c>
      <c r="U4531">
        <v>32.090000000000003</v>
      </c>
      <c r="V4531" t="str">
        <f>VLOOKUP(L4531,'[2]tabela de preços'!$A:$D,4,0)</f>
        <v>BRASILUX</v>
      </c>
      <c r="W4531" t="str">
        <f>VLOOKUP(L4531,'[2]tabela de preços'!$A:$F,6,0)</f>
        <v>TINTA PARA PISO</v>
      </c>
      <c r="X4531" t="str">
        <f>VLOOKUP(L4531,'[2]tabela de preços'!$A:$G,7,0)</f>
        <v>IMOBILIÁRIO</v>
      </c>
    </row>
    <row r="4532" spans="1:24" x14ac:dyDescent="0.3">
      <c r="A4532" t="s">
        <v>2221</v>
      </c>
      <c r="B4532" t="s">
        <v>2222</v>
      </c>
      <c r="C4532" t="s">
        <v>3878</v>
      </c>
      <c r="D4532" s="1">
        <v>46080</v>
      </c>
      <c r="E4532" t="s">
        <v>3879</v>
      </c>
      <c r="F4532">
        <v>9</v>
      </c>
      <c r="G4532">
        <v>145</v>
      </c>
      <c r="H4532" t="str">
        <f>VLOOKUP(G4532,[1]OPERADORES!$A:$B,2,0)</f>
        <v xml:space="preserve">FABRICIA </v>
      </c>
      <c r="I4532" t="s">
        <v>21</v>
      </c>
      <c r="J4532" t="s">
        <v>2225</v>
      </c>
      <c r="K4532" t="s">
        <v>2226</v>
      </c>
      <c r="L4532">
        <v>10298</v>
      </c>
      <c r="M4532" t="s">
        <v>85</v>
      </c>
      <c r="O4532" t="s">
        <v>11</v>
      </c>
      <c r="P4532">
        <v>5102</v>
      </c>
      <c r="Q4532">
        <v>10</v>
      </c>
      <c r="R4532">
        <v>56.9</v>
      </c>
      <c r="S4532">
        <v>569</v>
      </c>
      <c r="T4532">
        <v>473.8</v>
      </c>
      <c r="U4532">
        <v>16.73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2221</v>
      </c>
      <c r="B4533" t="s">
        <v>2222</v>
      </c>
      <c r="C4533" t="s">
        <v>3880</v>
      </c>
      <c r="D4533" s="1">
        <v>46080</v>
      </c>
      <c r="E4533" t="s">
        <v>3881</v>
      </c>
      <c r="F4533">
        <v>9</v>
      </c>
      <c r="G4533">
        <v>145</v>
      </c>
      <c r="H4533" t="str">
        <f>VLOOKUP(G4533,[1]OPERADORES!$A:$B,2,0)</f>
        <v xml:space="preserve">FABRICIA </v>
      </c>
      <c r="I4533" t="s">
        <v>21</v>
      </c>
      <c r="J4533" t="s">
        <v>2225</v>
      </c>
      <c r="K4533" t="s">
        <v>2226</v>
      </c>
      <c r="L4533">
        <v>85650</v>
      </c>
      <c r="M4533" t="s">
        <v>439</v>
      </c>
      <c r="O4533" t="s">
        <v>11</v>
      </c>
      <c r="P4533">
        <v>5403</v>
      </c>
      <c r="Q4533">
        <v>20</v>
      </c>
      <c r="R4533">
        <v>9.1199999999999992</v>
      </c>
      <c r="S4533">
        <v>182.4</v>
      </c>
      <c r="T4533">
        <v>138.4</v>
      </c>
      <c r="U4533">
        <v>24.12</v>
      </c>
      <c r="V4533" t="str">
        <f>VLOOKUP(L4533,'[2]tabela de preços'!$A:$D,4,0)</f>
        <v>UNIPEGA</v>
      </c>
      <c r="W4533" t="str">
        <f>VLOOKUP(L4533,'[2]tabela de preços'!$A:$F,6,0)</f>
        <v xml:space="preserve">SPRAYS </v>
      </c>
      <c r="X4533" t="str">
        <f>VLOOKUP(L4533,'[2]tabela de preços'!$A:$G,7,0)</f>
        <v>AUTOMOTIVO</v>
      </c>
    </row>
    <row r="4534" spans="1:24" x14ac:dyDescent="0.3">
      <c r="A4534" t="s">
        <v>2236</v>
      </c>
      <c r="B4534" t="s">
        <v>2237</v>
      </c>
      <c r="C4534" t="s">
        <v>3715</v>
      </c>
      <c r="D4534" s="1">
        <v>46078</v>
      </c>
      <c r="E4534" t="s">
        <v>3716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2240</v>
      </c>
      <c r="K4534" t="s">
        <v>2241</v>
      </c>
      <c r="L4534">
        <v>24248</v>
      </c>
      <c r="M4534" t="s">
        <v>107</v>
      </c>
      <c r="O4534" t="s">
        <v>11</v>
      </c>
      <c r="P4534">
        <v>5102</v>
      </c>
      <c r="Q4534">
        <v>4</v>
      </c>
      <c r="R4534">
        <v>8</v>
      </c>
      <c r="S4534">
        <v>32</v>
      </c>
      <c r="T4534">
        <v>26</v>
      </c>
      <c r="U4534">
        <v>18.75</v>
      </c>
      <c r="V4534" t="str">
        <f>VLOOKUP(L4534,'[2]tabela de preços'!$A:$D,4,0)</f>
        <v>SHERWIN WILLIAMS</v>
      </c>
      <c r="W4534" t="str">
        <f>VLOOKUP(L4534,'[2]tabela de preços'!$A:$F,6,0)</f>
        <v>PRIMER AUTOMOTIVO</v>
      </c>
      <c r="X4534" t="str">
        <f>VLOOKUP(L4534,'[2]tabela de preços'!$A:$G,7,0)</f>
        <v>AUTOMOTIVO</v>
      </c>
    </row>
    <row r="4535" spans="1:24" x14ac:dyDescent="0.3">
      <c r="A4535" t="s">
        <v>2236</v>
      </c>
      <c r="B4535" t="s">
        <v>2237</v>
      </c>
      <c r="C4535" t="s">
        <v>3715</v>
      </c>
      <c r="D4535" s="1">
        <v>46078</v>
      </c>
      <c r="E4535" t="s">
        <v>3716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2240</v>
      </c>
      <c r="K4535" t="s">
        <v>2241</v>
      </c>
      <c r="L4535">
        <v>20817</v>
      </c>
      <c r="M4535" t="s">
        <v>153</v>
      </c>
      <c r="O4535" t="s">
        <v>11</v>
      </c>
      <c r="P4535">
        <v>5102</v>
      </c>
      <c r="Q4535">
        <v>3</v>
      </c>
      <c r="R4535">
        <v>22.89</v>
      </c>
      <c r="S4535">
        <v>68.67</v>
      </c>
      <c r="T4535">
        <v>55.86</v>
      </c>
      <c r="U4535">
        <v>18.649999999999999</v>
      </c>
      <c r="V4535" t="str">
        <f>VLOOKUP(L4535,'[2]tabela de preços'!$A:$D,4,0)</f>
        <v>AUTO AMERICA</v>
      </c>
      <c r="W4535" t="str">
        <f>VLOOKUP(L4535,'[2]tabela de preços'!$A:$F,6,0)</f>
        <v>MASSA DE POLIR</v>
      </c>
      <c r="X4535" t="str">
        <f>VLOOKUP(L4535,'[2]tabela de preços'!$A:$G,7,0)</f>
        <v>AUTOMOTIVO</v>
      </c>
    </row>
    <row r="4536" spans="1:24" x14ac:dyDescent="0.3">
      <c r="A4536" t="s">
        <v>2236</v>
      </c>
      <c r="B4536" t="s">
        <v>2237</v>
      </c>
      <c r="C4536" t="s">
        <v>3715</v>
      </c>
      <c r="D4536" s="1">
        <v>46078</v>
      </c>
      <c r="E4536" t="s">
        <v>3716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2240</v>
      </c>
      <c r="K4536" t="s">
        <v>2241</v>
      </c>
      <c r="L4536">
        <v>23267</v>
      </c>
      <c r="M4536" t="s">
        <v>164</v>
      </c>
      <c r="O4536" t="s">
        <v>11</v>
      </c>
      <c r="P4536">
        <v>5102</v>
      </c>
      <c r="Q4536">
        <v>3</v>
      </c>
      <c r="R4536">
        <v>22.89</v>
      </c>
      <c r="S4536">
        <v>68.67</v>
      </c>
      <c r="T4536">
        <v>55.86</v>
      </c>
      <c r="U4536">
        <v>18.649999999999999</v>
      </c>
      <c r="V4536" t="str">
        <f>VLOOKUP(L4536,'[2]tabela de preços'!$A:$D,4,0)</f>
        <v>ANJO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2236</v>
      </c>
      <c r="B4537" t="s">
        <v>2237</v>
      </c>
      <c r="C4537" t="s">
        <v>3715</v>
      </c>
      <c r="D4537" s="1">
        <v>46078</v>
      </c>
      <c r="E4537" t="s">
        <v>3716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2240</v>
      </c>
      <c r="K4537" t="s">
        <v>2241</v>
      </c>
      <c r="L4537">
        <v>24247</v>
      </c>
      <c r="M4537" t="s">
        <v>160</v>
      </c>
      <c r="O4537" t="s">
        <v>11</v>
      </c>
      <c r="P4537">
        <v>5403</v>
      </c>
      <c r="Q4537">
        <v>4</v>
      </c>
      <c r="R4537">
        <v>21</v>
      </c>
      <c r="S4537">
        <v>84</v>
      </c>
      <c r="T4537">
        <v>67.48</v>
      </c>
      <c r="U4537">
        <v>19.670000000000002</v>
      </c>
      <c r="V4537" t="str">
        <f>VLOOKUP(L4537,'[2]tabela de preços'!$A:$D,4,0)</f>
        <v>SHERWIN WILLIAMS</v>
      </c>
      <c r="W4537" t="str">
        <f>VLOOKUP(L4537,'[2]tabela de preços'!$A:$F,6,0)</f>
        <v>PRIMER AUTOMOTIVO</v>
      </c>
      <c r="X4537" t="str">
        <f>VLOOKUP(L4537,'[2]tabela de preços'!$A:$G,7,0)</f>
        <v>AUTOMOTIVO</v>
      </c>
    </row>
    <row r="4538" spans="1:24" x14ac:dyDescent="0.3">
      <c r="A4538" t="s">
        <v>2236</v>
      </c>
      <c r="B4538" t="s">
        <v>2237</v>
      </c>
      <c r="C4538" t="s">
        <v>3715</v>
      </c>
      <c r="D4538" s="1">
        <v>46078</v>
      </c>
      <c r="E4538" t="s">
        <v>3716</v>
      </c>
      <c r="F4538">
        <v>9</v>
      </c>
      <c r="G4538">
        <v>236</v>
      </c>
      <c r="H4538" t="str">
        <f>VLOOKUP(G4538,[1]OPERADORES!$A:$B,2,0)</f>
        <v>DANIEL</v>
      </c>
      <c r="I4538" t="s">
        <v>21</v>
      </c>
      <c r="J4538" t="s">
        <v>2240</v>
      </c>
      <c r="K4538" t="s">
        <v>2241</v>
      </c>
      <c r="L4538">
        <v>20414</v>
      </c>
      <c r="M4538" t="s">
        <v>112</v>
      </c>
      <c r="O4538" t="s">
        <v>11</v>
      </c>
      <c r="P4538">
        <v>5102</v>
      </c>
      <c r="Q4538">
        <v>4</v>
      </c>
      <c r="R4538">
        <v>21.89</v>
      </c>
      <c r="S4538">
        <v>87.56</v>
      </c>
      <c r="T4538">
        <v>72</v>
      </c>
      <c r="U4538">
        <v>17.77</v>
      </c>
      <c r="V4538" t="str">
        <f>VLOOKUP(L4538,'[2]tabela de preços'!$A:$D,4,0)</f>
        <v>SHERWIN WILLIAMS</v>
      </c>
      <c r="W4538" t="str">
        <f>VLOOKUP(L4538,'[2]tabela de preços'!$A:$F,6,0)</f>
        <v>DILUENTE</v>
      </c>
      <c r="X4538" t="str">
        <f>VLOOKUP(L4538,'[2]tabela de preços'!$A:$G,7,0)</f>
        <v>AUTOMOTIVO</v>
      </c>
    </row>
    <row r="4539" spans="1:24" x14ac:dyDescent="0.3">
      <c r="A4539" t="s">
        <v>2251</v>
      </c>
      <c r="C4539" t="s">
        <v>3882</v>
      </c>
      <c r="D4539" s="1">
        <v>46079</v>
      </c>
      <c r="E4539" t="s">
        <v>3883</v>
      </c>
      <c r="F4539">
        <v>9</v>
      </c>
      <c r="G4539">
        <v>197</v>
      </c>
      <c r="H4539" t="str">
        <f>VLOOKUP(G4539,[1]OPERADORES!$A:$B,2,0)</f>
        <v xml:space="preserve">POLIANA LORRANE DE AMORIM </v>
      </c>
      <c r="I4539" t="s">
        <v>282</v>
      </c>
      <c r="J4539" t="s">
        <v>1294</v>
      </c>
      <c r="K4539" t="s">
        <v>2254</v>
      </c>
      <c r="L4539">
        <v>84217</v>
      </c>
      <c r="M4539" t="s">
        <v>882</v>
      </c>
      <c r="O4539" t="s">
        <v>11</v>
      </c>
      <c r="P4539">
        <v>6403</v>
      </c>
      <c r="Q4539">
        <v>2</v>
      </c>
      <c r="R4539">
        <v>52.97</v>
      </c>
      <c r="S4539">
        <v>105.94</v>
      </c>
      <c r="T4539">
        <v>77.66</v>
      </c>
      <c r="U4539">
        <v>26.69</v>
      </c>
      <c r="V4539" t="str">
        <f>VLOOKUP(L4539,'[2]tabela de preços'!$A:$D,4,0)</f>
        <v>BRASILUX</v>
      </c>
      <c r="W4539" t="str">
        <f>VLOOKUP(L4539,'[2]tabela de preços'!$A:$F,6,0)</f>
        <v>ESMALTES</v>
      </c>
      <c r="X4539" t="str">
        <f>VLOOKUP(L4539,'[2]tabela de preços'!$A:$G,7,0)</f>
        <v>INDUSTRIAL</v>
      </c>
    </row>
    <row r="4540" spans="1:24" x14ac:dyDescent="0.3">
      <c r="A4540" t="s">
        <v>2251</v>
      </c>
      <c r="C4540" t="s">
        <v>3882</v>
      </c>
      <c r="D4540" s="1">
        <v>46079</v>
      </c>
      <c r="E4540" t="s">
        <v>3883</v>
      </c>
      <c r="F4540">
        <v>9</v>
      </c>
      <c r="G4540">
        <v>197</v>
      </c>
      <c r="H4540" t="str">
        <f>VLOOKUP(G4540,[1]OPERADORES!$A:$B,2,0)</f>
        <v xml:space="preserve">POLIANA LORRANE DE AMORIM </v>
      </c>
      <c r="I4540" t="s">
        <v>282</v>
      </c>
      <c r="J4540" t="s">
        <v>1294</v>
      </c>
      <c r="K4540" t="s">
        <v>2254</v>
      </c>
      <c r="L4540">
        <v>84221</v>
      </c>
      <c r="M4540" t="s">
        <v>3884</v>
      </c>
      <c r="O4540" t="s">
        <v>11</v>
      </c>
      <c r="P4540">
        <v>6403</v>
      </c>
      <c r="Q4540">
        <v>3</v>
      </c>
      <c r="R4540">
        <v>15.11</v>
      </c>
      <c r="S4540">
        <v>45.33</v>
      </c>
      <c r="T4540">
        <v>33.24</v>
      </c>
      <c r="U4540">
        <v>26.67</v>
      </c>
      <c r="V4540" t="str">
        <f>VLOOKUP(L4540,'[2]tabela de preços'!$A:$D,4,0)</f>
        <v>BRASILUX</v>
      </c>
      <c r="W4540" t="str">
        <f>VLOOKUP(L4540,'[2]tabela de preços'!$A:$F,6,0)</f>
        <v>ESMALTES</v>
      </c>
      <c r="X4540" t="str">
        <f>VLOOKUP(L4540,'[2]tabela de preços'!$A:$G,7,0)</f>
        <v>INDUSTRIAL</v>
      </c>
    </row>
    <row r="4541" spans="1:24" x14ac:dyDescent="0.3">
      <c r="A4541" t="s">
        <v>2251</v>
      </c>
      <c r="C4541" t="s">
        <v>3882</v>
      </c>
      <c r="D4541" s="1">
        <v>46079</v>
      </c>
      <c r="E4541" t="s">
        <v>3883</v>
      </c>
      <c r="F4541">
        <v>9</v>
      </c>
      <c r="G4541">
        <v>197</v>
      </c>
      <c r="H4541" t="str">
        <f>VLOOKUP(G4541,[1]OPERADORES!$A:$B,2,0)</f>
        <v xml:space="preserve">POLIANA LORRANE DE AMORIM </v>
      </c>
      <c r="I4541" t="s">
        <v>282</v>
      </c>
      <c r="J4541" t="s">
        <v>1294</v>
      </c>
      <c r="K4541" t="s">
        <v>2254</v>
      </c>
      <c r="L4541">
        <v>84219</v>
      </c>
      <c r="M4541" t="s">
        <v>878</v>
      </c>
      <c r="O4541" t="s">
        <v>11</v>
      </c>
      <c r="P4541">
        <v>6403</v>
      </c>
      <c r="Q4541">
        <v>2</v>
      </c>
      <c r="R4541">
        <v>56.3</v>
      </c>
      <c r="S4541">
        <v>112.6</v>
      </c>
      <c r="T4541">
        <v>82.56</v>
      </c>
      <c r="U4541">
        <v>26.68</v>
      </c>
      <c r="V4541" t="str">
        <f>VLOOKUP(L4541,'[2]tabela de preços'!$A:$D,4,0)</f>
        <v>BRASILUX</v>
      </c>
      <c r="W4541" t="str">
        <f>VLOOKUP(L4541,'[2]tabela de preços'!$A:$F,6,0)</f>
        <v>ESMALTES</v>
      </c>
      <c r="X4541" t="str">
        <f>VLOOKUP(L4541,'[2]tabela de preços'!$A:$G,7,0)</f>
        <v>INDUSTRIAL</v>
      </c>
    </row>
    <row r="4542" spans="1:24" x14ac:dyDescent="0.3">
      <c r="A4542" t="s">
        <v>2251</v>
      </c>
      <c r="C4542" t="s">
        <v>3882</v>
      </c>
      <c r="D4542" s="1">
        <v>46079</v>
      </c>
      <c r="E4542" t="s">
        <v>3883</v>
      </c>
      <c r="F4542">
        <v>9</v>
      </c>
      <c r="G4542">
        <v>197</v>
      </c>
      <c r="H4542" t="str">
        <f>VLOOKUP(G4542,[1]OPERADORES!$A:$B,2,0)</f>
        <v xml:space="preserve">POLIANA LORRANE DE AMORIM </v>
      </c>
      <c r="I4542" t="s">
        <v>282</v>
      </c>
      <c r="J4542" t="s">
        <v>1294</v>
      </c>
      <c r="K4542" t="s">
        <v>2254</v>
      </c>
      <c r="L4542">
        <v>84220</v>
      </c>
      <c r="M4542" t="s">
        <v>3885</v>
      </c>
      <c r="O4542" t="s">
        <v>11</v>
      </c>
      <c r="P4542">
        <v>6403</v>
      </c>
      <c r="Q4542">
        <v>2</v>
      </c>
      <c r="R4542">
        <v>52.72</v>
      </c>
      <c r="S4542">
        <v>105.44</v>
      </c>
      <c r="T4542">
        <v>77.3</v>
      </c>
      <c r="U4542">
        <v>26.69</v>
      </c>
      <c r="V4542" t="str">
        <f>VLOOKUP(L4542,'[2]tabela de preços'!$A:$D,4,0)</f>
        <v>BRASILUX</v>
      </c>
      <c r="W4542" t="str">
        <f>VLOOKUP(L4542,'[2]tabela de preços'!$A:$F,6,0)</f>
        <v>ESMALTES</v>
      </c>
      <c r="X4542" t="str">
        <f>VLOOKUP(L4542,'[2]tabela de preços'!$A:$G,7,0)</f>
        <v>INDUSTRIAL</v>
      </c>
    </row>
    <row r="4543" spans="1:24" x14ac:dyDescent="0.3">
      <c r="A4543" t="s">
        <v>2251</v>
      </c>
      <c r="C4543" t="s">
        <v>3882</v>
      </c>
      <c r="D4543" s="1">
        <v>46079</v>
      </c>
      <c r="E4543" t="s">
        <v>3883</v>
      </c>
      <c r="F4543">
        <v>9</v>
      </c>
      <c r="G4543">
        <v>197</v>
      </c>
      <c r="H4543" t="str">
        <f>VLOOKUP(G4543,[1]OPERADORES!$A:$B,2,0)</f>
        <v xml:space="preserve">POLIANA LORRANE DE AMORIM </v>
      </c>
      <c r="I4543" t="s">
        <v>282</v>
      </c>
      <c r="J4543" t="s">
        <v>1294</v>
      </c>
      <c r="K4543" t="s">
        <v>2254</v>
      </c>
      <c r="L4543">
        <v>84222</v>
      </c>
      <c r="M4543" t="s">
        <v>1548</v>
      </c>
      <c r="O4543" t="s">
        <v>11</v>
      </c>
      <c r="P4543">
        <v>6403</v>
      </c>
      <c r="Q4543">
        <v>3</v>
      </c>
      <c r="R4543">
        <v>17.39</v>
      </c>
      <c r="S4543">
        <v>52.17</v>
      </c>
      <c r="T4543">
        <v>38.25</v>
      </c>
      <c r="U4543">
        <v>26.68</v>
      </c>
      <c r="V4543" t="str">
        <f>VLOOKUP(L4543,'[2]tabela de preços'!$A:$D,4,0)</f>
        <v>BRASILUX</v>
      </c>
      <c r="W4543" t="str">
        <f>VLOOKUP(L4543,'[2]tabela de preços'!$A:$F,6,0)</f>
        <v>ESMALTES</v>
      </c>
      <c r="X4543" t="str">
        <f>VLOOKUP(L4543,'[2]tabela de preços'!$A:$G,7,0)</f>
        <v>INDUSTRIAL</v>
      </c>
    </row>
    <row r="4544" spans="1:24" x14ac:dyDescent="0.3">
      <c r="A4544" t="s">
        <v>2251</v>
      </c>
      <c r="C4544" t="s">
        <v>3882</v>
      </c>
      <c r="D4544" s="1">
        <v>46079</v>
      </c>
      <c r="E4544" t="s">
        <v>3883</v>
      </c>
      <c r="F4544">
        <v>9</v>
      </c>
      <c r="G4544">
        <v>197</v>
      </c>
      <c r="H4544" t="str">
        <f>VLOOKUP(G4544,[1]OPERADORES!$A:$B,2,0)</f>
        <v xml:space="preserve">POLIANA LORRANE DE AMORIM </v>
      </c>
      <c r="I4544" t="s">
        <v>282</v>
      </c>
      <c r="J4544" t="s">
        <v>1294</v>
      </c>
      <c r="K4544" t="s">
        <v>2254</v>
      </c>
      <c r="L4544">
        <v>84223</v>
      </c>
      <c r="M4544" t="s">
        <v>3886</v>
      </c>
      <c r="O4544" t="s">
        <v>11</v>
      </c>
      <c r="P4544">
        <v>6403</v>
      </c>
      <c r="Q4544">
        <v>3</v>
      </c>
      <c r="R4544">
        <v>15.35</v>
      </c>
      <c r="S4544">
        <v>46.05</v>
      </c>
      <c r="T4544">
        <v>33.75</v>
      </c>
      <c r="U4544">
        <v>26.71</v>
      </c>
      <c r="V4544" t="str">
        <f>VLOOKUP(L4544,'[2]tabela de preços'!$A:$D,4,0)</f>
        <v>BRASILUX</v>
      </c>
      <c r="W4544" t="str">
        <f>VLOOKUP(L4544,'[2]tabela de preços'!$A:$F,6,0)</f>
        <v>ESMALTES</v>
      </c>
      <c r="X4544" t="str">
        <f>VLOOKUP(L4544,'[2]tabela de preços'!$A:$G,7,0)</f>
        <v>INDUSTRIAL</v>
      </c>
    </row>
    <row r="4545" spans="1:24" x14ac:dyDescent="0.3">
      <c r="A4545" t="s">
        <v>2251</v>
      </c>
      <c r="C4545" t="s">
        <v>3882</v>
      </c>
      <c r="D4545" s="1">
        <v>46079</v>
      </c>
      <c r="E4545" t="s">
        <v>3883</v>
      </c>
      <c r="F4545">
        <v>9</v>
      </c>
      <c r="G4545">
        <v>197</v>
      </c>
      <c r="H4545" t="str">
        <f>VLOOKUP(G4545,[1]OPERADORES!$A:$B,2,0)</f>
        <v xml:space="preserve">POLIANA LORRANE DE AMORIM </v>
      </c>
      <c r="I4545" t="s">
        <v>282</v>
      </c>
      <c r="J4545" t="s">
        <v>1294</v>
      </c>
      <c r="K4545" t="s">
        <v>2254</v>
      </c>
      <c r="L4545">
        <v>84224</v>
      </c>
      <c r="M4545" t="s">
        <v>3887</v>
      </c>
      <c r="O4545" t="s">
        <v>11</v>
      </c>
      <c r="P4545">
        <v>6403</v>
      </c>
      <c r="Q4545">
        <v>3</v>
      </c>
      <c r="R4545">
        <v>16.39</v>
      </c>
      <c r="S4545">
        <v>49.17</v>
      </c>
      <c r="T4545">
        <v>36.06</v>
      </c>
      <c r="U4545">
        <v>26.66</v>
      </c>
      <c r="V4545" t="str">
        <f>VLOOKUP(L4545,'[2]tabela de preços'!$A:$D,4,0)</f>
        <v>BRASILUX</v>
      </c>
      <c r="W4545" t="str">
        <f>VLOOKUP(L4545,'[2]tabela de preços'!$A:$F,6,0)</f>
        <v>ESMALTES</v>
      </c>
      <c r="X4545" t="str">
        <f>VLOOKUP(L4545,'[2]tabela de preços'!$A:$G,7,0)</f>
        <v>INDUSTRIAL</v>
      </c>
    </row>
    <row r="4546" spans="1:24" x14ac:dyDescent="0.3">
      <c r="A4546" t="s">
        <v>2251</v>
      </c>
      <c r="C4546" t="s">
        <v>3882</v>
      </c>
      <c r="D4546" s="1">
        <v>46079</v>
      </c>
      <c r="E4546" t="s">
        <v>3883</v>
      </c>
      <c r="F4546">
        <v>9</v>
      </c>
      <c r="G4546">
        <v>197</v>
      </c>
      <c r="H4546" t="str">
        <f>VLOOKUP(G4546,[1]OPERADORES!$A:$B,2,0)</f>
        <v xml:space="preserve">POLIANA LORRANE DE AMORIM </v>
      </c>
      <c r="I4546" t="s">
        <v>282</v>
      </c>
      <c r="J4546" t="s">
        <v>1294</v>
      </c>
      <c r="K4546" t="s">
        <v>2254</v>
      </c>
      <c r="L4546">
        <v>85268</v>
      </c>
      <c r="M4546" t="s">
        <v>3812</v>
      </c>
      <c r="O4546" t="s">
        <v>11</v>
      </c>
      <c r="P4546">
        <v>6403</v>
      </c>
      <c r="Q4546">
        <v>3</v>
      </c>
      <c r="R4546">
        <v>92.33</v>
      </c>
      <c r="S4546">
        <v>276.99</v>
      </c>
      <c r="T4546">
        <v>210.24</v>
      </c>
      <c r="U4546">
        <v>24.1</v>
      </c>
      <c r="V4546" t="str">
        <f>VLOOKUP(L4546,'[2]tabela de preços'!$A:$D,4,0)</f>
        <v>BRASILUX</v>
      </c>
      <c r="W4546" t="str">
        <f>VLOOKUP(L4546,'[2]tabela de preços'!$A:$F,6,0)</f>
        <v>ESMALTES</v>
      </c>
      <c r="X4546" t="str">
        <f>VLOOKUP(L4546,'[2]tabela de preços'!$A:$G,7,0)</f>
        <v>INDUSTRIAL</v>
      </c>
    </row>
    <row r="4547" spans="1:24" x14ac:dyDescent="0.3">
      <c r="A4547" t="s">
        <v>2251</v>
      </c>
      <c r="C4547" t="s">
        <v>3882</v>
      </c>
      <c r="D4547" s="1">
        <v>46079</v>
      </c>
      <c r="E4547" t="s">
        <v>3883</v>
      </c>
      <c r="F4547">
        <v>9</v>
      </c>
      <c r="G4547">
        <v>197</v>
      </c>
      <c r="H4547" t="str">
        <f>VLOOKUP(G4547,[1]OPERADORES!$A:$B,2,0)</f>
        <v xml:space="preserve">POLIANA LORRANE DE AMORIM </v>
      </c>
      <c r="I4547" t="s">
        <v>282</v>
      </c>
      <c r="J4547" t="s">
        <v>1294</v>
      </c>
      <c r="K4547" t="s">
        <v>2254</v>
      </c>
      <c r="L4547">
        <v>84046</v>
      </c>
      <c r="M4547" t="s">
        <v>754</v>
      </c>
      <c r="O4547" t="s">
        <v>11</v>
      </c>
      <c r="P4547">
        <v>6102</v>
      </c>
      <c r="Q4547">
        <v>4</v>
      </c>
      <c r="R4547">
        <v>11.98</v>
      </c>
      <c r="S4547">
        <v>47.92</v>
      </c>
      <c r="T4547">
        <v>35.96</v>
      </c>
      <c r="U4547">
        <v>24.96</v>
      </c>
      <c r="V4547" t="str">
        <f>VLOOKUP(L4547,'[2]tabela de preços'!$A:$D,4,0)</f>
        <v>BRASILUX</v>
      </c>
      <c r="W4547" t="str">
        <f>VLOOKUP(L4547,'[2]tabela de preços'!$A:$F,6,0)</f>
        <v>MASSA DE POLIR</v>
      </c>
      <c r="X4547" t="str">
        <f>VLOOKUP(L4547,'[2]tabela de preços'!$A:$G,7,0)</f>
        <v>AUTOMOTIVO</v>
      </c>
    </row>
    <row r="4548" spans="1:24" x14ac:dyDescent="0.3">
      <c r="A4548" t="s">
        <v>2251</v>
      </c>
      <c r="C4548" t="s">
        <v>3882</v>
      </c>
      <c r="D4548" s="1">
        <v>46079</v>
      </c>
      <c r="E4548" t="s">
        <v>3883</v>
      </c>
      <c r="F4548">
        <v>9</v>
      </c>
      <c r="G4548">
        <v>197</v>
      </c>
      <c r="H4548" t="str">
        <f>VLOOKUP(G4548,[1]OPERADORES!$A:$B,2,0)</f>
        <v xml:space="preserve">POLIANA LORRANE DE AMORIM </v>
      </c>
      <c r="I4548" t="s">
        <v>282</v>
      </c>
      <c r="J4548" t="s">
        <v>1294</v>
      </c>
      <c r="K4548" t="s">
        <v>2254</v>
      </c>
      <c r="L4548">
        <v>85164</v>
      </c>
      <c r="M4548" t="s">
        <v>278</v>
      </c>
      <c r="O4548" t="s">
        <v>11</v>
      </c>
      <c r="P4548">
        <v>6102</v>
      </c>
      <c r="Q4548">
        <v>12</v>
      </c>
      <c r="R4548">
        <v>13.29</v>
      </c>
      <c r="S4548">
        <v>159.47999999999999</v>
      </c>
      <c r="T4548">
        <v>121.08</v>
      </c>
      <c r="U4548">
        <v>24.08</v>
      </c>
      <c r="V4548" t="str">
        <f>VLOOKUP(L4548,'[2]tabela de preços'!$A:$D,4,0)</f>
        <v>BRASILUX</v>
      </c>
      <c r="W4548" t="str">
        <f>VLOOKUP(L4548,'[2]tabela de preços'!$A:$F,6,0)</f>
        <v>QUEROSENE</v>
      </c>
      <c r="X4548" t="str">
        <f>VLOOKUP(L4548,'[2]tabela de preços'!$A:$G,7,0)</f>
        <v>AUTOMOTIVO</v>
      </c>
    </row>
    <row r="4549" spans="1:24" x14ac:dyDescent="0.3">
      <c r="A4549" t="s">
        <v>3322</v>
      </c>
      <c r="C4549" t="s">
        <v>3717</v>
      </c>
      <c r="D4549" s="1">
        <v>46078</v>
      </c>
      <c r="E4549" t="s">
        <v>3718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3325</v>
      </c>
      <c r="K4549" t="s">
        <v>3326</v>
      </c>
      <c r="L4549">
        <v>10236</v>
      </c>
      <c r="M4549" t="s">
        <v>133</v>
      </c>
      <c r="O4549" t="s">
        <v>11</v>
      </c>
      <c r="P4549">
        <v>5102</v>
      </c>
      <c r="Q4549">
        <v>70</v>
      </c>
      <c r="R4549">
        <v>2.79</v>
      </c>
      <c r="S4549">
        <v>195.3</v>
      </c>
      <c r="T4549">
        <v>162.4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3322</v>
      </c>
      <c r="C4550" t="s">
        <v>3717</v>
      </c>
      <c r="D4550" s="1">
        <v>46078</v>
      </c>
      <c r="E4550" t="s">
        <v>3718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3325</v>
      </c>
      <c r="K4550" t="s">
        <v>3326</v>
      </c>
      <c r="L4550">
        <v>10238</v>
      </c>
      <c r="M4550" t="s">
        <v>79</v>
      </c>
      <c r="O4550" t="s">
        <v>11</v>
      </c>
      <c r="P4550">
        <v>5102</v>
      </c>
      <c r="Q4550">
        <v>100</v>
      </c>
      <c r="R4550">
        <v>2.79</v>
      </c>
      <c r="S4550">
        <v>279</v>
      </c>
      <c r="T4550">
        <v>224</v>
      </c>
      <c r="U4550">
        <v>19.71</v>
      </c>
      <c r="V4550" t="str">
        <f>VLOOKUP(L4550,'[2]tabela de preços'!$A:$D,4,0)</f>
        <v>NORTON</v>
      </c>
      <c r="W4550" t="str">
        <f>VLOOKUP(L4550,'[2]tabela de preços'!$A:$F,6,0)</f>
        <v xml:space="preserve">DISCOS / LIXAS / ABRASIVOS </v>
      </c>
      <c r="X4550" t="str">
        <f>VLOOKUP(L4550,'[2]tabela de preços'!$A:$G,7,0)</f>
        <v>AUTOMOTIVO</v>
      </c>
    </row>
    <row r="4551" spans="1:24" x14ac:dyDescent="0.3">
      <c r="A4551" t="s">
        <v>3322</v>
      </c>
      <c r="C4551" t="s">
        <v>3717</v>
      </c>
      <c r="D4551" s="1">
        <v>46078</v>
      </c>
      <c r="E4551" t="s">
        <v>3718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3325</v>
      </c>
      <c r="K4551" t="s">
        <v>3326</v>
      </c>
      <c r="L4551">
        <v>20817</v>
      </c>
      <c r="M4551" t="s">
        <v>153</v>
      </c>
      <c r="O4551" t="s">
        <v>11</v>
      </c>
      <c r="P4551">
        <v>5102</v>
      </c>
      <c r="Q4551">
        <v>6</v>
      </c>
      <c r="R4551">
        <v>22.89</v>
      </c>
      <c r="S4551">
        <v>137.34</v>
      </c>
      <c r="T4551">
        <v>111.72</v>
      </c>
      <c r="U4551">
        <v>18.649999999999999</v>
      </c>
      <c r="V4551" t="str">
        <f>VLOOKUP(L4551,'[2]tabela de preços'!$A:$D,4,0)</f>
        <v>AUTO AMERICA</v>
      </c>
      <c r="W4551" t="str">
        <f>VLOOKUP(L4551,'[2]tabela de preços'!$A:$F,6,0)</f>
        <v>MASSA DE POLIR</v>
      </c>
      <c r="X4551" t="str">
        <f>VLOOKUP(L4551,'[2]tabela de preços'!$A:$G,7,0)</f>
        <v>AUTOMOTIVO</v>
      </c>
    </row>
    <row r="4552" spans="1:24" x14ac:dyDescent="0.3">
      <c r="A4552" t="s">
        <v>3322</v>
      </c>
      <c r="C4552" t="s">
        <v>3717</v>
      </c>
      <c r="D4552" s="1">
        <v>46078</v>
      </c>
      <c r="E4552" t="s">
        <v>3718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3325</v>
      </c>
      <c r="K4552" t="s">
        <v>3326</v>
      </c>
      <c r="L4552">
        <v>84560</v>
      </c>
      <c r="M4552" t="s">
        <v>118</v>
      </c>
      <c r="O4552" t="s">
        <v>11</v>
      </c>
      <c r="P4552">
        <v>5102</v>
      </c>
      <c r="Q4552">
        <v>8</v>
      </c>
      <c r="R4552">
        <v>47.89</v>
      </c>
      <c r="S4552">
        <v>383.12</v>
      </c>
      <c r="T4552">
        <v>321.12</v>
      </c>
      <c r="U4552">
        <v>16.18</v>
      </c>
      <c r="V4552" t="str">
        <f>VLOOKUP(L4552,'[2]tabela de preços'!$A:$D,4,0)</f>
        <v>BRASILUX</v>
      </c>
      <c r="W4552" t="str">
        <f>VLOOKUP(L4552,'[2]tabela de preços'!$A:$F,6,0)</f>
        <v>THINNER DE LIMPEZA</v>
      </c>
      <c r="X4552" t="str">
        <f>VLOOKUP(L4552,'[2]tabela de preços'!$A:$G,7,0)</f>
        <v>THINNER</v>
      </c>
    </row>
    <row r="4553" spans="1:24" x14ac:dyDescent="0.3">
      <c r="A4553" t="s">
        <v>3322</v>
      </c>
      <c r="C4553" t="s">
        <v>3717</v>
      </c>
      <c r="D4553" s="1">
        <v>46078</v>
      </c>
      <c r="E4553" t="s">
        <v>3718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3325</v>
      </c>
      <c r="K4553" t="s">
        <v>3326</v>
      </c>
      <c r="L4553">
        <v>84460</v>
      </c>
      <c r="M4553" t="s">
        <v>322</v>
      </c>
      <c r="O4553" t="s">
        <v>11</v>
      </c>
      <c r="P4553">
        <v>5102</v>
      </c>
      <c r="Q4553">
        <v>8</v>
      </c>
      <c r="R4553">
        <v>31.07</v>
      </c>
      <c r="S4553">
        <v>248.56</v>
      </c>
      <c r="T4553">
        <v>188.64</v>
      </c>
      <c r="U4553">
        <v>24.11</v>
      </c>
      <c r="V4553" t="str">
        <f>VLOOKUP(L4553,'[2]tabela de preços'!$A:$D,4,0)</f>
        <v>BRASILUX</v>
      </c>
      <c r="W4553" t="str">
        <f>VLOOKUP(L4553,'[2]tabela de preços'!$A:$F,6,0)</f>
        <v>VEDADORES / SELANTES</v>
      </c>
      <c r="X4553" t="str">
        <f>VLOOKUP(L4553,'[2]tabela de preços'!$A:$G,7,0)</f>
        <v>AUTOMOTIVO</v>
      </c>
    </row>
    <row r="4554" spans="1:24" x14ac:dyDescent="0.3">
      <c r="A4554" t="s">
        <v>3322</v>
      </c>
      <c r="C4554" t="s">
        <v>3717</v>
      </c>
      <c r="D4554" s="1">
        <v>46078</v>
      </c>
      <c r="E4554" t="s">
        <v>3718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21</v>
      </c>
      <c r="J4554" t="s">
        <v>3325</v>
      </c>
      <c r="K4554" t="s">
        <v>3326</v>
      </c>
      <c r="L4554">
        <v>10404</v>
      </c>
      <c r="M4554" t="s">
        <v>130</v>
      </c>
      <c r="O4554" t="s">
        <v>11</v>
      </c>
      <c r="P4554">
        <v>5102</v>
      </c>
      <c r="Q4554">
        <v>12</v>
      </c>
      <c r="R4554">
        <v>16.29</v>
      </c>
      <c r="S4554">
        <v>195.48</v>
      </c>
      <c r="T4554">
        <v>165</v>
      </c>
      <c r="U4554">
        <v>15.59</v>
      </c>
      <c r="V4554" t="str">
        <f>VLOOKUP(L4554,'[2]tabela de preços'!$A:$D,4,0)</f>
        <v>MAXI RUBBER</v>
      </c>
      <c r="W4554" t="str">
        <f>VLOOKUP(L4554,'[2]tabela de preços'!$A:$F,6,0)</f>
        <v>VEDADORES / SELANTES</v>
      </c>
      <c r="X4554" t="str">
        <f>VLOOKUP(L4554,'[2]tabela de preços'!$A:$G,7,0)</f>
        <v>AUTOMOTIVO</v>
      </c>
    </row>
    <row r="4555" spans="1:24" x14ac:dyDescent="0.3">
      <c r="A4555" t="s">
        <v>2293</v>
      </c>
      <c r="C4555" t="s">
        <v>3719</v>
      </c>
      <c r="D4555" s="1">
        <v>46078</v>
      </c>
      <c r="E4555" t="s">
        <v>3720</v>
      </c>
      <c r="F4555">
        <v>9</v>
      </c>
      <c r="G4555">
        <v>197</v>
      </c>
      <c r="H4555" t="str">
        <f>VLOOKUP(G4555,[1]OPERADORES!$A:$B,2,0)</f>
        <v xml:space="preserve">POLIANA LORRANE DE AMORIM </v>
      </c>
      <c r="I4555" t="s">
        <v>21</v>
      </c>
      <c r="J4555" t="s">
        <v>3329</v>
      </c>
      <c r="K4555" t="s">
        <v>3330</v>
      </c>
      <c r="L4555">
        <v>84616</v>
      </c>
      <c r="M4555" t="s">
        <v>2298</v>
      </c>
      <c r="O4555" t="s">
        <v>11</v>
      </c>
      <c r="P4555">
        <v>5403</v>
      </c>
      <c r="Q4555">
        <v>2</v>
      </c>
      <c r="R4555">
        <v>62.66</v>
      </c>
      <c r="S4555">
        <v>125.31</v>
      </c>
      <c r="T4555">
        <v>95.12</v>
      </c>
      <c r="U4555">
        <v>24.09</v>
      </c>
      <c r="V4555" t="str">
        <f>VLOOKUP(L4555,'[2]tabela de preços'!$A:$D,4,0)</f>
        <v>BRASILUX</v>
      </c>
      <c r="W4555" t="str">
        <f>VLOOKUP(L4555,'[2]tabela de preços'!$A:$F,6,0)</f>
        <v>BASES IMOBILIÁRIAS</v>
      </c>
      <c r="X4555" t="str">
        <f>VLOOKUP(L4555,'[2]tabela de preços'!$A:$G,7,0)</f>
        <v>IMOBILIÁRIO</v>
      </c>
    </row>
    <row r="4556" spans="1:24" x14ac:dyDescent="0.3">
      <c r="A4556" t="s">
        <v>2293</v>
      </c>
      <c r="C4556" t="s">
        <v>3719</v>
      </c>
      <c r="D4556" s="1">
        <v>46078</v>
      </c>
      <c r="E4556" t="s">
        <v>3720</v>
      </c>
      <c r="F4556">
        <v>9</v>
      </c>
      <c r="G4556">
        <v>197</v>
      </c>
      <c r="H4556" t="str">
        <f>VLOOKUP(G4556,[1]OPERADORES!$A:$B,2,0)</f>
        <v xml:space="preserve">POLIANA LORRANE DE AMORIM </v>
      </c>
      <c r="I4556" t="s">
        <v>21</v>
      </c>
      <c r="J4556" t="s">
        <v>3329</v>
      </c>
      <c r="K4556" t="s">
        <v>3330</v>
      </c>
      <c r="L4556">
        <v>84618</v>
      </c>
      <c r="M4556" t="s">
        <v>2299</v>
      </c>
      <c r="O4556" t="s">
        <v>11</v>
      </c>
      <c r="P4556">
        <v>5403</v>
      </c>
      <c r="Q4556">
        <v>1</v>
      </c>
      <c r="R4556">
        <v>58.81</v>
      </c>
      <c r="S4556">
        <v>58.81</v>
      </c>
      <c r="T4556">
        <v>44.64</v>
      </c>
      <c r="U4556">
        <v>24.09</v>
      </c>
      <c r="V4556" t="str">
        <f>VLOOKUP(L4556,'[2]tabela de preços'!$A:$D,4,0)</f>
        <v>BRASILUX</v>
      </c>
      <c r="W4556" t="str">
        <f>VLOOKUP(L4556,'[2]tabela de preços'!$A:$F,6,0)</f>
        <v>BASES IMOBILIÁRIAS</v>
      </c>
      <c r="X4556" t="str">
        <f>VLOOKUP(L4556,'[2]tabela de preços'!$A:$G,7,0)</f>
        <v>IMOBILIÁRIO</v>
      </c>
    </row>
    <row r="4557" spans="1:24" x14ac:dyDescent="0.3">
      <c r="A4557" t="s">
        <v>2293</v>
      </c>
      <c r="C4557" t="s">
        <v>3719</v>
      </c>
      <c r="D4557" s="1">
        <v>46078</v>
      </c>
      <c r="E4557" t="s">
        <v>3720</v>
      </c>
      <c r="F4557">
        <v>9</v>
      </c>
      <c r="G4557">
        <v>197</v>
      </c>
      <c r="H4557" t="str">
        <f>VLOOKUP(G4557,[1]OPERADORES!$A:$B,2,0)</f>
        <v xml:space="preserve">POLIANA LORRANE DE AMORIM </v>
      </c>
      <c r="I4557" t="s">
        <v>21</v>
      </c>
      <c r="J4557" t="s">
        <v>3329</v>
      </c>
      <c r="K4557" t="s">
        <v>3330</v>
      </c>
      <c r="L4557">
        <v>84746</v>
      </c>
      <c r="M4557" t="s">
        <v>3331</v>
      </c>
      <c r="O4557" t="s">
        <v>11</v>
      </c>
      <c r="P4557">
        <v>5403</v>
      </c>
      <c r="Q4557">
        <v>2</v>
      </c>
      <c r="R4557">
        <v>15.62</v>
      </c>
      <c r="S4557">
        <v>31.24</v>
      </c>
      <c r="T4557">
        <v>23.72</v>
      </c>
      <c r="U4557">
        <v>24.07</v>
      </c>
      <c r="V4557" t="str">
        <f>VLOOKUP(L4557,'[2]tabela de preços'!$A:$D,4,0)</f>
        <v>BRASILUX</v>
      </c>
      <c r="W4557" t="str">
        <f>VLOOKUP(L4557,'[2]tabela de preços'!$A:$F,6,0)</f>
        <v>BASES IMOBILIÁRIAS</v>
      </c>
      <c r="X4557" t="str">
        <f>VLOOKUP(L4557,'[2]tabela de preços'!$A:$G,7,0)</f>
        <v>IMOBILIÁRIO</v>
      </c>
    </row>
    <row r="4558" spans="1:24" x14ac:dyDescent="0.3">
      <c r="A4558" t="s">
        <v>2293</v>
      </c>
      <c r="C4558" t="s">
        <v>3719</v>
      </c>
      <c r="D4558" s="1">
        <v>46078</v>
      </c>
      <c r="E4558" t="s">
        <v>3720</v>
      </c>
      <c r="F4558">
        <v>9</v>
      </c>
      <c r="G4558">
        <v>197</v>
      </c>
      <c r="H4558" t="str">
        <f>VLOOKUP(G4558,[1]OPERADORES!$A:$B,2,0)</f>
        <v xml:space="preserve">POLIANA LORRANE DE AMORIM </v>
      </c>
      <c r="I4558" t="s">
        <v>21</v>
      </c>
      <c r="J4558" t="s">
        <v>3329</v>
      </c>
      <c r="K4558" t="s">
        <v>3330</v>
      </c>
      <c r="L4558">
        <v>84144</v>
      </c>
      <c r="M4558" t="s">
        <v>1287</v>
      </c>
      <c r="O4558" t="s">
        <v>11</v>
      </c>
      <c r="P4558">
        <v>5403</v>
      </c>
      <c r="Q4558">
        <v>4</v>
      </c>
      <c r="R4558">
        <v>59.98</v>
      </c>
      <c r="S4558">
        <v>239.92</v>
      </c>
      <c r="T4558">
        <v>208</v>
      </c>
      <c r="U4558">
        <v>13.3</v>
      </c>
      <c r="V4558" t="str">
        <f>VLOOKUP(L4558,'[2]tabela de preços'!$A:$D,4,0)</f>
        <v>BRASILUX</v>
      </c>
      <c r="W4558" t="str">
        <f>VLOOKUP(L4558,'[2]tabela de preços'!$A:$F,6,0)</f>
        <v>ESMALTES</v>
      </c>
      <c r="X4558" t="str">
        <f>VLOOKUP(L4558,'[2]tabela de preços'!$A:$G,7,0)</f>
        <v>INDUSTRIAL</v>
      </c>
    </row>
    <row r="4559" spans="1:24" x14ac:dyDescent="0.3">
      <c r="A4559" t="s">
        <v>2293</v>
      </c>
      <c r="C4559" t="s">
        <v>3719</v>
      </c>
      <c r="D4559" s="1">
        <v>46078</v>
      </c>
      <c r="E4559" t="s">
        <v>3720</v>
      </c>
      <c r="F4559">
        <v>9</v>
      </c>
      <c r="G4559">
        <v>197</v>
      </c>
      <c r="H4559" t="str">
        <f>VLOOKUP(G4559,[1]OPERADORES!$A:$B,2,0)</f>
        <v xml:space="preserve">POLIANA LORRANE DE AMORIM </v>
      </c>
      <c r="I4559" t="s">
        <v>21</v>
      </c>
      <c r="J4559" t="s">
        <v>3329</v>
      </c>
      <c r="K4559" t="s">
        <v>3330</v>
      </c>
      <c r="L4559">
        <v>84146</v>
      </c>
      <c r="M4559" t="s">
        <v>1707</v>
      </c>
      <c r="O4559" t="s">
        <v>11</v>
      </c>
      <c r="P4559">
        <v>5403</v>
      </c>
      <c r="Q4559">
        <v>6</v>
      </c>
      <c r="R4559">
        <v>21.56</v>
      </c>
      <c r="S4559">
        <v>129.34</v>
      </c>
      <c r="T4559">
        <v>98.22</v>
      </c>
      <c r="U4559">
        <v>24.06</v>
      </c>
      <c r="V4559" t="str">
        <f>VLOOKUP(L4559,'[2]tabela de preços'!$A:$D,4,0)</f>
        <v>BRASILUX</v>
      </c>
      <c r="W4559" t="str">
        <f>VLOOKUP(L4559,'[2]tabela de preços'!$A:$F,6,0)</f>
        <v>ESMALTES</v>
      </c>
      <c r="X4559" t="str">
        <f>VLOOKUP(L4559,'[2]tabela de preços'!$A:$G,7,0)</f>
        <v>INDUSTRIAL</v>
      </c>
    </row>
    <row r="4560" spans="1:24" x14ac:dyDescent="0.3">
      <c r="A4560" t="s">
        <v>2293</v>
      </c>
      <c r="C4560" t="s">
        <v>3719</v>
      </c>
      <c r="D4560" s="1">
        <v>46078</v>
      </c>
      <c r="E4560" t="s">
        <v>3720</v>
      </c>
      <c r="F4560">
        <v>9</v>
      </c>
      <c r="G4560">
        <v>197</v>
      </c>
      <c r="H4560" t="str">
        <f>VLOOKUP(G4560,[1]OPERADORES!$A:$B,2,0)</f>
        <v xml:space="preserve">POLIANA LORRANE DE AMORIM </v>
      </c>
      <c r="I4560" t="s">
        <v>21</v>
      </c>
      <c r="J4560" t="s">
        <v>3329</v>
      </c>
      <c r="K4560" t="s">
        <v>3330</v>
      </c>
      <c r="L4560">
        <v>84785</v>
      </c>
      <c r="M4560" t="s">
        <v>944</v>
      </c>
      <c r="O4560" t="s">
        <v>11</v>
      </c>
      <c r="P4560">
        <v>5403</v>
      </c>
      <c r="Q4560">
        <v>1</v>
      </c>
      <c r="R4560">
        <v>182.35</v>
      </c>
      <c r="S4560">
        <v>182.35</v>
      </c>
      <c r="T4560">
        <v>130.72</v>
      </c>
      <c r="U4560">
        <v>28.31</v>
      </c>
      <c r="V4560" t="str">
        <f>VLOOKUP(L4560,'[2]tabela de preços'!$A:$D,4,0)</f>
        <v>BRASILUX</v>
      </c>
      <c r="W4560" t="str">
        <f>VLOOKUP(L4560,'[2]tabela de preços'!$A:$F,6,0)</f>
        <v>EPOXI</v>
      </c>
      <c r="X4560" t="str">
        <f>VLOOKUP(L4560,'[2]tabela de preços'!$A:$G,7,0)</f>
        <v>INDUSTRIAL</v>
      </c>
    </row>
    <row r="4561" spans="1:24" x14ac:dyDescent="0.3">
      <c r="A4561" t="s">
        <v>2293</v>
      </c>
      <c r="C4561" t="s">
        <v>3719</v>
      </c>
      <c r="D4561" s="1">
        <v>46078</v>
      </c>
      <c r="E4561" t="s">
        <v>3720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21</v>
      </c>
      <c r="J4561" t="s">
        <v>3329</v>
      </c>
      <c r="K4561" t="s">
        <v>3330</v>
      </c>
      <c r="L4561">
        <v>85164</v>
      </c>
      <c r="M4561" t="s">
        <v>278</v>
      </c>
      <c r="O4561" t="s">
        <v>11</v>
      </c>
      <c r="P4561">
        <v>5102</v>
      </c>
      <c r="Q4561">
        <v>10</v>
      </c>
      <c r="R4561">
        <v>13.29</v>
      </c>
      <c r="S4561">
        <v>132.88999999999999</v>
      </c>
      <c r="T4561">
        <v>100.9</v>
      </c>
      <c r="U4561">
        <v>24.07</v>
      </c>
      <c r="V4561" t="str">
        <f>VLOOKUP(L4561,'[2]tabela de preços'!$A:$D,4,0)</f>
        <v>BRASILUX</v>
      </c>
      <c r="W4561" t="str">
        <f>VLOOKUP(L4561,'[2]tabela de preços'!$A:$F,6,0)</f>
        <v>QUEROSENE</v>
      </c>
      <c r="X4561" t="str">
        <f>VLOOKUP(L4561,'[2]tabela de preços'!$A:$G,7,0)</f>
        <v>AUTOMOTIVO</v>
      </c>
    </row>
    <row r="4562" spans="1:24" x14ac:dyDescent="0.3">
      <c r="A4562" t="s">
        <v>2293</v>
      </c>
      <c r="C4562" t="s">
        <v>3719</v>
      </c>
      <c r="D4562" s="1">
        <v>46078</v>
      </c>
      <c r="E4562" t="s">
        <v>3720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21</v>
      </c>
      <c r="J4562" t="s">
        <v>3329</v>
      </c>
      <c r="K4562" t="s">
        <v>3330</v>
      </c>
      <c r="L4562">
        <v>21755</v>
      </c>
      <c r="M4562" t="s">
        <v>2257</v>
      </c>
      <c r="O4562" t="s">
        <v>11</v>
      </c>
      <c r="P4562">
        <v>5403</v>
      </c>
      <c r="Q4562">
        <v>6</v>
      </c>
      <c r="R4562">
        <v>16.07</v>
      </c>
      <c r="S4562">
        <v>96.41</v>
      </c>
      <c r="T4562">
        <v>73.14</v>
      </c>
      <c r="U4562">
        <v>24.14</v>
      </c>
      <c r="V4562" t="str">
        <f>VLOOKUP(L4562,'[2]tabela de preços'!$A:$D,4,0)</f>
        <v>SHERWIN WILLIAMS</v>
      </c>
      <c r="W4562" t="str">
        <f>VLOOKUP(L4562,'[2]tabela de preços'!$A:$F,6,0)</f>
        <v xml:space="preserve">SPRAYS </v>
      </c>
      <c r="X4562" t="str">
        <f>VLOOKUP(L4562,'[2]tabela de preços'!$A:$G,7,0)</f>
        <v>AUTOMOTIVO</v>
      </c>
    </row>
    <row r="4563" spans="1:24" x14ac:dyDescent="0.3">
      <c r="A4563" t="s">
        <v>2323</v>
      </c>
      <c r="C4563" t="s">
        <v>3721</v>
      </c>
      <c r="D4563" s="1">
        <v>46078</v>
      </c>
      <c r="E4563" t="s">
        <v>3722</v>
      </c>
      <c r="F4563">
        <v>9</v>
      </c>
      <c r="G4563">
        <v>174</v>
      </c>
      <c r="H4563" t="str">
        <f>VLOOKUP(G4563,[1]OPERADORES!$A:$B,2,0)</f>
        <v>MIRIÃ LOBATO RODRIGUES</v>
      </c>
      <c r="I4563" t="s">
        <v>21</v>
      </c>
      <c r="J4563" t="s">
        <v>550</v>
      </c>
      <c r="K4563" t="s">
        <v>2326</v>
      </c>
      <c r="L4563">
        <v>24331</v>
      </c>
      <c r="M4563" t="s">
        <v>40</v>
      </c>
      <c r="O4563" t="s">
        <v>11</v>
      </c>
      <c r="P4563">
        <v>5102</v>
      </c>
      <c r="Q4563">
        <v>1</v>
      </c>
      <c r="R4563">
        <v>66.14</v>
      </c>
      <c r="S4563">
        <v>66.14</v>
      </c>
      <c r="T4563">
        <v>50.2</v>
      </c>
      <c r="U4563">
        <v>24.1</v>
      </c>
      <c r="V4563" t="str">
        <f>VLOOKUP(L4563,'[2]tabela de preços'!$A:$D,4,0)</f>
        <v>VONIXX</v>
      </c>
      <c r="W4563" t="str">
        <f>VLOOKUP(L4563,'[2]tabela de preços'!$A:$F,6,0)</f>
        <v>LINHA DE HIGENIZAÇÃO E ESTÉTICA  AUTOMOTIVA</v>
      </c>
      <c r="X4563" t="str">
        <f>VLOOKUP(L4563,'[2]tabela de preços'!$A:$G,7,0)</f>
        <v>AUTOMOTIVO</v>
      </c>
    </row>
    <row r="4564" spans="1:24" x14ac:dyDescent="0.3">
      <c r="A4564" t="s">
        <v>2323</v>
      </c>
      <c r="C4564" t="s">
        <v>3721</v>
      </c>
      <c r="D4564" s="1">
        <v>46078</v>
      </c>
      <c r="E4564" t="s">
        <v>3722</v>
      </c>
      <c r="F4564">
        <v>9</v>
      </c>
      <c r="G4564">
        <v>174</v>
      </c>
      <c r="H4564" t="str">
        <f>VLOOKUP(G4564,[1]OPERADORES!$A:$B,2,0)</f>
        <v>MIRIÃ LOBATO RODRIGUES</v>
      </c>
      <c r="I4564" t="s">
        <v>21</v>
      </c>
      <c r="J4564" t="s">
        <v>550</v>
      </c>
      <c r="K4564" t="s">
        <v>2326</v>
      </c>
      <c r="L4564">
        <v>84398</v>
      </c>
      <c r="M4564" t="s">
        <v>3723</v>
      </c>
      <c r="O4564" t="s">
        <v>11</v>
      </c>
      <c r="P4564">
        <v>5102</v>
      </c>
      <c r="Q4564">
        <v>1</v>
      </c>
      <c r="R4564">
        <v>115.81</v>
      </c>
      <c r="S4564">
        <v>115.81</v>
      </c>
      <c r="T4564">
        <v>87.9</v>
      </c>
      <c r="U4564">
        <v>24.1</v>
      </c>
      <c r="V4564" t="str">
        <f>VLOOKUP(L4564,'[2]tabela de preços'!$A:$D,4,0)</f>
        <v>VONIXX</v>
      </c>
      <c r="W4564" t="str">
        <f>VLOOKUP(L4564,'[2]tabela de preços'!$A:$F,6,0)</f>
        <v>LINHA DE HIGENIZAÇÃO E ESTÉTICA  AUTOMOTIVA</v>
      </c>
      <c r="X4564" t="str">
        <f>VLOOKUP(L4564,'[2]tabela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2026-02-27T21:10:43Z</dcterms:modified>
</cp:coreProperties>
</file>